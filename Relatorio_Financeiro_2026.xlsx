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</fonts>
  <fills count="23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76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D36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Pendente</t>
        </is>
      </c>
      <c r="F20" s="125">
        <f>IF(OR($E20="Pago",$C20=""),"",MAX(0,TODAY()-$C20))</f>
        <v/>
      </c>
      <c r="G20" s="94" t="inlineStr">
        <is>
          <t>Categoria quando pagar: Água, Energia e Internet.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Pendente</t>
        </is>
      </c>
      <c r="F21" s="124">
        <f>IF(OR($E21="Pago",$C21=""),"",MAX(0,TODAY()-$C21))</f>
        <v/>
      </c>
      <c r="G21" s="90" t="inlineStr">
        <is>
          <t>Categoria quando pagar: Fornecedores / Mercadoria. Boleto Itaú 341-7, nosso número 112/24142153-9. Após 1 dia do vencimento: juros R$ 0,29/dia + multa 2%.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Pendente</t>
        </is>
      </c>
      <c r="F22" s="125">
        <f>IF(OR($E22="Pago",$C22=""),"",MAX(0,TODAY()-$C22))</f>
        <v/>
      </c>
      <c r="G22" s="94" t="inlineStr">
        <is>
          <t>Categoria quando pagar: Fornecedores / Mercadoria. Boleto Itaú 341-7, nosso número 109/00257849-8. Após o vencimento: multa 1,9% + juros 0,1% ao dia; protesto no Serasa no 5º dia útil.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Pendente</t>
        </is>
      </c>
      <c r="F23" s="124">
        <f>IF(OR($E23="Pago",$C23=""),"",MAX(0,TODAY()-$C23))</f>
        <v/>
      </c>
      <c r="G23" s="90" t="inlineStr">
        <is>
          <t>Categoria quando pagar: Impostos e Taxas.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FGTS Digital (GFD)</t>
        </is>
      </c>
      <c r="B25" s="90" t="inlineStr">
        <is>
          <t>FGTS mensal — competência 08/2026</t>
        </is>
      </c>
      <c r="C25" s="89" t="n">
        <v>46283</v>
      </c>
      <c r="D25" s="91" t="n">
        <v>136</v>
      </c>
      <c r="E25" s="124" t="inlineStr">
        <is>
          <t>Pendente</t>
        </is>
      </c>
      <c r="F25" s="124">
        <f>IF(OR($E25="Pago",$C25=""),"",MAX(0,TODAY()-$C25))</f>
        <v/>
      </c>
      <c r="G25" s="90" t="inlineStr">
        <is>
          <t>Categoria quando pagar: Impostos e Taxas.</t>
        </is>
      </c>
    </row>
    <row r="26">
      <c r="A26" s="94" t="inlineStr">
        <is>
          <t>Receita Federal</t>
        </is>
      </c>
      <c r="B26" s="94" t="inlineStr">
        <is>
          <t>DARF / INSS — período de apuração agosto/2026</t>
        </is>
      </c>
      <c r="C26" s="93" t="n">
        <v>46283</v>
      </c>
      <c r="D26" s="95" t="n">
        <v>306.99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n"/>
      <c r="B27" s="90" t="n"/>
      <c r="C27" s="89" t="n"/>
      <c r="D27" s="91" t="n"/>
      <c r="E27" s="124" t="n"/>
      <c r="F27" s="124">
        <f>IF(OR($E27="Pago",$C27=""),"",MAX(0,TODAY()-$C27))</f>
        <v/>
      </c>
      <c r="G27" s="90" t="n"/>
    </row>
    <row r="28">
      <c r="A28" s="94" t="n"/>
      <c r="B28" s="94" t="n"/>
      <c r="C28" s="93" t="n"/>
      <c r="D28" s="95" t="n"/>
      <c r="E28" s="125" t="n"/>
      <c r="F28" s="125">
        <f>IF(OR($E28="Pago",$C28=""),"",MAX(0,TODAY()-$C28))</f>
        <v/>
      </c>
      <c r="G28" s="94" t="n"/>
    </row>
    <row r="29">
      <c r="A29" s="90" t="n"/>
      <c r="B29" s="90" t="n"/>
      <c r="C29" s="89" t="n"/>
      <c r="D29" s="91" t="n"/>
      <c r="E29" s="124" t="n"/>
      <c r="F29" s="124">
        <f>IF(OR($E29="Pago",$C29=""),"",MAX(0,TODAY()-$C29))</f>
        <v/>
      </c>
      <c r="G29" s="90" t="n"/>
    </row>
    <row r="30">
      <c r="A30" s="94" t="n"/>
      <c r="B30" s="94" t="n"/>
      <c r="C30" s="93" t="n"/>
      <c r="D30" s="95" t="n"/>
      <c r="E30" s="125" t="n"/>
      <c r="F30" s="125">
        <f>IF(OR($E30="Pago",$C30=""),"",MAX(0,TODAY()-$C30))</f>
        <v/>
      </c>
      <c r="G30" s="94" t="n"/>
    </row>
    <row r="31">
      <c r="A31" s="90" t="n"/>
      <c r="B31" s="90" t="n"/>
      <c r="C31" s="89" t="n"/>
      <c r="D31" s="91" t="n"/>
      <c r="E31" s="124" t="n"/>
      <c r="F31" s="124">
        <f>IF(OR($E31="Pago",$C31=""),"",MAX(0,TODAY()-$C31))</f>
        <v/>
      </c>
      <c r="G31" s="90" t="n"/>
    </row>
    <row r="32">
      <c r="A32" s="94" t="n"/>
      <c r="B32" s="94" t="n"/>
      <c r="C32" s="93" t="n"/>
      <c r="D32" s="95" t="n"/>
      <c r="E32" s="125" t="n"/>
      <c r="F32" s="125">
        <f>IF(OR($E32="Pago",$C32=""),"",MAX(0,TODAY()-$C32))</f>
        <v/>
      </c>
      <c r="G32" s="94" t="n"/>
    </row>
    <row r="33">
      <c r="A33" s="90" t="n"/>
      <c r="B33" s="90" t="n"/>
      <c r="C33" s="89" t="n"/>
      <c r="D33" s="91" t="n"/>
      <c r="E33" s="124" t="n"/>
      <c r="F33" s="124">
        <f>IF(OR($E33="Pago",$C33=""),"",MAX(0,TODAY()-$C33))</f>
        <v/>
      </c>
      <c r="G33" s="90" t="n"/>
    </row>
    <row r="34">
      <c r="A34" s="94" t="n"/>
      <c r="B34" s="94" t="n"/>
      <c r="C34" s="93" t="n"/>
      <c r="D34" s="95" t="n"/>
      <c r="E34" s="125" t="n"/>
      <c r="F34" s="125">
        <f>IF(OR($E34="Pago",$C34=""),"",MAX(0,TODAY()-$C34))</f>
        <v/>
      </c>
      <c r="G34" s="94" t="n"/>
    </row>
    <row r="35">
      <c r="A35" s="90" t="n"/>
      <c r="B35" s="90" t="n"/>
      <c r="C35" s="89" t="n"/>
      <c r="D35" s="91" t="n"/>
      <c r="E35" s="124" t="n"/>
      <c r="F35" s="124">
        <f>IF(OR($E35="Pago",$C35=""),"",MAX(0,TODAY()-$C35))</f>
        <v/>
      </c>
      <c r="G35" s="90" t="n"/>
    </row>
    <row r="36">
      <c r="A36" s="98" t="inlineStr">
        <is>
          <t>TOTAL EM ABERTO A PAGAR</t>
        </is>
      </c>
      <c r="B36" s="98" t="n"/>
      <c r="C36" s="126" t="n"/>
      <c r="D36" s="127">
        <f>SUMIF(E11:E35,"Pendente",D11:D35)</f>
        <v/>
      </c>
      <c r="E36" s="128" t="n"/>
      <c r="F36" s="128" t="n"/>
      <c r="G36" s="98" t="n"/>
    </row>
    <row r="39" ht="21.95" customHeight="1" s="158">
      <c r="A39" s="202" t="inlineStr">
        <is>
          <t>CONTAS A RECEBER  —  vendas feitas e ainda não pagas</t>
        </is>
      </c>
    </row>
    <row r="40">
      <c r="A4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41" ht="26.1" customHeight="1" s="158">
      <c r="A41" s="123" t="inlineStr">
        <is>
          <t>Cliente</t>
        </is>
      </c>
      <c r="B41" s="123" t="inlineStr">
        <is>
          <t>Produto / Referência</t>
        </is>
      </c>
      <c r="C41" s="123" t="inlineStr">
        <is>
          <t>Data da Venda</t>
        </is>
      </c>
      <c r="D41" s="123" t="inlineStr">
        <is>
          <t>Valor (R$)</t>
        </is>
      </c>
      <c r="E41" s="123" t="inlineStr">
        <is>
          <t>Status</t>
        </is>
      </c>
      <c r="F41" s="123" t="inlineStr">
        <is>
          <t>Dias em Atraso</t>
        </is>
      </c>
      <c r="G41" s="123" t="inlineStr">
        <is>
          <t>Observações</t>
        </is>
      </c>
    </row>
    <row r="42">
      <c r="A42" s="90" t="inlineStr">
        <is>
          <t>Centro de Especialidades Odontomédicas</t>
        </is>
      </c>
      <c r="B42" s="90" t="inlineStr">
        <is>
          <t>Refil Everest</t>
        </is>
      </c>
      <c r="C42" s="89" t="n">
        <v>46239</v>
      </c>
      <c r="D42" s="91" t="n">
        <v>140</v>
      </c>
      <c r="E42" s="124" t="inlineStr">
        <is>
          <t>Pendente</t>
        </is>
      </c>
      <c r="F42" s="124">
        <f>IF(OR($E42="Recebido",$C42=""),"",MAX(0,TODAY()-$C42))</f>
        <v/>
      </c>
      <c r="G42" s="90" t="n"/>
    </row>
    <row r="43">
      <c r="A43" s="94" t="inlineStr">
        <is>
          <t>Supermercado Brasil</t>
        </is>
      </c>
      <c r="B43" s="94" t="inlineStr">
        <is>
          <t>2x Refil Pro Life</t>
        </is>
      </c>
      <c r="C43" s="93" t="n">
        <v>46239</v>
      </c>
      <c r="D43" s="95" t="n">
        <v>280</v>
      </c>
      <c r="E43" s="125" t="inlineStr">
        <is>
          <t>Pendente</t>
        </is>
      </c>
      <c r="F43" s="125">
        <f>IF(OR($E43="Recebido",$C43=""),"",MAX(0,TODAY()-$C43))</f>
        <v/>
      </c>
      <c r="G43" s="94" t="n"/>
    </row>
    <row r="44">
      <c r="A44" s="90" t="inlineStr">
        <is>
          <t>Tropical Motos LTDA</t>
        </is>
      </c>
      <c r="B44" s="90" t="inlineStr">
        <is>
          <t>3x Refil Everest + Refil Pro Life + 3x Pré Filtro + Válvula Reguladora de Pressão</t>
        </is>
      </c>
      <c r="C44" s="89" t="n">
        <v>46245</v>
      </c>
      <c r="D44" s="91" t="n">
        <v>820</v>
      </c>
      <c r="E44" s="124" t="inlineStr">
        <is>
          <t>Recebido</t>
        </is>
      </c>
      <c r="F44" s="124">
        <f>IF(OR($E44="Recebido",$C44=""),"",MAX(0,TODAY()-$C44))</f>
        <v/>
      </c>
      <c r="G44" s="90" t="inlineStr">
        <is>
          <t>Recebido via TED em 25/08/2026. NF conferida: valor correto é R$820 (faltava a válvula no lançamento original de R$740).</t>
        </is>
      </c>
    </row>
    <row r="45">
      <c r="A45" s="94" t="inlineStr">
        <is>
          <t>Free Way</t>
        </is>
      </c>
      <c r="B45" s="94" t="inlineStr">
        <is>
          <t>5x Refil Everest</t>
        </is>
      </c>
      <c r="C45" s="93" t="n">
        <v>46251</v>
      </c>
      <c r="D45" s="95" t="n">
        <v>700</v>
      </c>
      <c r="E45" s="125" t="inlineStr">
        <is>
          <t>Recebido</t>
        </is>
      </c>
      <c r="F45" s="125">
        <f>IF(OR($E45="Recebido",$C45=""),"",MAX(0,TODAY()-$C45))</f>
        <v/>
      </c>
      <c r="G45" s="94" t="inlineStr">
        <is>
          <t>Recebido via TED em 02/09/2026.</t>
        </is>
      </c>
    </row>
    <row r="46">
      <c r="A46" s="90" t="inlineStr">
        <is>
          <t>Neli Sena Rego</t>
        </is>
      </c>
      <c r="B46" s="90" t="inlineStr">
        <is>
          <t>Refil Pro Life</t>
        </is>
      </c>
      <c r="C46" s="89" t="n">
        <v>46254</v>
      </c>
      <c r="D46" s="91" t="n">
        <v>140</v>
      </c>
      <c r="E46" s="124" t="inlineStr">
        <is>
          <t>Recebido</t>
        </is>
      </c>
      <c r="F46" s="124">
        <f>IF(OR($E46="Recebido",$C46=""),"",MAX(0,TODAY()-$C46))</f>
        <v/>
      </c>
      <c r="G46" s="90" t="inlineStr">
        <is>
          <t>Recebido em dinheiro em 01/09/2026 (R$ 170,00 pelas duas vendas)</t>
        </is>
      </c>
    </row>
    <row r="47">
      <c r="A47" s="94" t="inlineStr">
        <is>
          <t>Neli Sena Rego</t>
        </is>
      </c>
      <c r="B47" s="94" t="inlineStr">
        <is>
          <t>Conexão + Mangueira</t>
        </is>
      </c>
      <c r="C47" s="93" t="n">
        <v>46255</v>
      </c>
      <c r="D47" s="95" t="n">
        <v>40</v>
      </c>
      <c r="E47" s="125" t="inlineStr">
        <is>
          <t>Recebido</t>
        </is>
      </c>
      <c r="F47" s="125">
        <f>IF(OR($E47="Recebido",$C47=""),"",MAX(0,TODAY()-$C47))</f>
        <v/>
      </c>
      <c r="G47" s="94" t="inlineStr">
        <is>
          <t>Recebido em dinheiro em 01/09/2026 (R$ 170,00 pelas duas vendas)</t>
        </is>
      </c>
    </row>
    <row r="48">
      <c r="A48" s="90" t="inlineStr">
        <is>
          <t>Lapec</t>
        </is>
      </c>
      <c r="B48" s="90" t="inlineStr">
        <is>
          <t>4x Refil Everest</t>
        </is>
      </c>
      <c r="C48" s="89" t="n">
        <v>46258</v>
      </c>
      <c r="D48" s="91" t="n">
        <v>480</v>
      </c>
      <c r="E48" s="124" t="inlineStr">
        <is>
          <t>Pendente</t>
        </is>
      </c>
      <c r="F48" s="124">
        <f>IF(OR($E48="Recebido",$C48=""),"",MAX(0,TODAY()-$C48))</f>
        <v/>
      </c>
      <c r="G48" s="90" t="n"/>
    </row>
    <row r="49">
      <c r="A49" s="94" t="inlineStr">
        <is>
          <t>Cícero Lima</t>
        </is>
      </c>
      <c r="B49" s="94" t="inlineStr">
        <is>
          <t>Refil Everest</t>
        </is>
      </c>
      <c r="C49" s="93" t="n">
        <v>46261</v>
      </c>
      <c r="D49" s="95" t="n">
        <v>140</v>
      </c>
      <c r="E49" s="125" t="inlineStr">
        <is>
          <t>Recebido</t>
        </is>
      </c>
      <c r="F49" s="125">
        <f>IF(OR($E49="Recebido",$C49=""),"",MAX(0,TODAY()-$C49))</f>
        <v/>
      </c>
      <c r="G49" s="94" t="inlineStr">
        <is>
          <t>Recebido via Pix em 27/08/2026</t>
        </is>
      </c>
    </row>
    <row r="50">
      <c r="A50" s="90" t="inlineStr">
        <is>
          <t>Promotoria Regional de Jacobina</t>
        </is>
      </c>
      <c r="B50" s="90" t="inlineStr">
        <is>
          <t>2x Carcaça 9" + 2x Refil Plissado 9" + Conexão Reta Rosca</t>
        </is>
      </c>
      <c r="C50" s="89" t="n">
        <v>46261</v>
      </c>
      <c r="D50" s="91" t="n">
        <v>470</v>
      </c>
      <c r="E50" s="124" t="inlineStr">
        <is>
          <t>Recebido</t>
        </is>
      </c>
      <c r="F50" s="124">
        <f>IF(OR($E50="Recebido",$C50=""),"",MAX(0,TODAY()-$C50))</f>
        <v/>
      </c>
      <c r="G50" s="90" t="inlineStr">
        <is>
          <t>Pago em 28/08/2026 em duas formas: R$ 270,00 Pix + R$ 200,00 crédito 2x</t>
        </is>
      </c>
    </row>
    <row r="51">
      <c r="A51" s="94" t="inlineStr">
        <is>
          <t>Lucas Souza</t>
        </is>
      </c>
      <c r="B51" s="94" t="inlineStr">
        <is>
          <t>Refil Everest + Pré Filtro</t>
        </is>
      </c>
      <c r="C51" s="93" t="n">
        <v>46261</v>
      </c>
      <c r="D51" s="95" t="n">
        <v>200</v>
      </c>
      <c r="E51" s="125" t="inlineStr">
        <is>
          <t>Recebido</t>
        </is>
      </c>
      <c r="F51" s="125">
        <f>IF(OR($E51="Recebido",$C51=""),"",MAX(0,TODAY()-$C51))</f>
        <v/>
      </c>
      <c r="G51" s="94" t="inlineStr">
        <is>
          <t>Recebido em dinheiro em 03/09/2026 — lançado em "Set 2026".</t>
        </is>
      </c>
    </row>
    <row r="52">
      <c r="A52" s="90" t="inlineStr">
        <is>
          <t>FG Boa Vista (Recife/PE)</t>
        </is>
      </c>
      <c r="B52" s="90" t="inlineStr">
        <is>
          <t>Refis — troca de julho/2026</t>
        </is>
      </c>
      <c r="C52" s="89" t="n">
        <v>46261</v>
      </c>
      <c r="D52" s="91" t="n">
        <v>1008.8</v>
      </c>
      <c r="E52" s="124" t="inlineStr">
        <is>
          <t>Recebido</t>
        </is>
      </c>
      <c r="F52" s="124">
        <f>IF(OR($E52="Recebido",$C52=""),"",MAX(0,TODAY()-$C52))</f>
        <v/>
      </c>
      <c r="G52" s="90" t="inlineStr">
        <is>
          <t>Grupo Ânima — NF 000.004.280 · recebido em 30/08/2026 (Nota Paga no portal V360)</t>
        </is>
      </c>
    </row>
    <row r="53">
      <c r="A53" s="94" t="inlineStr">
        <is>
          <t>UNIFG Guanambi (Guanambi/BA)</t>
        </is>
      </c>
      <c r="B53" s="94" t="inlineStr">
        <is>
          <t>Refis — troca de julho/2026</t>
        </is>
      </c>
      <c r="C53" s="93" t="n">
        <v>46261</v>
      </c>
      <c r="D53" s="95" t="n">
        <v>4534.75</v>
      </c>
      <c r="E53" s="125" t="inlineStr">
        <is>
          <t>Recebido</t>
        </is>
      </c>
      <c r="F53" s="125">
        <f>IF(OR($E53="Recebido",$C53=""),"",MAX(0,TODAY()-$C53))</f>
        <v/>
      </c>
      <c r="G53" s="94" t="inlineStr">
        <is>
          <t>Grupo Ânima — NF 000.004.281 · recebido em 30/08/2026 (Nota Paga no portal V360)</t>
        </is>
      </c>
    </row>
    <row r="54">
      <c r="A54" s="90" t="inlineStr">
        <is>
          <t>UNP Zona Norte (Natal/RN)</t>
        </is>
      </c>
      <c r="B54" s="90" t="inlineStr">
        <is>
          <t>Refis — troca de julho/2026</t>
        </is>
      </c>
      <c r="C54" s="89" t="n">
        <v>46261</v>
      </c>
      <c r="D54" s="91" t="n">
        <v>870</v>
      </c>
      <c r="E54" s="124" t="inlineStr">
        <is>
          <t>Recebido</t>
        </is>
      </c>
      <c r="F54" s="124">
        <f>IF(OR($E54="Recebido",$C54=""),"",MAX(0,TODAY()-$C54))</f>
        <v/>
      </c>
      <c r="G54" s="90" t="inlineStr">
        <is>
          <t>Grupo Ânima — NF 000.004.282 · recebido em 30/08/2026 (Nota Paga no portal V360)</t>
        </is>
      </c>
    </row>
    <row r="55">
      <c r="A55" s="94" t="inlineStr">
        <is>
          <t>UNP Caicó (Caicó/RN)</t>
        </is>
      </c>
      <c r="B55" s="94" t="inlineStr">
        <is>
          <t>Refis — troca de julho/2026</t>
        </is>
      </c>
      <c r="C55" s="93" t="n">
        <v>46261</v>
      </c>
      <c r="D55" s="95" t="n">
        <v>440</v>
      </c>
      <c r="E55" s="125" t="inlineStr">
        <is>
          <t>Recebido</t>
        </is>
      </c>
      <c r="F55" s="125">
        <f>IF(OR($E55="Recebido",$C55=""),"",MAX(0,TODAY()-$C55))</f>
        <v/>
      </c>
      <c r="G55" s="94" t="inlineStr">
        <is>
          <t>Grupo Ânima — NF 000.004.283 · recebido via Pix em 27/08/2026</t>
        </is>
      </c>
    </row>
    <row r="56">
      <c r="A56" s="90" t="inlineStr">
        <is>
          <t>AGES Irecê (Irecê/BA)</t>
        </is>
      </c>
      <c r="B56" s="90" t="inlineStr">
        <is>
          <t>Refis — troca de julho/2026</t>
        </is>
      </c>
      <c r="C56" s="89" t="n">
        <v>46269</v>
      </c>
      <c r="D56" s="91" t="n">
        <v>1338.6</v>
      </c>
      <c r="E56" s="124" t="inlineStr">
        <is>
          <t>Pendente</t>
        </is>
      </c>
      <c r="F56" s="124">
        <f>IF(OR($E56="Recebido",$C56=""),"",MAX(0,TODAY()-$C56))</f>
        <v/>
      </c>
      <c r="G56" s="90" t="inlineStr">
        <is>
          <t>Grupo Ânima — NF 000.004.294 de 05/08/2026 · OC AEMPPO00004359 · 30 dias</t>
        </is>
      </c>
    </row>
    <row r="57">
      <c r="A57" s="94" t="inlineStr">
        <is>
          <t>CIS Irecê (Irecê/BA)</t>
        </is>
      </c>
      <c r="B57" s="94" t="inlineStr">
        <is>
          <t>Refis — troca de julho/2026</t>
        </is>
      </c>
      <c r="C57" s="93" t="n">
        <v>46269</v>
      </c>
      <c r="D57" s="95" t="n">
        <v>1358</v>
      </c>
      <c r="E57" s="125" t="inlineStr">
        <is>
          <t>Pendente</t>
        </is>
      </c>
      <c r="F57" s="125">
        <f>IF(OR($E57="Recebido",$C57=""),"",MAX(0,TODAY()-$C57))</f>
        <v/>
      </c>
      <c r="G57" s="94" t="inlineStr">
        <is>
          <t>Grupo Ânima — NF 000.004.295 de 05/08/2026 · OC AEMPPO00004358 · 30 dias</t>
        </is>
      </c>
    </row>
    <row r="58">
      <c r="A58" s="90" t="inlineStr">
        <is>
          <t>AGES Senhor do Bonfim (S. do Bonfim/BA)</t>
        </is>
      </c>
      <c r="B58" s="90" t="inlineStr">
        <is>
          <t>Refis — troca de julho/2026</t>
        </is>
      </c>
      <c r="C58" s="89" t="n">
        <v>46270</v>
      </c>
      <c r="D58" s="91" t="n">
        <v>649.9</v>
      </c>
      <c r="E58" s="124" t="inlineStr">
        <is>
          <t>Pendente</t>
        </is>
      </c>
      <c r="F58" s="124">
        <f>IF(OR($E58="Recebido",$C58=""),"",MAX(0,TODAY()-$C58))</f>
        <v/>
      </c>
      <c r="G58" s="90" t="inlineStr">
        <is>
          <t>Grupo Ânima — NF 000.004.298 de 06/08/2026 · OC AEDPO00004751 · 30 dias</t>
        </is>
      </c>
    </row>
    <row r="59">
      <c r="A59" s="94" t="inlineStr">
        <is>
          <t>CIS Senhor do Bonfim (S. do Bonfim/BA)</t>
        </is>
      </c>
      <c r="B59" s="94" t="inlineStr">
        <is>
          <t>Refis — troca de julho/2026</t>
        </is>
      </c>
      <c r="C59" s="93" t="n">
        <v>46270</v>
      </c>
      <c r="D59" s="95" t="n">
        <v>562.6</v>
      </c>
      <c r="E59" s="125" t="inlineStr">
        <is>
          <t>Pendente</t>
        </is>
      </c>
      <c r="F59" s="125">
        <f>IF(OR($E59="Recebido",$C59=""),"",MAX(0,TODAY()-$C59))</f>
        <v/>
      </c>
      <c r="G59" s="94" t="inlineStr">
        <is>
          <t>Grupo Ânima — NF 000.004.299 de 06/08/2026 · OC AEDPO00004750 · 30 dias</t>
        </is>
      </c>
    </row>
    <row r="60">
      <c r="A60" s="90" t="inlineStr">
        <is>
          <t>AGES Paripiranga (Paripiranga/BA)</t>
        </is>
      </c>
      <c r="B60" s="90" t="inlineStr">
        <is>
          <t>Refis — troca de julho/2026</t>
        </is>
      </c>
      <c r="C60" s="89" t="n">
        <v>46270</v>
      </c>
      <c r="D60" s="91" t="n">
        <v>1086.4</v>
      </c>
      <c r="E60" s="124" t="inlineStr">
        <is>
          <t>Pendente</t>
        </is>
      </c>
      <c r="F60" s="124">
        <f>IF(OR($E60="Recebido",$C60=""),"",MAX(0,TODAY()-$C60))</f>
        <v/>
      </c>
      <c r="G60" s="90" t="inlineStr">
        <is>
          <t>Grupo Ânima — NF 000.004.300 de 06/08/2026 · OC AEDPO00004743 · 30 dias</t>
        </is>
      </c>
    </row>
    <row r="61">
      <c r="A61" s="94" t="inlineStr">
        <is>
          <t>Clínica Veterinária Paripiranga (Paripiranga/BA)</t>
        </is>
      </c>
      <c r="B61" s="94" t="inlineStr">
        <is>
          <t>Refis — troca de julho/2026</t>
        </is>
      </c>
      <c r="C61" s="93" t="n">
        <v>46270</v>
      </c>
      <c r="D61" s="95" t="n">
        <v>1265.85</v>
      </c>
      <c r="E61" s="125" t="inlineStr">
        <is>
          <t>Pendente</t>
        </is>
      </c>
      <c r="F61" s="125">
        <f>IF(OR($E61="Recebido",$C61=""),"",MAX(0,TODAY()-$C61))</f>
        <v/>
      </c>
      <c r="G61" s="94" t="inlineStr">
        <is>
          <t>Grupo Ânima — NF 000.004.301 de 06/08/2026 · OC AEDPO00004749 · 30 dias</t>
        </is>
      </c>
    </row>
    <row r="62">
      <c r="A62" s="90" t="inlineStr">
        <is>
          <t>UNP Mossoró (Mossoró/RN)</t>
        </is>
      </c>
      <c r="B62" s="90" t="inlineStr">
        <is>
          <t>Refis — troca de julho/2026</t>
        </is>
      </c>
      <c r="C62" s="89" t="n">
        <v>46270</v>
      </c>
      <c r="D62" s="91" t="n">
        <v>1867.25</v>
      </c>
      <c r="E62" s="124" t="inlineStr">
        <is>
          <t>Pendente</t>
        </is>
      </c>
      <c r="F62" s="124">
        <f>IF(OR($E62="Recebido",$C62=""),"",MAX(0,TODAY()-$C62))</f>
        <v/>
      </c>
      <c r="G62" s="90" t="inlineStr">
        <is>
          <t>Grupo Ânima — NF 000.004.302 de 06/08/2026 · OC APECPO00019551 · 30 dias</t>
        </is>
      </c>
    </row>
    <row r="63">
      <c r="A63" s="94" t="inlineStr">
        <is>
          <t>CIS Jacobina (Jacobina/BA)</t>
        </is>
      </c>
      <c r="B63" s="94" t="inlineStr">
        <is>
          <t>Refis — troca de julho/2026</t>
        </is>
      </c>
      <c r="C63" s="93" t="n">
        <v>46290</v>
      </c>
      <c r="D63" s="95" t="n">
        <v>2095.2</v>
      </c>
      <c r="E63" s="125" t="inlineStr">
        <is>
          <t>Pendente</t>
        </is>
      </c>
      <c r="F63" s="125">
        <f>IF(OR($E63="Recebido",$C63=""),"",MAX(0,TODAY()-$C63))</f>
        <v/>
      </c>
      <c r="G63" s="94" t="inlineStr">
        <is>
          <t>Grupo Ânima — NF 000.004.333 de 26/08/2026 · OC AEMPPO00004452 · 30 dias</t>
        </is>
      </c>
    </row>
    <row r="64">
      <c r="A64" s="90" t="inlineStr">
        <is>
          <t>AGES Jacobina (Jacobina/BA)</t>
        </is>
      </c>
      <c r="B64" s="90" t="inlineStr">
        <is>
          <t>Refis — troca de julho/2026</t>
        </is>
      </c>
      <c r="C64" s="89" t="n">
        <v>46305</v>
      </c>
      <c r="D64" s="91" t="n">
        <v>1188.25</v>
      </c>
      <c r="E64" s="124" t="inlineStr">
        <is>
          <t>Pendente</t>
        </is>
      </c>
      <c r="F64" s="124">
        <f>IF(OR($E64="Recebido",$C64=""),"",MAX(0,TODAY()-$C64))</f>
        <v/>
      </c>
      <c r="G64" s="90" t="inlineStr">
        <is>
          <t>Grupo Ânima — NF 000.004.332 de 26/08/2026 · OC AEMPPO00004453 · 45 dias</t>
        </is>
      </c>
    </row>
    <row r="65">
      <c r="A65" s="94" t="inlineStr">
        <is>
          <t>Instituto Paulo Leão</t>
        </is>
      </c>
      <c r="B65" s="94" t="inlineStr">
        <is>
          <t>Refil E3 + Pré Filtro</t>
        </is>
      </c>
      <c r="C65" s="93" t="n">
        <v>46265</v>
      </c>
      <c r="D65" s="95" t="n">
        <v>160</v>
      </c>
      <c r="E65" s="125" t="inlineStr">
        <is>
          <t>Pendente</t>
        </is>
      </c>
      <c r="F65" s="125">
        <f>IF(OR($E65="Recebido",$C65=""),"",MAX(0,TODAY()-$C65))</f>
        <v/>
      </c>
      <c r="G65" s="94" t="inlineStr"/>
    </row>
    <row r="66">
      <c r="A66" s="90" t="inlineStr">
        <is>
          <t>Eletronic Segurança Eletronica</t>
        </is>
      </c>
      <c r="B66" s="90" t="inlineStr">
        <is>
          <t>Pré Filtro</t>
        </is>
      </c>
      <c r="C66" s="89" t="n">
        <v>46265</v>
      </c>
      <c r="D66" s="91" t="n">
        <v>60</v>
      </c>
      <c r="E66" s="124" t="inlineStr">
        <is>
          <t>Recebido</t>
        </is>
      </c>
      <c r="F66" s="124">
        <f>IF(OR($E66="Recebido",$C66=""),"",MAX(0,TODAY()-$C66))</f>
        <v/>
      </c>
      <c r="G66" s="90" t="inlineStr">
        <is>
          <t>Recebido via Pix em 03/09/2026.</t>
        </is>
      </c>
    </row>
    <row r="67">
      <c r="A67" s="94" t="inlineStr">
        <is>
          <t>Clube dos Mineiros</t>
        </is>
      </c>
      <c r="B67" s="94" t="inlineStr">
        <is>
          <t>Refil Pro Life</t>
        </is>
      </c>
      <c r="C67" s="93" t="n">
        <v>46265</v>
      </c>
      <c r="D67" s="95" t="n">
        <v>150</v>
      </c>
      <c r="E67" s="125" t="inlineStr">
        <is>
          <t>Recebido</t>
        </is>
      </c>
      <c r="F67" s="125">
        <f>IF(OR($E67="Recebido",$C67=""),"",MAX(0,TODAY()-$C67))</f>
        <v/>
      </c>
      <c r="G67" s="94" t="inlineStr">
        <is>
          <t>Recebido via Pix em 01/09/2026 (pagador: Sindicato dos Mineiros de Jacobina).</t>
        </is>
      </c>
    </row>
    <row r="68">
      <c r="A68" s="90" t="inlineStr">
        <is>
          <t>Armazem Cecilio Mota</t>
        </is>
      </c>
      <c r="B68" s="90" t="inlineStr">
        <is>
          <t>Refil Everest + Refil Carbon 9"</t>
        </is>
      </c>
      <c r="C68" s="89" t="n">
        <v>46266</v>
      </c>
      <c r="D68" s="91" t="n">
        <v>225</v>
      </c>
      <c r="E68" s="124" t="inlineStr">
        <is>
          <t>Pendente</t>
        </is>
      </c>
      <c r="F68" s="124">
        <f>IF(OR($E68="Recebido",$C68=""),"",MAX(0,TODAY()-$C68))</f>
        <v/>
      </c>
      <c r="G68" s="90" t="n"/>
    </row>
    <row r="69">
      <c r="A69" s="94" t="inlineStr">
        <is>
          <t>Clebson Dantas Da Silva</t>
        </is>
      </c>
      <c r="B69" s="94" t="inlineStr">
        <is>
          <t>Refil Everest</t>
        </is>
      </c>
      <c r="C69" s="93" t="n">
        <v>46266</v>
      </c>
      <c r="D69" s="95" t="n">
        <v>140</v>
      </c>
      <c r="E69" s="125" t="inlineStr">
        <is>
          <t>Recebido</t>
        </is>
      </c>
      <c r="F69" s="125">
        <f>IF(OR($E69="Recebido",$C69=""),"",MAX(0,TODAY()-$C69))</f>
        <v/>
      </c>
      <c r="G69" s="94" t="inlineStr">
        <is>
          <t>Recebido via Pix em 02/09/2026</t>
        </is>
      </c>
    </row>
    <row r="70">
      <c r="A70" s="94" t="inlineStr">
        <is>
          <t>Tesla Imagem Medicina Diagnostica Ltda</t>
        </is>
      </c>
      <c r="B70" s="94" t="inlineStr">
        <is>
          <t>3x Refil Everest + 2x Pré Filtro</t>
        </is>
      </c>
      <c r="C70" s="93" t="n">
        <v>46267</v>
      </c>
      <c r="D70" s="95" t="n">
        <v>540</v>
      </c>
      <c r="E70" s="125" t="inlineStr">
        <is>
          <t>Pendente</t>
        </is>
      </c>
      <c r="F70" s="125">
        <f>IF(OR($E70="Recebido",$C70=""),"",MAX(0,TODAY()-$C70))</f>
        <v/>
      </c>
      <c r="G70" s="94" t="inlineStr">
        <is>
          <t>Troca do dia 02/09/2026 — 1º Andar, Térreo e Copa</t>
        </is>
      </c>
    </row>
    <row r="71">
      <c r="A71" s="90" t="inlineStr">
        <is>
          <t>Cecilio Mota Junior</t>
        </is>
      </c>
      <c r="B71" s="90" t="inlineStr">
        <is>
          <t>Refil Everest</t>
        </is>
      </c>
      <c r="C71" s="89" t="n">
        <v>46267</v>
      </c>
      <c r="D71" s="91" t="n">
        <v>140</v>
      </c>
      <c r="E71" s="124" t="inlineStr">
        <is>
          <t>Pendente</t>
        </is>
      </c>
      <c r="F71" s="124">
        <f>IF(OR($E71="Recebido",$C71=""),"",MAX(0,TODAY()-$C71))</f>
        <v/>
      </c>
      <c r="G71" s="90" t="n"/>
    </row>
    <row r="72">
      <c r="A72" s="90" t="inlineStr">
        <is>
          <t>Tereza Cristina Aquino Martins - Luiz Augusto</t>
        </is>
      </c>
      <c r="B72" s="90" t="inlineStr">
        <is>
          <t>Refil Everest + Pré Filtro</t>
        </is>
      </c>
      <c r="C72" s="89" t="n">
        <v>46268</v>
      </c>
      <c r="D72" s="91" t="n">
        <v>200</v>
      </c>
      <c r="E72" s="124" t="inlineStr">
        <is>
          <t>Recebido</t>
        </is>
      </c>
      <c r="F72" s="124">
        <f>IF(OR($E72="Recebido",$C72=""),"",MAX(0,TODAY()-$C72))</f>
        <v/>
      </c>
      <c r="G72" s="90" t="inlineStr">
        <is>
          <t>Recebido via Pix em 04/09/2026.</t>
        </is>
      </c>
    </row>
    <row r="73">
      <c r="A73" s="98" t="inlineStr">
        <is>
          <t>TOTAL EM ABERTO A RECEBER (detalhe)</t>
        </is>
      </c>
      <c r="B73" s="98" t="n"/>
      <c r="C73" s="126" t="n"/>
      <c r="D73" s="127">
        <f>SUMIF(E42:E72,"Pendente",D42:D72)</f>
        <v/>
      </c>
      <c r="E73" s="128" t="n"/>
      <c r="F73" s="160" t="n"/>
      <c r="G73" s="161" t="n"/>
    </row>
    <row r="74">
      <c r="A74" s="129" t="inlineStr">
        <is>
          <t>CONFERÊNCIA COM AS ABAS DOS MESES</t>
        </is>
      </c>
      <c r="B74" s="130" t="n"/>
      <c r="C74" s="131" t="n"/>
      <c r="D74" s="132">
        <f>C5</f>
        <v/>
      </c>
      <c r="E74" s="205">
        <f>IF(ROUND(D73-D74,2)=0,"✔ O detalhe bate com as abas dos meses.","⚠ DIVERGÊNCIA de "&amp;TEXT(D73-D74,"R$ #,##0.00")&amp;" — alguma venda foi paga na aba do mês e não teve o Status atualizado aqui (ou o contrário).")</f>
        <v/>
      </c>
      <c r="F74" s="160" t="n"/>
      <c r="G74" s="161" t="n"/>
    </row>
    <row r="75"/>
    <row r="76">
      <c r="A76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40:G40"/>
    <mergeCell ref="A9:G9"/>
    <mergeCell ref="A39:G39"/>
    <mergeCell ref="C5:D6"/>
    <mergeCell ref="A5:B6"/>
    <mergeCell ref="A2:G2"/>
    <mergeCell ref="E5:F6"/>
    <mergeCell ref="E73:G73"/>
    <mergeCell ref="A75:G75"/>
    <mergeCell ref="C4:D4"/>
  </mergeCells>
  <dataValidations count="2">
    <dataValidation sqref="E11:E35" showDropDown="0" showInputMessage="0" showErrorMessage="0" allowBlank="1" type="list">
      <formula1>"Pendente,Pago"</formula1>
    </dataValidation>
    <dataValidation sqref="E42:E7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17000</v>
      </c>
      <c r="C9" s="152" t="inlineStr">
        <is>
          <t>Aporte de Adriano em 03/09/2026: R$ 17.000,00. R$ 8.135,48 desse valor quitou o saldo devedor do Capital de Giro (BB) (ver aba "Capital de Giro (BB)") — mas como o Capital de Giro É a reserva do Banco do Brasil, esse dinheiro voltou para a própria reserva ao quitar a dívida, em vez de sair dela. Por isso os R$ 17.000,00 inteiros ficam guardados como reserva.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I31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Preencha o custo de aquisição (amarelo) — os preços já vieram das vendas de Ago/2026.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ajuste conforme sua maquininha e seu regime tributário (confirme com o contador)</t>
        </is>
      </c>
    </row>
    <row r="5">
      <c r="A5" s="221" t="inlineStr">
        <is>
          <t>⚠ Enquanto a coluna "Custo de Aquisição" estiver em branco, a Margem mostrada é o preço quase cheio — não é a margem real.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</row>
    <row r="7">
      <c r="A7" s="64" t="inlineStr">
        <is>
          <t>Refil Everest</t>
        </is>
      </c>
      <c r="B7" s="67" t="n">
        <v>140</v>
      </c>
      <c r="C7" s="121" t="n"/>
      <c r="D7" s="67" t="n">
        <v>10</v>
      </c>
      <c r="E7" s="67">
        <f>IF(B7="","",B7*$B$4)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</row>
    <row r="8">
      <c r="A8" s="66" t="inlineStr">
        <is>
          <t>Refil Pro Life</t>
        </is>
      </c>
      <c r="B8" s="69" t="n">
        <v>140</v>
      </c>
      <c r="C8" s="121" t="n"/>
      <c r="D8" s="69" t="n">
        <v>10</v>
      </c>
      <c r="E8" s="69">
        <f>IF(B8="","",B8*$B$4)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</row>
    <row r="9">
      <c r="A9" s="64" t="inlineStr">
        <is>
          <t>Refil Carbon Tech 9"</t>
        </is>
      </c>
      <c r="B9" s="67" t="n">
        <v>90</v>
      </c>
      <c r="C9" s="121" t="n"/>
      <c r="D9" s="67" t="n">
        <v>10</v>
      </c>
      <c r="E9" s="67">
        <f>IF(B9="","",B9*$B$4)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</row>
    <row r="10">
      <c r="A10" s="66" t="inlineStr">
        <is>
          <t>Refil Carbon Tech 5"</t>
        </is>
      </c>
      <c r="B10" s="69" t="n">
        <v>60</v>
      </c>
      <c r="C10" s="121" t="n"/>
      <c r="D10" s="69" t="n">
        <v>10</v>
      </c>
      <c r="E10" s="69">
        <f>IF(B10="","",B10*$B$4)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</row>
    <row r="11">
      <c r="A11" s="64" t="inlineStr">
        <is>
          <t>Refil E3</t>
        </is>
      </c>
      <c r="B11" s="67" t="n">
        <v>110</v>
      </c>
      <c r="C11" s="121" t="n"/>
      <c r="D11" s="67" t="n">
        <v>10</v>
      </c>
      <c r="E11" s="67">
        <f>IF(B11="","",B11*$B$4)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</row>
    <row r="12">
      <c r="A12" s="66" t="inlineStr">
        <is>
          <t>Refil Plissado</t>
        </is>
      </c>
      <c r="B12" s="69" t="n">
        <v>90</v>
      </c>
      <c r="C12" s="121" t="n"/>
      <c r="D12" s="69" t="n">
        <v>10</v>
      </c>
      <c r="E12" s="69">
        <f>IF(B12="","",B12*$B$4)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</row>
    <row r="13">
      <c r="A13" s="64" t="inlineStr">
        <is>
          <t>Refil C+3 (IBBL)</t>
        </is>
      </c>
      <c r="B13" s="67" t="n">
        <v>115</v>
      </c>
      <c r="C13" s="121" t="n"/>
      <c r="D13" s="67" t="n">
        <v>10</v>
      </c>
      <c r="E13" s="67">
        <f>IF(B13="","",B13*$B$4)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</row>
    <row r="14">
      <c r="A14" s="66" t="inlineStr">
        <is>
          <t>Pré Filtro</t>
        </is>
      </c>
      <c r="B14" s="69" t="n">
        <v>60</v>
      </c>
      <c r="C14" s="121" t="n"/>
      <c r="D14" s="69" t="n">
        <v>0</v>
      </c>
      <c r="E14" s="69">
        <f>IF(B14="","",B14*$B$4)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</row>
    <row r="15">
      <c r="A15" s="64" t="inlineStr">
        <is>
          <t>Mangueira</t>
        </is>
      </c>
      <c r="B15" s="67" t="n">
        <v>20</v>
      </c>
      <c r="C15" s="121" t="n"/>
      <c r="D15" s="67" t="n">
        <v>0</v>
      </c>
      <c r="E15" s="67">
        <f>IF(B15="","",B15*$B$4)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</row>
    <row r="16">
      <c r="A16" s="66" t="inlineStr">
        <is>
          <t>Registro</t>
        </is>
      </c>
      <c r="B16" s="69" t="n">
        <v>30</v>
      </c>
      <c r="C16" s="121" t="n"/>
      <c r="D16" s="69" t="n">
        <v>0</v>
      </c>
      <c r="E16" s="69">
        <f>IF(B16="","",B16*$B$4)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IF(B17="","",B17*$B$4)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</row>
    <row r="18">
      <c r="A18" s="66" t="inlineStr">
        <is>
          <t>Limpeza de Refil</t>
        </is>
      </c>
      <c r="B18" s="69" t="n">
        <v>40</v>
      </c>
      <c r="C18" s="121" t="n"/>
      <c r="D18" s="69" t="n">
        <v>10</v>
      </c>
      <c r="E18" s="69">
        <f>IF(B18="","",B18*$B$4)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</row>
    <row r="19">
      <c r="A19" s="64" t="inlineStr">
        <is>
          <t>Instalação de Purificador</t>
        </is>
      </c>
      <c r="B19" s="67" t="n">
        <v>100</v>
      </c>
      <c r="C19" s="121" t="n"/>
      <c r="D19" s="67" t="n">
        <v>30</v>
      </c>
      <c r="E19" s="67">
        <f>IF(B19="","",B19*$B$4)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</row>
    <row r="20">
      <c r="A20" s="66" t="inlineStr">
        <is>
          <t>Purificador Everest Slim Branco</t>
        </is>
      </c>
      <c r="B20" s="69" t="n">
        <v>1324</v>
      </c>
      <c r="C20" s="121" t="n"/>
      <c r="D20" s="69" t="n">
        <v>30</v>
      </c>
      <c r="E20" s="69">
        <f>IF(B20="","",B20*$B$4)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</row>
    <row r="21">
      <c r="A21" s="64" t="inlineStr">
        <is>
          <t>Purificador Everest Slim Prata</t>
        </is>
      </c>
      <c r="B21" s="67" t="n">
        <v>1415</v>
      </c>
      <c r="C21" s="121" t="n"/>
      <c r="D21" s="67" t="n">
        <v>30</v>
      </c>
      <c r="E21" s="67">
        <f>IF(B21="","",B21*$B$4)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</row>
    <row r="22">
      <c r="A22" s="66" t="inlineStr">
        <is>
          <t>Purificador Everest Star Branco</t>
        </is>
      </c>
      <c r="B22" s="69" t="n">
        <v>1332</v>
      </c>
      <c r="C22" s="121" t="n"/>
      <c r="D22" s="69" t="n">
        <v>30</v>
      </c>
      <c r="E22" s="69">
        <f>IF(B22="","",B22*$B$4)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</row>
    <row r="23">
      <c r="A23" s="64" t="inlineStr">
        <is>
          <t>Purificador Everest Plus Branco</t>
        </is>
      </c>
      <c r="B23" s="67" t="n">
        <v>1499</v>
      </c>
      <c r="C23" s="121" t="n"/>
      <c r="D23" s="67" t="n">
        <v>30</v>
      </c>
      <c r="E23" s="67">
        <f>IF(B23="","",B23*$B$4)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</row>
    <row r="24">
      <c r="A24" s="66" t="inlineStr">
        <is>
          <t>Purificador Everest Plus Prata</t>
        </is>
      </c>
      <c r="B24" s="69" t="n">
        <v>1460</v>
      </c>
      <c r="C24" s="121" t="n"/>
      <c r="D24" s="69" t="n">
        <v>30</v>
      </c>
      <c r="E24" s="69">
        <f>IF(B24="","",B24*$B$4)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</row>
    <row r="25">
      <c r="A25" s="64" t="inlineStr">
        <is>
          <t>Purificador Everest Fit Branco</t>
        </is>
      </c>
      <c r="B25" s="67" t="n">
        <v>1324</v>
      </c>
      <c r="C25" s="121" t="n"/>
      <c r="D25" s="67" t="n">
        <v>30</v>
      </c>
      <c r="E25" s="67">
        <f>IF(B25="","",B25*$B$4)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</row>
    <row r="26">
      <c r="A26" s="66" t="inlineStr">
        <is>
          <t>Purificador Everest Fit Preto</t>
        </is>
      </c>
      <c r="B26" s="69" t="n">
        <v>1449</v>
      </c>
      <c r="C26" s="121" t="n"/>
      <c r="D26" s="69" t="n">
        <v>30</v>
      </c>
      <c r="E26" s="69">
        <f>IF(B26="","",B26*$B$4)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</row>
    <row r="27">
      <c r="A27" s="64" t="inlineStr">
        <is>
          <t>Purificador Everest Fit Prata</t>
        </is>
      </c>
      <c r="B27" s="67" t="n">
        <v>1366</v>
      </c>
      <c r="C27" s="121" t="n"/>
      <c r="D27" s="67" t="n">
        <v>30</v>
      </c>
      <c r="E27" s="67">
        <f>IF(B27="","",B27*$B$4)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</row>
    <row r="28">
      <c r="A28" s="66" t="inlineStr">
        <is>
          <t>Purificador Everest Baby</t>
        </is>
      </c>
      <c r="B28" s="77" t="n"/>
      <c r="C28" s="121" t="n"/>
      <c r="D28" s="69" t="n">
        <v>30</v>
      </c>
      <c r="E28" s="69">
        <f>IF(B28="","",B28*$B$4)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</row>
    <row r="30">
      <c r="A30" s="220" t="inlineStr">
        <is>
          <t>Preços = média praticada em Ago/2026 (purificadores: média de Jan–Jul). Comissões: R$ 10 por troca de refil e R$ 30 por instalação, conforme combinado com Wiliam.</t>
        </is>
      </c>
    </row>
    <row r="31">
      <c r="A31" s="220" t="inlineStr">
        <is>
          <t>Enquanto o Custo de Aquisição estiver vazio, a Margem mostra o preço cheio — só fica correta depois de preencher o custo de compra de cada item.</t>
        </is>
      </c>
    </row>
  </sheetData>
  <mergeCells count="5">
    <mergeCell ref="A2:I2"/>
    <mergeCell ref="A5:I5"/>
    <mergeCell ref="A1:I1"/>
    <mergeCell ref="A31:I31"/>
    <mergeCell ref="A30:I30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SUMIF(H5:H184,K5,G5:G184)</f>
        <v/>
      </c>
      <c r="N5" s="230">
        <f>D185-F185-T5</f>
        <v/>
      </c>
      <c r="P5" s="232">
        <f>L18-L19</f>
        <v/>
      </c>
      <c r="R5" s="231">
        <f>D186</f>
        <v/>
      </c>
      <c r="T5" s="212">
        <f>SUMIF(E5:E184,"Aguardando Pagamento",D5:D184)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SUMIF(H5:H184,K6,G5:G184)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SUMIF(H5:H184,K13,G5:G184)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SUMIF(H5:H184,K16,G5:G184)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SUMIF(H5:H184,K17,G5:G184)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Lapec</t>
        </is>
      </c>
      <c r="C146" s="46" t="inlineStr">
        <is>
          <t>4x Refil Everest</t>
        </is>
      </c>
      <c r="D146" s="47" t="n">
        <v>480</v>
      </c>
      <c r="E146" s="46" t="inlineStr">
        <is>
          <t>Aguardando Pagamento</t>
        </is>
      </c>
      <c r="F146" s="48" t="n"/>
      <c r="G146" s="49" t="n"/>
      <c r="H146" s="50" t="n"/>
      <c r="I146" s="46" t="n"/>
    </row>
    <row r="147">
      <c r="A147" s="17" t="n">
        <v>46258</v>
      </c>
      <c r="B147" s="18" t="inlineStr">
        <is>
          <t>Papelaria Castro</t>
        </is>
      </c>
      <c r="C147" s="18" t="inlineStr">
        <is>
          <t>Refil Pro Life + Pré Filtro</t>
        </is>
      </c>
      <c r="D147" s="27" t="n">
        <v>185</v>
      </c>
      <c r="E147" s="18" t="inlineStr">
        <is>
          <t>Dinheiro</t>
        </is>
      </c>
      <c r="F147" s="19" t="n"/>
      <c r="G147" s="19" t="n"/>
      <c r="H147" s="21" t="n"/>
      <c r="I147" s="18" t="n"/>
    </row>
    <row r="148">
      <c r="A148" s="45" t="n">
        <v>46259</v>
      </c>
      <c r="B148" s="46" t="inlineStr">
        <is>
          <t>Cristiane Lima Procopio</t>
        </is>
      </c>
      <c r="C148" s="46" t="inlineStr">
        <is>
          <t>Refil Everest + Pré Filtro</t>
        </is>
      </c>
      <c r="D148" s="47" t="n">
        <v>200</v>
      </c>
      <c r="E148" s="46" t="inlineStr">
        <is>
          <t>Pix</t>
        </is>
      </c>
      <c r="F148" s="48" t="n"/>
      <c r="G148" s="49" t="n"/>
      <c r="H148" s="50" t="n"/>
      <c r="I148" s="46" t="inlineStr">
        <is>
          <t>Venda de 24/08/2026 — pagamento recebido via Pix em 25/08/2026</t>
        </is>
      </c>
    </row>
    <row r="149" ht="15.75" customHeight="1" s="158">
      <c r="A149" s="17" t="n">
        <v>46258</v>
      </c>
      <c r="B149" s="18" t="inlineStr">
        <is>
          <t>ICMS Antecipação Parcial</t>
        </is>
      </c>
      <c r="C149" s="18" t="n"/>
      <c r="D149" s="27" t="n"/>
      <c r="E149" s="18" t="n"/>
      <c r="F149" s="19" t="n"/>
      <c r="G149" s="19" t="n">
        <v>2135.72</v>
      </c>
      <c r="H149" s="21" t="inlineStr">
        <is>
          <t>Impostos e Taxas</t>
        </is>
      </c>
      <c r="I149" s="18" t="n"/>
    </row>
    <row r="150">
      <c r="A150" s="45" t="n">
        <v>46259</v>
      </c>
      <c r="B150" s="46" t="inlineStr">
        <is>
          <t>Clinica Sao Lucas (Caém)</t>
        </is>
      </c>
      <c r="C150" s="46" t="inlineStr">
        <is>
          <t>Refil Pro Life + Mangueira</t>
        </is>
      </c>
      <c r="D150" s="47" t="n">
        <v>130</v>
      </c>
      <c r="E150" s="46" t="inlineStr">
        <is>
          <t>Crédito Parcelado</t>
        </is>
      </c>
      <c r="F150" s="48" t="n">
        <v>9.09</v>
      </c>
      <c r="G150" s="49" t="n"/>
      <c r="H150" s="50" t="n"/>
      <c r="I150" s="46" t="n"/>
    </row>
    <row r="151">
      <c r="A151" s="17" t="n">
        <v>46259</v>
      </c>
      <c r="B151" s="18" t="inlineStr">
        <is>
          <t>Luciano de Matos Nascimento</t>
        </is>
      </c>
      <c r="C151" s="18" t="inlineStr">
        <is>
          <t>Purificador Everest Star Prata</t>
        </is>
      </c>
      <c r="D151" s="27" t="n">
        <v>1486</v>
      </c>
      <c r="E151" s="18" t="inlineStr">
        <is>
          <t>Crédito Parcelado</t>
        </is>
      </c>
      <c r="F151" s="19" t="n">
        <v>207.89</v>
      </c>
      <c r="G151" s="19" t="n"/>
      <c r="H151" s="21" t="n"/>
      <c r="I151" s="18" t="inlineStr">
        <is>
          <t>Crédito em 10x</t>
        </is>
      </c>
    </row>
    <row r="152">
      <c r="A152" s="45" t="n">
        <v>46259</v>
      </c>
      <c r="B152" s="46" t="inlineStr">
        <is>
          <t>Filtros Planeta Água</t>
        </is>
      </c>
      <c r="C152" s="46" t="n"/>
      <c r="D152" s="47" t="n"/>
      <c r="E152" s="46" t="n"/>
      <c r="F152" s="48" t="n"/>
      <c r="G152" s="49" t="n">
        <v>504.34</v>
      </c>
      <c r="H152" s="50" t="inlineStr">
        <is>
          <t>Fornecedores / Mercadoria</t>
        </is>
      </c>
      <c r="I152" s="46" t="n"/>
    </row>
    <row r="153">
      <c r="A153" s="17" t="n">
        <v>46259</v>
      </c>
      <c r="B153" s="18" t="inlineStr">
        <is>
          <t>Fix English School</t>
        </is>
      </c>
      <c r="C153" s="18" t="n"/>
      <c r="D153" s="27" t="n"/>
      <c r="E153" s="18" t="n"/>
      <c r="F153" s="19" t="n"/>
      <c r="G153" s="19" t="n">
        <v>137</v>
      </c>
      <c r="H153" s="21" t="inlineStr">
        <is>
          <t>Pro Labore Edilânia</t>
        </is>
      </c>
      <c r="I153" s="18" t="n"/>
    </row>
    <row r="154">
      <c r="A154" s="45" t="n">
        <v>46251</v>
      </c>
      <c r="B154" s="46" t="inlineStr">
        <is>
          <t>Retirada Complementar — Despesas de 17/08</t>
        </is>
      </c>
      <c r="C154" s="46" t="n"/>
      <c r="D154" s="47" t="n"/>
      <c r="E154" s="46" t="n"/>
      <c r="F154" s="48" t="n"/>
      <c r="G154" s="49" t="n">
        <v>250</v>
      </c>
      <c r="H154" s="50" t="inlineStr">
        <is>
          <t>Outras Despesas</t>
        </is>
      </c>
      <c r="I154" s="46" t="inlineStr">
        <is>
          <t>Financiado por Capital de Giro (BB) — ver aba "Capital de Giro (BB)"</t>
        </is>
      </c>
    </row>
    <row r="155">
      <c r="A155" s="17" t="n">
        <v>46260</v>
      </c>
      <c r="B155" s="18" t="inlineStr">
        <is>
          <t>Cliente Consumidor Final</t>
        </is>
      </c>
      <c r="C155" s="18" t="inlineStr">
        <is>
          <t>Refil Carbon Tech 9"</t>
        </is>
      </c>
      <c r="D155" s="27" t="n">
        <v>80</v>
      </c>
      <c r="E155" s="18" t="inlineStr">
        <is>
          <t>Dinheiro</t>
        </is>
      </c>
      <c r="F155" s="19" t="n"/>
      <c r="G155" s="19" t="n"/>
      <c r="H155" s="21" t="n"/>
      <c r="I155" s="18" t="n"/>
    </row>
    <row r="156">
      <c r="A156" s="45" t="n">
        <v>46260</v>
      </c>
      <c r="B156" s="46" t="inlineStr">
        <is>
          <t>Luana Mesquita Victoria</t>
        </is>
      </c>
      <c r="C156" s="46" t="inlineStr">
        <is>
          <t>Pré Filtro</t>
        </is>
      </c>
      <c r="D156" s="47" t="n">
        <v>60</v>
      </c>
      <c r="E156" s="46" t="inlineStr">
        <is>
          <t>Pix</t>
        </is>
      </c>
      <c r="F156" s="48" t="n"/>
      <c r="G156" s="49" t="n"/>
      <c r="H156" s="50" t="n"/>
      <c r="I156" s="46" t="n"/>
    </row>
    <row r="157">
      <c r="A157" s="17" t="n">
        <v>46261</v>
      </c>
      <c r="B157" s="18" t="inlineStr">
        <is>
          <t>Cícero Lima</t>
        </is>
      </c>
      <c r="C157" s="18" t="inlineStr">
        <is>
          <t>Refil Everest</t>
        </is>
      </c>
      <c r="D157" s="27" t="n">
        <v>140</v>
      </c>
      <c r="E157" s="18" t="inlineStr">
        <is>
          <t>Pix</t>
        </is>
      </c>
      <c r="F157" s="19" t="n"/>
      <c r="G157" s="19" t="n"/>
      <c r="H157" s="21" t="n"/>
      <c r="I157" s="18" t="n"/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2x Carcaça 9" + 2x Refil Plissado 9" + Conexão Reta Rosca</t>
        </is>
      </c>
      <c r="D158" s="47" t="n">
        <v>270</v>
      </c>
      <c r="E158" s="46" t="inlineStr">
        <is>
          <t>Pix</t>
        </is>
      </c>
      <c r="F158" s="48" t="n"/>
      <c r="G158" s="49" t="n"/>
      <c r="H158" s="50" t="n"/>
      <c r="I158" s="46" t="inlineStr">
        <is>
          <t>Venda única de R$ 470,00 (27/08/2026), paga em 28/08/2026 em duas formas: R$ 270,00 Pix (esta linha) + R$ 200,00 crédito 2x (linha seguinte). Os produtos estão listados só aqui.</t>
        </is>
      </c>
    </row>
    <row r="159">
      <c r="A159" s="17" t="n">
        <v>46262</v>
      </c>
      <c r="B159" s="18" t="inlineStr">
        <is>
          <t>Promotoria Regional de Jacobina</t>
        </is>
      </c>
      <c r="C159" s="18" t="inlineStr">
        <is>
          <t>(Mesma venda acima — 2ª forma de pagamento, sem produtos novos)</t>
        </is>
      </c>
      <c r="D159" s="27" t="n">
        <v>200</v>
      </c>
      <c r="E159" s="18" t="inlineStr">
        <is>
          <t>Crédito Parcelado</t>
        </is>
      </c>
      <c r="F159" s="19" t="n">
        <v>16.76</v>
      </c>
      <c r="G159" s="19" t="n"/>
      <c r="H159" s="21" t="n"/>
      <c r="I159" s="18" t="inlineStr">
        <is>
          <t>Parte 2/2 da venda de R$ 470,00 da Promotoria Regional de Jacobina — R$ 200,00 no crédito 2x. NÃO é uma venda nova; os itens já constam na linha anterior.</t>
        </is>
      </c>
    </row>
    <row r="160">
      <c r="A160" s="45" t="n">
        <v>46261</v>
      </c>
      <c r="B160" s="46" t="inlineStr">
        <is>
          <t>Acerto de Armando</t>
        </is>
      </c>
      <c r="C160" s="46" t="n"/>
      <c r="D160" s="47" t="n">
        <v>1000</v>
      </c>
      <c r="E160" s="46" t="inlineStr">
        <is>
          <t>Dinheiro</t>
        </is>
      </c>
      <c r="F160" s="48" t="n"/>
      <c r="G160" s="49" t="n"/>
      <c r="H160" s="50" t="n"/>
      <c r="I160" s="46" t="n"/>
    </row>
    <row r="161">
      <c r="A161" s="17" t="n">
        <v>46261</v>
      </c>
      <c r="B161" s="18" t="inlineStr">
        <is>
          <t>A E G Calçados LTDA</t>
        </is>
      </c>
      <c r="C161" s="18" t="n"/>
      <c r="D161" s="27" t="n"/>
      <c r="E161" s="18" t="n"/>
      <c r="F161" s="19" t="n"/>
      <c r="G161" s="19" t="n">
        <v>127.42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46261</v>
      </c>
      <c r="B162" s="46" t="inlineStr">
        <is>
          <t>Queite Almeida Duarte</t>
        </is>
      </c>
      <c r="C162" s="46" t="n"/>
      <c r="D162" s="47" t="n"/>
      <c r="E162" s="46" t="n"/>
      <c r="F162" s="48" t="n"/>
      <c r="G162" s="49" t="n">
        <v>100</v>
      </c>
      <c r="H162" s="50" t="inlineStr">
        <is>
          <t>Pro Labore Edilânia</t>
        </is>
      </c>
      <c r="I162" s="46" t="inlineStr">
        <is>
          <t>Extrato Stone — Pix de 27/08/2026</t>
        </is>
      </c>
    </row>
    <row r="163">
      <c r="A163" s="17" t="n">
        <v>46260</v>
      </c>
      <c r="B163" s="18" t="inlineStr">
        <is>
          <t>Edilania Almeida Silva Costa Fontes</t>
        </is>
      </c>
      <c r="C163" s="18" t="n"/>
      <c r="D163" s="27" t="n"/>
      <c r="E163" s="18" t="n"/>
      <c r="F163" s="19" t="n"/>
      <c r="G163" s="19" t="n">
        <v>230</v>
      </c>
      <c r="H163" s="21" t="inlineStr">
        <is>
          <t>Pro Labore Edilânia</t>
        </is>
      </c>
      <c r="I163" s="18" t="inlineStr">
        <is>
          <t>Extrato Stone — Pix de 26/08/2026</t>
        </is>
      </c>
    </row>
    <row r="164">
      <c r="A164" s="45" t="n">
        <v>46260</v>
      </c>
      <c r="B164" s="46" t="inlineStr">
        <is>
          <t>Estacionamento (Pagar.me)</t>
        </is>
      </c>
      <c r="C164" s="46" t="n"/>
      <c r="D164" s="47" t="n"/>
      <c r="E164" s="46" t="n"/>
      <c r="F164" s="48" t="n"/>
      <c r="G164" s="49" t="n">
        <v>1.2</v>
      </c>
      <c r="H164" s="50" t="inlineStr">
        <is>
          <t>Transporte e Entregas</t>
        </is>
      </c>
      <c r="I164" s="46" t="inlineStr">
        <is>
          <t>Extrato Stone — Pix de 26/08/2026</t>
        </is>
      </c>
    </row>
    <row r="165">
      <c r="A165" s="45" t="n">
        <v>46261</v>
      </c>
      <c r="B165" s="46" t="inlineStr">
        <is>
          <t>4x Parafuso</t>
        </is>
      </c>
      <c r="C165" s="46" t="n"/>
      <c r="D165" s="47" t="n"/>
      <c r="E165" s="46" t="n"/>
      <c r="F165" s="48" t="n"/>
      <c r="G165" s="49" t="n">
        <v>4</v>
      </c>
      <c r="H165" s="50" t="inlineStr">
        <is>
          <t>Manutenção e Reparos</t>
        </is>
      </c>
      <c r="I165" s="46" t="n"/>
    </row>
    <row r="166">
      <c r="A166" s="17" t="n">
        <v>46261</v>
      </c>
      <c r="B166" s="18" t="inlineStr">
        <is>
          <t>FG Boa Vista (Recife/PE)</t>
        </is>
      </c>
      <c r="C166" s="18" t="inlineStr">
        <is>
          <t>Refis — troca de julho/2026</t>
        </is>
      </c>
      <c r="D166" s="27" t="n">
        <v>1008.8</v>
      </c>
      <c r="E166" s="18" t="inlineStr">
        <is>
          <t>Pix</t>
        </is>
      </c>
      <c r="F166" s="19" t="n"/>
      <c r="G166" s="19" t="n"/>
      <c r="H166" s="21" t="n"/>
      <c r="I166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6" s="13" t="n"/>
      <c r="L166" s="14" t="n"/>
    </row>
    <row r="167">
      <c r="A167" s="45" t="n">
        <v>46261</v>
      </c>
      <c r="B167" s="46" t="inlineStr">
        <is>
          <t>UNIFG Guanambi (Guanambi/BA)</t>
        </is>
      </c>
      <c r="C167" s="46" t="inlineStr">
        <is>
          <t>Refis — troca de julho/2026</t>
        </is>
      </c>
      <c r="D167" s="47" t="n">
        <v>4534.75</v>
      </c>
      <c r="E167" s="46" t="inlineStr">
        <is>
          <t>Pix</t>
        </is>
      </c>
      <c r="F167" s="48" t="n"/>
      <c r="G167" s="49" t="n"/>
      <c r="H167" s="50" t="n"/>
      <c r="I167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7" s="42" t="n"/>
      <c r="L167" s="8" t="n"/>
    </row>
    <row r="168">
      <c r="A168" s="17" t="n">
        <v>46261</v>
      </c>
      <c r="B168" s="18" t="inlineStr">
        <is>
          <t>UNP Zona Norte (Natal/RN)</t>
        </is>
      </c>
      <c r="C168" s="18" t="inlineStr">
        <is>
          <t>Refis — troca de julho/2026</t>
        </is>
      </c>
      <c r="D168" s="27" t="n">
        <v>870</v>
      </c>
      <c r="E168" s="18" t="inlineStr">
        <is>
          <t>Pix</t>
        </is>
      </c>
      <c r="F168" s="19" t="n"/>
      <c r="G168" s="19" t="n"/>
      <c r="H168" s="21" t="n"/>
      <c r="I168" s="18" t="inlineStr">
        <is>
          <t>Grupo Ânima — OC APECPO00019432 · NF 000.004.282 de 28/07/2026 · prazo 30 dias · vencimento 27/08/2026 · Pago em 27/08/2026 (confirmado via Pix APEC no extrato bancário)</t>
        </is>
      </c>
      <c r="K168" s="31" t="n"/>
      <c r="L168" s="31" t="n"/>
    </row>
    <row r="169">
      <c r="A169" s="45" t="n">
        <v>46262</v>
      </c>
      <c r="B169" s="46" t="inlineStr">
        <is>
          <t>UNP Caicó (Caicó/RN)</t>
        </is>
      </c>
      <c r="C169" s="46" t="inlineStr">
        <is>
          <t>Refis — troca de julho/2026</t>
        </is>
      </c>
      <c r="D169" s="47" t="n">
        <v>440</v>
      </c>
      <c r="E169" s="46" t="inlineStr">
        <is>
          <t>Pix</t>
        </is>
      </c>
      <c r="F169" s="48" t="n"/>
      <c r="G169" s="49" t="n"/>
      <c r="H169" s="50" t="n"/>
      <c r="I169" s="46" t="inlineStr">
        <is>
          <t>Grupo Ânima — OC APECPO00019405 · NF 000.004.283 de 28/07/2026 · pago via Pix pela APEC em 27/08/2026 (após o fechamento do relatório do dia)</t>
        </is>
      </c>
      <c r="K169" s="31" t="n"/>
      <c r="L169" s="31" t="n"/>
    </row>
    <row r="170">
      <c r="A170" s="17" t="n">
        <v>46262</v>
      </c>
      <c r="B170" s="18" t="inlineStr">
        <is>
          <t>Produtos de Higiene</t>
        </is>
      </c>
      <c r="C170" s="18" t="n"/>
      <c r="D170" s="27" t="n"/>
      <c r="E170" s="18" t="n"/>
      <c r="F170" s="19" t="n"/>
      <c r="G170" s="19" t="n">
        <v>19.85</v>
      </c>
      <c r="H170" s="21" t="inlineStr">
        <is>
          <t>Material de Limpeza e Escritório</t>
        </is>
      </c>
      <c r="I170" s="18" t="n"/>
    </row>
    <row r="171">
      <c r="A171" s="45" t="n">
        <v>46265</v>
      </c>
      <c r="B171" s="46" t="inlineStr">
        <is>
          <t>Katiane</t>
        </is>
      </c>
      <c r="C171" s="46" t="inlineStr">
        <is>
          <t>Refil Everest + Mangueira</t>
        </is>
      </c>
      <c r="D171" s="47" t="n">
        <v>150</v>
      </c>
      <c r="E171" s="46" t="inlineStr">
        <is>
          <t>Dinheiro</t>
        </is>
      </c>
      <c r="F171" s="48" t="n"/>
      <c r="G171" s="49" t="n"/>
      <c r="H171" s="50" t="n"/>
      <c r="I171" s="46" t="n"/>
    </row>
    <row r="172">
      <c r="A172" s="17" t="n">
        <v>46265</v>
      </c>
      <c r="B172" s="18" t="inlineStr">
        <is>
          <t>Eversoft</t>
        </is>
      </c>
      <c r="C172" s="18" t="n"/>
      <c r="D172" s="27" t="n"/>
      <c r="E172" s="18" t="n"/>
      <c r="F172" s="19" t="n"/>
      <c r="G172" s="19" t="n">
        <v>878.9299999999999</v>
      </c>
      <c r="H172" s="21" t="inlineStr">
        <is>
          <t>Fornecedores / Mercadoria</t>
        </is>
      </c>
      <c r="I172" s="18" t="n"/>
    </row>
    <row r="173" ht="15.75" customHeight="1" s="158">
      <c r="A173" s="45" t="n">
        <v>46265</v>
      </c>
      <c r="B173" s="46" t="inlineStr">
        <is>
          <t>Cliente Consumidor Final</t>
        </is>
      </c>
      <c r="C173" s="46" t="inlineStr">
        <is>
          <t>Refil E3</t>
        </is>
      </c>
      <c r="D173" s="47" t="n">
        <v>80</v>
      </c>
      <c r="E173" s="46" t="inlineStr">
        <is>
          <t>Dinheiro</t>
        </is>
      </c>
      <c r="F173" s="48" t="n"/>
      <c r="G173" s="49" t="n"/>
      <c r="H173" s="50" t="n"/>
      <c r="I173" s="46" t="n"/>
    </row>
    <row r="174">
      <c r="A174" s="17" t="n">
        <v>46265</v>
      </c>
      <c r="B174" s="18" t="inlineStr">
        <is>
          <t>Salário Erick (Estagiário)</t>
        </is>
      </c>
      <c r="C174" s="18" t="n"/>
      <c r="D174" s="27" t="n"/>
      <c r="E174" s="18" t="n"/>
      <c r="F174" s="19" t="n"/>
      <c r="G174" s="19" t="n">
        <v>600</v>
      </c>
      <c r="H174" s="21" t="inlineStr">
        <is>
          <t>Salários, Comissões e Encargos</t>
        </is>
      </c>
      <c r="I174" s="18" t="n"/>
    </row>
    <row r="175">
      <c r="A175" s="45" t="n">
        <v>46265</v>
      </c>
      <c r="B175" s="46" t="inlineStr">
        <is>
          <t>Instituto Paulo Leão</t>
        </is>
      </c>
      <c r="C175" s="46" t="inlineStr">
        <is>
          <t>Refil E3 + Pré Filtro</t>
        </is>
      </c>
      <c r="D175" s="47" t="n">
        <v>160</v>
      </c>
      <c r="E175" s="46" t="inlineStr">
        <is>
          <t>Aguardando Pagamento</t>
        </is>
      </c>
      <c r="F175" s="48" t="n"/>
      <c r="G175" s="49" t="n"/>
      <c r="H175" s="50" t="n"/>
      <c r="I175" s="46" t="n"/>
    </row>
    <row r="176" ht="15.75" customHeight="1" s="158">
      <c r="A176" s="17" t="n">
        <v>46265</v>
      </c>
      <c r="B176" s="18" t="inlineStr">
        <is>
          <t>Marcelo Pioverzan Pinheiro</t>
        </is>
      </c>
      <c r="C176" s="18" t="inlineStr">
        <is>
          <t>Bebedouro Industrial 50L + Engate</t>
        </is>
      </c>
      <c r="D176" s="27" t="n">
        <v>2020</v>
      </c>
      <c r="E176" s="18" t="inlineStr">
        <is>
          <t>Pix</t>
        </is>
      </c>
      <c r="F176" s="19" t="n"/>
      <c r="G176" s="19" t="n"/>
      <c r="H176" s="21" t="n"/>
      <c r="I176" s="18" t="n"/>
    </row>
    <row r="177">
      <c r="A177" s="45" t="n">
        <v>46265</v>
      </c>
      <c r="B177" s="46" t="inlineStr">
        <is>
          <t>Raiane Melo do Rosario</t>
        </is>
      </c>
      <c r="C177" s="46" t="inlineStr">
        <is>
          <t>Refil Everest + Pré Filtro</t>
        </is>
      </c>
      <c r="D177" s="47" t="n">
        <v>200</v>
      </c>
      <c r="E177" s="46" t="inlineStr">
        <is>
          <t>Crédito Parcelado</t>
        </is>
      </c>
      <c r="F177" s="48" t="n">
        <v>15.98</v>
      </c>
      <c r="G177" s="49" t="n"/>
      <c r="H177" s="50" t="n"/>
      <c r="I177" s="46" t="inlineStr">
        <is>
          <t>Crédito em 4x</t>
        </is>
      </c>
    </row>
    <row r="178">
      <c r="A178" s="17" t="n">
        <v>46265</v>
      </c>
      <c r="B178" s="18" t="inlineStr">
        <is>
          <t>Salário Wiliam</t>
        </is>
      </c>
      <c r="C178" s="18" t="n"/>
      <c r="D178" s="27" t="n"/>
      <c r="E178" s="18" t="n"/>
      <c r="F178" s="19" t="n"/>
      <c r="G178" s="19" t="n">
        <v>1571.32</v>
      </c>
      <c r="H178" s="21" t="inlineStr">
        <is>
          <t>Salários, Comissões e Encargos</t>
        </is>
      </c>
      <c r="I178" s="18" t="n"/>
    </row>
    <row r="179">
      <c r="A179" s="45" t="n">
        <v>46235</v>
      </c>
      <c r="B179" s="46" t="inlineStr">
        <is>
          <t>Tarifa Pacote de Tarifas</t>
        </is>
      </c>
      <c r="C179" s="46" t="n"/>
      <c r="D179" s="47" t="n"/>
      <c r="E179" s="46" t="n"/>
      <c r="F179" s="48" t="n"/>
      <c r="G179" s="49" t="n">
        <v>52.5</v>
      </c>
      <c r="H179" s="50" t="inlineStr">
        <is>
          <t>Tarifas Bancárias e Cartão</t>
        </is>
      </c>
      <c r="I179" s="46" t="n"/>
    </row>
    <row r="180">
      <c r="A180" s="17" t="n">
        <v>46265</v>
      </c>
      <c r="B180" s="18" t="inlineStr">
        <is>
          <t>Tarifa Pix (14 lançamentos)</t>
        </is>
      </c>
      <c r="C180" s="18" t="n"/>
      <c r="D180" s="27" t="n"/>
      <c r="E180" s="18" t="n"/>
      <c r="F180" s="19" t="n"/>
      <c r="G180" s="19" t="n">
        <v>48.25</v>
      </c>
      <c r="H180" s="21" t="inlineStr">
        <is>
          <t>Tarifas Bancárias e Cartão</t>
        </is>
      </c>
      <c r="I180" s="18" t="inlineStr">
        <is>
          <t>Extrato BNB agosto/2026 — soma de 14 tarifas Pix individuais</t>
        </is>
      </c>
    </row>
    <row r="181">
      <c r="A181" s="45" t="n">
        <v>46265</v>
      </c>
      <c r="B181" s="46" t="inlineStr">
        <is>
          <t>Pix Pessoal (4 lançamentos)</t>
        </is>
      </c>
      <c r="C181" s="46" t="n"/>
      <c r="D181" s="47" t="n"/>
      <c r="E181" s="46" t="n"/>
      <c r="F181" s="48" t="n"/>
      <c r="G181" s="49" t="n">
        <v>221.5</v>
      </c>
      <c r="H181" s="50" t="inlineStr">
        <is>
          <t>Pro Labore Edilânia</t>
        </is>
      </c>
      <c r="I181" s="46" t="inlineStr">
        <is>
          <t>Extrato BNB agosto/2026 — soma de 4 Pix pessoais de Adriano/Edilânia</t>
        </is>
      </c>
    </row>
    <row r="182">
      <c r="A182" s="17" t="n">
        <v>46265</v>
      </c>
      <c r="B182" s="18" t="inlineStr">
        <is>
          <t>Compras p/Loja (2 lançamentos)</t>
        </is>
      </c>
      <c r="C182" s="18" t="n"/>
      <c r="D182" s="27" t="n"/>
      <c r="E182" s="18" t="n"/>
      <c r="F182" s="19" t="n"/>
      <c r="G182" s="19" t="n">
        <v>131.29</v>
      </c>
      <c r="H182" s="21" t="inlineStr">
        <is>
          <t>Fornecedores / Mercadoria</t>
        </is>
      </c>
      <c r="I182" s="18" t="inlineStr">
        <is>
          <t>Extrato BNB agosto/2026 — soma de 2 compras para a loja</t>
        </is>
      </c>
    </row>
    <row r="183">
      <c r="A183" s="45" t="n">
        <v>46265</v>
      </c>
      <c r="B183" s="46" t="inlineStr">
        <is>
          <t>Estacionamento (2 lançamentos)</t>
        </is>
      </c>
      <c r="C183" s="46" t="n"/>
      <c r="D183" s="47" t="n"/>
      <c r="E183" s="46" t="n"/>
      <c r="F183" s="48" t="n"/>
      <c r="G183" s="49" t="n">
        <v>6</v>
      </c>
      <c r="H183" s="50" t="inlineStr">
        <is>
          <t>Transporte e Entregas</t>
        </is>
      </c>
      <c r="I183" s="46" t="inlineStr">
        <is>
          <t>Extrato BNB agosto/2026 — soma de 2 lançamentos de estacionamento</t>
        </is>
      </c>
    </row>
    <row r="184">
      <c r="A184" s="17" t="n">
        <v>46265</v>
      </c>
      <c r="B184" s="18" t="inlineStr">
        <is>
          <t>Gasolina</t>
        </is>
      </c>
      <c r="C184" s="18" t="n"/>
      <c r="D184" s="27" t="n"/>
      <c r="E184" s="18" t="n"/>
      <c r="F184" s="19" t="n"/>
      <c r="G184" s="19" t="n">
        <v>30</v>
      </c>
      <c r="H184" s="21" t="inlineStr">
        <is>
          <t>Transporte e Entregas</t>
        </is>
      </c>
      <c r="I184" s="18" t="n"/>
    </row>
    <row r="185">
      <c r="A185" s="29" t="n"/>
      <c r="B185" s="43" t="inlineStr">
        <is>
          <t>TOTAL DO MÊS</t>
        </is>
      </c>
      <c r="C185" s="161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>
      <c r="A186" s="30" t="n"/>
      <c r="B186" s="154" t="inlineStr">
        <is>
          <t>SALDO DO MÊS (Entradas líquidas − Despesas da loja)</t>
        </is>
      </c>
      <c r="D186" s="153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</t>
        </is>
      </c>
      <c r="K5" s="90" t="inlineStr">
        <is>
          <t>Fornecedores / Mercadoria</t>
        </is>
      </c>
      <c r="L5" s="92">
        <f>SUMIF(H5:H54,K5,G5:G54)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Aguardando Pagamento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</t>
        </is>
      </c>
      <c r="K6" s="90" t="inlineStr">
        <is>
          <t>Aluguel</t>
        </is>
      </c>
      <c r="L6" s="92">
        <f>SUMIF(H5:H54,K6,G5:G54)</f>
        <v/>
      </c>
    </row>
    <row r="7">
      <c r="A7" s="89" t="n">
        <v>46270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Aguardando Pagamento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</t>
        </is>
      </c>
      <c r="K7" s="90" t="inlineStr">
        <is>
          <t>Água, Energia e Internet</t>
        </is>
      </c>
      <c r="L7" s="92">
        <f>SUMIF(H5:H54,K7,G5:G54)</f>
        <v/>
      </c>
    </row>
    <row r="8">
      <c r="A8" s="93" t="n">
        <v>46270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Aguardando Pagamento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</t>
        </is>
      </c>
      <c r="K8" s="90" t="inlineStr">
        <is>
          <t>Impostos e Taxas</t>
        </is>
      </c>
      <c r="L8" s="92">
        <f>SUMIF(H5:H54,K8,G5:G54)</f>
        <v/>
      </c>
    </row>
    <row r="9">
      <c r="A9" s="89" t="n">
        <v>46270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Aguardando Pagamento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</t>
        </is>
      </c>
      <c r="K9" s="90" t="inlineStr">
        <is>
          <t>Tarifas Bancárias e Cartão</t>
        </is>
      </c>
      <c r="L9" s="92">
        <f>SUMIF(H5:H54,K9,G5:G54)</f>
        <v/>
      </c>
    </row>
    <row r="10">
      <c r="A10" s="93" t="n">
        <v>46270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Aguardando Pagamento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</t>
        </is>
      </c>
      <c r="K10" s="90" t="inlineStr">
        <is>
          <t>Transporte e Entregas</t>
        </is>
      </c>
      <c r="L10" s="92">
        <f>SUMIF(H5:H54,K10,G5:G54)</f>
        <v/>
      </c>
    </row>
    <row r="11">
      <c r="A11" s="89" t="n">
        <v>46270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Aguardando Pagamento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</t>
        </is>
      </c>
      <c r="K11" s="90" t="inlineStr">
        <is>
          <t>Salários, Comissões e Encargos</t>
        </is>
      </c>
      <c r="L11" s="92">
        <f>SUMIF(H5:H54,K11,G5:G54)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SUMIF(H5:H54,K12,G5:G54)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SUMIF(H5:H54,K13,G5:G54)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SUMIF(H5:H54,K14,G5:G54)</f>
        <v/>
      </c>
    </row>
    <row r="15">
      <c r="A15" s="89" t="n">
        <v>46266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Aguardando Pagamento</t>
        </is>
      </c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SUMIF(H5:H54,K15,G5:G54)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SUMIF(H5:H54,K16,G5:G54)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SUMIF(H5:H54,K17,G5:G54)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46267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Aguardando Pagamento</t>
        </is>
      </c>
      <c r="F27" s="91" t="n"/>
      <c r="G27" s="91" t="n"/>
      <c r="H27" s="90" t="n"/>
      <c r="I27" s="90" t="n"/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2026-09-08T12:23:13Z</dcterms:modified>
  <cp:lastModifiedBy>Planeta</cp:lastModifiedBy>
  <cp:revision>1</cp:revision>
</cp:coreProperties>
</file>