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H14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Troca do dia 16/09/2026 — refil + troca de termostato. Recebido via Pix em 29/09/2026.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78" t="inlineStr">
        <is>
          <t>Vivencie Turismo Agencia de Viagens - Aneildes Rios</t>
        </is>
      </c>
      <c r="B137" s="78" t="inlineStr">
        <is>
          <t>Refil Everest</t>
        </is>
      </c>
      <c r="C137" s="77" t="n">
        <v>46294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inlineStr">
        <is>
          <t>Troca do dia 29/09/2026.</t>
        </is>
      </c>
    </row>
    <row r="138" s="157">
      <c r="A138" s="78" t="inlineStr">
        <is>
          <t>Lapec</t>
        </is>
      </c>
      <c r="B138" s="78" t="inlineStr">
        <is>
          <t>Refil C+3</t>
        </is>
      </c>
      <c r="C138" s="77" t="n">
        <v>46294</v>
      </c>
      <c r="D138" s="79" t="n">
        <v>100</v>
      </c>
      <c r="E138" s="112" t="inlineStr">
        <is>
          <t>Pendente</t>
        </is>
      </c>
      <c r="F138" s="112">
        <f>IF(OR($E138="Recebido",$C138=""),"",MAX(0,TODAY()-$C138))</f>
        <v/>
      </c>
      <c r="G138" s="78" t="inlineStr">
        <is>
          <t>Pagamento previsto para 30/09/2026.</t>
        </is>
      </c>
    </row>
    <row r="139" s="157">
      <c r="A139" s="78" t="inlineStr">
        <is>
          <t>PC Jacobina Administradora de Cartões LTDA</t>
        </is>
      </c>
      <c r="B139" s="78" t="inlineStr">
        <is>
          <t>Refil Everest</t>
        </is>
      </c>
      <c r="C139" s="77" t="n">
        <v>46295</v>
      </c>
      <c r="D139" s="79" t="n">
        <v>140</v>
      </c>
      <c r="E139" s="112" t="inlineStr">
        <is>
          <t>Pendente</t>
        </is>
      </c>
      <c r="F139" s="112">
        <f>IF(OR($E139="Recebido",$C139=""),"",MAX(0,TODAY()-$C139))</f>
        <v/>
      </c>
      <c r="G139" s="78" t="inlineStr">
        <is>
          <t>Troca do dia 30/09/2026.</t>
        </is>
      </c>
    </row>
    <row r="140" s="157">
      <c r="A140" s="86" t="inlineStr">
        <is>
          <t>TOTAL EM ABERTO A RECEBER (detalhe)</t>
        </is>
      </c>
      <c r="D140" s="115">
        <f>SUMIF(E92:E139,"Pendente",D92:D139)</f>
        <v/>
      </c>
    </row>
    <row r="141" s="157">
      <c r="A141" s="202" t="inlineStr">
        <is>
          <t>CONFERÊNCIA COM AS ABAS DOS MESES</t>
        </is>
      </c>
      <c r="B141" s="159" t="n"/>
      <c r="C141" s="159" t="n"/>
      <c r="D141" s="159" t="n"/>
      <c r="E141" s="159" t="n"/>
      <c r="F141" s="159" t="n"/>
      <c r="G141" s="160" t="n"/>
    </row>
    <row r="142" s="157">
      <c r="A142" s="203">
        <f>IF(ROUND(D140-C5,2)=0,"OK — o detalhe acima bate com as vendas marcadas como Aguardando Pagamento nas abas dos meses.","ATENÇÃO: diferença de R$ "&amp;TEXT(ABS(D140-C5),"#,##0.00")&amp;" entre este detalhe e as abas dos meses — alguma venda mudou de status em um lado só.")</f>
        <v/>
      </c>
    </row>
    <row r="143" s="157">
      <c r="A143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41:G141"/>
    <mergeCell ref="A1:G1"/>
    <mergeCell ref="A9:G9"/>
    <mergeCell ref="A142:G142"/>
    <mergeCell ref="C5:D6"/>
    <mergeCell ref="A5:B6"/>
    <mergeCell ref="A2:G2"/>
    <mergeCell ref="E5:F6"/>
    <mergeCell ref="A90:G90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9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2026-09-30T20:57:10Z</dcterms:modified>
  <cp:lastModifiedBy>Planeta</cp:lastModifiedBy>
  <cp:revision>1</cp:revision>
</cp:coreProperties>
</file>