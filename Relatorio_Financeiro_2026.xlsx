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laneta\OneDrive\Área de Trabalho\Financeiro\"/>
    </mc:Choice>
  </mc:AlternateContent>
  <bookViews>
    <workbookView xWindow="0" yWindow="0" windowWidth="15360" windowHeight="7755" tabRatio="500" firstSheet="1" activeTab="20"/>
  </bookViews>
  <sheets>
    <sheet name="Início" sheetId="1" r:id="rId1"/>
    <sheet name="Dashboard" sheetId="2" r:id="rId2"/>
    <sheet name="DRE Simplificado" sheetId="3" r:id="rId3"/>
    <sheet name="Contas a Pagar e Receber" sheetId="4" r:id="rId4"/>
    <sheet name="Capital de Giro (BB)" sheetId="5" r:id="rId5"/>
    <sheet name="Ponto de Equilíbrio" sheetId="6" r:id="rId6"/>
    <sheet name="Fluxo de Caixa Projetado" sheetId="7" r:id="rId7"/>
    <sheet name="Reserva e Impostos" sheetId="8" r:id="rId8"/>
    <sheet name="Orçado vs Realizado" sheetId="9" r:id="rId9"/>
    <sheet name="Precificação e Margem" sheetId="10" r:id="rId10"/>
    <sheet name="Conciliação Bancária" sheetId="11" r:id="rId11"/>
    <sheet name="Cadastro Clientes-Fornec" sheetId="12" r:id="rId12"/>
    <sheet name="Jan 2026" sheetId="13" r:id="rId13"/>
    <sheet name="Fev 2026" sheetId="14" r:id="rId14"/>
    <sheet name="Mar 2026" sheetId="15" r:id="rId15"/>
    <sheet name="Abr 2026" sheetId="16" r:id="rId16"/>
    <sheet name="Mai 2026" sheetId="17" r:id="rId17"/>
    <sheet name="Jun 2026" sheetId="18" r:id="rId18"/>
    <sheet name="Jul 2026" sheetId="19" r:id="rId19"/>
    <sheet name="Ago 2026" sheetId="20" r:id="rId20"/>
    <sheet name="Set 2026" sheetId="21" r:id="rId21"/>
    <sheet name="Out 2026" sheetId="22" r:id="rId22"/>
    <sheet name="Nov 2026" sheetId="23" r:id="rId23"/>
    <sheet name="Dez 2026" sheetId="24" r:id="rId24"/>
  </sheets>
  <definedNames>
    <definedName name="_xlnm._FilterDatabase" localSheetId="15" hidden="1">'Abr 2026'!$A$4:$G$123</definedName>
    <definedName name="_xlnm._FilterDatabase" localSheetId="13" hidden="1">'Fev 2026'!$A$4:$G$145</definedName>
    <definedName name="_xlnm._FilterDatabase" localSheetId="12" hidden="1">'Jan 2026'!$A$4:$G$132</definedName>
    <definedName name="_xlnm._FilterDatabase" localSheetId="18" hidden="1">'Jul 2026'!$A$4:$G$110</definedName>
    <definedName name="_xlnm._FilterDatabase" localSheetId="17" hidden="1">'Jun 2026'!$A$4:$G$115</definedName>
    <definedName name="_xlnm._FilterDatabase" localSheetId="16" hidden="1">'Mai 2026'!$A$4:$G$122</definedName>
    <definedName name="_xlnm._FilterDatabase" localSheetId="14" hidden="1">'Mar 2026'!$A$4:$G$121</definedName>
  </definedNames>
  <calcPr calcId="152511" iterateDelta="1E-4"/>
</workbook>
</file>

<file path=xl/calcChain.xml><?xml version="1.0" encoding="utf-8"?>
<calcChain xmlns="http://schemas.openxmlformats.org/spreadsheetml/2006/main">
  <c r="G255" i="24" l="1"/>
  <c r="F255" i="24"/>
  <c r="D255" i="24"/>
  <c r="L19" i="24"/>
  <c r="L17" i="24"/>
  <c r="L16" i="24"/>
  <c r="L15" i="24"/>
  <c r="L14" i="24"/>
  <c r="L13" i="24"/>
  <c r="L12" i="24"/>
  <c r="L11" i="24"/>
  <c r="L10" i="24"/>
  <c r="L9" i="24"/>
  <c r="L8" i="24"/>
  <c r="L7" i="24"/>
  <c r="L6" i="24"/>
  <c r="T5" i="24"/>
  <c r="N5" i="24" s="1"/>
  <c r="L5" i="24"/>
  <c r="L18" i="24" s="1"/>
  <c r="P5" i="24" s="1"/>
  <c r="G255" i="23"/>
  <c r="F255" i="23"/>
  <c r="D255" i="23"/>
  <c r="L19" i="23"/>
  <c r="L28" i="3" s="1"/>
  <c r="L17" i="23"/>
  <c r="L16" i="23"/>
  <c r="L15" i="23"/>
  <c r="L14" i="23"/>
  <c r="L13" i="23"/>
  <c r="L12" i="23"/>
  <c r="L11" i="23"/>
  <c r="L10" i="23"/>
  <c r="L9" i="23"/>
  <c r="L8" i="23"/>
  <c r="L7" i="23"/>
  <c r="L6" i="23"/>
  <c r="L18" i="23" s="1"/>
  <c r="T5" i="23"/>
  <c r="N5" i="23"/>
  <c r="L5" i="23"/>
  <c r="G255" i="22"/>
  <c r="F255" i="22"/>
  <c r="D255" i="22"/>
  <c r="L19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18" i="22" s="1"/>
  <c r="P5" i="22" s="1"/>
  <c r="T5" i="22"/>
  <c r="N5" i="22" s="1"/>
  <c r="L5" i="22"/>
  <c r="G255" i="21"/>
  <c r="F255" i="21"/>
  <c r="D255" i="21"/>
  <c r="L19" i="21"/>
  <c r="L17" i="21"/>
  <c r="L16" i="21"/>
  <c r="L15" i="21"/>
  <c r="L14" i="21"/>
  <c r="L13" i="21"/>
  <c r="L12" i="21"/>
  <c r="L11" i="21"/>
  <c r="L10" i="21"/>
  <c r="L9" i="21"/>
  <c r="L8" i="21"/>
  <c r="L7" i="21"/>
  <c r="L6" i="21"/>
  <c r="T5" i="21"/>
  <c r="N5" i="21" s="1"/>
  <c r="L5" i="21"/>
  <c r="L18" i="21" s="1"/>
  <c r="P5" i="21" s="1"/>
  <c r="G185" i="20"/>
  <c r="F185" i="20"/>
  <c r="D186" i="20" s="1"/>
  <c r="R5" i="20" s="1"/>
  <c r="D185" i="20"/>
  <c r="L19" i="20"/>
  <c r="L17" i="20"/>
  <c r="L16" i="20"/>
  <c r="L15" i="20"/>
  <c r="L14" i="20"/>
  <c r="L13" i="20"/>
  <c r="L12" i="20"/>
  <c r="L11" i="20"/>
  <c r="L10" i="20"/>
  <c r="L9" i="20"/>
  <c r="L8" i="20"/>
  <c r="L7" i="20"/>
  <c r="L6" i="20"/>
  <c r="T5" i="20"/>
  <c r="L5" i="20"/>
  <c r="L18" i="20" s="1"/>
  <c r="E111" i="19"/>
  <c r="D111" i="19"/>
  <c r="D112" i="19" s="1"/>
  <c r="P5" i="19" s="1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18" i="19" s="1"/>
  <c r="N5" i="19" s="1"/>
  <c r="E116" i="18"/>
  <c r="D116" i="18"/>
  <c r="J17" i="18"/>
  <c r="J16" i="18"/>
  <c r="J15" i="18"/>
  <c r="J14" i="18"/>
  <c r="J13" i="18"/>
  <c r="J12" i="18"/>
  <c r="J11" i="18"/>
  <c r="J10" i="18"/>
  <c r="J9" i="18"/>
  <c r="J8" i="18"/>
  <c r="J7" i="18"/>
  <c r="J6" i="18"/>
  <c r="L5" i="18"/>
  <c r="J5" i="18"/>
  <c r="J18" i="18" s="1"/>
  <c r="E123" i="17"/>
  <c r="D123" i="17"/>
  <c r="J17" i="17"/>
  <c r="J16" i="17"/>
  <c r="J15" i="17"/>
  <c r="J14" i="17"/>
  <c r="J13" i="17"/>
  <c r="J12" i="17"/>
  <c r="J11" i="17"/>
  <c r="J10" i="17"/>
  <c r="J9" i="17"/>
  <c r="J8" i="17"/>
  <c r="J7" i="17"/>
  <c r="J6" i="17"/>
  <c r="J18" i="17" s="1"/>
  <c r="J5" i="17"/>
  <c r="E124" i="16"/>
  <c r="D124" i="16"/>
  <c r="J17" i="16"/>
  <c r="J16" i="16"/>
  <c r="J15" i="16"/>
  <c r="J14" i="16"/>
  <c r="J13" i="16"/>
  <c r="J12" i="16"/>
  <c r="J11" i="16"/>
  <c r="J10" i="16"/>
  <c r="J9" i="16"/>
  <c r="J8" i="16"/>
  <c r="J7" i="16"/>
  <c r="J6" i="16"/>
  <c r="J18" i="16" s="1"/>
  <c r="N5" i="16" s="1"/>
  <c r="J5" i="16"/>
  <c r="E122" i="15"/>
  <c r="D122" i="15"/>
  <c r="J17" i="15"/>
  <c r="J16" i="15"/>
  <c r="J15" i="15"/>
  <c r="J14" i="15"/>
  <c r="J13" i="15"/>
  <c r="J12" i="15"/>
  <c r="J11" i="15"/>
  <c r="J10" i="15"/>
  <c r="J9" i="15"/>
  <c r="J8" i="15"/>
  <c r="J7" i="15"/>
  <c r="J6" i="15"/>
  <c r="L5" i="15"/>
  <c r="J5" i="15"/>
  <c r="J18" i="15" s="1"/>
  <c r="E146" i="14"/>
  <c r="D146" i="14"/>
  <c r="J17" i="14"/>
  <c r="J16" i="14"/>
  <c r="J15" i="14"/>
  <c r="J14" i="14"/>
  <c r="J13" i="14"/>
  <c r="J12" i="14"/>
  <c r="J11" i="14"/>
  <c r="J10" i="14"/>
  <c r="J9" i="14"/>
  <c r="J8" i="14"/>
  <c r="J7" i="14"/>
  <c r="J6" i="14"/>
  <c r="J18" i="14" s="1"/>
  <c r="J5" i="14"/>
  <c r="E133" i="13"/>
  <c r="D133" i="13"/>
  <c r="J17" i="13"/>
  <c r="J16" i="13"/>
  <c r="J15" i="13"/>
  <c r="J14" i="13"/>
  <c r="J13" i="13"/>
  <c r="J12" i="13"/>
  <c r="J11" i="13"/>
  <c r="J10" i="13"/>
  <c r="J9" i="13"/>
  <c r="J8" i="13"/>
  <c r="J7" i="13"/>
  <c r="J6" i="13"/>
  <c r="J18" i="13" s="1"/>
  <c r="N5" i="13" s="1"/>
  <c r="J5" i="13"/>
  <c r="D45" i="11"/>
  <c r="C45" i="11"/>
  <c r="F44" i="11"/>
  <c r="E44" i="11"/>
  <c r="F43" i="11"/>
  <c r="E43" i="11"/>
  <c r="F42" i="11"/>
  <c r="E42" i="11"/>
  <c r="F41" i="11"/>
  <c r="E41" i="11"/>
  <c r="F40" i="11"/>
  <c r="E40" i="11"/>
  <c r="F39" i="11"/>
  <c r="E39" i="11"/>
  <c r="F38" i="11"/>
  <c r="E38" i="11"/>
  <c r="F37" i="11"/>
  <c r="E37" i="11"/>
  <c r="F36" i="11"/>
  <c r="E36" i="11"/>
  <c r="F35" i="11"/>
  <c r="E35" i="11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F45" i="11" s="1"/>
  <c r="E7" i="11"/>
  <c r="F6" i="11"/>
  <c r="E6" i="11"/>
  <c r="F5" i="11"/>
  <c r="E5" i="11"/>
  <c r="E45" i="11" s="1"/>
  <c r="F29" i="10"/>
  <c r="E29" i="10"/>
  <c r="G29" i="10" s="1"/>
  <c r="H29" i="10" s="1"/>
  <c r="I29" i="10" s="1"/>
  <c r="G28" i="10"/>
  <c r="H28" i="10" s="1"/>
  <c r="I28" i="10" s="1"/>
  <c r="F28" i="10"/>
  <c r="E28" i="10"/>
  <c r="F27" i="10"/>
  <c r="G27" i="10" s="1"/>
  <c r="H27" i="10" s="1"/>
  <c r="I27" i="10" s="1"/>
  <c r="E27" i="10"/>
  <c r="F26" i="10"/>
  <c r="E26" i="10"/>
  <c r="G26" i="10" s="1"/>
  <c r="H26" i="10" s="1"/>
  <c r="I26" i="10" s="1"/>
  <c r="F25" i="10"/>
  <c r="E25" i="10"/>
  <c r="G25" i="10" s="1"/>
  <c r="H25" i="10" s="1"/>
  <c r="I25" i="10" s="1"/>
  <c r="F24" i="10"/>
  <c r="E24" i="10"/>
  <c r="G24" i="10" s="1"/>
  <c r="H24" i="10" s="1"/>
  <c r="I24" i="10" s="1"/>
  <c r="F23" i="10"/>
  <c r="E23" i="10"/>
  <c r="G23" i="10" s="1"/>
  <c r="H23" i="10" s="1"/>
  <c r="I23" i="10" s="1"/>
  <c r="G22" i="10"/>
  <c r="H22" i="10" s="1"/>
  <c r="I22" i="10" s="1"/>
  <c r="F22" i="10"/>
  <c r="E22" i="10"/>
  <c r="F21" i="10"/>
  <c r="G21" i="10" s="1"/>
  <c r="H21" i="10" s="1"/>
  <c r="I21" i="10" s="1"/>
  <c r="E21" i="10"/>
  <c r="F20" i="10"/>
  <c r="E20" i="10"/>
  <c r="G20" i="10" s="1"/>
  <c r="H20" i="10" s="1"/>
  <c r="I20" i="10" s="1"/>
  <c r="F19" i="10"/>
  <c r="E19" i="10"/>
  <c r="G19" i="10" s="1"/>
  <c r="H19" i="10" s="1"/>
  <c r="I19" i="10" s="1"/>
  <c r="F18" i="10"/>
  <c r="E18" i="10"/>
  <c r="G18" i="10" s="1"/>
  <c r="H18" i="10" s="1"/>
  <c r="I18" i="10" s="1"/>
  <c r="F17" i="10"/>
  <c r="E17" i="10"/>
  <c r="G17" i="10" s="1"/>
  <c r="H17" i="10" s="1"/>
  <c r="I17" i="10" s="1"/>
  <c r="G16" i="10"/>
  <c r="H16" i="10" s="1"/>
  <c r="I16" i="10" s="1"/>
  <c r="F16" i="10"/>
  <c r="E16" i="10"/>
  <c r="F15" i="10"/>
  <c r="G15" i="10" s="1"/>
  <c r="H15" i="10" s="1"/>
  <c r="I15" i="10" s="1"/>
  <c r="E15" i="10"/>
  <c r="F14" i="10"/>
  <c r="E14" i="10"/>
  <c r="G14" i="10" s="1"/>
  <c r="H14" i="10" s="1"/>
  <c r="I14" i="10" s="1"/>
  <c r="F13" i="10"/>
  <c r="E13" i="10"/>
  <c r="G13" i="10" s="1"/>
  <c r="H13" i="10" s="1"/>
  <c r="I13" i="10" s="1"/>
  <c r="F12" i="10"/>
  <c r="E12" i="10"/>
  <c r="G12" i="10" s="1"/>
  <c r="H12" i="10" s="1"/>
  <c r="I12" i="10" s="1"/>
  <c r="F11" i="10"/>
  <c r="E11" i="10"/>
  <c r="G11" i="10" s="1"/>
  <c r="H11" i="10" s="1"/>
  <c r="I11" i="10" s="1"/>
  <c r="G10" i="10"/>
  <c r="H10" i="10" s="1"/>
  <c r="I10" i="10" s="1"/>
  <c r="F10" i="10"/>
  <c r="E10" i="10"/>
  <c r="F9" i="10"/>
  <c r="G9" i="10" s="1"/>
  <c r="H9" i="10" s="1"/>
  <c r="I9" i="10" s="1"/>
  <c r="E9" i="10"/>
  <c r="F8" i="10"/>
  <c r="E8" i="10"/>
  <c r="G8" i="10" s="1"/>
  <c r="H8" i="10" s="1"/>
  <c r="I8" i="10" s="1"/>
  <c r="F7" i="10"/>
  <c r="E7" i="10"/>
  <c r="G7" i="10" s="1"/>
  <c r="H7" i="10" s="1"/>
  <c r="I7" i="10" s="1"/>
  <c r="B21" i="9"/>
  <c r="B23" i="9" s="1"/>
  <c r="F20" i="9"/>
  <c r="E20" i="9"/>
  <c r="C20" i="9"/>
  <c r="D20" i="9" s="1"/>
  <c r="F19" i="9"/>
  <c r="E19" i="9"/>
  <c r="C19" i="9"/>
  <c r="D19" i="9" s="1"/>
  <c r="F18" i="9"/>
  <c r="E18" i="9"/>
  <c r="C18" i="9"/>
  <c r="D18" i="9" s="1"/>
  <c r="F17" i="9"/>
  <c r="E17" i="9"/>
  <c r="C17" i="9"/>
  <c r="D17" i="9" s="1"/>
  <c r="F16" i="9"/>
  <c r="E16" i="9"/>
  <c r="C16" i="9"/>
  <c r="D16" i="9" s="1"/>
  <c r="F15" i="9"/>
  <c r="E15" i="9"/>
  <c r="C15" i="9"/>
  <c r="D15" i="9" s="1"/>
  <c r="F14" i="9"/>
  <c r="E14" i="9"/>
  <c r="C14" i="9"/>
  <c r="D14" i="9" s="1"/>
  <c r="F13" i="9"/>
  <c r="E13" i="9"/>
  <c r="C13" i="9"/>
  <c r="D13" i="9" s="1"/>
  <c r="F12" i="9"/>
  <c r="E12" i="9"/>
  <c r="C12" i="9"/>
  <c r="D12" i="9" s="1"/>
  <c r="F11" i="9"/>
  <c r="E11" i="9"/>
  <c r="C11" i="9"/>
  <c r="D11" i="9" s="1"/>
  <c r="F10" i="9"/>
  <c r="E10" i="9"/>
  <c r="C10" i="9"/>
  <c r="D10" i="9" s="1"/>
  <c r="F9" i="9"/>
  <c r="E9" i="9"/>
  <c r="C9" i="9"/>
  <c r="C21" i="9" s="1"/>
  <c r="D21" i="9" s="1"/>
  <c r="E5" i="9"/>
  <c r="C5" i="9"/>
  <c r="D5" i="9" s="1"/>
  <c r="E5" i="5"/>
  <c r="C5" i="5"/>
  <c r="D11" i="4" s="1"/>
  <c r="D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D76" i="4"/>
  <c r="D77" i="4" s="1"/>
  <c r="A5" i="4" s="1"/>
  <c r="D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C5" i="4"/>
  <c r="M28" i="3"/>
  <c r="K28" i="3"/>
  <c r="J28" i="3"/>
  <c r="I28" i="3"/>
  <c r="N28" i="3" s="1"/>
  <c r="M27" i="3"/>
  <c r="L27" i="3"/>
  <c r="K27" i="3"/>
  <c r="J27" i="3"/>
  <c r="I27" i="3"/>
  <c r="H27" i="3"/>
  <c r="G27" i="3"/>
  <c r="F27" i="3"/>
  <c r="E27" i="3"/>
  <c r="D27" i="3"/>
  <c r="C27" i="3"/>
  <c r="B27" i="3"/>
  <c r="N27" i="3" s="1"/>
  <c r="M21" i="3"/>
  <c r="L21" i="3"/>
  <c r="K21" i="3"/>
  <c r="J21" i="3"/>
  <c r="I21" i="3"/>
  <c r="H21" i="3"/>
  <c r="G21" i="3"/>
  <c r="F21" i="3"/>
  <c r="E21" i="3"/>
  <c r="D21" i="3"/>
  <c r="C21" i="3"/>
  <c r="B21" i="3"/>
  <c r="N21" i="3" s="1"/>
  <c r="M20" i="3"/>
  <c r="L20" i="3"/>
  <c r="K20" i="3"/>
  <c r="J20" i="3"/>
  <c r="J8" i="3" s="1"/>
  <c r="I20" i="3"/>
  <c r="H20" i="3"/>
  <c r="G20" i="3"/>
  <c r="F20" i="3"/>
  <c r="E20" i="3"/>
  <c r="D20" i="3"/>
  <c r="D8" i="3" s="1"/>
  <c r="C20" i="3"/>
  <c r="B20" i="3"/>
  <c r="M19" i="3"/>
  <c r="L19" i="3"/>
  <c r="K19" i="3"/>
  <c r="J19" i="3"/>
  <c r="I19" i="3"/>
  <c r="H19" i="3"/>
  <c r="G19" i="3"/>
  <c r="F19" i="3"/>
  <c r="E19" i="3"/>
  <c r="D19" i="3"/>
  <c r="C19" i="3"/>
  <c r="B19" i="3"/>
  <c r="M18" i="3"/>
  <c r="L18" i="3"/>
  <c r="K18" i="3"/>
  <c r="J18" i="3"/>
  <c r="I18" i="3"/>
  <c r="H18" i="3"/>
  <c r="G18" i="3"/>
  <c r="F18" i="3"/>
  <c r="E18" i="3"/>
  <c r="D18" i="3"/>
  <c r="C18" i="3"/>
  <c r="B18" i="3"/>
  <c r="N18" i="3" s="1"/>
  <c r="M17" i="3"/>
  <c r="L17" i="3"/>
  <c r="K17" i="3"/>
  <c r="J17" i="3"/>
  <c r="I17" i="3"/>
  <c r="H17" i="3"/>
  <c r="G17" i="3"/>
  <c r="F17" i="3"/>
  <c r="E17" i="3"/>
  <c r="D17" i="3"/>
  <c r="C17" i="3"/>
  <c r="B17" i="3"/>
  <c r="N17" i="3" s="1"/>
  <c r="M16" i="3"/>
  <c r="L16" i="3"/>
  <c r="L22" i="3" s="1"/>
  <c r="K16" i="3"/>
  <c r="J16" i="3"/>
  <c r="I16" i="3"/>
  <c r="H16" i="3"/>
  <c r="G16" i="3"/>
  <c r="F16" i="3"/>
  <c r="E16" i="3"/>
  <c r="D16" i="3"/>
  <c r="C16" i="3"/>
  <c r="B16" i="3"/>
  <c r="M15" i="3"/>
  <c r="L15" i="3"/>
  <c r="K15" i="3"/>
  <c r="J15" i="3"/>
  <c r="I15" i="3"/>
  <c r="H15" i="3"/>
  <c r="G15" i="3"/>
  <c r="F15" i="3"/>
  <c r="E15" i="3"/>
  <c r="D15" i="3"/>
  <c r="C15" i="3"/>
  <c r="B15" i="3"/>
  <c r="N15" i="3" s="1"/>
  <c r="M14" i="3"/>
  <c r="L14" i="3"/>
  <c r="K14" i="3"/>
  <c r="J14" i="3"/>
  <c r="I14" i="3"/>
  <c r="H14" i="3"/>
  <c r="G14" i="3"/>
  <c r="F14" i="3"/>
  <c r="E14" i="3"/>
  <c r="D14" i="3"/>
  <c r="C14" i="3"/>
  <c r="B14" i="3"/>
  <c r="N14" i="3" s="1"/>
  <c r="M13" i="3"/>
  <c r="L13" i="3"/>
  <c r="K13" i="3"/>
  <c r="J13" i="3"/>
  <c r="I13" i="3"/>
  <c r="H13" i="3"/>
  <c r="G13" i="3"/>
  <c r="F13" i="3"/>
  <c r="E13" i="3"/>
  <c r="D13" i="3"/>
  <c r="C13" i="3"/>
  <c r="B13" i="3"/>
  <c r="N13" i="3" s="1"/>
  <c r="M12" i="3"/>
  <c r="M22" i="3" s="1"/>
  <c r="L12" i="3"/>
  <c r="K12" i="3"/>
  <c r="K22" i="3" s="1"/>
  <c r="J12" i="3"/>
  <c r="I12" i="3"/>
  <c r="I22" i="3" s="1"/>
  <c r="H12" i="3"/>
  <c r="G12" i="3"/>
  <c r="G22" i="3" s="1"/>
  <c r="F12" i="3"/>
  <c r="F22" i="3" s="1"/>
  <c r="E12" i="3"/>
  <c r="E22" i="3" s="1"/>
  <c r="D12" i="3"/>
  <c r="C12" i="3"/>
  <c r="C22" i="3" s="1"/>
  <c r="B12" i="3"/>
  <c r="M8" i="3"/>
  <c r="L8" i="3"/>
  <c r="K8" i="3"/>
  <c r="I8" i="3"/>
  <c r="H8" i="3"/>
  <c r="G8" i="3"/>
  <c r="F8" i="3"/>
  <c r="E8" i="3"/>
  <c r="C8" i="3"/>
  <c r="B8" i="3"/>
  <c r="N8" i="3" s="1"/>
  <c r="M7" i="3"/>
  <c r="L7" i="3"/>
  <c r="L9" i="3" s="1"/>
  <c r="L10" i="3" s="1"/>
  <c r="L23" i="3" s="1"/>
  <c r="K7" i="3"/>
  <c r="J7" i="3"/>
  <c r="I7" i="3"/>
  <c r="H7" i="3"/>
  <c r="G7" i="3"/>
  <c r="F7" i="3"/>
  <c r="F9" i="3" s="1"/>
  <c r="F10" i="3" s="1"/>
  <c r="F23" i="3" s="1"/>
  <c r="E7" i="3"/>
  <c r="D7" i="3"/>
  <c r="C7" i="3"/>
  <c r="B7" i="3"/>
  <c r="M6" i="3"/>
  <c r="M9" i="3" s="1"/>
  <c r="L6" i="3"/>
  <c r="K6" i="3"/>
  <c r="K9" i="3" s="1"/>
  <c r="K10" i="3" s="1"/>
  <c r="J6" i="3"/>
  <c r="I6" i="3"/>
  <c r="I9" i="3" s="1"/>
  <c r="H6" i="3"/>
  <c r="H9" i="3" s="1"/>
  <c r="G6" i="3"/>
  <c r="G9" i="3" s="1"/>
  <c r="F6" i="3"/>
  <c r="E6" i="3"/>
  <c r="E9" i="3" s="1"/>
  <c r="E10" i="3" s="1"/>
  <c r="D6" i="3"/>
  <c r="C6" i="3"/>
  <c r="C9" i="3" s="1"/>
  <c r="B6" i="3"/>
  <c r="B9" i="3" s="1"/>
  <c r="M5" i="3"/>
  <c r="M24" i="3" s="1"/>
  <c r="L5" i="3"/>
  <c r="L24" i="3" s="1"/>
  <c r="K5" i="3"/>
  <c r="K24" i="3" s="1"/>
  <c r="J5" i="3"/>
  <c r="I5" i="3"/>
  <c r="H5" i="3"/>
  <c r="G5" i="3"/>
  <c r="F5" i="3"/>
  <c r="E5" i="3"/>
  <c r="D5" i="3"/>
  <c r="C5" i="3"/>
  <c r="B5" i="3"/>
  <c r="B53" i="2"/>
  <c r="D11" i="1" s="1"/>
  <c r="B52" i="2"/>
  <c r="B51" i="2"/>
  <c r="B50" i="2"/>
  <c r="B49" i="2"/>
  <c r="B48" i="2"/>
  <c r="B47" i="2"/>
  <c r="B46" i="2"/>
  <c r="H45" i="2"/>
  <c r="B45" i="2"/>
  <c r="H44" i="2"/>
  <c r="B44" i="2"/>
  <c r="H43" i="2"/>
  <c r="B43" i="2"/>
  <c r="H42" i="2"/>
  <c r="B42" i="2"/>
  <c r="H41" i="2"/>
  <c r="H46" i="2" s="1"/>
  <c r="B41" i="2"/>
  <c r="C35" i="2"/>
  <c r="B35" i="2"/>
  <c r="E35" i="2" s="1"/>
  <c r="E34" i="2"/>
  <c r="B34" i="2"/>
  <c r="C33" i="2"/>
  <c r="D33" i="2" s="1"/>
  <c r="B33" i="2"/>
  <c r="E33" i="2" s="1"/>
  <c r="D32" i="2"/>
  <c r="C32" i="2"/>
  <c r="B32" i="2"/>
  <c r="B31" i="2"/>
  <c r="C30" i="2"/>
  <c r="B30" i="2"/>
  <c r="C29" i="2"/>
  <c r="D29" i="2" s="1"/>
  <c r="B29" i="2"/>
  <c r="B28" i="2"/>
  <c r="D27" i="2"/>
  <c r="E27" i="2" s="1"/>
  <c r="C27" i="2"/>
  <c r="B27" i="2"/>
  <c r="C26" i="2"/>
  <c r="B26" i="2"/>
  <c r="D26" i="2" s="1"/>
  <c r="B25" i="2"/>
  <c r="C24" i="2"/>
  <c r="B24" i="2"/>
  <c r="B36" i="2" s="1"/>
  <c r="K5" i="2"/>
  <c r="F7" i="1" s="1"/>
  <c r="I5" i="2" l="1"/>
  <c r="E7" i="1" s="1"/>
  <c r="A12" i="2"/>
  <c r="E30" i="2"/>
  <c r="D31" i="2"/>
  <c r="A13" i="2" s="1"/>
  <c r="D24" i="2"/>
  <c r="E31" i="2"/>
  <c r="C11" i="3"/>
  <c r="N6" i="3"/>
  <c r="D22" i="3"/>
  <c r="J22" i="3"/>
  <c r="D134" i="13"/>
  <c r="P5" i="13" s="1"/>
  <c r="B54" i="2"/>
  <c r="B3" i="3"/>
  <c r="B10" i="3"/>
  <c r="H10" i="3"/>
  <c r="N5" i="3"/>
  <c r="B11" i="3"/>
  <c r="N5" i="15"/>
  <c r="D123" i="15"/>
  <c r="P5" i="15" s="1"/>
  <c r="A5" i="2"/>
  <c r="B7" i="1" s="1"/>
  <c r="E32" i="2"/>
  <c r="D35" i="2"/>
  <c r="D30" i="2"/>
  <c r="N7" i="3"/>
  <c r="D10" i="3"/>
  <c r="N16" i="3"/>
  <c r="N5" i="17"/>
  <c r="C28" i="2"/>
  <c r="D28" i="2" s="1"/>
  <c r="E28" i="2" s="1"/>
  <c r="D124" i="17"/>
  <c r="P5" i="17" s="1"/>
  <c r="P5" i="23"/>
  <c r="C34" i="2"/>
  <c r="D34" i="2" s="1"/>
  <c r="E26" i="2"/>
  <c r="E29" i="2"/>
  <c r="D9" i="3"/>
  <c r="N9" i="3" s="1"/>
  <c r="J9" i="3"/>
  <c r="J10" i="3" s="1"/>
  <c r="D256" i="23"/>
  <c r="R5" i="23" s="1"/>
  <c r="D256" i="24"/>
  <c r="R5" i="24" s="1"/>
  <c r="F24" i="3"/>
  <c r="E23" i="3"/>
  <c r="E24" i="3" s="1"/>
  <c r="K23" i="3"/>
  <c r="N19" i="3"/>
  <c r="N20" i="3"/>
  <c r="C7" i="7"/>
  <c r="C12" i="7" s="1"/>
  <c r="E5" i="4"/>
  <c r="N5" i="14"/>
  <c r="C25" i="2"/>
  <c r="D25" i="2" s="1"/>
  <c r="E25" i="2" s="1"/>
  <c r="D147" i="14"/>
  <c r="P5" i="14" s="1"/>
  <c r="N5" i="18"/>
  <c r="D117" i="18"/>
  <c r="P5" i="18" s="1"/>
  <c r="B22" i="3"/>
  <c r="H22" i="3"/>
  <c r="N12" i="3"/>
  <c r="A127" i="4"/>
  <c r="D125" i="16"/>
  <c r="P5" i="16" s="1"/>
  <c r="P5" i="20"/>
  <c r="C31" i="2"/>
  <c r="G10" i="3"/>
  <c r="G23" i="3" s="1"/>
  <c r="G24" i="3" s="1"/>
  <c r="M10" i="3"/>
  <c r="M23" i="3" s="1"/>
  <c r="E11" i="3"/>
  <c r="K11" i="3"/>
  <c r="F5" i="9"/>
  <c r="C23" i="9"/>
  <c r="D23" i="9" s="1"/>
  <c r="L5" i="14"/>
  <c r="L5" i="17"/>
  <c r="N5" i="20"/>
  <c r="F11" i="3"/>
  <c r="L11" i="3"/>
  <c r="D256" i="22"/>
  <c r="R5" i="22" s="1"/>
  <c r="C10" i="3"/>
  <c r="C23" i="3" s="1"/>
  <c r="C24" i="3" s="1"/>
  <c r="I10" i="3"/>
  <c r="I23" i="3" s="1"/>
  <c r="I24" i="3" s="1"/>
  <c r="M11" i="3"/>
  <c r="D9" i="9"/>
  <c r="D256" i="21"/>
  <c r="R5" i="21" s="1"/>
  <c r="E21" i="9"/>
  <c r="L5" i="13"/>
  <c r="L5" i="16"/>
  <c r="L5" i="19"/>
  <c r="J23" i="3" l="1"/>
  <c r="J24" i="3" s="1"/>
  <c r="J11" i="3"/>
  <c r="N11" i="3"/>
  <c r="D36" i="2"/>
  <c r="E5" i="2"/>
  <c r="D7" i="1" s="1"/>
  <c r="A11" i="2"/>
  <c r="A10" i="2"/>
  <c r="A9" i="2"/>
  <c r="H23" i="3"/>
  <c r="H24" i="3" s="1"/>
  <c r="N22" i="3"/>
  <c r="B23" i="3"/>
  <c r="N10" i="3"/>
  <c r="O11" i="3" s="1"/>
  <c r="C36" i="2"/>
  <c r="D23" i="3"/>
  <c r="D24" i="3" s="1"/>
  <c r="D11" i="3"/>
  <c r="C51" i="2"/>
  <c r="C48" i="2"/>
  <c r="C53" i="2"/>
  <c r="C50" i="2"/>
  <c r="C47" i="2"/>
  <c r="C45" i="2"/>
  <c r="C43" i="2"/>
  <c r="C41" i="2"/>
  <c r="C52" i="2"/>
  <c r="C42" i="2"/>
  <c r="C44" i="2"/>
  <c r="C46" i="2"/>
  <c r="C49" i="2"/>
  <c r="E24" i="2"/>
  <c r="G11" i="3"/>
  <c r="H11" i="3"/>
  <c r="C5" i="2"/>
  <c r="C7" i="1" s="1"/>
  <c r="O20" i="3"/>
  <c r="O17" i="3"/>
  <c r="O14" i="3"/>
  <c r="O8" i="3"/>
  <c r="O5" i="3"/>
  <c r="O28" i="3"/>
  <c r="O27" i="3"/>
  <c r="O22" i="3"/>
  <c r="O19" i="3"/>
  <c r="O16" i="3"/>
  <c r="O13" i="3"/>
  <c r="O10" i="3"/>
  <c r="B7" i="6" s="1"/>
  <c r="O7" i="3"/>
  <c r="O21" i="3"/>
  <c r="O18" i="3"/>
  <c r="O15" i="3"/>
  <c r="O12" i="3"/>
  <c r="O9" i="3"/>
  <c r="O6" i="3"/>
  <c r="I11" i="3"/>
  <c r="D8" i="7" l="1"/>
  <c r="B6" i="6"/>
  <c r="D9" i="7"/>
  <c r="D10" i="7"/>
  <c r="D7" i="7"/>
  <c r="C11" i="1"/>
  <c r="B10" i="7"/>
  <c r="B7" i="7"/>
  <c r="B8" i="7"/>
  <c r="E8" i="7" s="1"/>
  <c r="B5" i="6"/>
  <c r="B8" i="6" s="1"/>
  <c r="B18" i="8"/>
  <c r="B19" i="8" s="1"/>
  <c r="B20" i="8" s="1"/>
  <c r="B9" i="7"/>
  <c r="E9" i="7" s="1"/>
  <c r="B6" i="8"/>
  <c r="B11" i="1"/>
  <c r="B9" i="6"/>
  <c r="N23" i="3"/>
  <c r="B24" i="3"/>
  <c r="E36" i="2"/>
  <c r="G5" i="2"/>
  <c r="G7" i="1" s="1"/>
  <c r="D12" i="7" l="1"/>
  <c r="D19" i="6"/>
  <c r="E19" i="6" s="1"/>
  <c r="D17" i="6"/>
  <c r="E17" i="6" s="1"/>
  <c r="A24" i="6"/>
  <c r="C21" i="6"/>
  <c r="D21" i="6" s="1"/>
  <c r="E21" i="6" s="1"/>
  <c r="C19" i="6"/>
  <c r="C17" i="6"/>
  <c r="D22" i="6"/>
  <c r="E22" i="6" s="1"/>
  <c r="D20" i="6"/>
  <c r="E20" i="6" s="1"/>
  <c r="D18" i="6"/>
  <c r="E18" i="6" s="1"/>
  <c r="B10" i="6"/>
  <c r="E11" i="1" s="1"/>
  <c r="C22" i="6"/>
  <c r="C20" i="6"/>
  <c r="C18" i="6"/>
  <c r="O23" i="3"/>
  <c r="B11" i="6" s="1"/>
  <c r="O24" i="3"/>
  <c r="N24" i="3"/>
  <c r="B12" i="7"/>
  <c r="E7" i="7"/>
  <c r="B8" i="8"/>
  <c r="B10" i="8" s="1"/>
  <c r="B11" i="8"/>
  <c r="E10" i="7"/>
  <c r="F7" i="7" l="1"/>
  <c r="F8" i="7" s="1"/>
  <c r="F9" i="7" s="1"/>
  <c r="F10" i="7" s="1"/>
  <c r="E12" i="7"/>
  <c r="A14" i="7" l="1"/>
  <c r="F12" i="7"/>
</calcChain>
</file>

<file path=xl/sharedStrings.xml><?xml version="1.0" encoding="utf-8"?>
<sst xmlns="http://schemas.openxmlformats.org/spreadsheetml/2006/main" count="4846" uniqueCount="2518">
  <si>
    <t>RELATÓRIO FINANCEIRO 2026 — LOJA PLANETA ÁGUA</t>
  </si>
  <si>
    <t>Clique no nome de qualquer aba abaixo para ir direto até ela. Em toda aba há um link "← Início" para voltar.</t>
  </si>
  <si>
    <t>NÚMEROS DO ANO</t>
  </si>
  <si>
    <t>ENTRADAS (ANO)</t>
  </si>
  <si>
    <t>SAÍDAS DA LOJA (ANO)</t>
  </si>
  <si>
    <t>LUCRO EM CAIXA</t>
  </si>
  <si>
    <t>A RECEBER</t>
  </si>
  <si>
    <t>DÍVIDA BB</t>
  </si>
  <si>
    <t>MARGEM DO ANO</t>
  </si>
  <si>
    <t>SAÚDE FINANCEIRA DA LOJA (MÉDIA MENSAL)</t>
  </si>
  <si>
    <t>CUSTO FIXO MÉDIO/MÊS</t>
  </si>
  <si>
    <t>CUSTO VARIÁVEL MÉDIO/MÊS</t>
  </si>
  <si>
    <t>DESPESAS PESSOAIS (ANO)</t>
  </si>
  <si>
    <t>PONTO DE EQUILÍBRIO (FAT. MÍN./MÊS)</t>
  </si>
  <si>
    <t>COMECE AQUI — visão geral</t>
  </si>
  <si>
    <t>Dashboard</t>
  </si>
  <si>
    <t>Resumo do ano: entradas, saídas, lucro, insights automáticos e ranking de produtos.</t>
  </si>
  <si>
    <t>DRE Simplificado</t>
  </si>
  <si>
    <t>O resultado mês a mês, separando custo variável de custo fixo. Mostra se a operação se paga.</t>
  </si>
  <si>
    <t>DINHEIRO A ENTRAR E A SAIR</t>
  </si>
  <si>
    <t>Contas a Pagar e Receber</t>
  </si>
  <si>
    <t>Quem ainda deve para a loja e o que a loja ainda deve. Totais automáticos.</t>
  </si>
  <si>
    <t>Capital de Giro (BB)</t>
  </si>
  <si>
    <t>Contas da loja pagas com o empréstimo do Banco do Brasil e quanto falta devolver.</t>
  </si>
  <si>
    <t>PLANEJAMENTO</t>
  </si>
  <si>
    <t>Ponto de Equilíbrio</t>
  </si>
  <si>
    <t>Quanto precisa faturar por mês só para não ter prejuízo — e para lucrar o que quiser.</t>
  </si>
  <si>
    <t>Fluxo de Caixa Projetado</t>
  </si>
  <si>
    <t>Projeção do saldo de setembro a dezembro no ritmo atual.</t>
  </si>
  <si>
    <t>Reserva e Impostos</t>
  </si>
  <si>
    <t>Orçado vs Realizado</t>
  </si>
  <si>
    <t>Meta do mês contra o que realmente aconteceu, categoria por categoria.</t>
  </si>
  <si>
    <t>Precificação e Margem</t>
  </si>
  <si>
    <t>Quanto sobra de verdade em cada produto depois de custo, comissão, taxa e imposto.</t>
  </si>
  <si>
    <t>APOIO</t>
  </si>
  <si>
    <t>Conciliação Bancária</t>
  </si>
  <si>
    <t>Confere lançamento por lançamento contra o extrato do banco.</t>
  </si>
  <si>
    <t>Cadastro Clientes-Fornec</t>
  </si>
  <si>
    <t>Base única de nomes, documentos e contatos.</t>
  </si>
  <si>
    <t>LANÇAMENTOS MÊS A MÊS</t>
  </si>
  <si>
    <t>Jan 2026</t>
  </si>
  <si>
    <t>Importado do Livro Caixa (DigiSat)</t>
  </si>
  <si>
    <t>Fev 2026</t>
  </si>
  <si>
    <t>Mar 2026</t>
  </si>
  <si>
    <t>Abr 2026</t>
  </si>
  <si>
    <t>Mai 2026</t>
  </si>
  <si>
    <t>Jun 2026</t>
  </si>
  <si>
    <t>Jul 2026</t>
  </si>
  <si>
    <t>Ago 2026</t>
  </si>
  <si>
    <t>Lançamento manual, com forma de pagamento e taxa da máquina</t>
  </si>
  <si>
    <t>Set 2026</t>
  </si>
  <si>
    <t>MÊS ATUAL — lançamento manual, com forma de pagamento e taxa da máquina</t>
  </si>
  <si>
    <t>Out 2026</t>
  </si>
  <si>
    <t>Pronto para lançar</t>
  </si>
  <si>
    <t>Nov 2026</t>
  </si>
  <si>
    <t>Dez 2026</t>
  </si>
  <si>
    <t>Como usar no dia a dia</t>
  </si>
  <si>
    <t>1. Lance cada venda e cada despesa na aba do mês (ex.: "Ago 2026") — uma linha por lançamento.</t>
  </si>
  <si>
    <t>2. Venda ainda não paga: escolha "Aguardando Pagamento" na coluna Forma de Pagamento. Ela aparece sozinha no cartão A RECEBER e na aba Contas a Pagar e Receber.</t>
  </si>
  <si>
    <t>3. Quando o cliente pagar, troque a forma de pagamento pelo método real. Todo o resto recalcula sozinho.</t>
  </si>
  <si>
    <t>4. Despesa pessoal do casal paga pela loja: categoria "Pro Labore Edilânia" — fica registrada, mas fora do resultado da loja.</t>
  </si>
  <si>
    <t>5. Dashboard e DRE não precisam ser preenchidos: puxam tudo das abas dos meses.</t>
  </si>
  <si>
    <t>DASHBOARD FINANCEIRO — LOJA DE FILTROS  |  2026</t>
  </si>
  <si>
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</si>
  <si>
    <t>← Início</t>
  </si>
  <si>
    <t>SAÍDAS (ANO)</t>
  </si>
  <si>
    <t>LUCRO LÍQUIDO</t>
  </si>
  <si>
    <t>A RECEBER (ANO)</t>
  </si>
  <si>
    <t>DÍVIDA — CAPITAL DE GIRO (BB)</t>
  </si>
  <si>
    <t>INSIGHTS AUTOMÁTICOS</t>
  </si>
  <si>
    <t>⚠ Limitações dos dados de origem (relatórios DigiSat/G6, não planilhas de fluxo de caixa):</t>
  </si>
  <si>
    <t>• O Livro Caixa não registra a forma de pagamento (dinheiro/cartão/Pix) de cada venda — por isso não há aba de 'Entradas por Forma de Pagamento' neste arquivo.</t>
  </si>
  <si>
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</si>
  <si>
    <t>• 'Contas a pagar pendentes' vêm da Lista de Pagamentos (situação 'Pendente') e ainda não aparecem como saída no Livro Caixa, pois não foram pagas até 27/07/2026.</t>
  </si>
  <si>
    <t>• O saldo acumulado do Livro Caixa foi ignorado, conforme solicitado — os totais aqui são apenas de entradas e saídas de cada mês.</t>
  </si>
  <si>
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</si>
  <si>
    <t>Mês</t>
  </si>
  <si>
    <t>Entradas (R$)</t>
  </si>
  <si>
    <t>Saídas (R$)</t>
  </si>
  <si>
    <t>Lucro (R$)</t>
  </si>
  <si>
    <t>Margem (%)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</si>
  <si>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</si>
  <si>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</si>
  <si>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</si>
  <si>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</si>
  <si>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</si>
  <si>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</si>
  <si>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</si>
  <si>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</si>
  <si>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</si>
  <si>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</si>
  <si>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</si>
  <si>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</si>
  <si>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/ MÉDIA</t>
  </si>
  <si>
    <t>Saídas por Categoria (Ano 2026)</t>
  </si>
  <si>
    <t>Contas a Receber — Vendas Pendentes (Ago–Dez/2026)</t>
  </si>
  <si>
    <t>Categoria</t>
  </si>
  <si>
    <t>Valor (R$)</t>
  </si>
  <si>
    <t>% do Total</t>
  </si>
  <si>
    <t>Fornecedores / Mercadoria</t>
  </si>
  <si>
    <t>Aluguel</t>
  </si>
  <si>
    <t>Água, Energia e Internet</t>
  </si>
  <si>
    <t>Impostos e Taxas</t>
  </si>
  <si>
    <t>Tarifas Bancárias e Cartão</t>
  </si>
  <si>
    <t>Transporte e Entregas</t>
  </si>
  <si>
    <t>Total a Receber</t>
  </si>
  <si>
    <t>Salários, Comissões e Encargos</t>
  </si>
  <si>
    <t>Contabilidade</t>
  </si>
  <si>
    <t>Manutenção e Reparos</t>
  </si>
  <si>
    <t>Material de Limpeza e Escritório</t>
  </si>
  <si>
    <t>Estornos de Vendas (Cancelamentos)</t>
  </si>
  <si>
    <t>Outras Despesas</t>
  </si>
  <si>
    <t>Pro Labore Edilânia</t>
  </si>
  <si>
    <t>Total</t>
  </si>
  <si>
    <t>Top 15 Produtos Mais Vendidos (Jan–Jul/2026, agregado — sem detalhamento por mês/cliente)</t>
  </si>
  <si>
    <t>Código</t>
  </si>
  <si>
    <t>Descrição</t>
  </si>
  <si>
    <t>Qtd. Vendida</t>
  </si>
  <si>
    <t>Nº Vendas</t>
  </si>
  <si>
    <t>Total (R$)</t>
  </si>
  <si>
    <t>51750</t>
  </si>
  <si>
    <t>REFIL ORIGINAL EVEREST</t>
  </si>
  <si>
    <t>1013A</t>
  </si>
  <si>
    <t>REFIL PRO LIFE ESPECIAL OC</t>
  </si>
  <si>
    <t>51606</t>
  </si>
  <si>
    <t>PURIFICADOR DE AGUA EVEREST STAR 220V/60HZ BRANCO</t>
  </si>
  <si>
    <t>51624</t>
  </si>
  <si>
    <t>PURIFICADOR DE AGUA EVEREST PLUS 220V/60HZ PRATA</t>
  </si>
  <si>
    <t>1100A</t>
  </si>
  <si>
    <t>REFIL IBBL/PREC+3</t>
  </si>
  <si>
    <t>51679</t>
  </si>
  <si>
    <t>PURIFICADOR DE AGUA EVEREST FIT 220V/60HZ BRANCO</t>
  </si>
  <si>
    <t>51647</t>
  </si>
  <si>
    <t>PURIFICADOR DE AGUA EVEREST SLIM 220V/60HZ BRANCO</t>
  </si>
  <si>
    <t>Filtro para bebedouro Soft by everest 2 em 1</t>
  </si>
  <si>
    <t>51810</t>
  </si>
  <si>
    <t>PRE FILTRO</t>
  </si>
  <si>
    <t>51669</t>
  </si>
  <si>
    <t>PURIFICADOR DE AGUA EVEREST PLUS 220V/60HZ BRANCO</t>
  </si>
  <si>
    <t>51639</t>
  </si>
  <si>
    <t>PURIFICADOR DE AGUA EVEREST FIT 220V/60HZ PRETO</t>
  </si>
  <si>
    <t>51618</t>
  </si>
  <si>
    <t>PURIFICADOR DE AGUA EVEREST SLIM 220V/60HZ PRATA</t>
  </si>
  <si>
    <t>24010005</t>
  </si>
  <si>
    <t>4456868</t>
  </si>
  <si>
    <t>51622</t>
  </si>
  <si>
    <t>PURIFICADOR DE AGUA EVEREST FIT 220V/60HZ PRATA</t>
  </si>
  <si>
    <t>DRE SIMPLIFICADO — 2026</t>
  </si>
  <si>
    <t>Receita − Custos Variáveis = Margem de Contribuição.  Margem − Custos Fixos = Resultado. Puxa tudo das abas mensais, sem digitação.</t>
  </si>
  <si>
    <t>← meses já lançados; é a base do cálculo da coluna "Média/mês"</t>
  </si>
  <si>
    <t>Conta</t>
  </si>
  <si>
    <t>Média/mês</t>
  </si>
  <si>
    <t>RECEITA LÍQUIDA (vendas recebidas)</t>
  </si>
  <si>
    <t xml:space="preserve">   (−) Fornecedores / Mercadoria</t>
  </si>
  <si>
    <t xml:space="preserve">   (−) Impostos e Taxas</t>
  </si>
  <si>
    <t xml:space="preserve">   (−) Transporte e Entregas (frete, gasolina, moto táxi)</t>
  </si>
  <si>
    <t>(=) CUSTOS VARIÁVEIS</t>
  </si>
  <si>
    <t>(=) MARGEM DE CONTRIBUIÇÃO</t>
  </si>
  <si>
    <t xml:space="preserve">      Margem de Contribuição (%)</t>
  </si>
  <si>
    <t xml:space="preserve">   (−) Aluguel</t>
  </si>
  <si>
    <t xml:space="preserve">   (−) Água, Energia e Internet</t>
  </si>
  <si>
    <t xml:space="preserve">   (−) Tarifas Bancárias e Cartão</t>
  </si>
  <si>
    <t xml:space="preserve">   (−) Salários, Comissões e Encargos</t>
  </si>
  <si>
    <t xml:space="preserve">   (−) Contabilidade</t>
  </si>
  <si>
    <t xml:space="preserve">   (−) Manutenção e Reparos</t>
  </si>
  <si>
    <t xml:space="preserve">   (−) Material de Limpeza e Escritório</t>
  </si>
  <si>
    <t xml:space="preserve">   (−) Estornos de Vendas (Cancelamentos)</t>
  </si>
  <si>
    <t xml:space="preserve">   (−) Estacionamento (dentro de Transporte e Entregas)</t>
  </si>
  <si>
    <t xml:space="preserve">   (−) Outras Despesas</t>
  </si>
  <si>
    <t>(=) CUSTOS FIXOS</t>
  </si>
  <si>
    <t>(=) RESULTADO DO MÊS</t>
  </si>
  <si>
    <t xml:space="preserve">      Margem Líquida (%)</t>
  </si>
  <si>
    <t>MEMÓRIA (não entram no resultado da loja)</t>
  </si>
  <si>
    <t xml:space="preserve">   Pro Labore Edilânia (retirada dos sócios / despesas pessoais)</t>
  </si>
  <si>
    <t xml:space="preserve">   Despesas da loja pagas com Capital de Giro (BB) — dívida a devolver</t>
  </si>
  <si>
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</si>
  <si>
    <t>A Receita de Ago–Dez já está líquida: descontadas as taxas de máquina e as vendas ainda não recebidas (A Receber).</t>
  </si>
  <si>
    <t>A "Média/mês" divide pelo número de meses que já tiveram movimento (célula B3) — meses ainda não lançados não puxam a média para baixo.</t>
  </si>
  <si>
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</si>
  <si>
    <t>CONTAS A PAGAR E A RECEBER</t>
  </si>
  <si>
    <t>Compromissos em aberto e vendas ainda não recebidas. "Dias em Atraso" é calculado sozinho. O total a receber é puxado automaticamente das abas dos meses — não precisa somar à mão.</t>
  </si>
  <si>
    <t>TOTAL A PAGAR (EM ABERTO)</t>
  </si>
  <si>
    <t>TOTAL A RECEBER (AUTOMÁTICO)</t>
  </si>
  <si>
    <t>SALDO (RECEBER − PAGAR)</t>
  </si>
  <si>
    <t>CONTAS A PAGAR  —  o que a loja ainda deve</t>
  </si>
  <si>
    <t>Fornecedor / Pessoa</t>
  </si>
  <si>
    <t>Vencimento</t>
  </si>
  <si>
    <t>Status</t>
  </si>
  <si>
    <t>Dias em Atraso</t>
  </si>
  <si>
    <t>Observações</t>
  </si>
  <si>
    <t>Capital de Giro (BB) — saldo a devolver</t>
  </si>
  <si>
    <t>Empréstimo de reserva usado para pagar contas da loja em Ago/2026</t>
  </si>
  <si>
    <t>Pago</t>
  </si>
  <si>
    <t>Detalhe na aba Capital de Giro (BB). Quitado integralmente em 31/08/2026 (aporte de Adriano na reserva).</t>
  </si>
  <si>
    <t>Eversoft Ind e Com de Plasticos Ltda</t>
  </si>
  <si>
    <t>Mercadoria — doc. 72153 (emissão 02/04/2026)</t>
  </si>
  <si>
    <t>Categoria: Fornecedores / Mercadoria. Pago em 31/08/2026 — lançado em "Ago 2026" como "Eversoft" (R$ 878,93).</t>
  </si>
  <si>
    <t>Empresa Baiana de Aguas e Saneamento SA (Embasa)</t>
  </si>
  <si>
    <t>Conta de água — despesa pessoal do dono (não é da loja)</t>
  </si>
  <si>
    <t>Categoria: Pro Labore Edilânia. Pago em 01/09/2026 — lançado em Set 2026 como "Conta de Água Adriano".</t>
  </si>
  <si>
    <t>Vitoria Maria F Santos</t>
  </si>
  <si>
    <t>Aluguel da loja — setembro/2026</t>
  </si>
  <si>
    <t>Categoria: Aluguel. Pago em 01/09/2026 — lançado em Set 2026 como "Vitoria Maria F Santos".</t>
  </si>
  <si>
    <t>Wiliam Pinto Bispo</t>
  </si>
  <si>
    <t>Salário + comissões</t>
  </si>
  <si>
    <t>Categoria: Salários, Comissões e Encargos. Pago em 31/08/2026 (segunda-feira) — lançado em "Ago 2026" como "Salário Wiliam".</t>
  </si>
  <si>
    <t>Erick Feitosa Evangelista</t>
  </si>
  <si>
    <t>Salário do estagiário</t>
  </si>
  <si>
    <t>Categoria: Salários, Comissões e Encargos. Pago em 31/08/2026 — lançado em "Ago 2026" como "Salário Erick (Estagiário)".</t>
  </si>
  <si>
    <t>Filtros Planeta Agua Ind e Com Ltda</t>
  </si>
  <si>
    <t>Mercadoria — doc. 131997 (emissão 08/07/2026)</t>
  </si>
  <si>
    <t>Categoria: Fornecedores / Mercadoria. Pago em 02/09/2026 — lançado em "Set 2026" como "Filtros Planeta Água".</t>
  </si>
  <si>
    <t>Everest Refrigeracao e Industria</t>
  </si>
  <si>
    <t>Mercadoria — doc. 374271 (emissão 06/04/2026)</t>
  </si>
  <si>
    <t>Categoria: Fornecedores / Mercadoria. Pago em 03/09/2026 — lançado em "Set 2026" como "Everest Refrigeração".</t>
  </si>
  <si>
    <t>Mercadoria — doc. 72869 (emissão 07/05/2026)</t>
  </si>
  <si>
    <t>Categoria: Fornecedores / Mercadoria. Pago em 03/09/2026 — lançado em "Set 2026" como "Eversoft" (R$ 980,83).</t>
  </si>
  <si>
    <t>Neoenergia Coelba</t>
  </si>
  <si>
    <t>Energia elétrica da loja — REF 08/2026 (fatura em nome de Vitória Maria / Planeta Água)</t>
  </si>
  <si>
    <t>Categoria: Água, Energia e Internet. Pago em 08/09/2026 — lançado em Set 2026 como "Conta de Energia Loja".</t>
  </si>
  <si>
    <t>Mercadoria — doc. 73636 (emissão 10/06/2026)</t>
  </si>
  <si>
    <t>Categoria: Fornecedores / Mercadoria. Pago em 08/09/2026 — lançado em Set 2026 como "Eversoft".</t>
  </si>
  <si>
    <t>Mercadoria — doc. 133138/1 (emissão 12/08/2026)</t>
  </si>
  <si>
    <t>Categoria: Fornecedores / Mercadoria. Boleto Itaú 341-7, nosso número 109/00257849-8. Pago em 09/09/2026 — lançado em "Set 2026" como "Filtros Planeta Água".</t>
  </si>
  <si>
    <t>Sindicato dos Empregados no Comércio de Jacobina</t>
  </si>
  <si>
    <t>Contribuição assistencial — competência junho/2026</t>
  </si>
  <si>
    <t>Categoria: Impostos e Taxas. Pago em 09/09/2026 (antecipado, venc. 10/09) — lançado em "Set 2026" como "Sindicato dos Empregados no Comércio de Jacobina".</t>
  </si>
  <si>
    <t>Tarcisio Oliveira Lima</t>
  </si>
  <si>
    <t>Boleto Banco do Brasil — serviço contábil (doc. 38/0926)</t>
  </si>
  <si>
    <t>Categoria: Contabilidade. Pago em 15/09/2026 pelo Banco do Nordeste (DOC 91632428) — lançado em "Set 2026" como "Tarcisio Oliveira Lima".</t>
  </si>
  <si>
    <t>Patrus Transportes Ltda</t>
  </si>
  <si>
    <t>Frete — fatura 26-08-913041 (CT-e 2117850, remetente Eversoft, NF 75472)</t>
  </si>
  <si>
    <t>Categoria: Transporte e Entregas. Boleto Bradesco 237-2, nosso número 34840262224-4, cedente 6348-/017737-7. Frete da fatura 26-08-913041 (CT-e 2117850, remetente Eversoft, NF 75472). Pago em 16/09/2026 — lançado em "Set 2026" como "Patrus Transportes".</t>
  </si>
  <si>
    <t>FGTS Digital (GFD)</t>
  </si>
  <si>
    <t>FGTS mensal — competência 08/2026</t>
  </si>
  <si>
    <t>Categoria: Impostos e Taxas. Pago em 16/09/2026 (antecipado, venc. 18/09) — lançado em "Set 2026" como "FGTS Digital (GFD)".</t>
  </si>
  <si>
    <t>Receita Federal</t>
  </si>
  <si>
    <t>DARF / INSS — período de apuração agosto/2026</t>
  </si>
  <si>
    <t>Categoria: Impostos e Taxas. Pago em 16/09/2026 (antecipado, venc. 18/09) — lançado em "Set 2026" como "Receita Federal — DARF / INSS".</t>
  </si>
  <si>
    <t>Mercadoria — doc. 74454 (emissão 17/07/2026) · parcela 2/5</t>
  </si>
  <si>
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</si>
  <si>
    <t>Mercadoria — doc. 75472 (emissão 26/08/2026) · parcela 1/5</t>
  </si>
  <si>
    <t>Pendente</t>
  </si>
  <si>
    <t>Categoria quando pagar: Fornecedores / Mercadoria. Boleto Itaú 341-7 (Eversoft, CNPJ 08.782.043/0001-88). Nosso número 112/33604587-0. Linha digitável 34191.12333 60458.700303 55679.010003 3 15800000094006. Após o vencimento: juros ao dia + multa de 2%.</t>
  </si>
  <si>
    <t>Mercadoria — doc. 72869 (emissão 07/05/2026) · parcela 5/5 (última)</t>
  </si>
  <si>
    <t>Categoria quando pagar: Fornecedores / Mercadoria. Boleto Itaú 341-7 (Eversoft, CNPJ 08.782.043/0001-88). Nosso número 112/19915315-9. Linha digitável 34191.12192 91531.590304 55679.010003 3 15890000098081. Após o vencimento: juros ao dia + multa de 2%.</t>
  </si>
  <si>
    <t>Mercadoria — doc. 73636 (emissão 10/06/2026) · parcela 4/5</t>
  </si>
  <si>
    <t>Categoria quando pagar: Fornecedores / Mercadoria. Boleto Itaú 341-7 (Eversoft, CNPJ 08.782.043/0001-88). Nosso número 112/24142201-6. Linha digitável 34191.12242 14220.160304 55679.010003 7 15930000087892. Após o vencimento: juros ao dia + multa de 2%.</t>
  </si>
  <si>
    <t>Mercadoria — doc. 74454 (emissão 17/07/2026) · parcela 3/5</t>
  </si>
  <si>
    <t>Categoria quando pagar: Fornecedores / Mercadoria. Boleto Itaú 341-7 (Eversoft, CNPJ 08.782.043/0001-88). Nosso número 112/28638818-9. Linha digitável 34191.12283 63881.890303 55679.010003 2 16000000098083. Após o vencimento: juros ao dia + multa de 2%.</t>
  </si>
  <si>
    <t>Mercadoria — doc. 75472 (emissão 26/08/2026) · parcela 2/5</t>
  </si>
  <si>
    <t>Categoria quando pagar: Fornecedores / Mercadoria. Boleto Itaú 341-7 (Eversoft, CNPJ 08.782.043/0001-88). Nosso número 112/33604663-9. Linha digitável 34191.12333 60466.390303 55679.010003 1 16100000094006. Após o vencimento: juros ao dia + multa de 2%.</t>
  </si>
  <si>
    <t>Mercadoria — doc. 73636 (emissão 10/06/2026) · parcela 5/5 (última)</t>
  </si>
  <si>
    <t>Categoria quando pagar: Fornecedores / Mercadoria. Boleto Itaú 341-7 (Eversoft, CNPJ 08.782.043/0001-88). Nosso número 112/24142177-8. Linha digitável 34191.12242 14217.780304 55679.010003 4 16230000087893. Após o vencimento: juros ao dia + multa de 2%.</t>
  </si>
  <si>
    <t>Mercadoria — doc. 381554 (emissão 17/07/2026) · parcela 2/5</t>
  </si>
  <si>
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</si>
  <si>
    <t>Mercadoria — doc. 377737 (emissão 19/05/2026) · parcela 4/5</t>
  </si>
  <si>
    <t>Categoria: Fornecedores / Mercadoria. Boleto Itaú 341-7. Nosso número 112/21336084-8. Pago em 16/09/2026 — lançado em "Set 2026" como "Everest Refrigeração".</t>
  </si>
  <si>
    <t>Mercadoria — doc. 377738 (emissão 19/05/2026) · parcela 4/5</t>
  </si>
  <si>
    <t>Categoria: Fornecedores / Mercadoria. Boleto Itaú 341-7. Nosso número 112/21336022-8. Pago em 16/09/2026 pelo Banco do Nordeste — lançado em "Set 2026" como "Everest Refrigeração".</t>
  </si>
  <si>
    <t>Mercadoria — doc. 377739 (emissão 19/05/2026) · parcela 4/5</t>
  </si>
  <si>
    <t>Categoria: Fornecedores / Mercadoria. Boleto Itaú 341-7. Nosso número 112/21336008-7. Pago em 16/09/2026 — lançado em "Set 2026" como "Everest Refrigeração".</t>
  </si>
  <si>
    <t>Mercadoria — doc. 379826 (emissão 22/06/2026) · parcela 3/5</t>
  </si>
  <si>
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</si>
  <si>
    <t>Mercadoria — doc. 381554 (emissão 17/07/2026) · parcela 3/5</t>
  </si>
  <si>
    <t>Categoria quando pagar: Fornecedores / Mercadoria. Boleto Itaú 341-7. Nosso número 112/28637900-6. Linha digitável 34191.12283 63790.060303 52238.850003 9 16000000089230. Após o vencimento: juros ao dia + multa de 2%.</t>
  </si>
  <si>
    <t>Mercadoria — doc. 377737 (emissão 19/05/2026) · parcela 5/5 (última)</t>
  </si>
  <si>
    <t>Categoria quando pagar: Fornecedores / Mercadoria. Boleto Itaú 341-7. Nosso número 112/21335994-9. Linha digitável 34191.12218 33599.490308 52238.850003 1 16010000013932. Após o vencimento: juros ao dia + multa de 2%.</t>
  </si>
  <si>
    <t>Mercadoria — doc. 377738 (emissão 19/05/2026) · parcela 5/5 (última)</t>
  </si>
  <si>
    <t>Categoria quando pagar: Fornecedores / Mercadoria. Boleto Itaú 341-7. Nosso número 112/21335634-1. Linha digitável 34191.12218 33563.410308 52238.850003 5 16010000086552. Após o vencimento: juros ao dia + multa de 2%.</t>
  </si>
  <si>
    <t>Mercadoria — doc. 377739 (emissão 19/05/2026) · parcela 5/5 (última)</t>
  </si>
  <si>
    <t>Categoria quando pagar: Fornecedores / Mercadoria. Boleto Itaú 341-7. Nosso número 112/21335118-5. Linha digitável 34191.12218 33511.850308 52238.850003 9 16010000085634. Após o vencimento: juros ao dia + multa de 2%.</t>
  </si>
  <si>
    <t>Mercadoria — doc. 379826 (emissão 22/06/2026) · parcela 4/5</t>
  </si>
  <si>
    <t>Categoria quando pagar: Fornecedores / Mercadoria. Boleto Itaú 341-7. Nosso número 112/25528695-0. Linha digitável 34191.12259 52869.500307 52238.850003 1 16050000087468. Após o vencimento: juros ao dia + multa de 2%.</t>
  </si>
  <si>
    <t>Mercadoria — doc. 74454 (emissão 17/07/2026) · parcela 4/5</t>
  </si>
  <si>
    <t>Previsto</t>
  </si>
  <si>
    <t>PREVISÃO (aguarda boleto) — o fornecedor ainda não emitiu este boleto. Valor e vencimento conforme as duplicatas da NF 74454 (emissão 17/07/2026). Categoria quando pagar: Fornecedores / Mercadoria. Conferir o boleto quando chegar.</t>
  </si>
  <si>
    <t>Mercadoria — doc. 381554 (emissão 17/07/2026) · parcela 4/5</t>
  </si>
  <si>
    <t>PREVISÃO (aguarda boleto) — o fornecedor ainda não emitiu este boleto. Valor e vencimento conforme as duplicatas da NF 381554 (emissão 17/07/2026). Categoria quando pagar: Fornecedores / Mercadoria. Conferir o boleto quando chegar.</t>
  </si>
  <si>
    <t>Mercadoria — doc. 379826 (emissão 22/06/2026) · parcela 5/5 (última)</t>
  </si>
  <si>
    <t>PREVISÃO (aguarda boleto) — o fornecedor ainda não emitiu este boleto. Valor e vencimento conforme as duplicatas da NF 379826 (emissão 22/06/2026). Categoria quando pagar: Fornecedores / Mercadoria. Conferir o boleto quando chegar.</t>
  </si>
  <si>
    <t>Mercadoria — doc. 75472 (emissão 26/08/2026) · parcela 3/5</t>
  </si>
  <si>
    <t>PREVISÃO (aguarda boleto) — o fornecedor ainda não emitiu este boleto. Valor e vencimento conforme as duplicatas da NF 75472 (emissão 26/08/2026). Categoria quando pagar: Fornecedores / Mercadoria. Conferir o boleto quando chegar.</t>
  </si>
  <si>
    <t>Mercadoria — doc. 381554 (emissão 17/07/2026) · parcela 5/5 (última)</t>
  </si>
  <si>
    <t>Mercadoria — doc. 74454 (emissão 17/07/2026) · parcela 5/5 (última)</t>
  </si>
  <si>
    <t>Mercadoria — doc. 75472 (emissão 26/08/2026) · parcela 4/5</t>
  </si>
  <si>
    <t>Mercadoria — doc. 75472 (emissão 26/08/2026) · parcela 5/5 (última)</t>
  </si>
  <si>
    <t>Mercadoria — doc. 131997/4 (emissão 08/07/2026) · parcela 4/4 (última)</t>
  </si>
  <si>
    <t>Categoria: Fornecedores / Mercadoria. Boleto Itaú 341-7 (carteira 109). Nosso número 109/00255359-0. Pago em 16/09/2026 pelo Banco do Nordeste — lançado em "Set 2026" como "Filtros Planeta Água".</t>
  </si>
  <si>
    <t>Instituto Euvaldo Lodi — Núcleo Regional da Bahia</t>
  </si>
  <si>
    <t>Contribuição do contrato de estágio — doc. A 000007329</t>
  </si>
  <si>
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</si>
  <si>
    <t>Proxxima Telecomunicacoes S.A.</t>
  </si>
  <si>
    <t>Internet da loja — plano Turbinados 700 MB, contrato 578646</t>
  </si>
  <si>
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</si>
  <si>
    <t>Mercadoria — doc. 133138/2 (emissão 12/08/2026) · parcela 2/4</t>
  </si>
  <si>
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</si>
  <si>
    <t>Conta de água — despesa pessoal do dono (não é da loja) — ref. 10/2026</t>
  </si>
  <si>
    <t>Categoria quando pagar: Pro Labore Edilânia. Fatura em nome pessoal do sócio, matrícula 0531718-70. Pagável via Pix no QR Code da conta.</t>
  </si>
  <si>
    <t>Mercadoria — doc. 133138/3 (emissão 12/08/2026) · parcela 3/4</t>
  </si>
  <si>
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</si>
  <si>
    <t>Mercadoria — doc. 133138/4 (emissão 12/08/2026) · parcela 4/4 (última)</t>
  </si>
  <si>
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</si>
  <si>
    <t>Salário mensal — competência setembro/2026</t>
  </si>
  <si>
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</si>
  <si>
    <t>Salário mensal — competência outubro/2026</t>
  </si>
  <si>
    <t>Mercadoria — doc. 386188 (emissão 15/09/2026) · parcela 1/5</t>
  </si>
  <si>
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</si>
  <si>
    <t>Mercadoria — doc. 386188 (emissão 15/09/2026) · parcela 2/5</t>
  </si>
  <si>
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</si>
  <si>
    <t>Mercadoria — doc. 386188 (emissão 15/09/2026) · parcela 3/5</t>
  </si>
  <si>
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</si>
  <si>
    <t>Mercadoria — doc. 386188 (emissão 15/09/2026) · parcela 4/5</t>
  </si>
  <si>
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</si>
  <si>
    <t>Mercadoria — doc. 386188 (emissão 15/09/2026) · parcela 5/5 (última)</t>
  </si>
  <si>
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</si>
  <si>
    <t>Receita Federal — Simples Nacional (DAS)</t>
  </si>
  <si>
    <t>DAS — competência agosto/2026 (doc. 07.20.26260.6017058-0)</t>
  </si>
  <si>
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</si>
  <si>
    <t>SEFAZ-BA — DAE ICMS Antecipação Parcial</t>
  </si>
  <si>
    <t>ICMS Antecipação Parcial — referência 08/2026 (cód. receita 2175, nº 1965056088)</t>
  </si>
  <si>
    <t>Categoria quando pagar: Impostos e Taxas. Inscrição Estadual 066.200.856. Linha digitável 85890000017 4 12700005202 5 60925196505 0 60882175193 3.</t>
  </si>
  <si>
    <t>SEFAZ-BA — DAE ICMS Antecipação Tributária</t>
  </si>
  <si>
    <t>ICMS Antecipação Tributária — referência 08/2026 (cód. receita 1145, nº 1965056107)</t>
  </si>
  <si>
    <t>Categoria quando pagar: Impostos e Taxas. Inscrição Estadual 066.200.856. Linha digitável 85870000000 6 74050005202 0 60925196505 0 61070133812 7.</t>
  </si>
  <si>
    <t>Mercadoria — doc. 133812/001 (emissão 28/08/2026) · parcela 1/4</t>
  </si>
  <si>
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</si>
  <si>
    <t>Mercadoria — doc. 133812/002 (emissão 28/08/2026) · parcela 2/4</t>
  </si>
  <si>
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</si>
  <si>
    <t>Mercadoria — doc. 133812/003 (emissão 28/08/2026) · parcela 3/4</t>
  </si>
  <si>
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</si>
  <si>
    <t>Mercadoria — doc. 133812/004 (emissão 28/08/2026) · parcela 4/4 (última)</t>
  </si>
  <si>
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</si>
  <si>
    <t>Frete — fatura 26-09-904996 (CT-e 2123999, remetente Everest, NF 386188)</t>
  </si>
  <si>
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</si>
  <si>
    <t>TOTAL A PAGAR — COM BOLETO EM MÃOS</t>
  </si>
  <si>
    <t>PREVISTO — compromisso certo que ainda não está documentado</t>
  </si>
  <si>
    <t>TOTAL GERAL A PAGAR (boletos + previsão)</t>
  </si>
  <si>
    <t>CONTAS A RECEBER  —  vendas feitas e ainda não pagas</t>
  </si>
  <si>
    <t>Espelho das vendas marcadas como "Aguardando Pagamento" nas abas dos meses. Ao receber, mude a Forma de Pagamento na aba do mês E o Status aqui. A linha de conferência avisa se os dois deixarem de bater.</t>
  </si>
  <si>
    <t>Cliente</t>
  </si>
  <si>
    <t>Produto / Referência</t>
  </si>
  <si>
    <t>Data da Venda</t>
  </si>
  <si>
    <t>Centro de Especialidades Odontomédicas</t>
  </si>
  <si>
    <t>Refil Everest</t>
  </si>
  <si>
    <t>Supermercado Brasil</t>
  </si>
  <si>
    <t>2x Refil Pro Life</t>
  </si>
  <si>
    <t>Tropical Motos LTDA</t>
  </si>
  <si>
    <t>3x Refil Everest + Refil Pro Life + 3x Pré Filtro + Válvula Reguladora de Pressão</t>
  </si>
  <si>
    <t>Recebido</t>
  </si>
  <si>
    <t>Recebido via TED em 25/08/2026. NF conferida: valor correto é R$820 (faltava a válvula no lançamento original de R$740).</t>
  </si>
  <si>
    <t>Free Way</t>
  </si>
  <si>
    <t>5x Refil Everest</t>
  </si>
  <si>
    <t>Recebido via TED em 02/09/2026.</t>
  </si>
  <si>
    <t>Neli Sena Rego</t>
  </si>
  <si>
    <t>Refil Pro Life</t>
  </si>
  <si>
    <t>Recebido em dinheiro em 01/09/2026 (R$ 170,00 pelas duas vendas)</t>
  </si>
  <si>
    <t>Conexão + Mangueira</t>
  </si>
  <si>
    <t>Lapec</t>
  </si>
  <si>
    <t>4x Refil Everest</t>
  </si>
  <si>
    <t>Recebido em dinheiro em 08/09/2026 — lançado em "Set 2026".</t>
  </si>
  <si>
    <t>Cícero Lima</t>
  </si>
  <si>
    <t>Recebido via Pix em 27/08/2026</t>
  </si>
  <si>
    <t>Promotoria Regional de Jacobina</t>
  </si>
  <si>
    <t>2x Carcaça 9" + 2x Refil Plissado 9" + Conexão Reta Rosca</t>
  </si>
  <si>
    <t>Pago em 28/08/2026 em duas formas: R$ 270,00 Pix + R$ 200,00 crédito 2x</t>
  </si>
  <si>
    <t>Lucas Souza</t>
  </si>
  <si>
    <t>Refil Everest + Pré Filtro</t>
  </si>
  <si>
    <t>Recebido em dinheiro em 03/09/2026 — lançado em "Set 2026".</t>
  </si>
  <si>
    <t>FG Boa Vista (Recife/PE)</t>
  </si>
  <si>
    <t>Refis — troca de julho/2026</t>
  </si>
  <si>
    <t>Grupo Ânima — NF 000.004.280 · recebido em 30/08/2026 (Nota Paga no portal V360)</t>
  </si>
  <si>
    <t>UNIFG Guanambi (Guanambi/BA)</t>
  </si>
  <si>
    <t>Grupo Ânima — NF 000.004.281 · recebido em 30/08/2026 (Nota Paga no portal V360)</t>
  </si>
  <si>
    <t>UNP Zona Norte (Natal/RN)</t>
  </si>
  <si>
    <t>Grupo Ânima — NF 000.004.282 · recebido em 30/08/2026 (Nota Paga no portal V360)</t>
  </si>
  <si>
    <t>UNP Caicó (Caicó/RN)</t>
  </si>
  <si>
    <t>Grupo Ânima — NF 000.004.283 · recebido via Pix em 27/08/2026</t>
  </si>
  <si>
    <t>AGES Irecê (Irecê/BA)</t>
  </si>
  <si>
    <t>Grupo Ânima — NF 000.004.294 · recebido via Pix em 04/09/2026.</t>
  </si>
  <si>
    <t>CIS Irecê (Irecê/BA)</t>
  </si>
  <si>
    <t>Grupo Ânima — NF 000.004.295 · recebido via Pix em 04/09/2026.</t>
  </si>
  <si>
    <t>AGES Senhor do Bonfim (S. do Bonfim/BA)</t>
  </si>
  <si>
    <t>Grupo Ânima — NF 000.004.298 · recebido via Pix em 08/09/2026.</t>
  </si>
  <si>
    <t>CIS Senhor do Bonfim (S. do Bonfim/BA)</t>
  </si>
  <si>
    <t>Grupo Ânima — NF 000.004.299 · recebido via Pix em 08/09/2026.</t>
  </si>
  <si>
    <t>AGES Paripiranga (Paripiranga/BA)</t>
  </si>
  <si>
    <t>Grupo Ânima — NF 000.004.300 · recebido via Pix em 08/09/2026.</t>
  </si>
  <si>
    <t>Clínica Veterinária Paripiranga (Paripiranga/BA)</t>
  </si>
  <si>
    <t>Grupo Ânima — NF 000.004.301 · recebido via Pix em 08/09/2026.</t>
  </si>
  <si>
    <t>UNP Mossoró (Mossoró/RN)</t>
  </si>
  <si>
    <t>Grupo Ânima — NF 000.004.302 · recebido via Pix em 08/09/2026.</t>
  </si>
  <si>
    <t>CIS Jacobina (Jacobina/BA)</t>
  </si>
  <si>
    <t>Grupo Ânima — NF 000.004.333 de 26/08/2026 · OC AEMPPO00004452 · 30 dias</t>
  </si>
  <si>
    <t>AGES Jacobina (Jacobina/BA)</t>
  </si>
  <si>
    <t>Grupo Ânima — NF 000.004.332 de 26/08/2026 · OC AEMPPO00004453 · 45 dias</t>
  </si>
  <si>
    <t>Instituto Paulo Leão</t>
  </si>
  <si>
    <t>Refil E3 + Pré Filtro</t>
  </si>
  <si>
    <t>Recebido via Pix em 08/09/2026 — lançado em "Set 2026".</t>
  </si>
  <si>
    <t>Eletronic Segurança Eletronica</t>
  </si>
  <si>
    <t>Pré Filtro</t>
  </si>
  <si>
    <t>Recebido via Pix em 03/09/2026.</t>
  </si>
  <si>
    <t>Clube dos Mineiros</t>
  </si>
  <si>
    <t>Recebido via Pix em 01/09/2026 (pagador: Sindicato dos Mineiros de Jacobina).</t>
  </si>
  <si>
    <t>Armazem Cecilio Mota</t>
  </si>
  <si>
    <t>Refil Everest + Refil Carbon 9"</t>
  </si>
  <si>
    <t>Recebido via Pix em 10/09/2026 — lançado em "Set 2026".</t>
  </si>
  <si>
    <t>Clebson Dantas Da Silva</t>
  </si>
  <si>
    <t>Recebido via Pix em 02/09/2026</t>
  </si>
  <si>
    <t>Tesla Imagem Medicina Diagnostica Ltda</t>
  </si>
  <si>
    <t>3x Refil Everest + 2x Pré Filtro</t>
  </si>
  <si>
    <t>Troca do dia 02/09/2026 — 1º Andar, Térreo e Copa</t>
  </si>
  <si>
    <t>Cecilio Mota Junior</t>
  </si>
  <si>
    <t>Tereza Cristina Aquino Martins - Luiz Augusto</t>
  </si>
  <si>
    <t>Recebido via Pix em 04/09/2026.</t>
  </si>
  <si>
    <t>Samille Fiscina Lima Lordello - Tiago (Cartório)</t>
  </si>
  <si>
    <t>Bomboniere Doce Mania - Veronildo Basilio</t>
  </si>
  <si>
    <t>Refil Plissado + Refil BAG</t>
  </si>
  <si>
    <t>Recebido em dinheiro em 16/09/2026 — lançado em "Set 2026".</t>
  </si>
  <si>
    <t>Adriadne (Hotel Jovem Jota)</t>
  </si>
  <si>
    <t>Recebido via Pix em 11/09/2026 — lançado em "Set 2026".</t>
  </si>
  <si>
    <t>Pousada Triunfo Ltda (Hotel Triunfo)</t>
  </si>
  <si>
    <t>Topvel Tropical Veiculos e Pecas</t>
  </si>
  <si>
    <t>2x Refil Everest + 2x Pré Filtro</t>
  </si>
  <si>
    <t>Troca do dia 11/09/2026 — dois purificadores.</t>
  </si>
  <si>
    <t>J Diesel Motores e Reparos - Gilmara</t>
  </si>
  <si>
    <t>Troca do dia 11/09/2026.</t>
  </si>
  <si>
    <t>IOB</t>
  </si>
  <si>
    <t>Troca do dia 14/09/2026.</t>
  </si>
  <si>
    <t>Clínica Santa Cecília</t>
  </si>
  <si>
    <t>Refil Everest + Termostato</t>
  </si>
  <si>
    <t>Troca do dia 16/09/2026 — refil + troca de termostato.</t>
  </si>
  <si>
    <t>Marilda Macedo / José Luciano Costa</t>
  </si>
  <si>
    <t>Recebido via Pix em 19/09/2026 — lançado em "Set 2026".</t>
  </si>
  <si>
    <t>Tatiana Rocha</t>
  </si>
  <si>
    <t>Troca do dia 21/09/2026.</t>
  </si>
  <si>
    <t>Cleone Gomes de Andrade</t>
  </si>
  <si>
    <t>Troca do dia 21/09/2026. Recebido via Pix em 21/09/2026.</t>
  </si>
  <si>
    <t>TOTAL EM ABERTO A RECEBER (detalhe)</t>
  </si>
  <si>
    <t>CONFERÊNCIA COM AS ABAS DOS MESES</t>
  </si>
  <si>
    <t>As contas a pagar do DigiSat (pendentes até 27/07/2026) foram todas quitadas — confirmado em 19/08/2026. A única dívida em aberto hoje é o Capital de Giro do Banco do Brasil. Lance aqui novos compromissos conforme surgirem.</t>
  </si>
  <si>
    <t>CAPITAL DE GIRO — BANCO DO BRASIL (Empréstimo de Reserva)</t>
  </si>
  <si>
    <t>Controle de contas da loja pagas pela reserva do Banco do Brasil (não contam como venda/faturamento) e das devoluções feitas pela Planeta Água até quitar o valor.</t>
  </si>
  <si>
    <t>SALDO DEVEDOR (A DEVOLVER)</t>
  </si>
  <si>
    <t>TOTAL JÁ RETIRADO (HISTÓRICO)</t>
  </si>
  <si>
    <t>Data</t>
  </si>
  <si>
    <t>Conta Paga</t>
  </si>
  <si>
    <t>Categoria Original</t>
  </si>
  <si>
    <t>Data da Devolução</t>
  </si>
  <si>
    <t>Fracione Transportes</t>
  </si>
  <si>
    <t>Devolvido</t>
  </si>
  <si>
    <t>Pago via Banco do Brasil — referente Ago 2026</t>
  </si>
  <si>
    <t>Aluguel da Loja</t>
  </si>
  <si>
    <t>Salário Erick (Estagiário)</t>
  </si>
  <si>
    <t>Filtros Planeta Água</t>
  </si>
  <si>
    <t>Eversoft</t>
  </si>
  <si>
    <t>Despesas do dia 17/08/2026 (complemento)</t>
  </si>
  <si>
    <t>Diversas</t>
  </si>
  <si>
    <t>Retirada de R$ 250,00 para completar o pagamento das despesas de 17/08 — não corresponde a uma conta específica</t>
  </si>
  <si>
    <t>DAS — Documento de Arrecadação do Simples Nacional</t>
  </si>
  <si>
    <t>Como registrar uma devolução:</t>
  </si>
  <si>
    <t>1. Trocar "Status" da linha para "Devolvido" e preencher a "Data da Devolução".</t>
  </si>
  <si>
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</si>
  <si>
    <t>PONTO DE EQUILÍBRIO</t>
  </si>
  <si>
    <t>Quanto a loja precisa faturar por mês só para não ter prejuízo — e quanto precisa vender para lucrar o que você quiser. Base: média dos meses já lançados em 2026.</t>
  </si>
  <si>
    <t>Indicador</t>
  </si>
  <si>
    <t>Valor</t>
  </si>
  <si>
    <t>Receita média mensal</t>
  </si>
  <si>
    <t>Custos variáveis médios</t>
  </si>
  <si>
    <t>Margem de contribuição média (R$)</t>
  </si>
  <si>
    <t>Margem de contribuição (%)</t>
  </si>
  <si>
    <t>Custos fixos médios</t>
  </si>
  <si>
    <t>PONTO DE EQUILÍBRIO (faturamento mínimo/mês)</t>
  </si>
  <si>
    <t>Resultado médio atual</t>
  </si>
  <si>
    <t>Ticket médio da loja (preencha)</t>
  </si>
  <si>
    <t>← valor médio de uma venda. Serve para converter R$ em nº de vendas.</t>
  </si>
  <si>
    <t>QUANTO PRECISO VENDER PARA...</t>
  </si>
  <si>
    <t>Objetivo</t>
  </si>
  <si>
    <t>Lucro desejado (R$)</t>
  </si>
  <si>
    <t>Faturamento necessário (R$)</t>
  </si>
  <si>
    <t>Nº de vendas no mês</t>
  </si>
  <si>
    <t>Vendas por dia útil (26 dias)</t>
  </si>
  <si>
    <t>Não ter prejuízo (equilíbrio)</t>
  </si>
  <si>
    <t>Lucrar R$ 500</t>
  </si>
  <si>
    <t>Lucrar R$ 1.000</t>
  </si>
  <si>
    <t>Lucrar R$ 2.000</t>
  </si>
  <si>
    <t>Lucrar R$ 3.000</t>
  </si>
  <si>
    <t>Lucrar R$ 5.000</t>
  </si>
  <si>
    <t>FLUXO DE CAIXA PROJETADO</t>
  </si>
  <si>
    <t>Projeção do saldo dos próximos meses. As previsões vêm da média de Jan–Ago; edite as células amarelas com o que você já sabe que vai entrar ou sair.</t>
  </si>
  <si>
    <t>Saldo de caixa hoje (preencha)</t>
  </si>
  <si>
    <t>← quanto existe de dinheiro em caixa + banco nesta data</t>
  </si>
  <si>
    <t>Entradas Previstas (R$)</t>
  </si>
  <si>
    <t>Recebimentos de Contas a Receber (R$)</t>
  </si>
  <si>
    <t>Saídas Previstas (R$)</t>
  </si>
  <si>
    <t>Resultado do Mês (R$)</t>
  </si>
  <si>
    <t>Saldo Acumulado (R$)</t>
  </si>
  <si>
    <t>Setembro/2026</t>
  </si>
  <si>
    <t>Outubro/2026</t>
  </si>
  <si>
    <t>Novembro/2026</t>
  </si>
  <si>
    <t>Dezembro/2026</t>
  </si>
  <si>
    <t>TOTAL PROJETADO</t>
  </si>
  <si>
    <t>Saídas previstas = custos variáveis médios + custos fixos médios (aba DRE). As contas a receber pendentes entram uma única vez, em setembro, pois são vendas já feitas.</t>
  </si>
  <si>
    <t>RESERVA DE EMERGÊNCIA E IMPOSTOS</t>
  </si>
  <si>
    <t>Quanto a loja precisa ter guardado para aguentar meses ruins, e quanto sai de imposto por mês.</t>
  </si>
  <si>
    <t>RESERVA DE EMERGÊNCIA</t>
  </si>
  <si>
    <t>Custo fixo médio mensal (aluguel, energia, salários, contabilidade...)</t>
  </si>
  <si>
    <t>Meses de cobertura desejados</t>
  </si>
  <si>
    <t>← 3 meses é o padrão recomendado para pequeno comércio</t>
  </si>
  <si>
    <t>RESERVA IDEAL</t>
  </si>
  <si>
    <t>Reserva que já existe hoje</t>
  </si>
  <si>
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</si>
  <si>
    <t>Falta guardar</t>
  </si>
  <si>
    <t>Meses de cobertura que você tem hoje</t>
  </si>
  <si>
    <t>IMPOSTOS</t>
  </si>
  <si>
    <t>Item</t>
  </si>
  <si>
    <t>Regime tributário</t>
  </si>
  <si>
    <t>Simples Nacional</t>
  </si>
  <si>
    <t>Alíquota efetiva (%)</t>
  </si>
  <si>
    <t>Faturamento médio mensal</t>
  </si>
  <si>
    <t>Imposto estimado por mês</t>
  </si>
  <si>
    <t>Imposto estimado no ano (12 meses)</t>
  </si>
  <si>
    <t>Dia de vencimento da guia (DAS)</t>
  </si>
  <si>
    <t>Regime e alíquota são um chute inicial — confirme com seu contador. O imposto já pago aparece nas abas mensais na categoria 'Impostos e Taxas'.</t>
  </si>
  <si>
    <t>A reserva ideal cobre só os custos fixos. Se quiser cobrir também a compra de mercadoria, aumente os meses de cobertura.</t>
  </si>
  <si>
    <t>ORÇADO vs REALIZADO — AGOSTO/2026</t>
  </si>
  <si>
    <t>Defina a meta (amarelo) e compare com o que realmente aconteceu. O realizado é puxado automaticamente da aba do mês.</t>
  </si>
  <si>
    <t>Orçado (R$)</t>
  </si>
  <si>
    <t>Realizado (R$)</t>
  </si>
  <si>
    <t>Diferença (R$)</t>
  </si>
  <si>
    <t>% da Meta</t>
  </si>
  <si>
    <t>Situação</t>
  </si>
  <si>
    <t>FATURAMENTO</t>
  </si>
  <si>
    <t>DESPESAS POR CATEGORIA</t>
  </si>
  <si>
    <t>TOTAL DESPESAS</t>
  </si>
  <si>
    <t>RESULTADO (Faturamento − Despesas)</t>
  </si>
  <si>
    <t>Preencha as metas nas células amarelas. Para usar em outro mês, troque as referências 'Ago 2026' pelas do mês desejado (ex.: 'Set 2026'), mantendo as mesmas linhas do quadro Saídas por Categoria.</t>
  </si>
  <si>
    <t>PRECIFICAÇÃO E MARGEM POR PRODUTO</t>
  </si>
  <si>
    <t>Quanto sobra de verdade em cada item vendido. Custo = última compra de 2026 (IPI incluso, Simples não recupera) + 6,4% de frete de entrada nos itens da Everest e Eversoft, que são FOB. Filtros Planeta Água, Culligan e Knox são CIF: frete já vem no preço.</t>
  </si>
  <si>
    <t>Taxa média de cartão</t>
  </si>
  <si>
    <t>Alíquota de imposto</t>
  </si>
  <si>
    <t>← taxa dos itens de balcão. Purificadores usam 13,99% (crédito 10x) direto na fórmula; Baby usa 11% (6x).</t>
  </si>
  <si>
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</si>
  <si>
    <t>Produto / Serviço</t>
  </si>
  <si>
    <t>Preço de Venda (R$)</t>
  </si>
  <si>
    <t>Custo de Aquisição (R$)</t>
  </si>
  <si>
    <t>Comissão (R$)</t>
  </si>
  <si>
    <t>Taxa de Cartão (R$)</t>
  </si>
  <si>
    <t>Imposto (R$)</t>
  </si>
  <si>
    <t>Custo Total (R$)</t>
  </si>
  <si>
    <t>Margem Líquida (R$)</t>
  </si>
  <si>
    <t>Taxa aplicada</t>
  </si>
  <si>
    <t>Refil Carbon Tech 9"</t>
  </si>
  <si>
    <t>Refil Carbon Tech 5"</t>
  </si>
  <si>
    <t>Refil E3</t>
  </si>
  <si>
    <t>Refil Plissado</t>
  </si>
  <si>
    <t>Refil C+3 (IBBL)</t>
  </si>
  <si>
    <t>Mangueira (por metro)</t>
  </si>
  <si>
    <t>Registro</t>
  </si>
  <si>
    <t>Termostato</t>
  </si>
  <si>
    <t>Purificador Everest Slim Branco</t>
  </si>
  <si>
    <t>Purificador Everest Slim Prata</t>
  </si>
  <si>
    <t>Purificador Everest Star Branco</t>
  </si>
  <si>
    <t>Purificador Everest Plus Branco</t>
  </si>
  <si>
    <t>Purificador Everest Plus Prata</t>
  </si>
  <si>
    <t>Purificador Everest Fit Branco</t>
  </si>
  <si>
    <t>Purificador Everest Fit Preto</t>
  </si>
  <si>
    <t>Purificador Everest Fit Prata</t>
  </si>
  <si>
    <t>Purificador Everest Star Preto</t>
  </si>
  <si>
    <t>Purificador Everest Foz Branco</t>
  </si>
  <si>
    <t>Purificador Everest Foz Cinza/Grafite</t>
  </si>
  <si>
    <t>Purificador Everest Baby (todas as cores)</t>
  </si>
  <si>
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</si>
  <si>
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</si>
  <si>
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</si>
  <si>
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</si>
  <si>
    <t>CONCILIAÇÃO BANCÁRIA</t>
  </si>
  <si>
    <t>Compare o que está lançado na planilha com o que aparece no extrato do banco. Qualquer diferença aparece sozinha na coluna Status.</t>
  </si>
  <si>
    <t>Valor na Planilha (R$)</t>
  </si>
  <si>
    <t>Valor no Extrato (R$)</t>
  </si>
  <si>
    <t>TOTAIS</t>
  </si>
  <si>
    <t>CADASTRO DE CLIENTES E FORNECEDORES</t>
  </si>
  <si>
    <t>Base única de nomes, documentos e contatos — evita retrabalho e erro de digitação. Pré-preenchido com os nomes que já aparecem em Ago/2026; telefone e endereço puxados da Planilha de Clientes quando encontrados.</t>
  </si>
  <si>
    <t>Nome</t>
  </si>
  <si>
    <t>Tipo</t>
  </si>
  <si>
    <t>PF ou PJ</t>
  </si>
  <si>
    <t>CPF / CNPJ</t>
  </si>
  <si>
    <t>Telefone / WhatsApp</t>
  </si>
  <si>
    <t>E-mail</t>
  </si>
  <si>
    <t>Endereço</t>
  </si>
  <si>
    <t>Cidade</t>
  </si>
  <si>
    <t>Graciete Cordeiro</t>
  </si>
  <si>
    <t>Rua Deodoro da Fonseca, 104, Ap 106</t>
  </si>
  <si>
    <t>Jacobina - BA</t>
  </si>
  <si>
    <t>Caixa Dágua</t>
  </si>
  <si>
    <t>Lojão das Maquiagens</t>
  </si>
  <si>
    <t>981460585 May</t>
  </si>
  <si>
    <t>Rua Coronel Teixeira, 84</t>
  </si>
  <si>
    <t>Centro</t>
  </si>
  <si>
    <t>Edelmir Cordeiro</t>
  </si>
  <si>
    <t>Rua Coronel Deraldo Dias, 40</t>
  </si>
  <si>
    <t>Leader</t>
  </si>
  <si>
    <t>Atacadão das Confecções</t>
  </si>
  <si>
    <t>Rua Coronel Teixeira, 270</t>
  </si>
  <si>
    <t>Silva e Silva Advogados</t>
  </si>
  <si>
    <t>Rua D Casa 20 (Proximo a Associação)</t>
  </si>
  <si>
    <t>Jacobina 2</t>
  </si>
  <si>
    <t>Multipet</t>
  </si>
  <si>
    <t>Rua Ruy Barbosa</t>
  </si>
  <si>
    <t>Matriz</t>
  </si>
  <si>
    <t>Cilmara Melo Nunes de Souza</t>
  </si>
  <si>
    <t>Condominio Alamedas do Rio, 490</t>
  </si>
  <si>
    <t>Nazare</t>
  </si>
  <si>
    <t>Farmácia Popular</t>
  </si>
  <si>
    <t>98873-1939</t>
  </si>
  <si>
    <t>Rua do Triangulo, 477</t>
  </si>
  <si>
    <t>Peru</t>
  </si>
  <si>
    <t>Ivanilton Costa</t>
  </si>
  <si>
    <t>36213804/ 991231675</t>
  </si>
  <si>
    <t>Travessa Alberto Torres, 126</t>
  </si>
  <si>
    <t>Estação</t>
  </si>
  <si>
    <t>988044240 1 Cobertura (clínica)</t>
  </si>
  <si>
    <t>Rua Senador Pedro Lago , 17 Edificio Edite</t>
  </si>
  <si>
    <t>99195-3324</t>
  </si>
  <si>
    <t>Rua Silvio Dias Pires, 70</t>
  </si>
  <si>
    <t>Marcio Itamar</t>
  </si>
  <si>
    <t>9902-1170</t>
  </si>
  <si>
    <t>Rua José Marcelino, 317</t>
  </si>
  <si>
    <t>Mundo Novo</t>
  </si>
  <si>
    <t>Arena Jacobina Society</t>
  </si>
  <si>
    <t>Rua Renato Rocha, 90</t>
  </si>
  <si>
    <t>Felix Tomaz</t>
  </si>
  <si>
    <t>Verdes Mares Tintas</t>
  </si>
  <si>
    <t>3621-3207/981024265</t>
  </si>
  <si>
    <t>Avenida Orlando Oliveira Pires, 843</t>
  </si>
  <si>
    <t>Silvania Mota</t>
  </si>
  <si>
    <t>36211743/991543136</t>
  </si>
  <si>
    <t>Rua Costa e Silva, 46</t>
  </si>
  <si>
    <t>Ariosvaldo Mendes</t>
  </si>
  <si>
    <t>Andrea Lopes dos Santos</t>
  </si>
  <si>
    <t xml:space="preserve">999240849 / </t>
  </si>
  <si>
    <t>Rua 10, s/n (Proximo a casa de cigano)</t>
  </si>
  <si>
    <t xml:space="preserve">Jacobina 2 </t>
  </si>
  <si>
    <t>Marsilia Marmores e Granitos Erelli</t>
  </si>
  <si>
    <t>Estrada de Canavieiras, 9999 - Oficina</t>
  </si>
  <si>
    <t>Jacobina 3</t>
  </si>
  <si>
    <t>Clinica da Mulher - MR Valois Serviços</t>
  </si>
  <si>
    <t>98819-2425</t>
  </si>
  <si>
    <t>Rua JJ Seabra, 275</t>
  </si>
  <si>
    <t>Acerto de Armando</t>
  </si>
  <si>
    <t>Condomínio Alamedas do Rio, 230</t>
  </si>
  <si>
    <t>Audioclin Clinca Médica LTDA - Tarcisio Nascimento</t>
  </si>
  <si>
    <t>99912-1735/98102-8696</t>
  </si>
  <si>
    <t xml:space="preserve">Avenida Orlando Oliveira Pires, 370 </t>
  </si>
  <si>
    <t>Maria das Dores e Reje Celia</t>
  </si>
  <si>
    <t>991322761/988599211</t>
  </si>
  <si>
    <t>Rua São João, 127 térreo</t>
  </si>
  <si>
    <t>Missão</t>
  </si>
  <si>
    <t>Nlx Comercio e Serviços Subway - Alexandre Neder</t>
  </si>
  <si>
    <t>3622-2382</t>
  </si>
  <si>
    <t>Avenida Orlando Oliveira Pires, 95</t>
  </si>
  <si>
    <t>98814-8239</t>
  </si>
  <si>
    <t>Rua Reinaldo Jacobina Vieira, s/n</t>
  </si>
  <si>
    <t>Ivanir Carneiro de Oliveira</t>
  </si>
  <si>
    <t>Rua Presidente Medici, 507</t>
  </si>
  <si>
    <t>Condominio Ilha do Ouro</t>
  </si>
  <si>
    <t>99937-4915</t>
  </si>
  <si>
    <t>Avenida Centenario, s/n</t>
  </si>
  <si>
    <t>Nazaré</t>
  </si>
  <si>
    <t>Angelo Marcio Bispo</t>
  </si>
  <si>
    <t xml:space="preserve">36215685/991352253 </t>
  </si>
  <si>
    <t>Rua do Cajueiro, 11</t>
  </si>
  <si>
    <t>Elio Pereira dos Santos</t>
  </si>
  <si>
    <t>Rua do Cajueiro, 315</t>
  </si>
  <si>
    <t>Maria Madalena de Santana Santos</t>
  </si>
  <si>
    <t>Travessa João Teixeira, 283</t>
  </si>
  <si>
    <t>SESC Administração Regional do Estado da Bahia</t>
  </si>
  <si>
    <t>Lilian Patrícia</t>
  </si>
  <si>
    <t>Natalice da Silva Masquarenhas</t>
  </si>
  <si>
    <t>Rua Divino Espirito Santo, 588</t>
  </si>
  <si>
    <t>Joelma Almeida</t>
  </si>
  <si>
    <t>Rua Bom Jesus da Gloria, 57</t>
  </si>
  <si>
    <t>Ten Internet</t>
  </si>
  <si>
    <t>Ivanilton</t>
  </si>
  <si>
    <t>Rua da Independencia, s/n</t>
  </si>
  <si>
    <t>Maria Conceição Dias Da Silva</t>
  </si>
  <si>
    <t>Loteamento Orlando Touro, 82</t>
  </si>
  <si>
    <t>99816-1451</t>
  </si>
  <si>
    <t>Avenida Luiz Alberto Dourado, s/n  Academia</t>
  </si>
  <si>
    <t>Jacobina 4</t>
  </si>
  <si>
    <t>Everest Refrigeração</t>
  </si>
  <si>
    <t>Fornecedor</t>
  </si>
  <si>
    <t>PJ</t>
  </si>
  <si>
    <t>Culligan Latam Eireli</t>
  </si>
  <si>
    <t>Correios</t>
  </si>
  <si>
    <t>Células em amarelo = para você preencher. Os telefones vieram da Planilha de Clientes (pasta 01 - Clientes) por correspondência de nome — confira antes de usar.</t>
  </si>
  <si>
    <t>RELATÓRIO FINANCEIRO — JANEIRO / 2026</t>
  </si>
  <si>
    <t>Fluxo de caixa da loja — entradas e saídas detalhadas por lançamento (fonte: Livro Caixa)</t>
  </si>
  <si>
    <t>Histórico</t>
  </si>
  <si>
    <t>Pessoa</t>
  </si>
  <si>
    <t>Entrada (R$)</t>
  </si>
  <si>
    <t>Saída (R$)</t>
  </si>
  <si>
    <t>Categoria da Saída</t>
  </si>
  <si>
    <t>ID Cliente</t>
  </si>
  <si>
    <t>Saídas por Categoria</t>
  </si>
  <si>
    <t>DESPESAS</t>
  </si>
  <si>
    <t>SALDO</t>
  </si>
  <si>
    <t>Pagamento parcela ALUGUEL VITORIA MARIA Doc.: 1 Ordem: 9</t>
  </si>
  <si>
    <t>VITORIA MARIA F SANTOS</t>
  </si>
  <si>
    <t>Recebimento à vista Gerado pelo sistema Doc.: 8769 Ordem: 1</t>
  </si>
  <si>
    <t>TISSIA CRISTINA MONCORVO</t>
  </si>
  <si>
    <t>CLI-0653</t>
  </si>
  <si>
    <t>Recebimento à vista Gerado pelo sistema Doc.: 8770 Ordem: 1</t>
  </si>
  <si>
    <t>MARIA DAS DORES JORDAO MOREIRA</t>
  </si>
  <si>
    <t>CLI-0652</t>
  </si>
  <si>
    <t>Pagamento parcela Gerado pelo sistema - nº 358698 Doc.: 358698 Ord</t>
  </si>
  <si>
    <t>EVEREST REFRIGERACAO E INDUSTRIA</t>
  </si>
  <si>
    <t>Pagamento parcela Gerado pelo sistema - nº 123868 Doc.: 123868 Ord</t>
  </si>
  <si>
    <t>FILTROS PLANETA AGUA IND E COM LTDA</t>
  </si>
  <si>
    <t>Recebimento parcela Gerado pelo sistema. Doc.: 4001 Ordem: 1</t>
  </si>
  <si>
    <t>RF SUPERMERCADO BRASIL LTDA</t>
  </si>
  <si>
    <t>EMP-0261</t>
  </si>
  <si>
    <t>Recebimento à vista Gerado pelo sistema. Doc.: 4019 Ordem: 1</t>
  </si>
  <si>
    <t>FLAVIA MONYQUE MUNIZ RIBEIRO</t>
  </si>
  <si>
    <t>CLI-0655</t>
  </si>
  <si>
    <t>Recebimento à vista Gerado pelo sistema Doc.: 8771 Ordem: 1</t>
  </si>
  <si>
    <t>Cliente Consumidor</t>
  </si>
  <si>
    <t>Recebimento à vista Gerado pelo sistema Doc.: 8772 Ordem: 1</t>
  </si>
  <si>
    <t>JACKSON MACEDO DE SALES</t>
  </si>
  <si>
    <t>Pagamento parcela Gerado pelo sistema - nº 66404 Doc.: 66404 Orde</t>
  </si>
  <si>
    <t>EVERSOFT IND E COM DE PLASTICOS LTDA</t>
  </si>
  <si>
    <t>Recebimento à vista Gerado pelo sistema Doc.: 8773 Ordem: 1</t>
  </si>
  <si>
    <t>TAMO JUNTO COMERCIAL E SOLUCOES LTDA</t>
  </si>
  <si>
    <t>Recebimento à vista Gerado pelo sistema Doc.: 8774 Ordem: 1</t>
  </si>
  <si>
    <t>Recebimento à vista Gerado pelo sistema Doc.: 8775 Ordem: 1</t>
  </si>
  <si>
    <t>Cielo S. A.</t>
  </si>
  <si>
    <t>Recebimento à vista Gerado pelo sistema. Doc.: 4020 Ordem: 1</t>
  </si>
  <si>
    <t>BOMBONIERE DOCE MANIA LTDA - VERONILDO BASILIO</t>
  </si>
  <si>
    <t>EMP-0188</t>
  </si>
  <si>
    <t>Recebimento à vista Gerado pelo sistema Doc.: 8776 Ordem: 1</t>
  </si>
  <si>
    <t>JACOBINA VEICULOS LTDA</t>
  </si>
  <si>
    <t>EMP-0201</t>
  </si>
  <si>
    <t>Estorno de recebimento do documento: Gerado pelo sistema Doc.: 877</t>
  </si>
  <si>
    <t>Recebimento à vista Gerado pelo sistema Doc.: 8777 Ordem: 1</t>
  </si>
  <si>
    <t>Recebimento à vista Gerado pelo sistema Doc.: 8778 Ordem: 1</t>
  </si>
  <si>
    <t>CLINICA ODONTO GOLD</t>
  </si>
  <si>
    <t>EMP-0194</t>
  </si>
  <si>
    <t>Recebimento à vista Gerado pelo sistema. Doc.: 4022 Ordem: 1</t>
  </si>
  <si>
    <t>VILAS BOAS SHOPPING DA CONSTRUCAO LTDA</t>
  </si>
  <si>
    <t>Recebimento à vista Gerado pelo sistema Doc.: 8779 Ordem: 1</t>
  </si>
  <si>
    <t>REJANE MAGALHAES BORGES MAIA</t>
  </si>
  <si>
    <t>CLI-0656</t>
  </si>
  <si>
    <t>Recebimento parcela Gerado pelo sistema. Doc.: 4005 Ordem: 1</t>
  </si>
  <si>
    <t>BURITI VEICULOS PECAS E SERVICOS LTDA</t>
  </si>
  <si>
    <t>EMP-0035</t>
  </si>
  <si>
    <t>Recebimento parcela Gerado pelo sistema. Doc.: 4004 Ordem: 1</t>
  </si>
  <si>
    <t>MASTER COMERCIAL DE VEICULOS LTDA</t>
  </si>
  <si>
    <t>EMP-0100</t>
  </si>
  <si>
    <t>Recebimento à vista Gerado pelo sistema. Doc.: 4023 Ordem: 1</t>
  </si>
  <si>
    <t>LEAL VILAS BOAS &amp; CIA LTDA</t>
  </si>
  <si>
    <t>Recebimento à vista Gerado pelo sistema Doc.: 8780 Ordem: 1</t>
  </si>
  <si>
    <t>Recebimento à vista Gerado pelo sistema Doc.: 8781 Ordem: 1</t>
  </si>
  <si>
    <t>Recebimento à vista Gerado pelo sistema Doc.: 8782 Ordem: 1</t>
  </si>
  <si>
    <t>Recebimento à vista Gerado pelo sistema Doc.: 8783 Ordem: 1</t>
  </si>
  <si>
    <t>Recebimento à vista Gerado pelo sistema Doc.: 8784 Ordem: 1</t>
  </si>
  <si>
    <t>Pagamento parcela Gerado pelo sistema - nº 125587 Doc.: 125587 Ord</t>
  </si>
  <si>
    <t>Pagamento parcela CONTA DE ENERGIA LOJA Doc.: 1 Ordem: 10</t>
  </si>
  <si>
    <t>COMPANHIA DE ELETRICIDADE DO ESTADO DA BAHIA COELBA</t>
  </si>
  <si>
    <t>Recebimento à vista Gerado pelo sistema. Doc.: 4024 Ordem: 1</t>
  </si>
  <si>
    <t>ANA MARCIA ROSARIO DE OLIVEIRA</t>
  </si>
  <si>
    <t>Recebimento à vista Gerado pelo sistema. Doc.: 4025 Ordem: 1</t>
  </si>
  <si>
    <t>EUZETE MARIA DE OLIVEIRA ARAUJO</t>
  </si>
  <si>
    <t>Recebimento à vista Gerado pelo sistema Doc.: 8785 Ordem: 1</t>
  </si>
  <si>
    <t>Recebimento à vista Gerado pelo sistema Doc.: 8786 Ordem: 1</t>
  </si>
  <si>
    <t>Recebimento à vista Gerado pelo sistema Doc.: 8787 Ordem: 1</t>
  </si>
  <si>
    <t>Recebimento à vista Gerado pelo sistema Doc.: 8788 Ordem: 1</t>
  </si>
  <si>
    <t>Pagamento parcela Gerado pelo sistema - nº 361446 Doc.: 361446 Ord</t>
  </si>
  <si>
    <t>Pagamento parcela SHOPEE (TORNEIRAS) Doc.: 1 Ordem: 4</t>
  </si>
  <si>
    <t>ADYEN DO BRASIL INTITUICAO PAGAMENTO LTDA</t>
  </si>
  <si>
    <t>Recebimento à vista Gerado pelo sistema Doc.: 8789 Ordem: 1</t>
  </si>
  <si>
    <t>Recebimento à vista Gerado pelo sistema Doc.: 8790 Ordem: 1</t>
  </si>
  <si>
    <t>Recebimento à vista Gerado pelo sistema Doc.: 8791 Ordem: 1</t>
  </si>
  <si>
    <t>Recebimento à vista Gerado pelo sistema. Doc.: 4026 Ordem: 1</t>
  </si>
  <si>
    <t>UNIAO LESTE BRASILEIRA DA IASD</t>
  </si>
  <si>
    <t>Estorno de recebimento do documento: Gerado pelo sistema. Doc.: 40</t>
  </si>
  <si>
    <t>Recebimento à vista Gerado pelo sistema. Doc.: 4027 Ordem: 1</t>
  </si>
  <si>
    <t>Recebimento à vista Gerado pelo sistema Doc.: 8792 Ordem: 1</t>
  </si>
  <si>
    <t>Recebimento à vista Gerado pelo sistema Doc.: 8793 Ordem: 1</t>
  </si>
  <si>
    <t>Recebimento à vista Gerado pelo sistema Doc.: 8794 Ordem: 1</t>
  </si>
  <si>
    <t>Recebimento à vista Gerado pelo sistema. Doc.: 4028 Ordem: 1</t>
  </si>
  <si>
    <t>TEN SOLUCOES, E TECNOLOGIA LTDA</t>
  </si>
  <si>
    <t>Recebimento à vista Gerado pelo sistema. Doc.: 4029 Ordem: 1</t>
  </si>
  <si>
    <t>MARIUA CONSTRUCOES LTDA</t>
  </si>
  <si>
    <t>Pagamento parcela Gerado pelo sistema - nº 366264 Doc.: 366264 Ord</t>
  </si>
  <si>
    <t>Pagamento parcela Gerado pelo sistema - nº 357294 Doc.: 357294 Ord</t>
  </si>
  <si>
    <t>Pagamento parcela FERIAS WILIAM 1 PARCELA Doc.: 1 Ordem: 4</t>
  </si>
  <si>
    <t>WILIAM PINTO BISPO</t>
  </si>
  <si>
    <t>Recebimento à vista Gerado pelo sistema Doc.: 8795 Ordem: 1</t>
  </si>
  <si>
    <t>Recebimento à vista Gerado pelo sistema Doc.: 8796 Ordem: 1</t>
  </si>
  <si>
    <t>Recebimento à vista Gerado pelo sistema Doc.: 8797 Ordem: 1</t>
  </si>
  <si>
    <t>Recebimento à vista Gerado pelo sistema Doc.: 8798 Ordem: 1</t>
  </si>
  <si>
    <t>Recebimento à vista Gerado pelo sistema Doc.: 8799 Ordem: 1</t>
  </si>
  <si>
    <t>ANDRADINA MOTA DOS SANTOS</t>
  </si>
  <si>
    <t>CLI-0662</t>
  </si>
  <si>
    <t>Recebimento à vista Gerado pelo sistema Doc.: 8800 Ordem: 1</t>
  </si>
  <si>
    <t>MARIA DA CONCEIÇÃO COSTA E SILVA</t>
  </si>
  <si>
    <t>CLI-0651</t>
  </si>
  <si>
    <t>Recebimento à vista Gerado pelo sistema Doc.: 8801 Ordem: 1</t>
  </si>
  <si>
    <t>JOSE PEREIRA DA SILVA - JOSE TIAGO SOUZA</t>
  </si>
  <si>
    <t>CLI-0661</t>
  </si>
  <si>
    <t>Recebimento à vista Gerado pelo sistema Doc.: 8802 Ordem: 1</t>
  </si>
  <si>
    <t>PREMIERE ODONTOLOGIA LTDA.ME - ANA CAROLINA</t>
  </si>
  <si>
    <t>Recebimento à vista Gerado pelo sistema Doc.: 8803 Ordem: 1</t>
  </si>
  <si>
    <t>IGOR SANTOS SILVA - ME</t>
  </si>
  <si>
    <t>EMP-0077</t>
  </si>
  <si>
    <t>Recebimento à vista Gerado pelo sistema Doc.: 8804 Ordem: 1</t>
  </si>
  <si>
    <t>Recebimento à vista Gerado pelo sistema Doc.: 8805 Ordem: 1</t>
  </si>
  <si>
    <t>Recebimento à vista Gerado pelo sistema. Doc.: 4030 Ordem: 1</t>
  </si>
  <si>
    <t>PC JACOBINA ADMINISTRADORA DE CARTOES LTDA</t>
  </si>
  <si>
    <t>EMP-0244</t>
  </si>
  <si>
    <t>Recebimento à vista Gerado pelo sistema Doc.: 8806 Ordem: 1</t>
  </si>
  <si>
    <t>Recebimento à vista Gerado pelo sistema Doc.: 8807 Ordem: 1</t>
  </si>
  <si>
    <t>Estorno de recebimento do documento: Gerado pelo sistema Doc.: 880</t>
  </si>
  <si>
    <t>Recebimento à vista Gerado pelo sistema Doc.: 8808 Ordem: 1</t>
  </si>
  <si>
    <t>Recebimento à vista Gerado pelo sistema Doc.: 8809 Ordem: 1</t>
  </si>
  <si>
    <t>Pagamento parcela TARCISIO OLIVEIRA LIMA Doc.: 1 Ordem: 6</t>
  </si>
  <si>
    <t>CONTABILIDADE TARCISIO OLIVEIRA LIMA</t>
  </si>
  <si>
    <t>Pagamento parcela Gerado pelo sistema - nº 357493 Doc.: 357493 Ord</t>
  </si>
  <si>
    <t>Pagamento parcela JAMEF Doc.: 1 Ordem: 33</t>
  </si>
  <si>
    <t>JAMEF TRANSPORTES LTDA</t>
  </si>
  <si>
    <t>Recebimento à vista Gerado pelo sistema. Doc.: 4031 Ordem: 1</t>
  </si>
  <si>
    <t>LUCAS SANTOS PINTO DE SOUZA</t>
  </si>
  <si>
    <t>CLI-0676</t>
  </si>
  <si>
    <t>Recebimento à vista Gerado pelo sistema Doc.: 8810 Ordem: 1</t>
  </si>
  <si>
    <t>ILA CARIELE CORREIA DANTAS</t>
  </si>
  <si>
    <t>Recebimento à vista Gerado pelo sistema Doc.: 8811 Ordem: 1</t>
  </si>
  <si>
    <t>Recebimento à vista Gerado pelo sistema Doc.: 8812 Ordem: 1</t>
  </si>
  <si>
    <t>SUELENE SOARES LIMA</t>
  </si>
  <si>
    <t>CLI-0665</t>
  </si>
  <si>
    <t>Pagamento parcela Gerado pelo sistema - nº 67435 Doc.: 67435 Orde</t>
  </si>
  <si>
    <t>Pagamento à vista: FILTROS PLANETA AGUA Doc.: 1 Ordem: 5</t>
  </si>
  <si>
    <t>Recebimento à vista Gerado pelo sistema. Doc.: 4032 Ordem: 1</t>
  </si>
  <si>
    <t>SILVA &amp; SILVA SOCIEDADE DE ADVOGADOS</t>
  </si>
  <si>
    <t>Recebimento à vista Gerado pelo sistema Doc.: 8813 Ordem: 1</t>
  </si>
  <si>
    <t>Recebimento à vista Gerado pelo sistema Doc.: 8814 Ordem: 1</t>
  </si>
  <si>
    <t>MARIA ALENCAR DE SOUZA</t>
  </si>
  <si>
    <t>CLI-0669</t>
  </si>
  <si>
    <t>Recebimento à vista Gerado pelo sistema. Doc.: 4033 Ordem: 1</t>
  </si>
  <si>
    <t>COSTA E SA ADVOGADOS</t>
  </si>
  <si>
    <t>EMP-0316</t>
  </si>
  <si>
    <t>Recebimento à vista Gerado pelo sistema Doc.: 8815 Ordem: 1</t>
  </si>
  <si>
    <t>Recebimento à vista Gerado pelo sistema. Doc.: 4034 Ordem: 1</t>
  </si>
  <si>
    <t>J DIESEL MOTORES E REPAROS AUTOMOTIVOS EIRELI</t>
  </si>
  <si>
    <t>Recebimento à vista Gerado pelo sistema Doc.: 8816 Ordem: 1</t>
  </si>
  <si>
    <t>ARIVALDO PEREIRA TEIXEIRA</t>
  </si>
  <si>
    <t>Pagamento parcela Gerado pelo sistema - nº 362188 Doc.: 362188 Ord</t>
  </si>
  <si>
    <t>Pagamento parcela GUIA DO FGTS DIGITAL Doc.: 1 Ordem: 58</t>
  </si>
  <si>
    <t>PLANETA AGUA LTDA</t>
  </si>
  <si>
    <t>Pagamento parcela DOCUMENTO DE ARRECADAÇÃO DE RECEITAS FE</t>
  </si>
  <si>
    <t>Pagamento à vista: SIMPLES NACIONAL Doc.: 1 Ordem: 61</t>
  </si>
  <si>
    <t>Recebimento à vista Gerado pelo sistema Doc.: 8817 Ordem: 1</t>
  </si>
  <si>
    <t>Recebimento à vista Gerado pelo sistema Doc.: 8818 Ordem: 1</t>
  </si>
  <si>
    <t>VIVALDA VIEIRA DE BRITO</t>
  </si>
  <si>
    <t>CLI-0668</t>
  </si>
  <si>
    <t>Recebimento à vista Gerado pelo sistema Doc.: 8819 Ordem: 1</t>
  </si>
  <si>
    <t>Recebimento à vista Gerado pelo sistema. Doc.: 4035 Ordem: 1</t>
  </si>
  <si>
    <t>BIO IMAGEM SERVICO DE DIAGNOSTICO LTDA EPP</t>
  </si>
  <si>
    <t>EMP-0030</t>
  </si>
  <si>
    <t>Recebimento à vista Gerado pelo sistema. Doc.: 4036 Ordem: 1</t>
  </si>
  <si>
    <t>CLINICA ODONTO X</t>
  </si>
  <si>
    <t>EMP-0306</t>
  </si>
  <si>
    <t>Recebimento à vista Gerado pelo sistema Doc.: 8820 Ordem: 1</t>
  </si>
  <si>
    <t>Recebimento à vista Gerado pelo sistema Doc.: 8821 Ordem: 1</t>
  </si>
  <si>
    <t>Recebimento à vista Gerado pelo sistema Doc.: 8822 Ordem: 1</t>
  </si>
  <si>
    <t>Recebimento à vista Gerado pelo sistema. Doc.: 4037 Ordem: 1</t>
  </si>
  <si>
    <t>BANCO DO NORDESTE DO BRASIL</t>
  </si>
  <si>
    <t>EMP-0220</t>
  </si>
  <si>
    <t>Pagamento à vista: JAMEF Doc.: 1 Ordem: 35</t>
  </si>
  <si>
    <t>Recebimento à vista Gerado pelo sistema Doc.: 8823 Ordem: 1</t>
  </si>
  <si>
    <t>Recebimento à vista Gerado pelo sistema Doc.: 8824 Ordem: 1</t>
  </si>
  <si>
    <t>Recebimento à vista Gerado pelo sistema. Doc.: 4038 Ordem: 1</t>
  </si>
  <si>
    <t>CENTRAL DO SUPLEMENTO MERCADO NATURAL LTDA</t>
  </si>
  <si>
    <t>EMP-0055</t>
  </si>
  <si>
    <t>Recebimento à vista Gerado pelo sistema Doc.: 8825 Ordem: 1</t>
  </si>
  <si>
    <t>Recebimento à vista Gerado pelo sistema Doc.: 8826 Ordem: 1</t>
  </si>
  <si>
    <t>Recebimento à vista Gerado pelo sistema. Doc.: 4040 Ordem: 1</t>
  </si>
  <si>
    <t>INT ODONTOLOGIA LTDA</t>
  </si>
  <si>
    <t>EMP-0184</t>
  </si>
  <si>
    <t>Recebimento à vista Gerado pelo sistema Doc.: 8827 Ordem: 1</t>
  </si>
  <si>
    <t>Recebimento à vista Gerado pelo sistema Doc.: 8828 Ordem: 1</t>
  </si>
  <si>
    <t>Recebimento à vista Gerado pelo sistema Doc.: 8829 Ordem: 1</t>
  </si>
  <si>
    <t>Recebimento à vista Gerado pelo sistema. Doc.: 4041 Ordem: 1</t>
  </si>
  <si>
    <t>BURGUER JACOBINA LTDA</t>
  </si>
  <si>
    <t>Pagamento parcela ICMS ANTECIPAÇÃO PARCIAL Doc.: 1 Ordem: 60</t>
  </si>
  <si>
    <t>Pagamento parcela Gerado pelo sistema - nº 69107 Doc.: 69107 Orde</t>
  </si>
  <si>
    <t>Pagamento parcela FERIAS WILIAM (SEGUNDA PARCELA) Doc.: 1 Orde</t>
  </si>
  <si>
    <t>Pagamento parcela JAMEF Doc.: 1 Ordem: 34</t>
  </si>
  <si>
    <t>Pagamento parcela Gerado pelo sistema - nº 69886 Doc.: 69886 Orde</t>
  </si>
  <si>
    <t>Recebimento à vista Gerado pelo sistema Doc.: 8830 Ordem: 1</t>
  </si>
  <si>
    <t>Recebimento à vista Gerado pelo sistema. Doc.: 4042 Ordem: 1</t>
  </si>
  <si>
    <t>WILSON LUIS TRANSPORTES E SERVICOS LTDA</t>
  </si>
  <si>
    <t>Recebimento à vista Gerado pelo sistema. Doc.: 4043 Ordem: 1</t>
  </si>
  <si>
    <t>TATIANA MIRANDA SIQUEIRA - PRIMEIRO TABELIONATO DE NOTAS</t>
  </si>
  <si>
    <t>CLI-0696</t>
  </si>
  <si>
    <t>Recebimento parcela Gerado pelo sistema. Doc.: 4008 Ordem: 1</t>
  </si>
  <si>
    <t>AUDIOCLIN CLINICA MEDICA LTDA</t>
  </si>
  <si>
    <t>EMP-0138</t>
  </si>
  <si>
    <t>Recebimento à vista Gerado pelo sistema. Doc.: 4044 Ordem: 1</t>
  </si>
  <si>
    <t>TROPICAL MOTOS LTDA</t>
  </si>
  <si>
    <t>EMP-0296</t>
  </si>
  <si>
    <t>Recebimento à vista Gerado pelo sistema. Doc.: 4045 Ordem: 1</t>
  </si>
  <si>
    <t>LOURIVAL M DE SOUZA</t>
  </si>
  <si>
    <t>Recebimento à vista Gerado pelo sistema. Doc.: 4046 Ordem: 1</t>
  </si>
  <si>
    <t>RLR CENTRAL LTDA</t>
  </si>
  <si>
    <t>EMP-0034</t>
  </si>
  <si>
    <t>Recebimento à vista Gerado pelo sistema. Doc.: 4047 Ordem: 1</t>
  </si>
  <si>
    <t>INSTITUICAO ADVENTISTA NORDESTE BRASILEIRO DE EDUCACAO E</t>
  </si>
  <si>
    <t>ESC-0016</t>
  </si>
  <si>
    <t>Recebimento à vista Gerado pelo sistema Doc.: 8831 Ordem: 1</t>
  </si>
  <si>
    <t>Recebimento parcela Gerado pelo sistema Doc.: 8695 Ordem: 3</t>
  </si>
  <si>
    <t>GILDETE PEREIRA DE ALMEIDA OLIVEIRA</t>
  </si>
  <si>
    <t>CLI-0597</t>
  </si>
  <si>
    <t>Pagamento parcela SALARIO DANIEL Doc.: 1 Ordem: 3</t>
  </si>
  <si>
    <t>DANIEL BARBOSA DOS SANTOS</t>
  </si>
  <si>
    <t>Pagamento parcela SALARIO WILIAM Doc.: 1 Ordem: 3</t>
  </si>
  <si>
    <t>TOTAL DO MÊS</t>
  </si>
  <si>
    <t>SALDO DO MÊS (Entradas − Despesas da loja)</t>
  </si>
  <si>
    <t>RELATÓRIO FINANCEIRO — FEVEREIRO / 2026</t>
  </si>
  <si>
    <t>Pagamento à vista: ALUGUEL VITORIA MARIA Doc.: 1 Ordem: 12</t>
  </si>
  <si>
    <t>Recebimento à vista Gerado pelo sistema Doc.: 8832 Ordem: 1</t>
  </si>
  <si>
    <t>TEREZINHA SOUZA MAIA</t>
  </si>
  <si>
    <t>CLI-0644</t>
  </si>
  <si>
    <t>Recebimento à vista Gerado pelo sistema Doc.: 8833 Ordem: 1</t>
  </si>
  <si>
    <t>Recebimento à vista Gerado pelo sistema Doc.: 8834 Ordem: 1</t>
  </si>
  <si>
    <t>JOSELIA SOUZA BARCELAR</t>
  </si>
  <si>
    <t>CLI-0687</t>
  </si>
  <si>
    <t>Recebimento à vista Gerado pelo sistema Doc.: 8835 Ordem: 1</t>
  </si>
  <si>
    <t>EDNA DA SILVA FARIAS</t>
  </si>
  <si>
    <t>CLI-0686</t>
  </si>
  <si>
    <t>Recebimento à vista Gerado pelo sistema Doc.: 8836 Ordem: 1</t>
  </si>
  <si>
    <t>CREMILDA MATOS DOS SANTOS - FARMACIA POPULAR - AMILTON</t>
  </si>
  <si>
    <t>EMP-0147</t>
  </si>
  <si>
    <t>Recebimento à vista Gerado pelo sistema Doc.: 8837 Ordem: 1</t>
  </si>
  <si>
    <t>Recebimento à vista Gerado pelo sistema. Doc.: 4048 Ordem: 1</t>
  </si>
  <si>
    <t>CATUABA MATERIAIS DE CONSTRUCAO LTDA</t>
  </si>
  <si>
    <t>EMP-0051</t>
  </si>
  <si>
    <t>Recebimento à vista Gerado pelo sistema. Doc.: 4049 Ordem: 1</t>
  </si>
  <si>
    <t>L SILVA DOS SANTOS - LELIANE SILVA</t>
  </si>
  <si>
    <t>Recebimento à vista Gerado pelo sistema Doc.: 8838 Ordem: 1</t>
  </si>
  <si>
    <t>Recebimento à vista Gerado pelo sistema Doc.: 8839 Ordem: 1</t>
  </si>
  <si>
    <t>Recebimento à vista Gerado pelo sistema Doc.: 8840 Ordem: 1</t>
  </si>
  <si>
    <t>AMANDA CAROLINE VIERIA BISPO - CLINICA SORRISO LINDO</t>
  </si>
  <si>
    <t>Recebimento à vista Gerado pelo sistema. Doc.: 4050 Ordem: 1</t>
  </si>
  <si>
    <t>INSTITUTO PSICOPEDAGOGICO MARIA RITA EIRELI</t>
  </si>
  <si>
    <t>Recebimento à vista Gerado pelo sistema. Doc.: 4051 Ordem: 1</t>
  </si>
  <si>
    <t>MARIA CAROLINA GOMES VASCONCELOS LTDA</t>
  </si>
  <si>
    <t>Recebimento à vista Gerado pelo sistema Doc.: 8841 Ordem: 1</t>
  </si>
  <si>
    <t>TIAGO RODRIGO DE ARAUJO VALGUEIRO</t>
  </si>
  <si>
    <t>CLI-0681</t>
  </si>
  <si>
    <t>Recebimento à vista Gerado pelo sistema Doc.: 8842 Ordem: 1</t>
  </si>
  <si>
    <t>Recebimento à vista Gerado pelo sistema. Doc.: 4052 Ordem: 1</t>
  </si>
  <si>
    <t>FAGNER PALMEIRAS GOMES</t>
  </si>
  <si>
    <t>Recebimento à vista Gerado pelo sistema Doc.: 8843 Ordem: 1</t>
  </si>
  <si>
    <t>ALEX ASSIS FERREIRA FRANCO</t>
  </si>
  <si>
    <t>CLI-0361</t>
  </si>
  <si>
    <t>Recebimento à vista Gerado pelo sistema Doc.: 8844 Ordem: 1</t>
  </si>
  <si>
    <t>Recebimento à vista Gerado pelo sistema. Doc.: 4053 Ordem: 1</t>
  </si>
  <si>
    <t>COLEGIO AQUARELA LTDA</t>
  </si>
  <si>
    <t>ESC-0017</t>
  </si>
  <si>
    <t>Recebimento à vista Gerado pelo sistema Doc.: 8845 Ordem: 1</t>
  </si>
  <si>
    <t>Recebimento à vista Gerado pelo sistema Doc.: 8846 Ordem: 1</t>
  </si>
  <si>
    <t>Recebimento à vista Gerado pelo sistema Doc.: 8847 Ordem: 1</t>
  </si>
  <si>
    <t>RIVANILDO AMORIM LAGOS - CLAUDENIR AMORIM</t>
  </si>
  <si>
    <t>CLI-0691</t>
  </si>
  <si>
    <t>Recebimento à vista Gerado pelo sistema Doc.: 8848 Ordem: 1</t>
  </si>
  <si>
    <t>Recebimento à vista Gerado pelo sistema Doc.: 8849 Ordem: 1</t>
  </si>
  <si>
    <t>Recebimento à vista Gerado pelo sistema Doc.: 8850 Ordem: 1</t>
  </si>
  <si>
    <t>Recebimento à vista Gerado pelo sistema Doc.: 8851 Ordem: 1</t>
  </si>
  <si>
    <t>Estorno de recebimento do documento: Gerado pelo sistema Doc.: 885</t>
  </si>
  <si>
    <t>Recebimento à vista Gerado pelo sistema Doc.: 8852 Ordem: 1</t>
  </si>
  <si>
    <t>Recebimento à vista Gerado pelo sistema Doc.: 8853 Ordem: 1</t>
  </si>
  <si>
    <t>Recebimento à vista Gerado pelo sistema Doc.: 8854 Ordem: 1</t>
  </si>
  <si>
    <t>Recebimento à vista Gerado pelo sistema. Doc.: 4055 Ordem: 1</t>
  </si>
  <si>
    <t>RENATA CAMPOS TAVARES GOMES NUNES - CEPI PEDIATRIA</t>
  </si>
  <si>
    <t>Pagamento à vista: EMBASA ADRIANO Doc.: 2 Ordem: 1</t>
  </si>
  <si>
    <t>ADRIANO SILVA FONTES</t>
  </si>
  <si>
    <t>Pagamento à vista: COELBA ADRIANO Doc.: 1 Ordem: 2</t>
  </si>
  <si>
    <t>Recebimento à vista Gerado pelo sistema Doc.: 8855 Ordem: 1</t>
  </si>
  <si>
    <t>Pagamento parcela COELBA LOJA Doc.: 1 Ordem: 18</t>
  </si>
  <si>
    <t>Recebimento à vista Gerado pelo sistema. Doc.: 4056 Ordem: 1</t>
  </si>
  <si>
    <t>SALÃO DO REINO CONGREGAÇÃO OESTE</t>
  </si>
  <si>
    <t>EMP-0270</t>
  </si>
  <si>
    <t>Recebimento à vista Gerado pelo sistema Doc.: 8856 Ordem: 1</t>
  </si>
  <si>
    <t>TARCISIO FIALHO CESAR CARDOSO</t>
  </si>
  <si>
    <t>CLI-0643</t>
  </si>
  <si>
    <t>Recebimento à vista Gerado pelo sistema. Doc.: 4057 Ordem: 1</t>
  </si>
  <si>
    <t>IGREJA EVANGELICA ASSEMBLEIA DE DEUS</t>
  </si>
  <si>
    <t>EMP-0176</t>
  </si>
  <si>
    <t>Recebimento à vista Gerado pelo sistema Doc.: 8857 Ordem: 1</t>
  </si>
  <si>
    <t>Recebimento à vista Gerado pelo sistema Doc.: 8858 Ordem: 1</t>
  </si>
  <si>
    <t>Recebimento à vista Gerado pelo sistema Doc.: 8859 Ordem: 1</t>
  </si>
  <si>
    <t>TATIANA MIRANDA SIQUEIRA</t>
  </si>
  <si>
    <t>Recebimento à vista Gerado pelo sistema Doc.: 8860 Ordem: 1</t>
  </si>
  <si>
    <t>Recebimento parcela Gerado pelo sistema. Doc.: 4058 Ordem: 1</t>
  </si>
  <si>
    <t>VITALI JACOBINA LTDA</t>
  </si>
  <si>
    <t>EMP-0305</t>
  </si>
  <si>
    <t>Recebimento à vista Gerado pelo sistema. Doc.: 4059 Ordem: 1</t>
  </si>
  <si>
    <t>PAYAYA LOJA DE CONVENIENCIAS E AUTO PECAS LTDA</t>
  </si>
  <si>
    <t>Recebimento à vista Gerado pelo sistema Doc.: 8861 Ordem: 1</t>
  </si>
  <si>
    <t>IEDA BAHIA DE ANDRADE - TARCISIO BAHIA DE ANDRADE</t>
  </si>
  <si>
    <t>CLI-0697</t>
  </si>
  <si>
    <t>Recebimento à vista Gerado pelo sistema. Doc.: 4060 Ordem: 1</t>
  </si>
  <si>
    <t>PEDRO WESLEY PASSOS ALVES</t>
  </si>
  <si>
    <t>CLI-0316</t>
  </si>
  <si>
    <t>Recebimento à vista Gerado pelo sistema Doc.: 8862 Ordem: 1</t>
  </si>
  <si>
    <t>Recebimento à vista Gerado pelo sistema Doc.: 8863 Ordem: 1</t>
  </si>
  <si>
    <t>MATHEUS GUIMARAES OLIVEIRA</t>
  </si>
  <si>
    <t>CLI-0700</t>
  </si>
  <si>
    <t>Recebimento à vista Gerado pelo sistema Doc.: 8864 Ordem: 1</t>
  </si>
  <si>
    <t>Recebimento à vista Gerado pelo sistema Doc.: 8865 Ordem: 1</t>
  </si>
  <si>
    <t>CREUZA MIRANDA FREIRE</t>
  </si>
  <si>
    <t>CLI-0701</t>
  </si>
  <si>
    <t>Recebimento à vista Gerado pelo sistema Doc.: 8866 Ordem: 1</t>
  </si>
  <si>
    <t>Recebimento à vista Gerado pelo sistema Doc.: 8867 Ordem: 1</t>
  </si>
  <si>
    <t>Recebimento à vista Gerado pelo sistema Doc.: 8868 Ordem: 1</t>
  </si>
  <si>
    <t>Recebimento à vista Gerado pelo sistema Doc.: 8869 Ordem: 1</t>
  </si>
  <si>
    <t>Recebimento à vista Gerado pelo sistema Doc.: 8870 Ordem: 1</t>
  </si>
  <si>
    <t>Estorno de recebimento do documento: Gerado pelo sistema Doc.: 887</t>
  </si>
  <si>
    <t>Recebimento à vista Gerado pelo sistema Doc.: 8871 Ordem: 1</t>
  </si>
  <si>
    <t>Recebimento à vista Gerado pelo sistema Doc.: 8872 Ordem: 1</t>
  </si>
  <si>
    <t>HELENA CRUZ</t>
  </si>
  <si>
    <t>CLI-0704</t>
  </si>
  <si>
    <t>Recebimento parcela Gerado pelo sistema. Doc.: 4063 Ordem: 1</t>
  </si>
  <si>
    <t>MARSILIA MARMORES E GRANITOS EIRELI</t>
  </si>
  <si>
    <t>EMP-0216</t>
  </si>
  <si>
    <t>Recebimento à vista Gerado pelo sistema Doc.: 8873 Ordem: 1</t>
  </si>
  <si>
    <t>TEMISTOCLES DE CARVALHO ANDRADE</t>
  </si>
  <si>
    <t>CLI-0679</t>
  </si>
  <si>
    <t>Recebimento à vista Gerado pelo sistema. Doc.: 4064 Ordem: 1</t>
  </si>
  <si>
    <t>ITAMAR CASTRO RIBEIRO LTDA</t>
  </si>
  <si>
    <t>EMP-0243</t>
  </si>
  <si>
    <t>Recebimento à vista Gerado pelo sistema Doc.: 8874 Ordem: 1</t>
  </si>
  <si>
    <t>MARIA CONCEICAO CARVALHO MESQUITA MAIA - LOANE MESQUITA</t>
  </si>
  <si>
    <t>CLI-0702</t>
  </si>
  <si>
    <t>Recebimento à vista Gerado pelo sistema Doc.: 8875 Ordem: 1</t>
  </si>
  <si>
    <t>RONALDO FERREIRA DOS ANJOS - MARIA LUCIA</t>
  </si>
  <si>
    <t>Recebimento à vista Gerado pelo sistema Doc.: 8876 Ordem: 1</t>
  </si>
  <si>
    <t>Recebimento à vista Gerado pelo sistema Doc.: 8877 Ordem: 1</t>
  </si>
  <si>
    <t>Recebimento à vista Gerado pelo sistema Doc.: 8878 Ordem: 1</t>
  </si>
  <si>
    <t>MARIA JOSE AZEVEDO DE ALMEIDA</t>
  </si>
  <si>
    <t>CLI-0706</t>
  </si>
  <si>
    <t>Recebimento à vista Gerado pelo sistema Doc.: 8879 Ordem: 1</t>
  </si>
  <si>
    <t>Recebimento à vista Gerado pelo sistema Doc.: 8880 Ordem: 1</t>
  </si>
  <si>
    <t>Recebimento à vista Gerado pelo sistema. Doc.: 4066 Ordem: 1</t>
  </si>
  <si>
    <t>CAMIONEIRO AUTO PECAS EIRELI EPP</t>
  </si>
  <si>
    <t>Recebimento à vista Gerado pelo sistema Doc.: 8881 Ordem: 1</t>
  </si>
  <si>
    <t>Recebimento à vista Gerado pelo sistema Doc.: 8882 Ordem: 1</t>
  </si>
  <si>
    <t>MAIARA NASCIMENTO GRASSI SANGALO - MARCUS ANTONIO SANGALO</t>
  </si>
  <si>
    <t>CLI-0711</t>
  </si>
  <si>
    <t>Recebimento à vista Gerado pelo sistema Doc.: 8883 Ordem: 1</t>
  </si>
  <si>
    <t>Recebimento à vista Gerado pelo sistema. Doc.: 4067 Ordem: 1</t>
  </si>
  <si>
    <t>REAL CALÇADOS</t>
  </si>
  <si>
    <t>EMP-0255</t>
  </si>
  <si>
    <t>Recebimento à vista Gerado pelo sistema Doc.: 8884 Ordem: 1</t>
  </si>
  <si>
    <t>Recebimento à vista Gerado pelo sistema. Doc.: 4069 Ordem: 1</t>
  </si>
  <si>
    <t>PATRICIA LIMA FRANCO BARBOSA</t>
  </si>
  <si>
    <t>CLI-0715</t>
  </si>
  <si>
    <t>Recebimento à vista Gerado pelo sistema Doc.: 8885 Ordem: 1</t>
  </si>
  <si>
    <t>ROSIANE FERREIRA LIMA</t>
  </si>
  <si>
    <t>CLI-0713</t>
  </si>
  <si>
    <t>Recebimento à vista Gerado pelo sistema Doc.: 8886 Ordem: 1</t>
  </si>
  <si>
    <t>Recebimento à vista Gerado pelo sistema Doc.: 8887 Ordem: 1</t>
  </si>
  <si>
    <t>LUCELIO PEREIRA DO NASCIMENTO</t>
  </si>
  <si>
    <t>CLI-0335</t>
  </si>
  <si>
    <t>Recebimento à vista Gerado pelo sistema. Doc.: 4070 Ordem: 1</t>
  </si>
  <si>
    <t>CARNEIRO ULTRA DROGARIA LTDA - FILIAL 2</t>
  </si>
  <si>
    <t>EMP-0044</t>
  </si>
  <si>
    <t>Recebimento à vista Gerado pelo sistema. Doc.: 4071 Ordem: 1</t>
  </si>
  <si>
    <t>ATACADAO DAS CONFECCOES E UTILIDADES LTDA</t>
  </si>
  <si>
    <t>EMP-0018</t>
  </si>
  <si>
    <t>Recebimento à vista Gerado pelo sistema Doc.: 8888 Ordem: 1</t>
  </si>
  <si>
    <t>ELISETE PEREIRA DA SILVA</t>
  </si>
  <si>
    <t>CLI-0716</t>
  </si>
  <si>
    <t>Pagamento parcela Gerado pelo sistema - nº 368012 Doc.: 368012 Ord</t>
  </si>
  <si>
    <t>Pagamento parcela JAMEF Doc.: 1 Ordem: 36</t>
  </si>
  <si>
    <t>Pagamento parcela Gerado pelo sistema - nº 368529 Doc.: 368529 Ord</t>
  </si>
  <si>
    <t>Recebimento parcela Gerado pelo sistema. Doc.: 4062 Ordem: 1</t>
  </si>
  <si>
    <t>TESLA IMAGEM MEDICINA DIAGNOSTICA LTDA</t>
  </si>
  <si>
    <t>EMP-0289</t>
  </si>
  <si>
    <t>Recebimento à vista Gerado pelo sistema Doc.: 8889 Ordem: 1</t>
  </si>
  <si>
    <t>NEIDE FERREIRA DE JESUS</t>
  </si>
  <si>
    <t>CLI-0717</t>
  </si>
  <si>
    <t>Recebimento à vista Gerado pelo sistema Doc.: 8890 Ordem: 1</t>
  </si>
  <si>
    <t>Recebimento à vista Gerado pelo sistema Doc.: 8891 Ordem: 1</t>
  </si>
  <si>
    <t>Recebimento à vista Gerado pelo sistema Doc.: 8892 Ordem: 1</t>
  </si>
  <si>
    <t>Recebimento à vista Gerado pelo sistema Doc.: 8893 Ordem: 1</t>
  </si>
  <si>
    <t>GODOVAL MATOS LACERDA / MARIA DA CONCEIÇÃO</t>
  </si>
  <si>
    <t>Recebimento à vista Gerado pelo sistema Doc.: 8894 Ordem: 1</t>
  </si>
  <si>
    <t>LIGIA SILVA BARBOSA DE MIRANDA DE ALMEIDA</t>
  </si>
  <si>
    <t>CLI-0720</t>
  </si>
  <si>
    <t>Recebimento à vista Gerado pelo sistema Doc.: 8895 Ordem: 1</t>
  </si>
  <si>
    <t>Recebimento à vista Gerado pelo sistema Doc.: 8896 Ordem: 1</t>
  </si>
  <si>
    <t>Recebimento à vista Gerado pelo sistema Doc.: 8897 Ordem: 1</t>
  </si>
  <si>
    <t>ALDO HENRIQUE DO NASCIMENTO FREITAS</t>
  </si>
  <si>
    <t>Recebimento à vista Gerado pelo sistema Doc.: 8898 Ordem: 1</t>
  </si>
  <si>
    <t>Pagamento parcela TARCISIO OLIVEIRA LIMA Doc.: 1 Ordem: 12</t>
  </si>
  <si>
    <t>TARCISIO OLIVEIRA LIMA</t>
  </si>
  <si>
    <t>Pagamento parcela Gerado pelo sistema - nº 126565 Doc.: 126565 Ord</t>
  </si>
  <si>
    <t>Recebimento à vista Gerado pelo sistema Doc.: 8899 Ordem: 1</t>
  </si>
  <si>
    <t>Recebimento à vista Gerado pelo sistema Doc.: 8900 Ordem: 1</t>
  </si>
  <si>
    <t>ROBERIO ANTONIO BONFIM DA SILVA</t>
  </si>
  <si>
    <t>CLI-0723</t>
  </si>
  <si>
    <t>Recebimento à vista Gerado pelo sistema Doc.: 8901 Ordem: 1</t>
  </si>
  <si>
    <t>Recebimento à vista Gerado pelo sistema. Doc.: 4076 Ordem: 1</t>
  </si>
  <si>
    <t>VANUZIA MARIA DOS SANTOS</t>
  </si>
  <si>
    <t>Recebimento à vista Gerado pelo sistema Doc.: 8902 Ordem: 1</t>
  </si>
  <si>
    <t>Pagamento parcela RECEITAS FEDERAIS Doc.: 1 Ordem: 62</t>
  </si>
  <si>
    <t>Pagamento parcela GUIA DO FGTS DIGITAL Doc.: 1 Ordem: 63</t>
  </si>
  <si>
    <t>Pagamento parcela DOCUMENTO DE ARRECADAÇÃO DO SIMPLES NA</t>
  </si>
  <si>
    <t>Recebimento à vista Gerado pelo sistema Doc.: 8903 Ordem: 1</t>
  </si>
  <si>
    <t>UALASSE SANTOS CRUZ</t>
  </si>
  <si>
    <t>CLI-0726</t>
  </si>
  <si>
    <t>Recebimento à vista Gerado pelo sistema Doc.: 8904 Ordem: 1</t>
  </si>
  <si>
    <t>THAISE TEIXEIRA ROCHA DA SILVA</t>
  </si>
  <si>
    <t>CLI-0727</t>
  </si>
  <si>
    <t>Recebimento à vista Gerado pelo sistema. Doc.: 4077 Ordem: 1</t>
  </si>
  <si>
    <t>MARIANA SANTOS CUNHA MORAES</t>
  </si>
  <si>
    <t>CLI-0728</t>
  </si>
  <si>
    <t>Recebimento à vista Gerado pelo sistema Doc.: 8905 Ordem: 1</t>
  </si>
  <si>
    <t>Recebimento à vista Gerado pelo sistema Doc.: 8906 Ordem: 1</t>
  </si>
  <si>
    <t>ANGELICE MOREIRA BRASILEIRO OLIVEIRA</t>
  </si>
  <si>
    <t>CLI-0729</t>
  </si>
  <si>
    <t>Recebimento à vista Gerado pelo sistema. Doc.: 4079 Ordem: 1</t>
  </si>
  <si>
    <t>FRANCIS ROGER LAUXEN</t>
  </si>
  <si>
    <t>CLI-0730</t>
  </si>
  <si>
    <t>Recebimento à vista Gerado pelo sistema. Doc.: 4080 Ordem: 1</t>
  </si>
  <si>
    <t>Recebimento à vista Gerado pelo sistema Doc.: 8907 Ordem: 1</t>
  </si>
  <si>
    <t>Recebimento à vista Gerado pelo sistema. Doc.: 4081 Ordem: 1</t>
  </si>
  <si>
    <t>VANESSA SILVA DO CARMO LTD</t>
  </si>
  <si>
    <t>Recebimento parcela Gerado pelo sistema. Doc.: 4082 Ordem: 1</t>
  </si>
  <si>
    <t>MS ODONTO SAULO RIOS - SUPREME ODONTOLOGIA</t>
  </si>
  <si>
    <t>EMP-0287</t>
  </si>
  <si>
    <t>Recebimento à vista Gerado pelo sistema Doc.: 8908 Ordem: 1</t>
  </si>
  <si>
    <t>Recebimento à vista Gerado pelo sistema. Doc.: 4083 Ordem: 1</t>
  </si>
  <si>
    <t>MARIA CLEIDE DE OLIVEIRA</t>
  </si>
  <si>
    <t>Recebimento à vista Gerado pelo sistema Doc.: 8909 Ordem: 1</t>
  </si>
  <si>
    <t>Recebimento à vista Gerado pelo sistema Doc.: 8910 Ordem: 1</t>
  </si>
  <si>
    <t>ARSENIO PEREIRA TEIXEIRA</t>
  </si>
  <si>
    <t>CLI-0733</t>
  </si>
  <si>
    <t>Recebimento à vista Gerado pelo sistema Doc.: 8911 Ordem: 1</t>
  </si>
  <si>
    <t>RENILDE TEIXEIRA</t>
  </si>
  <si>
    <t>CLI-0734</t>
  </si>
  <si>
    <t>Recebimento à vista Gerado pelo sistema. Doc.: 4084 Ordem: 1</t>
  </si>
  <si>
    <t>SERTAO PRODUTOS NATURAIS LTDA</t>
  </si>
  <si>
    <t>EMP-0274</t>
  </si>
  <si>
    <t>Pagamento parcela Gerado pelo sistema - nº 68349 Doc.: 68349 Orde</t>
  </si>
  <si>
    <t>Pagamento parcela Gerado pelo sistema - nº 360351 Doc.: 360351 Ord</t>
  </si>
  <si>
    <t>Pagamento parcela Gerado pelo sistema - nº 70444 Doc.: 70444 Orde</t>
  </si>
  <si>
    <t>Pagamento parcela ICMS ANTECIPAÇÃO PARCIAL Doc.: 1 Ordem: 65</t>
  </si>
  <si>
    <t>Pagamento parcela Gerado pelo sistema - nº 369793 Doc.: 369793 Ord</t>
  </si>
  <si>
    <t>Recebimento parcela Gerado pelo sistema. Doc.: 4072 Ordem: 1</t>
  </si>
  <si>
    <t>DRILLGEO GEOLOGIA E SONDAGENS S/A</t>
  </si>
  <si>
    <t>EMP-0125</t>
  </si>
  <si>
    <t>Recebimento à vista Gerado pelo sistema Doc.: 8912 Ordem: 1</t>
  </si>
  <si>
    <t>Recebimento parcela Gerado pelo sistema. Doc.: 4068 Ordem: 1</t>
  </si>
  <si>
    <t>TAIS SANTANA ODONTOLOGIA LTDA</t>
  </si>
  <si>
    <t>Pagamento parcela SALARIO WILIAM Doc.: 1 Ordem: 7</t>
  </si>
  <si>
    <t>Pagamento à vista: SALARIO DANIEL Doc.: 1 Ordem: 6</t>
  </si>
  <si>
    <t>RELATÓRIO FINANCEIRO — MARÇO / 2026</t>
  </si>
  <si>
    <t>Pagamento à vista: ALUGUEL VITORIA MARIA Doc.: 1 Ordem: 13</t>
  </si>
  <si>
    <t>Recebimento à vista Gerado pelo sistema Doc.: 8913 Ordem: 1</t>
  </si>
  <si>
    <t>Recebimento à vista Gerado pelo sistema Doc.: 8914 Ordem: 1</t>
  </si>
  <si>
    <t>Recebimento à vista Gerado pelo sistema. Doc.: 4093 Ordem: 1</t>
  </si>
  <si>
    <t>LUCAS SOUZA</t>
  </si>
  <si>
    <t>CLI-0494</t>
  </si>
  <si>
    <t>Recebimento à vista Gerado pelo sistema. Doc.: 4094 Ordem: 1</t>
  </si>
  <si>
    <t>LIDIA MARIA CARDOSO SILVA</t>
  </si>
  <si>
    <t>CLI-0740</t>
  </si>
  <si>
    <t>Recebimento à vista Gerado pelo sistema Doc.: 8915 Ordem: 1</t>
  </si>
  <si>
    <t>Recebimento à vista Gerado pelo sistema. Doc.: 4095 Ordem: 1</t>
  </si>
  <si>
    <t>Recebimento à vista Gerado pelo sistema Doc.: 8916 Ordem: 1</t>
  </si>
  <si>
    <t>JULIANA BORGES ALVES MONTEIRO</t>
  </si>
  <si>
    <t>CLI-0737</t>
  </si>
  <si>
    <t>Pagamento à vista: Gerado pelo sistema. Doc.: 4096 Ordem: 1</t>
  </si>
  <si>
    <t>Recebimento à vista Gerado pelo sistema. Doc.: 4097 Ordem: 1</t>
  </si>
  <si>
    <t>Recebimento à vista Gerado pelo sistema. Doc.: 4098 Ordem: 1</t>
  </si>
  <si>
    <t>CENTRO DE CULTURA ANGLO AMERICANO DE JACOBINA LTDA</t>
  </si>
  <si>
    <t>EMP-0057</t>
  </si>
  <si>
    <t>Recebimento à vista Gerado pelo sistema Doc.: 8917 Ordem: 1</t>
  </si>
  <si>
    <t>Recebimento à vista Gerado pelo sistema. Doc.: 4099 Ordem: 1</t>
  </si>
  <si>
    <t>JACIRA DO CARMO DE OLIVEIRA</t>
  </si>
  <si>
    <t>CLI-0742</t>
  </si>
  <si>
    <t>Recebimento à vista Gerado pelo sistema. Doc.: 4101 Ordem: 1</t>
  </si>
  <si>
    <t>DANILO PEREIRA SANTOS</t>
  </si>
  <si>
    <t>CLI-0507</t>
  </si>
  <si>
    <t>Recebimento parcela Gerado pelo sistema Doc.: 8918 Ordem: 1</t>
  </si>
  <si>
    <t>EVA LAGES MATOS DE FREITAS</t>
  </si>
  <si>
    <t>CLI-0741</t>
  </si>
  <si>
    <t>Recebimento à vista Gerado pelo sistema Doc.: 8919 Ordem: 1</t>
  </si>
  <si>
    <t>PAULO VITOR BIULCHI DOS SANTOS</t>
  </si>
  <si>
    <t>CLI-0747</t>
  </si>
  <si>
    <t>Recebimento parcela Gerado pelo sistema. Doc.: 4100 Ordem: 1</t>
  </si>
  <si>
    <t>LUCIA MARIA OLIVEIRA SILVA DIAS EPP</t>
  </si>
  <si>
    <t>EMP-0039</t>
  </si>
  <si>
    <t>Recebimento à vista Gerado pelo sistema Doc.: 8920 Ordem: 1</t>
  </si>
  <si>
    <t>ADILSON BRASILEIRO DOS SANTOS</t>
  </si>
  <si>
    <t>CLI-0746</t>
  </si>
  <si>
    <t>Recebimento à vista Gerado pelo sistema Doc.: 8921 Ordem: 1</t>
  </si>
  <si>
    <t>Recebimento à vista Gerado pelo sistema Doc.: 8922 Ordem: 1</t>
  </si>
  <si>
    <t>Recebimento à vista Gerado pelo sistema Doc.: 8923 Ordem: 1</t>
  </si>
  <si>
    <t>Recebimento parcela Gerado pelo sistema. Doc.: 4061 Ordem: 1</t>
  </si>
  <si>
    <t>SERVICO NACIONAL DE APRENDIZAGEM COMERCIAL</t>
  </si>
  <si>
    <t>EMP-0276</t>
  </si>
  <si>
    <t>Recebimento parcela Gerado pelo sistema. Doc.: 4073 Ordem: 1</t>
  </si>
  <si>
    <t>Recebimento à vista Gerado pelo sistema Doc.: 8924 Ordem: 1</t>
  </si>
  <si>
    <t>Recebimento à vista Gerado pelo sistema Doc.: 8925 Ordem: 1</t>
  </si>
  <si>
    <t>Recebimento à vista Gerado pelo sistema. Doc.: 4102 Ordem: 1</t>
  </si>
  <si>
    <t>CENTRO MEDICO BOA SAUDE</t>
  </si>
  <si>
    <t>EMP-0061</t>
  </si>
  <si>
    <t>Recebimento à vista Gerado pelo sistema. Doc.: 4103 Ordem: 1</t>
  </si>
  <si>
    <t>DFLL SERVICOS MEDICOS LTDA</t>
  </si>
  <si>
    <t>EMP-0116</t>
  </si>
  <si>
    <t>Recebimento à vista Gerado pelo sistema. Doc.: 4104 Ordem: 1</t>
  </si>
  <si>
    <t>EMPERI ODONTOLOGIA LTDA</t>
  </si>
  <si>
    <t>EMP-0134</t>
  </si>
  <si>
    <t>Recebimento à vista Gerado pelo sistema Doc.: 8926 Ordem: 1</t>
  </si>
  <si>
    <t>UILLIAM TARCIO LOPES BRITO</t>
  </si>
  <si>
    <t>CLI-0752</t>
  </si>
  <si>
    <t>Recebimento à vista Gerado pelo sistema Doc.: 8927 Ordem: 1</t>
  </si>
  <si>
    <t>Recebimento à vista Gerado pelo sistema Doc.: 8928 Ordem: 1</t>
  </si>
  <si>
    <t>Recebimento à vista Gerado pelo sistema Doc.: 8929 Ordem: 1</t>
  </si>
  <si>
    <t>Recebimento à vista Gerado pelo sistema Doc.: 8930 Ordem: 1</t>
  </si>
  <si>
    <t>Pagamento parcela JAMEF Doc.: 1 Ordem: 37</t>
  </si>
  <si>
    <t>Pagamento parcela Gerado pelo sistema - nº 132866 Doc.: 132866 Ord</t>
  </si>
  <si>
    <t>CULLIGAN LATAM EIRELI</t>
  </si>
  <si>
    <t>Pagamento parcela CONTA DE ENERGIA LOJA Doc.: 1 Ordem: 19</t>
  </si>
  <si>
    <t>Recebimento à vista Gerado pelo sistema Doc.: 8931 Ordem: 1</t>
  </si>
  <si>
    <t>Recebimento à vista Gerado pelo sistema. Doc.: 4106 Ordem: 1</t>
  </si>
  <si>
    <t>CARNEIRO ULTRA DROGARIA LTDA - FILIAL 1</t>
  </si>
  <si>
    <t>EMP-0043</t>
  </si>
  <si>
    <t>Recebimento à vista Gerado pelo sistema. Doc.: 4107 Ordem: 1</t>
  </si>
  <si>
    <t>JAIRO CESAR MORO</t>
  </si>
  <si>
    <t>CLI-0755</t>
  </si>
  <si>
    <t>Recebimento parcela Gerado pelo sistema. Doc.: 4085 Ordem: 1</t>
  </si>
  <si>
    <t>Recebimento parcela Gerado pelo sistema. Doc.: 4086 Ordem: 1</t>
  </si>
  <si>
    <t>Recebimento à vista Gerado pelo sistema. Doc.: 4108 Ordem: 1</t>
  </si>
  <si>
    <t>L.C. SERVICOS E TRANSPORTE LTDA</t>
  </si>
  <si>
    <t>Recebimento à vista Gerado pelo sistema Doc.: 8932 Ordem: 1</t>
  </si>
  <si>
    <t>Recebimento à vista Gerado pelo sistema Doc.: 8933 Ordem: 1</t>
  </si>
  <si>
    <t>JACY LIMA DA SILVA</t>
  </si>
  <si>
    <t>CLI-0756</t>
  </si>
  <si>
    <t>Recebimento à vista Gerado pelo sistema. Doc.: 4109 Ordem: 1</t>
  </si>
  <si>
    <t>SARA ANDREIA BARROS DE SOUZA SANTANA - ME</t>
  </si>
  <si>
    <t>EMP-0272</t>
  </si>
  <si>
    <t>Recebimento à vista Gerado pelo sistema Doc.: 8934 Ordem: 1</t>
  </si>
  <si>
    <t>Recebimento à vista Gerado pelo sistema Doc.: 8935 Ordem: 1</t>
  </si>
  <si>
    <t>Recebimento à vista Gerado pelo sistema Doc.: 8936 Ordem: 1</t>
  </si>
  <si>
    <t>MOAB LIMA RIOS</t>
  </si>
  <si>
    <t>OUT-0066</t>
  </si>
  <si>
    <t>Recebimento à vista Gerado pelo sistema Doc.: 8937 Ordem: 1</t>
  </si>
  <si>
    <t>Recebimento à vista Gerado pelo sistema Doc.: 8938 Ordem: 1</t>
  </si>
  <si>
    <t>Recebimento à vista Gerado pelo sistema Doc.: 8939 Ordem: 1</t>
  </si>
  <si>
    <t>FARMACIA DOIS DE JULHO</t>
  </si>
  <si>
    <t>EMP-0144</t>
  </si>
  <si>
    <t>Recebimento à vista Gerado pelo sistema. Doc.: 4110 Ordem: 1</t>
  </si>
  <si>
    <t>SANDRA MARIA VIEIRA MOREIRA ARAUJO</t>
  </si>
  <si>
    <t>CLI-0758</t>
  </si>
  <si>
    <t>Recebimento parcela Gerado pelo sistema. Doc.: 4089 Ordem: 1</t>
  </si>
  <si>
    <t>ASPEC SOCIEDADE PARAIBANA DE EDUCACAO E CULTURA LTDA</t>
  </si>
  <si>
    <t>Recebimento à vista Gerado pelo sistema Doc.: 8940 Ordem: 1</t>
  </si>
  <si>
    <t>Recebimento à vista Gerado pelo sistema Doc.: 8941 Ordem: 1</t>
  </si>
  <si>
    <t>Recebimento à vista Gerado pelo sistema Doc.: 8942 Ordem: 1</t>
  </si>
  <si>
    <t>Recebimento à vista Gerado pelo sistema Doc.: 8943 Ordem: 1</t>
  </si>
  <si>
    <t>Recebimento à vista Gerado pelo sistema Doc.: 8944 Ordem: 1</t>
  </si>
  <si>
    <t>Recebimento à vista Gerado pelo sistema Doc.: 8945 Ordem: 1</t>
  </si>
  <si>
    <t>Recebimento à vista Gerado pelo sistema Doc.: 8946 Ordem: 1</t>
  </si>
  <si>
    <t>Recebimento à vista Gerado pelo sistema. Doc.: 4112 Ordem: 1</t>
  </si>
  <si>
    <t>IGREJA ADVENTISTA JACOBINA</t>
  </si>
  <si>
    <t>EMP-0020</t>
  </si>
  <si>
    <t>Recebimento parcela Gerado pelo sistema. Doc.: 4105 Ordem: 1</t>
  </si>
  <si>
    <t>ORDEM DOS ADVOGADOS DO BRASIL SUBSECAO JACOBINA BA</t>
  </si>
  <si>
    <t>Recebimento à vista Gerado pelo sistema. Doc.: 4113 Ordem: 1</t>
  </si>
  <si>
    <t>DAVID DANTAS MARTINS MENDES</t>
  </si>
  <si>
    <t>Recebimento à vista Gerado pelo sistema Doc.: 8947 Ordem: 1</t>
  </si>
  <si>
    <t>Recebimento à vista Gerado pelo sistema Doc.: 8948 Ordem: 1</t>
  </si>
  <si>
    <t>GEORGE MARTINS SILVA</t>
  </si>
  <si>
    <t>CLI-0763</t>
  </si>
  <si>
    <t>Recebimento à vista Gerado pelo sistema Doc.: 8949 Ordem: 1</t>
  </si>
  <si>
    <t>DARLINE DE OLIVEIRA ALMEIDA LIRO</t>
  </si>
  <si>
    <t>CLI-0765</t>
  </si>
  <si>
    <t>Recebimento à vista Gerado pelo sistema. Doc.: 4114 Ordem: 1</t>
  </si>
  <si>
    <t>PATIOS NORDESTE JACOBINA SPE LTDA</t>
  </si>
  <si>
    <t>Pagamento parcela TARCISIO OLIVEIRA LIMA Doc.: 1 Ordem: 13</t>
  </si>
  <si>
    <t>Pagamento parcela FGTS Doc.: 1 Ordem: 66</t>
  </si>
  <si>
    <t>Pagamento parcela RECEITAS FEDERAIS Doc.: 2 Ordem: 1</t>
  </si>
  <si>
    <t>Pagamento parcela SIMPLES NACIONAL Doc.: 1 Ordem: 67</t>
  </si>
  <si>
    <t>Recebimento à vista Gerado pelo sistema Doc.: 8950 Ordem: 1</t>
  </si>
  <si>
    <t>MARIA DO CARMO MENDES</t>
  </si>
  <si>
    <t>OUT-0061</t>
  </si>
  <si>
    <t>Recebimento à vista Gerado pelo sistema. Doc.: 4116 Ordem: 1</t>
  </si>
  <si>
    <t>Recebimento à vista Gerado pelo sistema Doc.: 8951 Ordem: 1</t>
  </si>
  <si>
    <t>Recebimento à vista Gerado pelo sistema Doc.: 8952 Ordem: 1</t>
  </si>
  <si>
    <t>Recebimento à vista Gerado pelo sistema. Doc.: 4117 Ordem: 1</t>
  </si>
  <si>
    <t>CENTRO DE ESTUDOS CALMONENSE</t>
  </si>
  <si>
    <t>OUT-0011</t>
  </si>
  <si>
    <t>Recebimento à vista Gerado pelo sistema Doc.: 8953 Ordem: 1</t>
  </si>
  <si>
    <t>Recebimento à vista Gerado pelo sistema. Doc.: 4119 Ordem: 1</t>
  </si>
  <si>
    <t>JOSE LUCIANO VIEIRA COSTA</t>
  </si>
  <si>
    <t>Recebimento à vista Gerado pelo sistema. Doc.: 4120 Ordem: 1</t>
  </si>
  <si>
    <t>CENTRO MEDICO DE JACOBINA LTDA</t>
  </si>
  <si>
    <t>EMP-0063</t>
  </si>
  <si>
    <t>Recebimento à vista Gerado pelo sistema. Doc.: 4121 Ordem: 1</t>
  </si>
  <si>
    <t>METRICA CONSTRUCAO LTDA</t>
  </si>
  <si>
    <t>EMP-0221</t>
  </si>
  <si>
    <t>Recebimento à vista Gerado pelo sistema Doc.: 8954 Ordem: 1</t>
  </si>
  <si>
    <t>Recebimento à vista Gerado pelo sistema Doc.: 8955 Ordem: 1</t>
  </si>
  <si>
    <t>Recebimento à vista Gerado pelo sistema. Doc.: 4122 Ordem: 1</t>
  </si>
  <si>
    <t>VERA LUCIA GOMES SAMPAIO</t>
  </si>
  <si>
    <t>CLI-0520</t>
  </si>
  <si>
    <t>Recebimento parcela Gerado pelo sistema. Doc.: 4118 Ordem: 1</t>
  </si>
  <si>
    <t>CLIMO - CLINICA MEDICA OFTALMOLOGICA LTDA</t>
  </si>
  <si>
    <t>EMP-0067</t>
  </si>
  <si>
    <t>Recebimento parcela Gerado pelo sistema. Doc.: 4123 Ordem: 1</t>
  </si>
  <si>
    <t>R. M. LABORATORIO LTDA.</t>
  </si>
  <si>
    <t>Recebimento à vista Gerado pelo sistema. Doc.: 4124 Ordem: 1</t>
  </si>
  <si>
    <t>PAULO DIOGENES DE OLIVEIRA EIRELI</t>
  </si>
  <si>
    <t>Recebimento à vista Gerado pelo sistema. Doc.: 4125 Ordem: 1</t>
  </si>
  <si>
    <t>AGES EDUCACAO LTDA</t>
  </si>
  <si>
    <t>ESC-0005</t>
  </si>
  <si>
    <t>Pagamento parcela Gerado pelo sistema - nº 71084 Doc.: 71084 Orde</t>
  </si>
  <si>
    <t>Pagamento parcela ICMS - ANTECIPAÇÃO PARCIAL Doc.: 1 Ordem: 68</t>
  </si>
  <si>
    <t>Pagamento parcela JAMEF Doc.: 1 Ordem: 38</t>
  </si>
  <si>
    <t>Pagamento parcela Gerado pelo sistema - nº 371358 Doc.: 371358 Ord</t>
  </si>
  <si>
    <t>Recebimento à vista Gerado pelo sistema Doc.: 8956 Ordem: 1</t>
  </si>
  <si>
    <t>Recebimento à vista Gerado pelo sistema. Doc.: 4128 Ordem: 1</t>
  </si>
  <si>
    <t>SAMILLE FISCINA LIMA LORDELLO</t>
  </si>
  <si>
    <t>CLI-0508</t>
  </si>
  <si>
    <t>Recebimento à vista Gerado pelo sistema. Doc.: 4129 Ordem: 1</t>
  </si>
  <si>
    <t>LUCIMARA OLIVEIRA SILVA NEVES</t>
  </si>
  <si>
    <t>CLI-0769</t>
  </si>
  <si>
    <t>Recebimento à vista Gerado pelo sistema. Doc.: 4132 Ordem: 1</t>
  </si>
  <si>
    <t>PAULO ERIC DE SOUSA DE JACOBINA</t>
  </si>
  <si>
    <t>Recebimento à vista Gerado pelo sistema. Doc.: 4133 Ordem: 1</t>
  </si>
  <si>
    <t>Recebimento à vista Gerado pelo sistema. Doc.: 4134 Ordem: 1</t>
  </si>
  <si>
    <t>CMC- CENTRO MEDICO CARDIOVASCULAR LTDA</t>
  </si>
  <si>
    <t>Recebimento à vista Gerado pelo sistema Doc.: 8957 Ordem: 1</t>
  </si>
  <si>
    <t>HELENA NILVA DE CARVALHO MOURA</t>
  </si>
  <si>
    <t>CLI-0768</t>
  </si>
  <si>
    <t>Recebimento à vista Gerado pelo sistema Doc.: 8958 Ordem: 1</t>
  </si>
  <si>
    <t>Recebimento à vista Gerado pelo sistema. Doc.: 4135 Ordem: 1</t>
  </si>
  <si>
    <t>JACQUELINE COSTA DE BARROS CEZAR &amp; CIA LTDA</t>
  </si>
  <si>
    <t>Recebimento à vista Gerado pelo sistema. Doc.: 4136 Ordem: 1</t>
  </si>
  <si>
    <t>DOM - NUCLEO DE TERAPIAS INTEGRADAS</t>
  </si>
  <si>
    <t>Recebimento à vista Gerado pelo sistema Doc.: 8959 Ordem: 1</t>
  </si>
  <si>
    <t>Pagamento parcela PREFEITURA MUNICIPAL DE JACOBINA Doc.: 1 Ord</t>
  </si>
  <si>
    <t>MUNICIPIO DE JACOBINA</t>
  </si>
  <si>
    <t>Pagamento à vista: SALARIO WILIAM Doc.: 1 Ordem: 8</t>
  </si>
  <si>
    <t>Pagamento à vista: SALARIO DANIEL Doc.: 1 Ordem: 7</t>
  </si>
  <si>
    <t>RELATÓRIO FINANCEIRO — ABRIL / 2026</t>
  </si>
  <si>
    <t>Pagamento parcela EMBASA ADRIANO Doc.: 1 Ordem: 12</t>
  </si>
  <si>
    <t>EMPRESA BAIANA DE AGUAS E SANEAMENTO SA</t>
  </si>
  <si>
    <t>Recebimento à vista Gerado pelo sistema. Doc.: 4138 Ordem: 1</t>
  </si>
  <si>
    <t>Recebimento à vista Gerado pelo sistema Doc.: 8960 Ordem: 1</t>
  </si>
  <si>
    <t>Recebimento à vista Gerado pelo sistema. Doc.: 4139 Ordem: 1</t>
  </si>
  <si>
    <t>RUI ROBSON FERREIRA ANDRADE - MARIA LUCIA</t>
  </si>
  <si>
    <t>CLI-0754</t>
  </si>
  <si>
    <t>Pagamento à vista: ALUGUEL VITORIA MARIA Doc.: 1 Ordem: 14</t>
  </si>
  <si>
    <t>Recebimento à vista Gerado pelo sistema Doc.: 8961 Ordem: 1</t>
  </si>
  <si>
    <t>Recebimento à vista Gerado pelo sistema Doc.: 8962 Ordem: 1</t>
  </si>
  <si>
    <t>Recebimento à vista Gerado pelo sistema. Doc.: 4141 Ordem: 1</t>
  </si>
  <si>
    <t>Recebimento à vista Gerado pelo sistema Doc.: 8963 Ordem: 1</t>
  </si>
  <si>
    <t>Recebimento à vista Gerado pelo sistema Doc.: 8964 Ordem: 1</t>
  </si>
  <si>
    <t>Recebimento à vista Gerado pelo sistema Doc.: 8965 Ordem: 1</t>
  </si>
  <si>
    <t>JUCILEIDE TEIXEIRA GAMA COSTA</t>
  </si>
  <si>
    <t>CLI-0774</t>
  </si>
  <si>
    <t>Recebimento à vista Gerado pelo sistema. Doc.: 4142 Ordem: 1</t>
  </si>
  <si>
    <t>MARIA MARGARETH ALMEIDA SANTOS</t>
  </si>
  <si>
    <t>CLI-0776</t>
  </si>
  <si>
    <t>Recebimento à vista Gerado pelo sistema. Doc.: 4143 Ordem: 1</t>
  </si>
  <si>
    <t>CARNEIRO E SILVA LTDA</t>
  </si>
  <si>
    <t>EMP-0040</t>
  </si>
  <si>
    <t>Recebimento à vista Gerado pelo sistema Doc.: 8966 Ordem: 1</t>
  </si>
  <si>
    <t>MARIANO PAULO FARIAS</t>
  </si>
  <si>
    <t>CLI-0778</t>
  </si>
  <si>
    <t>Recebimento à vista Gerado pelo sistema Doc.: 8967 Ordem: 1</t>
  </si>
  <si>
    <t>Recebimento à vista Gerado pelo sistema Doc.: 8968 Ordem: 1</t>
  </si>
  <si>
    <t>Recebimento à vista Gerado pelo sistema Doc.: 8969 Ordem: 1</t>
  </si>
  <si>
    <t>MARGARIDA MESQUITA</t>
  </si>
  <si>
    <t>CLI-0777</t>
  </si>
  <si>
    <t>Recebimento parcela Gerado pelo sistema Doc.: 8970 Ordem: 1</t>
  </si>
  <si>
    <t>VALDECI SOUZA SILVA</t>
  </si>
  <si>
    <t>CLI-0779</t>
  </si>
  <si>
    <t>Recebimento à vista Gerado pelo sistema. Doc.: 4145 Ordem: 1</t>
  </si>
  <si>
    <t>COR E FEST</t>
  </si>
  <si>
    <t>EMP-0109</t>
  </si>
  <si>
    <t>Recebimento à vista Gerado pelo sistema. Doc.: 4146 Ordem: 1</t>
  </si>
  <si>
    <t>IRISTELA MIRANDA PAIVA</t>
  </si>
  <si>
    <t>CLI-0780</t>
  </si>
  <si>
    <t>Recebimento à vista Gerado pelo sistema Doc.: 8971 Ordem: 1</t>
  </si>
  <si>
    <t>RIVAEL SOUSA SANTOS</t>
  </si>
  <si>
    <t>EMP-0312</t>
  </si>
  <si>
    <t>Recebimento à vista Gerado pelo sistema Doc.: 8972 Ordem: 1</t>
  </si>
  <si>
    <t>VICTOR LEANDRO SILVA MIRANDA - MARIA CONCEICAO</t>
  </si>
  <si>
    <t>CLI-0297</t>
  </si>
  <si>
    <t>Recebimento à vista Gerado pelo sistema Doc.: 8973 Ordem: 1</t>
  </si>
  <si>
    <t>ITAN SOUZA NASCIMENTO</t>
  </si>
  <si>
    <t>CLI-0781</t>
  </si>
  <si>
    <t>Recebimento à vista Gerado pelo sistema Doc.: 8974 Ordem: 1</t>
  </si>
  <si>
    <t>Recebimento à vista Gerado pelo sistema Doc.: 8975 Ordem: 1</t>
  </si>
  <si>
    <t>Recebimento à vista Gerado pelo sistema Doc.: 8976 Ordem: 1</t>
  </si>
  <si>
    <t>Recebimento à vista Gerado pelo sistema Doc.: 8977 Ordem: 1</t>
  </si>
  <si>
    <t>Recebimento à vista Gerado pelo sistema Doc.: 8978 Ordem: 1</t>
  </si>
  <si>
    <t>Recebimento à vista Gerado pelo sistema Doc.: 8979 Ordem: 1</t>
  </si>
  <si>
    <t>JAQUELINE CARNEIRO</t>
  </si>
  <si>
    <t>CLI-0782</t>
  </si>
  <si>
    <t>Recebimento à vista Gerado pelo sistema Doc.: 8980 Ordem: 1</t>
  </si>
  <si>
    <t>Recebimento à vista Gerado pelo sistema Doc.: 8981 Ordem: 1</t>
  </si>
  <si>
    <t>ADAILTON SAMPAIO AVELINO</t>
  </si>
  <si>
    <t>CLI-0787</t>
  </si>
  <si>
    <t>Recebimento à vista Gerado pelo sistema. Doc.: 4148 Ordem: 1</t>
  </si>
  <si>
    <t>EMPRESA SERTANEJA DE HOTEIS LTDA</t>
  </si>
  <si>
    <t>EMP-0136</t>
  </si>
  <si>
    <t>Recebimento à vista Gerado pelo sistema. Doc.: 4149 Ordem: 1</t>
  </si>
  <si>
    <t>JCO INDUSTRIA DE COSMETICOS LTDA</t>
  </si>
  <si>
    <t>Recebimento à vista Gerado pelo sistema Doc.: 8982 Ordem: 1</t>
  </si>
  <si>
    <t>Recebimento à vista Gerado pelo sistema Doc.: 8983 Ordem: 1</t>
  </si>
  <si>
    <t>Recebimento à vista Gerado pelo sistema Doc.: 8984 Ordem: 1</t>
  </si>
  <si>
    <t>Recebimento à vista Gerado pelo sistema Doc.: 8985 Ordem: 1</t>
  </si>
  <si>
    <t>Recebimento à vista Gerado pelo sistema Doc.: 8986 Ordem: 1</t>
  </si>
  <si>
    <t>Recebimento parcela Gerado pelo sistema. Doc.: 4074 Ordem: 1</t>
  </si>
  <si>
    <t>Recebimento à vista Gerado pelo sistema. Doc.: 4152 Ordem: 1</t>
  </si>
  <si>
    <t>MEU DENTE CLINICA ODONTOLOGICA LTDA</t>
  </si>
  <si>
    <t>Recebimento à vista Gerado pelo sistema. Doc.: 4153 Ordem: 1</t>
  </si>
  <si>
    <t>CONSULTORIO ODONTOLOGICO DOUTOR CLEBER DOURADO DE OLIVEIRA</t>
  </si>
  <si>
    <t>EMP-0101</t>
  </si>
  <si>
    <t>Recebimento à vista Gerado pelo sistema Doc.: 8987 Ordem: 1</t>
  </si>
  <si>
    <t>EDELZUITA LIMA FERREIRA</t>
  </si>
  <si>
    <t>CLI-0789</t>
  </si>
  <si>
    <t>Recebimento à vista Gerado pelo sistema. Doc.: 4154 Ordem: 1</t>
  </si>
  <si>
    <t>SEMECO SERVICOS MEDICOS E CONSULTORIA LTDA</t>
  </si>
  <si>
    <t>EMP-0273</t>
  </si>
  <si>
    <t>Recebimento à vista Gerado pelo sistema. Doc.: 4155 Ordem: 1</t>
  </si>
  <si>
    <t>CLINICA MEDICA ODONTO FIS - LAR PROTEGIDO</t>
  </si>
  <si>
    <t>Recebimento à vista Gerado pelo sistema Doc.: 8988 Ordem: 1</t>
  </si>
  <si>
    <t>SAMIRA LEAL VILAS BOAS</t>
  </si>
  <si>
    <t>CLI-0791</t>
  </si>
  <si>
    <t>Pagamento parcela TARCISIO OLIVEIRA LIMA Doc.: 1 Ordem: 14</t>
  </si>
  <si>
    <t>Pagamento parcela JAMEF Doc.: 1 Ordem: 39</t>
  </si>
  <si>
    <t>Estorno de recebimento do documento: Gerado pelo sistema. Doc.: 41</t>
  </si>
  <si>
    <t>Recebimento à vista Gerado pelo sistema. Doc.: 4156 Ordem: 1</t>
  </si>
  <si>
    <t>Recebimento à vista Gerado pelo sistema Doc.: 8989 Ordem: 1</t>
  </si>
  <si>
    <t>Recebimento à vista Gerado pelo sistema Doc.: 8990 Ordem: 1</t>
  </si>
  <si>
    <t>IEDA REGO DE MATOS</t>
  </si>
  <si>
    <t>CLI-0793</t>
  </si>
  <si>
    <t>Recebimento à vista Gerado pelo sistema. Doc.: 4157 Ordem: 1</t>
  </si>
  <si>
    <t>Recebimento à vista Gerado pelo sistema Doc.: 8991 Ordem: 1</t>
  </si>
  <si>
    <t>Recebimento à vista Gerado pelo sistema Doc.: 8992 Ordem: 1</t>
  </si>
  <si>
    <t>Recebimento à vista Gerado pelo sistema Doc.: 8993 Ordem: 1</t>
  </si>
  <si>
    <t>Recebimento à vista Gerado pelo sistema Doc.: 8994 Ordem: 1</t>
  </si>
  <si>
    <t>Recebimento à vista Gerado pelo sistema Doc.: 8995 Ordem: 1</t>
  </si>
  <si>
    <t>JORGE SAMUEL MENDES MORAES</t>
  </si>
  <si>
    <t>CLI-0391</t>
  </si>
  <si>
    <t>Recebimento à vista Gerado pelo sistema Doc.: 8996 Ordem: 1</t>
  </si>
  <si>
    <t>Recebimento à vista Gerado pelo sistema Doc.: 8997 Ordem: 1</t>
  </si>
  <si>
    <t>Recebimento parcela Gerado pelo sistema. Doc.: 4140 Ordem: 1</t>
  </si>
  <si>
    <t>Recebimento à vista Gerado pelo sistema Doc.: 8998 Ordem: 1</t>
  </si>
  <si>
    <t>WAGNER OLIVEIRA MENEZES - KETINA SILVA</t>
  </si>
  <si>
    <t>CLI-0659</t>
  </si>
  <si>
    <t>Recebimento à vista Gerado pelo sistema Doc.: 8999 Ordem: 1</t>
  </si>
  <si>
    <t>Recebimento à vista Gerado pelo sistema Doc.: 9000 Ordem: 1</t>
  </si>
  <si>
    <t>Recebimento à vista Gerado pelo sistema Doc.: 9001 Ordem: 1</t>
  </si>
  <si>
    <t>Recebimento à vista Gerado pelo sistema. Doc.: 4161 Ordem: 1</t>
  </si>
  <si>
    <t>QUITERIA NUNES DE SOUZA</t>
  </si>
  <si>
    <t>CLI-0795</t>
  </si>
  <si>
    <t>Recebimento à vista Gerado pelo sistema Doc.: 9002 Ordem: 1</t>
  </si>
  <si>
    <t>Recebimento à vista Gerado pelo sistema Doc.: 9003 Ordem: 1</t>
  </si>
  <si>
    <t>Recebimento à vista Gerado pelo sistema. Doc.: 4162 Ordem: 1</t>
  </si>
  <si>
    <t>Rafael Mesquita Victoria</t>
  </si>
  <si>
    <t>Pagamento parcela GDF GUIA DO FGTS DIGITAL Doc.: 1 Ordem: 69</t>
  </si>
  <si>
    <t>Pagamento parcela Gerado pelo sistema - nº 128882 Doc.: 128882 Ord</t>
  </si>
  <si>
    <t>Pagamento parcela SIMPLES NACIONAL Doc.: 1 Ordem: 71</t>
  </si>
  <si>
    <t>Recebimento parcela Gerado pelo sistema. Doc.: 4151 Ordem: 1</t>
  </si>
  <si>
    <t>Recebimento à vista Gerado pelo sistema Doc.: 9004 Ordem: 1</t>
  </si>
  <si>
    <t>VALDICE FONTES DA SILVA</t>
  </si>
  <si>
    <t>CLI-0798</t>
  </si>
  <si>
    <t>Recebimento à vista Gerado pelo sistema Doc.: 9005 Ordem: 1</t>
  </si>
  <si>
    <t>Recebimento à vista Gerado pelo sistema Doc.: 9006 Ordem: 1</t>
  </si>
  <si>
    <t>Recebimento à vista Gerado pelo sistema. Doc.: 4165 Ordem: 1</t>
  </si>
  <si>
    <t>LAPEC LAB - LABORATORIO DE ANALISES E PESQUISAS CLINICAS LTDA</t>
  </si>
  <si>
    <t>Recebimento à vista Gerado pelo sistema. Doc.: 4166 Ordem: 1</t>
  </si>
  <si>
    <t>INSTITUTO IRMAS DO DIVINO ESPIRITO SANTO</t>
  </si>
  <si>
    <t>EMP-0181</t>
  </si>
  <si>
    <t>Recebimento à vista Gerado pelo sistema. Doc.: 4167 Ordem: 1</t>
  </si>
  <si>
    <t>JACOBINA MATERIAL DE LIMPEZA EIRELI</t>
  </si>
  <si>
    <t>Recebimento à vista Gerado pelo sistema. Doc.: 4168 Ordem: 1</t>
  </si>
  <si>
    <t>COOPERATIVA DE CREDITO SICOOB SERTAO LTDA.</t>
  </si>
  <si>
    <t>Recebimento à vista Gerado pelo sistema. Doc.: 4169 Ordem: 1</t>
  </si>
  <si>
    <t>SOCIEDADE EDUCACIONAL DE JACOBINA LTDA</t>
  </si>
  <si>
    <t>Recebimento à vista Gerado pelo sistema Doc.: 9007 Ordem: 1</t>
  </si>
  <si>
    <t>EDIANE GUIMARAES DE SOUZA</t>
  </si>
  <si>
    <t>CLI-0796</t>
  </si>
  <si>
    <t>Recebimento à vista Gerado pelo sistema. Doc.: 4171 Ordem: 1</t>
  </si>
  <si>
    <t>CLAUDIANA PEREIRA CARVALHO OLIVEIRA</t>
  </si>
  <si>
    <t>OUT-0014</t>
  </si>
  <si>
    <t>Recebimento à vista Gerado pelo sistema Doc.: 9008 Ordem: 1</t>
  </si>
  <si>
    <t>Recebimento à vista Gerado pelo sistema Doc.: 9009 Ordem: 1</t>
  </si>
  <si>
    <t>ANA CRISTINA DA SILVA TEIXEIRA</t>
  </si>
  <si>
    <t>CLI-0799</t>
  </si>
  <si>
    <t>Recebimento à vista Gerado pelo sistema. Doc.: 4172 Ordem: 1</t>
  </si>
  <si>
    <t>REGINALDO SANTOS DA SILVA</t>
  </si>
  <si>
    <t>CLI-0067</t>
  </si>
  <si>
    <t>Recebimento à vista Gerado pelo sistema Doc.: 9010 Ordem: 1</t>
  </si>
  <si>
    <t>Recebimento à vista Gerado pelo sistema Doc.: 9011 Ordem: 1</t>
  </si>
  <si>
    <t>Recebimento à vista Gerado pelo sistema. Doc.: 4173 Ordem: 1</t>
  </si>
  <si>
    <t>SUPER JACOBINA DISTRIBUIDORA DE GAS</t>
  </si>
  <si>
    <t>Recebimento parcela Gerado pelo sistema Doc.: 9012 Ordem: 1</t>
  </si>
  <si>
    <t>MARICELIA SANTANA SILVA</t>
  </si>
  <si>
    <t>CLI-0802</t>
  </si>
  <si>
    <t>Recebimento à vista Gerado pelo sistema Doc.: 9013 Ordem: 1</t>
  </si>
  <si>
    <t>Recebimento à vista Gerado pelo sistema Doc.: 9014 Ordem: 1</t>
  </si>
  <si>
    <t>Recebimento à vista Gerado pelo sistema Doc.: 9015 Ordem: 1</t>
  </si>
  <si>
    <t>Pagamento parcela DAE Doc.: 1 Ordem: 72</t>
  </si>
  <si>
    <t>Recebimento à vista Gerado pelo sistema. Doc.: 4174 Ordem: 1</t>
  </si>
  <si>
    <t>CHAPADA OURO SERVICOS LTDA</t>
  </si>
  <si>
    <t>EMP-0066</t>
  </si>
  <si>
    <t>Recebimento à vista Gerado pelo sistema Doc.: 9016 Ordem: 1</t>
  </si>
  <si>
    <t>Recebimento à vista Gerado pelo sistema. Doc.: 4175 Ordem: 1</t>
  </si>
  <si>
    <t>RASGA PRECO COMERCIO DE CONFECCOES E ELETRODOMESTICOS LTDA EPP</t>
  </si>
  <si>
    <t>Recebimento à vista Gerado pelo sistema Doc.: 9019 Ordem: 1</t>
  </si>
  <si>
    <t>Recebimento à vista Gerado pelo sistema Doc.: 9020 Ordem: 1</t>
  </si>
  <si>
    <t>Recebimento à vista Gerado pelo sistema. Doc.: 4176 Ordem: 1</t>
  </si>
  <si>
    <t>ALOISIO QUEIROZ DA SILVA - RESTAURANTE BONZAO BODE</t>
  </si>
  <si>
    <t>EMP-0258</t>
  </si>
  <si>
    <t>Recebimento à vista Gerado pelo sistema. Doc.: 4177 Ordem: 1</t>
  </si>
  <si>
    <t>TULIO SANTOS ABRANTES SILVA</t>
  </si>
  <si>
    <t>CLI-0807</t>
  </si>
  <si>
    <t>Recebimento à vista Gerado pelo sistema. Doc.: 4179 Ordem: 1</t>
  </si>
  <si>
    <t>IEDA MENDES DE CARVALHO BRITO</t>
  </si>
  <si>
    <t>CLI-0804</t>
  </si>
  <si>
    <t>Recebimento à vista Gerado pelo sistema Doc.: 9021 Ordem: 1</t>
  </si>
  <si>
    <t>Recebimento à vista Gerado pelo sistema Doc.: 9022 Ordem: 1</t>
  </si>
  <si>
    <t>Recebimento à vista Gerado pelo sistema Doc.: 9023 Ordem: 1</t>
  </si>
  <si>
    <t>MARIA DA CONCEICAO OLIVEIRA MOTA</t>
  </si>
  <si>
    <t>CLI-0806</t>
  </si>
  <si>
    <t>Pagamento parcela Gerado pelo sistema - nº 129257 Doc.: 129257 Ord</t>
  </si>
  <si>
    <t>Recebimento à vista Gerado pelo sistema Doc.: 9024 Ordem: 1</t>
  </si>
  <si>
    <t>TAMIRES OLIVEIRA SILVA SANTOS</t>
  </si>
  <si>
    <t>CLI-0570</t>
  </si>
  <si>
    <t>Recebimento à vista Gerado pelo sistema Doc.: 9025 Ordem: 1</t>
  </si>
  <si>
    <t>HENRIQUE VALOIS RAMOS DE MOURA</t>
  </si>
  <si>
    <t>CLI-0569</t>
  </si>
  <si>
    <t>Recebimento à vista Gerado pelo sistema Doc.: 9026 Ordem: 1</t>
  </si>
  <si>
    <t>Pagamento à vista: SALARIO WILIAM Doc.: 1 Ordem: 9</t>
  </si>
  <si>
    <t>Pagamento à vista: SALARIO DANIEL Doc.: 1 Ordem: 8</t>
  </si>
  <si>
    <t>RELATÓRIO FINANCEIRO — MAIO / 2026</t>
  </si>
  <si>
    <t>Pagamento à vista: SALARIO WILIAM Doc.: 1 Ordem: 10</t>
  </si>
  <si>
    <t>Pagamento à vista: ALUGUEL VITORIA MARIA Doc.: 1 Ordem: 15</t>
  </si>
  <si>
    <t>Recebimento parcela Gerado pelo sistema Doc.: 9012 Ordem: 2</t>
  </si>
  <si>
    <t>Recebimento à vista Gerado pelo sistema. Doc.: 4181 Ordem: 1</t>
  </si>
  <si>
    <t>BANCO DO NORDESTE DO BRASIL S.A.</t>
  </si>
  <si>
    <t>Recebimento à vista Gerado pelo sistema Doc.: 9027 Ordem: 1</t>
  </si>
  <si>
    <t>Pagamento parcela Gerado pelo sistema - nº 72153 Doc.: 72153 Orde</t>
  </si>
  <si>
    <t>Pagamento parcela Gerado pelo sistema - nº 374271 Doc.: 374271 Ord</t>
  </si>
  <si>
    <t>Recebimento à vista Gerado pelo sistema Doc.: 9028 Ordem: 1</t>
  </si>
  <si>
    <t>Recebimento à vista Gerado pelo sistema Doc.: 9029 Ordem: 1</t>
  </si>
  <si>
    <t>Recebimento à vista Gerado pelo sistema Doc.: 9030 Ordem: 1</t>
  </si>
  <si>
    <t>ALFREDO FERREIRA SACRAMENTO</t>
  </si>
  <si>
    <t>CLI-0810</t>
  </si>
  <si>
    <t>Recebimento à vista Gerado pelo sistema Doc.: 9031 Ordem: 1</t>
  </si>
  <si>
    <t>Recebimento à vista Gerado pelo sistema Doc.: 9032 Ordem: 1</t>
  </si>
  <si>
    <t>CATIA TIARA MARSAL LIMA BRITO</t>
  </si>
  <si>
    <t>CLI-0812</t>
  </si>
  <si>
    <t>Recebimento à vista Gerado pelo sistema Doc.: 9033 Ordem: 1</t>
  </si>
  <si>
    <t>Pagamento parcela Gerado pelo sistema - nº 346431 Doc.: 346431 Ord</t>
  </si>
  <si>
    <t>Pagamento parcela COELBA Doc.: 1 Ordem: 13</t>
  </si>
  <si>
    <t>Pagamento à vista: 1 PARCELA FERIAS DANIEL Doc.: 1 Ordem: 4</t>
  </si>
  <si>
    <t>Pagamento parcela EMBASA ADRIANO Doc.: 1 Ordem: 11</t>
  </si>
  <si>
    <t>Pagamento parcela CONTA DE ENERGIA LOJA Doc.: 1 Ordem: 20</t>
  </si>
  <si>
    <t>Pagamento parcela Gerado pelo sistema - nº 372597 Doc.: 372597 Ord</t>
  </si>
  <si>
    <t>Recebimento à vista Gerado pelo sistema. Doc.: 4183 Ordem: 1</t>
  </si>
  <si>
    <t>Recebimento à vista Gerado pelo sistema Doc.: 9034 Ordem: 1</t>
  </si>
  <si>
    <t>Recebimento à vista Gerado pelo sistema Doc.: 9035 Ordem: 1</t>
  </si>
  <si>
    <t>Recebimento à vista Gerado pelo sistema Doc.: 9036 Ordem: 1</t>
  </si>
  <si>
    <t>VALDICE DE JESUS SILVA COSTA</t>
  </si>
  <si>
    <t>Recebimento parcela Gerado pelo sistema Doc.: 8970 Ordem: 2</t>
  </si>
  <si>
    <t>Recebimento à vista Gerado pelo sistema Doc.: 9037 Ordem: 1</t>
  </si>
  <si>
    <t>Recebimento à vista Gerado pelo sistema. Doc.: 4184 Ordem: 1</t>
  </si>
  <si>
    <t>Recebimento à vista Gerado pelo sistema Doc.: 9038 Ordem: 1</t>
  </si>
  <si>
    <t>Recebimento à vista Gerado pelo sistema. Doc.: 4185 Ordem: 1</t>
  </si>
  <si>
    <t>VINICIUS OLIVEIRA LIMA</t>
  </si>
  <si>
    <t>CLI-0817</t>
  </si>
  <si>
    <t>Recebimento à vista Gerado pelo sistema Doc.: 9039 Ordem: 1</t>
  </si>
  <si>
    <t>Recebimento à vista Gerado pelo sistema Doc.: 9040 Ordem: 1</t>
  </si>
  <si>
    <t>Recebimento à vista Gerado pelo sistema Doc.: 9041 Ordem: 1</t>
  </si>
  <si>
    <t>Recebimento à vista Gerado pelo sistema Doc.: 9042 Ordem: 1</t>
  </si>
  <si>
    <t>EDNA DA SILVA SOUZA</t>
  </si>
  <si>
    <t>CLI-0248</t>
  </si>
  <si>
    <t>Recebimento à vista Gerado pelo sistema. Doc.: 4186 Ordem: 1</t>
  </si>
  <si>
    <t>Recebimento à vista Gerado pelo sistema Doc.: 9043 Ordem: 1</t>
  </si>
  <si>
    <t>Recebimento à vista Gerado pelo sistema Doc.: 9044 Ordem: 1</t>
  </si>
  <si>
    <t>MARINEUZA PINHO RAMOS BARBOSA</t>
  </si>
  <si>
    <t>CLI-0819</t>
  </si>
  <si>
    <t>Recebimento à vista Gerado pelo sistema Doc.: 9045 Ordem: 1</t>
  </si>
  <si>
    <t>DANILO CARVALHO ALVES</t>
  </si>
  <si>
    <t>CLI-0814</t>
  </si>
  <si>
    <t>Recebimento à vista Gerado pelo sistema Doc.: 9046 Ordem: 1</t>
  </si>
  <si>
    <t>Estorno de recebimento do documento: Gerado pelo sistema Doc.: 904</t>
  </si>
  <si>
    <t>Recebimento à vista Gerado pelo sistema. Doc.: 4188 Ordem: 1</t>
  </si>
  <si>
    <t>CBV CONSTRUTORA LTDA</t>
  </si>
  <si>
    <t>Recebimento à vista Gerado pelo sistema Doc.: 9047 Ordem: 1</t>
  </si>
  <si>
    <t>Recebimento à vista Gerado pelo sistema Doc.: 9048 Ordem: 1</t>
  </si>
  <si>
    <t>JULIO CESAR VILAS BOAS SANTOS - ADRIADNE</t>
  </si>
  <si>
    <t>CLI-0820</t>
  </si>
  <si>
    <t>Recebimento à vista Gerado pelo sistema Doc.: 9049 Ordem: 1</t>
  </si>
  <si>
    <t>Recebimento à vista Gerado pelo sistema Doc.: 9050 Ordem: 1</t>
  </si>
  <si>
    <t>Recebimento à vista Gerado pelo sistema Doc.: 9051 Ordem: 1</t>
  </si>
  <si>
    <t>CELCINA BARBOSA MIRANDA</t>
  </si>
  <si>
    <t>CLI-0821</t>
  </si>
  <si>
    <t>Recebimento à vista Gerado pelo sistema Doc.: 9052 Ordem: 1</t>
  </si>
  <si>
    <t>Recebimento à vista Gerado pelo sistema. Doc.: 4190 Ordem: 1</t>
  </si>
  <si>
    <t>JOSE ISMAILDO DE BRITO</t>
  </si>
  <si>
    <t>Recebimento à vista Gerado pelo sistema Doc.: 9053 Ordem: 1</t>
  </si>
  <si>
    <t>Recebimento à vista Gerado pelo sistema. Doc.: 4193 Ordem: 1</t>
  </si>
  <si>
    <t>SERVICO NACIONAL DE APRENDIZAGEM INDUSTRIAL</t>
  </si>
  <si>
    <t>Pagamento à vista: Gerado pelo sistema. Doc.: 138165 Ordem: 1</t>
  </si>
  <si>
    <t>Recebimento à vista Gerado pelo sistema Doc.: 9054 Ordem: 1</t>
  </si>
  <si>
    <t>Recebimento à vista Gerado pelo sistema Doc.: 9055 Ordem: 1</t>
  </si>
  <si>
    <t>Recebimento parcela Gerado pelo sistema. Doc.: 4189 Ordem: 1</t>
  </si>
  <si>
    <t>Recebimento à vista Gerado pelo sistema Doc.: 9056 Ordem: 1</t>
  </si>
  <si>
    <t>Estorno de recebimento do documento: Gerado pelo sistema Doc.: 905</t>
  </si>
  <si>
    <t>Recebimento à vista Gerado pelo sistema Doc.: 9057 Ordem: 1</t>
  </si>
  <si>
    <t>Recebimento à vista Gerado pelo sistema Doc.: 9058 Ordem: 1</t>
  </si>
  <si>
    <t>Recebimento à vista Gerado pelo sistema Doc.: 9059 Ordem: 1</t>
  </si>
  <si>
    <t>Recebimento à vista Gerado pelo sistema Doc.: 9060 Ordem: 1</t>
  </si>
  <si>
    <t>Recebimento à vista Gerado pelo sistema Doc.: 9061 Ordem: 1</t>
  </si>
  <si>
    <t>ARLINDO GALDINO DOS SANTOS JUNIOR - FLORICELIA CARVALHO</t>
  </si>
  <si>
    <t>CLI-0677</t>
  </si>
  <si>
    <t>Recebimento à vista Gerado pelo sistema. Doc.: 4194 Ordem: 1</t>
  </si>
  <si>
    <t>MAIZA CERQUEIRA BACELAR</t>
  </si>
  <si>
    <t>CLI-0818</t>
  </si>
  <si>
    <t>Recebimento à vista Gerado pelo sistema. Doc.: 4195 Ordem: 1</t>
  </si>
  <si>
    <t>Recebimento à vista Gerado pelo sistema Doc.: 9062 Ordem: 1</t>
  </si>
  <si>
    <t>Recebimento à vista Gerado pelo sistema Doc.: 9063 Ordem: 1</t>
  </si>
  <si>
    <t>Recebimento à vista Gerado pelo sistema Doc.: 9064 Ordem: 1</t>
  </si>
  <si>
    <t>Recebimento à vista Gerado pelo sistema Doc.: 9065 Ordem: 1</t>
  </si>
  <si>
    <t>Recebimento à vista Gerado pelo sistema. Doc.: 4198 Ordem: 1</t>
  </si>
  <si>
    <t>ECO-MARMORES E GRANITOS IMPORTACAO E EXPORTACAO LTDA - EPP</t>
  </si>
  <si>
    <t>EMP-0130</t>
  </si>
  <si>
    <t>Recebimento à vista Gerado pelo sistema. Doc.: 4199 Ordem: 1</t>
  </si>
  <si>
    <t>COLEGIO CASTRO ALVES LTDA</t>
  </si>
  <si>
    <t>ESC-0012</t>
  </si>
  <si>
    <t>Recebimento à vista Gerado pelo sistema. Doc.: 4200 Ordem: 1</t>
  </si>
  <si>
    <t>HOSPITAL DO TRAUMA SERVICOS MEDICOS HOSPITALARES LTDA</t>
  </si>
  <si>
    <t>Recebimento à vista Gerado pelo sistema Doc.: 9066 Ordem: 1</t>
  </si>
  <si>
    <t>Recebimento à vista Gerado pelo sistema Doc.: 9067 Ordem: 1</t>
  </si>
  <si>
    <t>Recebimento à vista Gerado pelo sistema Doc.: 9068 Ordem: 1</t>
  </si>
  <si>
    <t>VANDA CLEIA OLIVEIRA DA SILVA</t>
  </si>
  <si>
    <t>CLI-0829</t>
  </si>
  <si>
    <t>Recebimento à vista Gerado pelo sistema Doc.: 9069 Ordem: 1</t>
  </si>
  <si>
    <t>Recebimento à vista Gerado pelo sistema. Doc.: 4201 Ordem: 1</t>
  </si>
  <si>
    <t>Pagamento parcela RECEITAS FEDERAIS Doc.: 1 Ordem: 73</t>
  </si>
  <si>
    <t>Pagamento parcela FGTS Doc.: 1 Ordem: 74</t>
  </si>
  <si>
    <t>Pagamento parcela SIMPLES NACIONAL Doc.: 1 Ordem: 75</t>
  </si>
  <si>
    <t>Recebimento à vista Gerado pelo sistema Doc.: 9070 Ordem: 1</t>
  </si>
  <si>
    <t>Recebimento à vista Gerado pelo sistema Doc.: 9071 Ordem: 1</t>
  </si>
  <si>
    <t>CAIO MARCELO DA SILVA PASSOS</t>
  </si>
  <si>
    <t>CLI-0830</t>
  </si>
  <si>
    <t>Recebimento à vista Gerado pelo sistema Doc.: 9072 Ordem: 1</t>
  </si>
  <si>
    <t>Recebimento à vista Gerado pelo sistema Doc.: 9073 Ordem: 1</t>
  </si>
  <si>
    <t>Recebimento à vista Gerado pelo sistema Doc.: 9074 Ordem: 1</t>
  </si>
  <si>
    <t>Recebimento parcela Gerado pelo sistema. Doc.: 4196 Ordem: 1</t>
  </si>
  <si>
    <t>CLINICA CARVALHO LTDA</t>
  </si>
  <si>
    <t>EMP-0069</t>
  </si>
  <si>
    <t>Pagamento à vista: DOCUMENTO DE ARRRECADAÇÃO ESTADUAL Doc.</t>
  </si>
  <si>
    <t>BAHIA SECRETARIA DA FAZENDA</t>
  </si>
  <si>
    <t>Recebimento à vista Gerado pelo sistema. Doc.: 4202 Ordem: 1</t>
  </si>
  <si>
    <t>CDI - CLINICA DENTARIA INTEGRADA LTDA</t>
  </si>
  <si>
    <t>EMP-0052</t>
  </si>
  <si>
    <t>Recebimento parcela Gerado pelo sistema. Doc.: 4197 Ordem: 1</t>
  </si>
  <si>
    <t>CLINICA ODONTOLOGICA RADIO IMAGEM LTDA</t>
  </si>
  <si>
    <t>EMP-0086</t>
  </si>
  <si>
    <t>Recebimento à vista Gerado pelo sistema Doc.: 9075 Ordem: 1</t>
  </si>
  <si>
    <t>Recebimento à vista Gerado pelo sistema. Doc.: 4205 Ordem: 1</t>
  </si>
  <si>
    <t>INSTITUTO ODONTOLOGICO PRIME LTDA</t>
  </si>
  <si>
    <t>EMP-0182</t>
  </si>
  <si>
    <t>Pagamento à vista: FECHADURA + SERVIÇO PORTA DE VIDRO Doc.: 1</t>
  </si>
  <si>
    <t>Recebimento à vista Gerado pelo sistema Doc.: 9076 Ordem: 1</t>
  </si>
  <si>
    <t>Recebimento à vista Gerado pelo sistema Doc.: 9077 Ordem: 1</t>
  </si>
  <si>
    <t>Recebimento à vista Gerado pelo sistema. Doc.: 4207 Ordem: 1</t>
  </si>
  <si>
    <t>AILLEN LOPES OLIVEIRA</t>
  </si>
  <si>
    <t>Recebimento à vista Gerado pelo sistema. Doc.: 4208 Ordem: 1</t>
  </si>
  <si>
    <t>DIOCESE DE BOMFIM PAROQUIA SAO JOSE DO OPERARIO</t>
  </si>
  <si>
    <t>EMP-0117</t>
  </si>
  <si>
    <t>Recebimento à vista Gerado pelo sistema Doc.: 9078 Ordem: 1</t>
  </si>
  <si>
    <t>FANIA AMORIM AZEVEDO</t>
  </si>
  <si>
    <t>CLI-0836</t>
  </si>
  <si>
    <t>Recebimento à vista Gerado pelo sistema Doc.: 9079 Ordem: 1</t>
  </si>
  <si>
    <t>Recebimento à vista Gerado pelo sistema Doc.: 9080 Ordem: 1</t>
  </si>
  <si>
    <t>Pagamento parcela ICMS - ANTECIPACAO PARCIAL Doc.: 1 Ordem: 76</t>
  </si>
  <si>
    <t>Recebimento à vista Gerado pelo sistema. Doc.: 4209 Ordem: 1</t>
  </si>
  <si>
    <t>MESQUITA MAIA ATENDIMENTO MEDICO E ODONTOLOGICO LTADA-ME</t>
  </si>
  <si>
    <t>Recebimento à vista Gerado pelo sistema. Doc.: 4210 Ordem: 1</t>
  </si>
  <si>
    <t>FERNANDES GUERRA FISIOTERAPIA LTDA</t>
  </si>
  <si>
    <t>Recebimento à vista Gerado pelo sistema. Doc.: 4211 Ordem: 1</t>
  </si>
  <si>
    <t>COMERCIAL DE TINTAS VERDES MARES LTDA</t>
  </si>
  <si>
    <t>EMP-0303</t>
  </si>
  <si>
    <t>Recebimento à vista Gerado pelo sistema. Doc.: 4212 Ordem: 1</t>
  </si>
  <si>
    <t>AIRTON VIEIRA COSTA</t>
  </si>
  <si>
    <t>CLI-0837</t>
  </si>
  <si>
    <t>Recebimento à vista Gerado pelo sistema Doc.: 9081 Ordem: 1</t>
  </si>
  <si>
    <t>Recebimento à vista Gerado pelo sistema Doc.: 9082 Ordem: 1</t>
  </si>
  <si>
    <t>RELATÓRIO FINANCEIRO — JUNHO / 2026</t>
  </si>
  <si>
    <t>Recebimento à vista Gerado pelo sistema Doc.: 9083 Ordem: 1</t>
  </si>
  <si>
    <t>GIDIONOR ANDRADE DOS SANTOS - CREUZA SILVA SOUZA</t>
  </si>
  <si>
    <t>CLI-0838</t>
  </si>
  <si>
    <t>Recebimento à vista Gerado pelo sistema. Doc.: 4213 Ordem: 1</t>
  </si>
  <si>
    <t>ALBUQUERQUE SCARDUA SERVICOS MEDICOS LTDA</t>
  </si>
  <si>
    <t>EMP-0005</t>
  </si>
  <si>
    <t>Recebimento à vista Gerado pelo sistema Doc.: 9084 Ordem: 1</t>
  </si>
  <si>
    <t>MARIA DO SOCORRO LIMA GRASSI</t>
  </si>
  <si>
    <t>CLI-0839</t>
  </si>
  <si>
    <t>Recebimento parcela Gerado pelo sistema Doc.: 8918 Ordem: 2</t>
  </si>
  <si>
    <t>Recebimento à vista Gerado pelo sistema. Doc.: 4215 Ordem: 1</t>
  </si>
  <si>
    <t>LOJAO DAS MAQUIAGENS LTDA</t>
  </si>
  <si>
    <t>EMP-0207</t>
  </si>
  <si>
    <t>Recebimento à vista Gerado pelo sistema Doc.: 9085 Ordem: 1</t>
  </si>
  <si>
    <t>JIDALVA FREITAS SILVA</t>
  </si>
  <si>
    <t>CLI-0840</t>
  </si>
  <si>
    <t>Recebimento à vista Gerado pelo sistema Doc.: 9086 Ordem: 1</t>
  </si>
  <si>
    <t>Recebimento à vista Gerado pelo sistema Doc.: 9087 Ordem: 1</t>
  </si>
  <si>
    <t>Recebimento à vista Gerado pelo sistema. Doc.: 4218 Ordem: 1</t>
  </si>
  <si>
    <t>GABRIELA FERREIRA GAMA</t>
  </si>
  <si>
    <t>CLI-0848</t>
  </si>
  <si>
    <t>Recebimento à vista Gerado pelo sistema Doc.: 9088 Ordem: 1</t>
  </si>
  <si>
    <t>Recebimento à vista Gerado pelo sistema Doc.: 9089 Ordem: 1</t>
  </si>
  <si>
    <t>Recebimento à vista Gerado pelo sistema Doc.: 9090 Ordem: 1</t>
  </si>
  <si>
    <t>REINALDO DE JESUS - ELIZETE</t>
  </si>
  <si>
    <t>CLI-0842</t>
  </si>
  <si>
    <t>Recebimento parcela Gerado pelo sistema. Doc.: 4219 Ordem: 1</t>
  </si>
  <si>
    <t>Pagamento parcela ALUGUEL VITORIA MARIA Doc.: 1 Ordem: 10</t>
  </si>
  <si>
    <t>Pagamento à vista: DOCUMENTO DE ARRECADAÇÃO DE RECEITAS FED</t>
  </si>
  <si>
    <t>MINISTERIO DA FAZENDA</t>
  </si>
  <si>
    <t>Pagamento parcela COELBA LOJA Doc.: 1 Ordem: 21</t>
  </si>
  <si>
    <t>Pagamento parcela Gerado pelo sistema - nº 130510 Doc.: 130510 Ord</t>
  </si>
  <si>
    <t>Recebimento à vista Gerado pelo sistema Doc.: 9091 Ordem: 1</t>
  </si>
  <si>
    <t>Recebimento à vista Gerado pelo sistema Doc.: 9092 Ordem: 1</t>
  </si>
  <si>
    <t>Recebimento à vista Gerado pelo sistema Doc.: 9093 Ordem: 1</t>
  </si>
  <si>
    <t>Recebimento à vista Gerado pelo sistema. Doc.: 4220 Ordem: 1</t>
  </si>
  <si>
    <t>SERVICO NACIONAL DE APRENDIZAGEM RURAL SENAR</t>
  </si>
  <si>
    <t>Recebimento à vista Gerado pelo sistema Doc.: 9094 Ordem: 1</t>
  </si>
  <si>
    <t>JOSE CARLOS SILVEIRA GOMES</t>
  </si>
  <si>
    <t>CLI-0845</t>
  </si>
  <si>
    <t>Recebimento à vista Gerado pelo sistema Doc.: 9095 Ordem: 1</t>
  </si>
  <si>
    <t>Recebimento à vista Gerado pelo sistema Doc.: 9096 Ordem: 1</t>
  </si>
  <si>
    <t>Recebimento à vista Gerado pelo sistema Doc.: 9097 Ordem: 1</t>
  </si>
  <si>
    <t>Recebimento à vista Gerado pelo sistema. Doc.: 4221 Ordem: 1</t>
  </si>
  <si>
    <t>SKINA MINEIRA LTDA</t>
  </si>
  <si>
    <t>EMP-0278</t>
  </si>
  <si>
    <t>Recebimento à vista Gerado pelo sistema. Doc.: 4222 Ordem: 1</t>
  </si>
  <si>
    <t>MARISA ARAUJO OLIVEIRA NASCIMENTO</t>
  </si>
  <si>
    <t>Recebimento parcela Gerado pelo sistema. Doc.: 4219 Ordem: 2</t>
  </si>
  <si>
    <t>Recebimento à vista Gerado pelo sistema. Doc.: 4223 Ordem: 1</t>
  </si>
  <si>
    <t>CARLOS HENRIQUE DE OLIVEIRA SALVADOR LTDA</t>
  </si>
  <si>
    <t>EMP-0113</t>
  </si>
  <si>
    <t>Recebimento à vista Gerado pelo sistema. Doc.: 4224 Ordem: 1</t>
  </si>
  <si>
    <t>TAYANE CALCADOS E VESTUARIO LTDA</t>
  </si>
  <si>
    <t>EMP-0112</t>
  </si>
  <si>
    <t>Recebimento à vista Gerado pelo sistema. Doc.: 4225 Ordem: 1</t>
  </si>
  <si>
    <t>A F MENDONCA OLIVEIRA EIRELI</t>
  </si>
  <si>
    <t>EMP-0002</t>
  </si>
  <si>
    <t>Recebimento parcela Gerado pelo sistema. Doc.: 4187 Ordem: 1</t>
  </si>
  <si>
    <t>Recebimento à vista Gerado pelo sistema Doc.: 9098 Ordem: 1</t>
  </si>
  <si>
    <t>Recebimento à vista Gerado pelo sistema. Doc.: 4226 Ordem: 1</t>
  </si>
  <si>
    <t>IRENILDA ALMEIDA SANTOS</t>
  </si>
  <si>
    <t>Recebimento à vista Gerado pelo sistema Doc.: 9099 Ordem: 1</t>
  </si>
  <si>
    <t>Recebimento à vista Gerado pelo sistema Doc.: 9100 Ordem: 1</t>
  </si>
  <si>
    <t>Recebimento à vista Gerado pelo sistema Doc.: 9101 Ordem: 1</t>
  </si>
  <si>
    <t>Recebimento à vista Gerado pelo sistema Doc.: 9102 Ordem: 1</t>
  </si>
  <si>
    <t>AVERTINA MARIA DE OLIVEIRA</t>
  </si>
  <si>
    <t>CLI-0850</t>
  </si>
  <si>
    <t>Recebimento à vista Gerado pelo sistema Doc.: 9103 Ordem: 1</t>
  </si>
  <si>
    <t>Recebimento à vista Gerado pelo sistema Doc.: 9104 Ordem: 1</t>
  </si>
  <si>
    <t>Recebimento à vista Gerado pelo sistema Doc.: 9105 Ordem: 1</t>
  </si>
  <si>
    <t>Recebimento à vista Gerado pelo sistema Doc.: 9106 Ordem: 1</t>
  </si>
  <si>
    <t>SILVIO CANDIDO DA SILVA - CELIA BORGE</t>
  </si>
  <si>
    <t>CLI-0851</t>
  </si>
  <si>
    <t>Recebimento à vista Gerado pelo sistema Doc.: 9107 Ordem: 1</t>
  </si>
  <si>
    <t>JALICIA LIMA SANTOS MURICY</t>
  </si>
  <si>
    <t>CLI-0627</t>
  </si>
  <si>
    <t>Recebimento à vista Gerado pelo sistema Doc.: 9108 Ordem: 1</t>
  </si>
  <si>
    <t>MARIA INEZ LAGES MATOS</t>
  </si>
  <si>
    <t>CLI-0846</t>
  </si>
  <si>
    <t>Recebimento à vista Gerado pelo sistema Doc.: 9109 Ordem: 1</t>
  </si>
  <si>
    <t>Recebimento à vista Gerado pelo sistema Doc.: 9110 Ordem: 1</t>
  </si>
  <si>
    <t>Recebimento à vista Gerado pelo sistema Doc.: 9111 Ordem: 1</t>
  </si>
  <si>
    <t>Recebimento à vista Gerado pelo sistema Doc.: 9112 Ordem: 1</t>
  </si>
  <si>
    <t>Recebimento à vista Gerado pelo sistema. Doc.: 4227 Ordem: 1</t>
  </si>
  <si>
    <t>VALDINEY SANTOS DA SILVA</t>
  </si>
  <si>
    <t>CLI-0463</t>
  </si>
  <si>
    <t>Pagamento parcela TARCISIO OLIVEIRA LIMA Doc.: 1 Ordem: 7</t>
  </si>
  <si>
    <t>Recebimento à vista Gerado pelo sistema Doc.: 9113 Ordem: 1</t>
  </si>
  <si>
    <t>Recebimento à vista Gerado pelo sistema Doc.: 9114 Ordem: 1</t>
  </si>
  <si>
    <t>Recebimento parcela Gerado pelo sistema. Doc.: 4217 Ordem: 1</t>
  </si>
  <si>
    <t>Recebimento à vista Gerado pelo sistema. Doc.: 4228 Ordem: 1</t>
  </si>
  <si>
    <t>VERONILDO BASILIO SOUZA</t>
  </si>
  <si>
    <t>CLI-0853</t>
  </si>
  <si>
    <t>Recebimento à vista Gerado pelo sistema Doc.: 9115 Ordem: 1</t>
  </si>
  <si>
    <t>Recebimento à vista Gerado pelo sistema Doc.: 9116 Ordem: 1</t>
  </si>
  <si>
    <t>VALDENICE DE JESUS CERQUEIRA</t>
  </si>
  <si>
    <t>CLI-0855</t>
  </si>
  <si>
    <t>Recebimento à vista Gerado pelo sistema. Doc.: 4229 Ordem: 1</t>
  </si>
  <si>
    <t>AVENIDA POSTO E COMBUSTIVEL</t>
  </si>
  <si>
    <t>Recebimento à vista Gerado pelo sistema. Doc.: 4231 Ordem: 1</t>
  </si>
  <si>
    <t>JACOBINA AUTOMOVEIS LTDA</t>
  </si>
  <si>
    <t>EMP-0192</t>
  </si>
  <si>
    <t>Recebimento à vista Gerado pelo sistema Doc.: 9117 Ordem: 1</t>
  </si>
  <si>
    <t>ANTONIO CARLOS MARCOLINO DA SILVA</t>
  </si>
  <si>
    <t>OUT-0006</t>
  </si>
  <si>
    <t>Recebimento à vista Gerado pelo sistema Doc.: 9118 Ordem: 1</t>
  </si>
  <si>
    <t>Recebimento parcela Gerado pelo sistema. Doc.: 4214 Ordem: 1</t>
  </si>
  <si>
    <t>Recebimento à vista Gerado pelo sistema Doc.: 9119 Ordem: 1</t>
  </si>
  <si>
    <t>Recebimento à vista Gerado pelo sistema Doc.: 9120 Ordem: 1</t>
  </si>
  <si>
    <t>Recebimento à vista Gerado pelo sistema Doc.: 9121 Ordem: 1</t>
  </si>
  <si>
    <t>Recebimento à vista Gerado pelo sistema Doc.: 9122 Ordem: 1</t>
  </si>
  <si>
    <t>Recebimento parcela Gerado pelo sistema. Doc.: 4232 Ordem: 1</t>
  </si>
  <si>
    <t>Pagamento parcela Gerado pelo sistema - nº 377739 Doc.: 377739 Ord</t>
  </si>
  <si>
    <t>Pagamento parcela Gerado pelo sistema - nº 377738 Doc.: 377738 Ord</t>
  </si>
  <si>
    <t>Pagamento parcela Gerado pelo sistema - nº 377737 Doc.: 377737 Ord</t>
  </si>
  <si>
    <t>Pagamento parcela GUIA DO FGTS DIGITAL Doc.: 1 Ordem: 1</t>
  </si>
  <si>
    <t>CAIXA ECONOMICA FEDERAL</t>
  </si>
  <si>
    <t>Recebimento à vista Gerado pelo sistema Doc.: 9123 Ordem: 1</t>
  </si>
  <si>
    <t>RONIE DE SANTANA LIMA</t>
  </si>
  <si>
    <t>CLI-0858</t>
  </si>
  <si>
    <t>Recebimento à vista Gerado pelo sistema Doc.: 9124 Ordem: 1</t>
  </si>
  <si>
    <t>Recebimento à vista Gerado pelo sistema Doc.: 9125 Ordem: 1</t>
  </si>
  <si>
    <t>Recebimento à vista Gerado pelo sistema Doc.: 9126 Ordem: 1</t>
  </si>
  <si>
    <t>OSVALDINA SOARES NERY - MARILENE SOARES DIBEC</t>
  </si>
  <si>
    <t>Recebimento à vista Gerado pelo sistema Doc.: 9127 Ordem: 1</t>
  </si>
  <si>
    <t>Recebimento à vista Gerado pelo sistema Doc.: 9128 Ordem: 1</t>
  </si>
  <si>
    <t>Recebimento à vista Gerado pelo sistema Doc.: 9129 Ordem: 1</t>
  </si>
  <si>
    <t>Recebimento à vista Gerado pelo sistema. Doc.: 4234 Ordem: 1</t>
  </si>
  <si>
    <t>COMERCIAL DE MOTOS, MOTORES, PECAS E ACESSORIOS VARZEA LTDA</t>
  </si>
  <si>
    <t>EMP-0098</t>
  </si>
  <si>
    <t>Recebimento à vista Gerado pelo sistema. Doc.: 4235 Ordem: 1</t>
  </si>
  <si>
    <t>PIEMONTE DA CHAPADA TRANSPORTES LTDA</t>
  </si>
  <si>
    <t>Recebimento à vista Gerado pelo sistema. Doc.: 4236 Ordem: 1</t>
  </si>
  <si>
    <t>REAL SOCIEDADE PORTUGUESA DE BENEFICENCIA 16 DE SETEMBRO</t>
  </si>
  <si>
    <t>Recebimento parcela Gerado pelo sistema. Doc.: 4233 Ordem: 1</t>
  </si>
  <si>
    <t>ESCOLA MUNICIPAL NUBIA MARIA MANGABEIRA GUERRA</t>
  </si>
  <si>
    <t>ESC-0020</t>
  </si>
  <si>
    <t>Recebimento à vista Gerado pelo sistema Doc.: 9130 Ordem: 1</t>
  </si>
  <si>
    <t>JEFFERSON DO ROSARIO RIOS FREITAS</t>
  </si>
  <si>
    <t>CLI-0861</t>
  </si>
  <si>
    <t>Recebimento à vista Gerado pelo sistema Doc.: 9131 Ordem: 1</t>
  </si>
  <si>
    <t>Recebimento à vista Gerado pelo sistema Doc.: 9132 Ordem: 1</t>
  </si>
  <si>
    <t>Recebimento à vista Gerado pelo sistema Doc.: 9133 Ordem: 1</t>
  </si>
  <si>
    <t>Recebimento parcela Gerado pelo sistema. Doc.: 4216 Ordem: 1</t>
  </si>
  <si>
    <t>SENAI - JACOBINA</t>
  </si>
  <si>
    <t>Pagamento à vista: Gerado pelo sistema. Doc.: 73636 Ordem: 1</t>
  </si>
  <si>
    <t>Recebimento à vista Gerado pelo sistema. Doc.: 4237 Ordem: 1</t>
  </si>
  <si>
    <t>COMERCIAL DE ALIMENTOS LTDA</t>
  </si>
  <si>
    <t>EMP-0095</t>
  </si>
  <si>
    <t>Recebimento à vista Gerado pelo sistema Doc.: 9134 Ordem: 1</t>
  </si>
  <si>
    <t>Pagamento parcela ICMS - ANTECIPAÇÃO PARCIAL Doc.: 1 Ordem: 2</t>
  </si>
  <si>
    <t>Recebimento à vista Gerado pelo sistema Doc.: 9135 Ordem: 1</t>
  </si>
  <si>
    <t>Pagamento à vista: Gerado pelo sistema - nº 130511 Doc.: 130511 Ord</t>
  </si>
  <si>
    <t>Recebimento à vista Gerado pelo sistema. Doc.: 4238 Ordem: 1</t>
  </si>
  <si>
    <t>Recebimento parcela Gerado pelo sistema. Doc.: 4239 Ordem: 1</t>
  </si>
  <si>
    <t>AJ COMERCIAL DE COSMETICOS E PERFUMARIA LTDA</t>
  </si>
  <si>
    <t>EMP-0003</t>
  </si>
  <si>
    <t>Pagamento parcela GUIA DO FGTS DIGITAL Doc.: 1 Ordem: 2</t>
  </si>
  <si>
    <t>Recebimento à vista Gerado pelo sistema Doc.: 9136 Ordem: 1</t>
  </si>
  <si>
    <t>Recebimento à vista Gerado pelo sistema Doc.: 9137 Ordem: 1</t>
  </si>
  <si>
    <t>Pagamento à vista: SALARIO WILIAM Doc.: 1 Ordem: 6</t>
  </si>
  <si>
    <t>RELATÓRIO FINANCEIRO — JULHO / 2026</t>
  </si>
  <si>
    <t>Recebimento à vista Gerado pelo sistema. Doc.: 4244 Ordem: 1</t>
  </si>
  <si>
    <t>LUZIA RODRIGUES DE SOUZA</t>
  </si>
  <si>
    <t>CLI-0864</t>
  </si>
  <si>
    <t>Pagamento parcela EMBASA ADRIANO Doc.: 1 Ordem: 13</t>
  </si>
  <si>
    <t>Recebimento à vista Gerado pelo sistema Doc.: 9138 Ordem: 1</t>
  </si>
  <si>
    <t>Recebimento à vista Gerado pelo sistema Doc.: 9139 Ordem: 1</t>
  </si>
  <si>
    <t>Recebimento à vista Gerado pelo sistema. Doc.: 4245 Ordem: 1</t>
  </si>
  <si>
    <t>CONTABILIDADE ABREU - ANTONIO NICOLAU</t>
  </si>
  <si>
    <t>EMP-0105</t>
  </si>
  <si>
    <t>Recebimento à vista Gerado pelo sistema Doc.: 9140 Ordem: 1</t>
  </si>
  <si>
    <t>JONAS CEZAR ALVES DE ARAUJO</t>
  </si>
  <si>
    <t>CLI-0865</t>
  </si>
  <si>
    <t>Pagamento à vista: ALUGUEL VITORIA MARIA Doc.: 1 Ordem: 11</t>
  </si>
  <si>
    <t>Recebimento à vista Gerado pelo sistema. Doc.: 4246 Ordem: 1</t>
  </si>
  <si>
    <t>HIDROLUZ</t>
  </si>
  <si>
    <t>EMP-0169</t>
  </si>
  <si>
    <t>Recebimento parcela Gerado pelo sistema. Doc.: 4241 Ordem: 1</t>
  </si>
  <si>
    <t>GOMES E NASCIMENTO EQUIPAMENTOS DE SEGURANCA LTDA</t>
  </si>
  <si>
    <t>Recebimento à vista Gerado pelo sistema Doc.: 9141 Ordem: 1</t>
  </si>
  <si>
    <t>Pagamento à vista: BOLSA ESTAGIO Doc.: 1 Ordem: 1</t>
  </si>
  <si>
    <t>ERICK FEITOSA EVANGELISTA</t>
  </si>
  <si>
    <t>Pagamento à vista: RESCISÃO DANIEL Doc.: 1 Ordem: 5</t>
  </si>
  <si>
    <t>Recebimento à vista Gerado pelo sistema Doc.: 9142 Ordem: 1</t>
  </si>
  <si>
    <t>Recebimento à vista Gerado pelo sistema Doc.: 9143 Ordem: 1</t>
  </si>
  <si>
    <t>Recebimento à vista Gerado pelo sistema. Doc.: 4248 Ordem: 1</t>
  </si>
  <si>
    <t>F B DE ARAUJO</t>
  </si>
  <si>
    <t>EMP-0228</t>
  </si>
  <si>
    <t>Estorno de pagamento do documento: SALARIO WILIAM Doc.: 1 Orde</t>
  </si>
  <si>
    <t>Recebimento à vista Gerado pelo sistema Doc.: 9144 Ordem: 1</t>
  </si>
  <si>
    <t>CLEDSON OLIVEIRA DOS SANTOS</t>
  </si>
  <si>
    <t>CLI-0877</t>
  </si>
  <si>
    <t>Recebimento à vista Gerado pelo sistema Doc.: 9145 Ordem: 1</t>
  </si>
  <si>
    <t>JAILMA MOREIRA DOS SANTOS</t>
  </si>
  <si>
    <t>CLI-0870</t>
  </si>
  <si>
    <t>Estorno de pagamento do documento: ALUGUEL VITORIA MARIA Doc.:</t>
  </si>
  <si>
    <t>Recebimento parcela Gerado pelo sistema. Doc.: 4247 Ordem: 1</t>
  </si>
  <si>
    <t>CLINICA HUMANA</t>
  </si>
  <si>
    <t>EMP-0079</t>
  </si>
  <si>
    <t>Recebimento parcela Gerado pelo sistema. Doc.: 4240 Ordem: 1</t>
  </si>
  <si>
    <t>LOJAS GEOCOMERCIAL LTDA</t>
  </si>
  <si>
    <t>EMP-0208</t>
  </si>
  <si>
    <t>Recebimento à vista Gerado pelo sistema. Doc.: 4249 Ordem: 1</t>
  </si>
  <si>
    <t>Recebimento à vista Gerado pelo sistema Doc.: 9146 Ordem: 1</t>
  </si>
  <si>
    <t>Recebimento à vista Gerado pelo sistema Doc.: 9147 Ordem: 1</t>
  </si>
  <si>
    <t>IRANILDO BENEDITO SILVA</t>
  </si>
  <si>
    <t>CLI-0871</t>
  </si>
  <si>
    <t>Recebimento à vista Gerado pelo sistema. Doc.: 4251 Ordem: 1</t>
  </si>
  <si>
    <t>Recebimento à vista Gerado pelo sistema. Doc.: 4252 Ordem: 1</t>
  </si>
  <si>
    <t>CLINICA GINECOLOGICA PINHO LTDA</t>
  </si>
  <si>
    <t>EMP-0078</t>
  </si>
  <si>
    <t>Recebimento à vista Gerado pelo sistema Doc.: 9148 Ordem: 1</t>
  </si>
  <si>
    <t>Recebimento à vista Gerado pelo sistema. Doc.: 4253 Ordem: 1</t>
  </si>
  <si>
    <t>FERNANDO CARNEIRO E CIA LTDA ME</t>
  </si>
  <si>
    <t>EMP-0241</t>
  </si>
  <si>
    <t>Pagamento parcela Gerado pelo sistema - nº 72869 Doc.: 72869 Orde</t>
  </si>
  <si>
    <t>Pagamento parcela CONTA DE ENERGIA LOJA Doc.: 1 Ordem: 22</t>
  </si>
  <si>
    <t>Pagamento parcela CONTA DE ENERGIA ADRIANO Doc.: 1 Ordem: 23</t>
  </si>
  <si>
    <t>Pagamento parcela Gerado pelo sistema. Doc.: 73636 Ordem: 2</t>
  </si>
  <si>
    <t>Pagamento à vista: MERCADO LIVRE Doc.: 1 Ordem: 1</t>
  </si>
  <si>
    <t>MERCADO PAGO INSTITUICAO DE PAGAMENTO LTDA</t>
  </si>
  <si>
    <t>Recebimento à vista Gerado pelo sistema Doc.: 9149 Ordem: 1</t>
  </si>
  <si>
    <t>SOMHARA BRITO</t>
  </si>
  <si>
    <t>CLI-0161</t>
  </si>
  <si>
    <t>Recebimento à vista Gerado pelo sistema Doc.: 9150 Ordem: 1</t>
  </si>
  <si>
    <t>MARILZA DA SILVA OLIVEIRA MATOS</t>
  </si>
  <si>
    <t>CLI-0873</t>
  </si>
  <si>
    <t>Recebimento à vista Gerado pelo sistema Doc.: 9151 Ordem: 1</t>
  </si>
  <si>
    <t>ARMANDO DIAS FREIRE</t>
  </si>
  <si>
    <t>Recebimento à vista Gerado pelo sistema Doc.: 9152 Ordem: 1</t>
  </si>
  <si>
    <t>Recebimento à vista Gerado pelo sistema Doc.: 9153 Ordem: 1</t>
  </si>
  <si>
    <t>RITHA DE CASSIA VIEIRA SEIXAS BRITO</t>
  </si>
  <si>
    <t>CLI-0875</t>
  </si>
  <si>
    <t>Recebimento à vista Gerado pelo sistema Doc.: 9154 Ordem: 1</t>
  </si>
  <si>
    <t>Recebimento à vista Gerado pelo sistema. Doc.: 4254 Ordem: 1</t>
  </si>
  <si>
    <t>GLEIDSON NASCIMENTO BARBOSA - G LINK</t>
  </si>
  <si>
    <t>EMP-0160</t>
  </si>
  <si>
    <t>Pagamento parcela Pro labore Edilania Doc.: 001 Ordem: 1</t>
  </si>
  <si>
    <t>EDILANIA FONTES - LOJA</t>
  </si>
  <si>
    <t>Recebimento à vista Gerado pelo sistema. Doc.: 4255 Ordem: 1</t>
  </si>
  <si>
    <t>CARLOS GEOVANE CARNEIRO DE OLIVEIRA</t>
  </si>
  <si>
    <t>Recebimento à vista Gerado pelo sistema. Doc.: 4256 Ordem: 1</t>
  </si>
  <si>
    <t>OCIMAR CORREIA FEITOSA</t>
  </si>
  <si>
    <t>CLI-0878</t>
  </si>
  <si>
    <t>Recebimento à vista Gerado pelo sistema. Doc.: 4257 Ordem: 1</t>
  </si>
  <si>
    <t>SINDICATO DOS TRABALHADORES EM EDUCACAO DAS REDES PUBLICAS</t>
  </si>
  <si>
    <t>Recebimento à vista Gerado pelo sistema. Doc.: 4258 Ordem: 1</t>
  </si>
  <si>
    <t>LUCILIA BATISTA DE SANTA ROSA</t>
  </si>
  <si>
    <t>CLI-0879</t>
  </si>
  <si>
    <t>Recebimento à vista Gerado pelo sistema. Doc.: 4259 Ordem: 1</t>
  </si>
  <si>
    <t>TIAGO MANOEL DIAS FERREIRA</t>
  </si>
  <si>
    <t>Recebimento à vista Gerado pelo sistema Doc.: 9155 Ordem: 1</t>
  </si>
  <si>
    <t>Recebimento à vista Gerado pelo sistema. Doc.: 4260 Ordem: 1</t>
  </si>
  <si>
    <t>IGREJA MISSIONARIA DE JACOBINA CRISTO PARA AS NACOES</t>
  </si>
  <si>
    <t>EMP-0178</t>
  </si>
  <si>
    <t>Recebimento à vista Gerado pelo sistema. Doc.: 4261 Ordem: 1</t>
  </si>
  <si>
    <t>Estorno de recebimento do documento: Gerado pelo sistema. Doc.: 42</t>
  </si>
  <si>
    <t>Recebimento à vista Gerado pelo sistema. Doc.: 4264 Ordem: 1</t>
  </si>
  <si>
    <t>FARMACIA FERREIRA LTDA</t>
  </si>
  <si>
    <t>EMP-0145</t>
  </si>
  <si>
    <t>Pagamento à vista: Gerado pelo sistema. Doc.: 4266 Ordem: 1</t>
  </si>
  <si>
    <t>JUPITER TECIDOS LTDA</t>
  </si>
  <si>
    <t>Recebimento à vista Gerado pelo sistema. Doc.: 4267 Ordem: 1</t>
  </si>
  <si>
    <t>Pagamento parcela TAXA ADMINISTRATIVA DE ESTAGIO Doc.: 1 Orde</t>
  </si>
  <si>
    <t>INSTITUTO EUVALDO LODI - NUCLEO REGIONAL DA BAHIA</t>
  </si>
  <si>
    <t>Pagamento parcela Gerado pelo sistema - nº 131442 Doc.: 131442 Ord</t>
  </si>
  <si>
    <t>Pagamento parcela TARCOSOP OLIVEIRA LIMA Doc.: 1 Ordem: 8</t>
  </si>
  <si>
    <t>Pagamento à vista: FATURA INTERNET PROXXIMA Doc.: 1 Ordem: 1</t>
  </si>
  <si>
    <t>PROXXIMA TELECOMUNICACOES</t>
  </si>
  <si>
    <t>Recebimento à vista Gerado pelo sistema Doc.: 9156 Ordem: 1</t>
  </si>
  <si>
    <t>JOSE ALVES DE ANDRADE</t>
  </si>
  <si>
    <t>CLI-0881</t>
  </si>
  <si>
    <t>Recebimento à vista Gerado pelo sistema. Doc.: 4268 Ordem: 1</t>
  </si>
  <si>
    <t>D BRUNO CALCADOS E CONFECCOES LTDA EPP</t>
  </si>
  <si>
    <t>Recebimento à vista Gerado pelo sistema Doc.: 9157 Ordem: 1</t>
  </si>
  <si>
    <t>Recebimento à vista Gerado pelo sistema Doc.: 9158 Ordem: 1</t>
  </si>
  <si>
    <t>Recebimento à vista Gerado pelo sistema Doc.: 9159 Ordem: 1</t>
  </si>
  <si>
    <t>Recebimento à vista Gerado pelo sistema Doc.: 9160 Ordem: 1</t>
  </si>
  <si>
    <t>Estorno de recebimento do documento: Gerado pelo sistema Doc.: 916</t>
  </si>
  <si>
    <t>Recebimento à vista Gerado pelo sistema Doc.: 9161 Ordem: 1</t>
  </si>
  <si>
    <t>Recebimento à vista Gerado pelo sistema Doc.: 9162 Ordem: 1</t>
  </si>
  <si>
    <t>Pagamento à vista: PRODUTOS DE LIMPEZA Doc.: 1 Ordem: 1</t>
  </si>
  <si>
    <t>Pagamento à vista: MATERIAL DE ESCRITORIO Doc.: 1 Ordem: 1</t>
  </si>
  <si>
    <t>UNIVERSO DAS VARIEDADES</t>
  </si>
  <si>
    <t>Recebimento à vista Gerado pelo sistema. Doc.: 4269 Ordem: 1</t>
  </si>
  <si>
    <t>GRAFICA EDITORA REGIS BRINDES LTDA</t>
  </si>
  <si>
    <t>Recebimento à vista Gerado pelo sistema Doc.: 9164 Ordem: 1</t>
  </si>
  <si>
    <t>Recebimento parcela Gerado pelo sistema Doc.: 9163 Ordem: 1</t>
  </si>
  <si>
    <t>Pagamento à vista: GASOLINA Doc.: 1 Ordem: 1</t>
  </si>
  <si>
    <t>LUBRINESSA XVI COMERCIO DE PETROLEO LTDA</t>
  </si>
  <si>
    <t>Pagamento à vista: RECARGA CARTUCHO IMPRESSORA Doc.: 1 Ordem:</t>
  </si>
  <si>
    <t>CENTRALMIX SOLUCOES INTEGRADAS LTDA</t>
  </si>
  <si>
    <t>Pagamento parcela GUIA DO FGTS DIGITAL Doc.: 1 Ordem: 3</t>
  </si>
  <si>
    <t>Pagamento parcela DOCUMENTO DE ARRECADACAO DE RECEITAS FE</t>
  </si>
  <si>
    <t>Pagamento parcela DOCUMENTO DE ARRECADAÇÃO SIMPLES NACIO</t>
  </si>
  <si>
    <t>Recebimento à vista Gerado pelo sistema Doc.: 9165 Ordem: 1</t>
  </si>
  <si>
    <t>Recebimento à vista Gerado pelo sistema Doc.: 9166 Ordem: 1</t>
  </si>
  <si>
    <t>JOSE GONCALVES DE OLIVEIRA</t>
  </si>
  <si>
    <t>CLI-0026</t>
  </si>
  <si>
    <t>Recebimento parcela Gerado pelo sistema. Doc.: 4263 Ordem: 1</t>
  </si>
  <si>
    <t>Recebimento à vista Gerado pelo sistema Doc.: 9167 Ordem: 1</t>
  </si>
  <si>
    <t>DEUCLEZIO DANTAS FILHO</t>
  </si>
  <si>
    <t>CLI-0036</t>
  </si>
  <si>
    <t>Pagamento parcela Gerado pelo sistema - nº 379826 Doc.: 379826 Ord</t>
  </si>
  <si>
    <t>Recebimento à vista Gerado pelo sistema. Doc.: 4272 Ordem: 1</t>
  </si>
  <si>
    <t>PAULO DALTRO</t>
  </si>
  <si>
    <t>Recebimento à vista Gerado pelo sistema Doc.: 9169 Ordem: 1</t>
  </si>
  <si>
    <t>SHEILA ALVES NASCIMENTO</t>
  </si>
  <si>
    <t>CLI-0513</t>
  </si>
  <si>
    <t>Recebimento parcela Gerado pelo sistema. Doc.: 4271 Ordem: 1</t>
  </si>
  <si>
    <t>CLINICA DE FISIOTERAPIA VILAS BOAS MANGABEIRA LTDA - ME</t>
  </si>
  <si>
    <t>Recebimento à vista Gerado pelo sistema. Doc.: 4276 Ordem: 1</t>
  </si>
  <si>
    <t>UNIAO LESTE BRASILEIRA DA IGREJA ADVENTISTA DO SETIMO DIA</t>
  </si>
  <si>
    <t>Recebimento à vista Gerado pelo sistema Doc.: 9170 Ordem: 1</t>
  </si>
  <si>
    <t>Estorno de recebimento do documento: Gerado pelo sistema Doc.: 917</t>
  </si>
  <si>
    <t>Recebimento à vista Gerado pelo sistema Doc.: 9171 Ordem: 1</t>
  </si>
  <si>
    <t>Pagamento à vista: CORREIOS (ENVIOS PARA GRUPO ANIMA) Doc.: 1</t>
  </si>
  <si>
    <t>EMPRESA BRASILEIRA DE CORREIOS E TELEGRAFOS</t>
  </si>
  <si>
    <t>Recebimento à vista Gerado pelo sistema. Doc.: 4279 Ordem: 1</t>
  </si>
  <si>
    <t>COOPERATIVA DE CATADORES RECICLA JACOBINA</t>
  </si>
  <si>
    <t>Recebimento à vista Gerado pelo sistema Doc.: 9172 Ordem: 1</t>
  </si>
  <si>
    <t>Recebimento à vista Gerado pelo sistema Doc.: 9173 Ordem: 1</t>
  </si>
  <si>
    <t>CELESTE MARIA ARAUJO MACHADO</t>
  </si>
  <si>
    <t>CLI-0435</t>
  </si>
  <si>
    <t>Pagamento à vista: CORREIOS Doc.: 1 Ordem: 2</t>
  </si>
  <si>
    <t>RELATÓRIO FINANCEIRO — AGOSTO / 2026</t>
  </si>
  <si>
    <t>Fluxo de caixa da loja — entradas e saídas detalhadas por lançamento (lançado manualmente)</t>
  </si>
  <si>
    <t>Descrição / Cliente</t>
  </si>
  <si>
    <t>Produto</t>
  </si>
  <si>
    <t>Forma de Pagamento</t>
  </si>
  <si>
    <t>Taxa da Máquina (R$)</t>
  </si>
  <si>
    <t>Crédito Parcelado</t>
  </si>
  <si>
    <t>CLI-0058</t>
  </si>
  <si>
    <t>Cliente Consumidor Final</t>
  </si>
  <si>
    <t>Crédito à Vista</t>
  </si>
  <si>
    <t>Financiado por Capital de Giro (BB) — ver aba "Capital de Giro (BB)"</t>
  </si>
  <si>
    <t>Conta de Água Adriano</t>
  </si>
  <si>
    <t>Conta de Energia Loja</t>
  </si>
  <si>
    <t>Dinheiro</t>
  </si>
  <si>
    <t>Papel Higiênico e Copos Descartáveis</t>
  </si>
  <si>
    <t>Broca para Furadeira</t>
  </si>
  <si>
    <t>Restante do Salário de Wiliam</t>
  </si>
  <si>
    <t>CLI-0016</t>
  </si>
  <si>
    <t>Fita Adesiva</t>
  </si>
  <si>
    <t>Capital de Giro (BB) — ainda a devolver</t>
  </si>
  <si>
    <t>2x Refil Everest + Mangueira</t>
  </si>
  <si>
    <t>Pix</t>
  </si>
  <si>
    <t>EMP-0295</t>
  </si>
  <si>
    <t>Pago via Pix em 13/08/2026 (venda de 05/08)</t>
  </si>
  <si>
    <t>EMP-0225</t>
  </si>
  <si>
    <t>CLI-0017</t>
  </si>
  <si>
    <t>Venda de 05/08/2026 — pagamento recebido em 20/08/2026</t>
  </si>
  <si>
    <t>CLI-0401</t>
  </si>
  <si>
    <t>Aguardando Pagamento</t>
  </si>
  <si>
    <t>EMP-0277</t>
  </si>
  <si>
    <t>CLI-0501</t>
  </si>
  <si>
    <t>EMP-0004</t>
  </si>
  <si>
    <t>Botão do Purificador + Limpeza de Refil</t>
  </si>
  <si>
    <t>Tarifa Pix</t>
  </si>
  <si>
    <t>Tarifa Pacote de Tarifas</t>
  </si>
  <si>
    <t>CLI-0259</t>
  </si>
  <si>
    <t>Reinstalação de Purificador + Registro + Refil Everest</t>
  </si>
  <si>
    <t>Comissão Wiliam</t>
  </si>
  <si>
    <t>Refil Pro Life + Mangueira + Registro</t>
  </si>
  <si>
    <t>Débito</t>
  </si>
  <si>
    <t>CLI-0433</t>
  </si>
  <si>
    <t>Venda de 10/08/2026 — pagamento recebido em 17/08/2026</t>
  </si>
  <si>
    <t>3x Refil Everest</t>
  </si>
  <si>
    <t>Venda de 10/08/2026 — pagamento recebido em 20/08/2026</t>
  </si>
  <si>
    <t>EMP-0073</t>
  </si>
  <si>
    <t>Refil C+3</t>
  </si>
  <si>
    <t>2x Refil Everest + Refil Pro Life</t>
  </si>
  <si>
    <t>Pago via Pix em 11/08/2026 (venda de 10/08)</t>
  </si>
  <si>
    <t>EMP-0165</t>
  </si>
  <si>
    <t>Refil Plissado + Carcaça 9" 3/4</t>
  </si>
  <si>
    <t>Venda de 11/08/2026 — pagamento recebido em 20/08/2026</t>
  </si>
  <si>
    <t>2x Refil Everest</t>
  </si>
  <si>
    <t>CLI-0222</t>
  </si>
  <si>
    <t>EMP-0231</t>
  </si>
  <si>
    <t>Bucha Redução 3/4 x 1/2 (2 unidades)</t>
  </si>
  <si>
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</si>
  <si>
    <t>Refil Pro Life + Mangueira</t>
  </si>
  <si>
    <t>CLI-0454</t>
  </si>
  <si>
    <t>Venda de 11/08/2026 — pagamento recebido em 19/08/2026</t>
  </si>
  <si>
    <t>EMP-0085</t>
  </si>
  <si>
    <t>Crédito Celular da Loja</t>
  </si>
  <si>
    <t>Crédito Celular de Edilânia</t>
  </si>
  <si>
    <t>CLI-0023</t>
  </si>
  <si>
    <t>Mangueira</t>
  </si>
  <si>
    <t>CLI-0024</t>
  </si>
  <si>
    <t>Venda de 13/08/2026 — pagamento recebido em 20/08/2026 (desconto de R$ 10,00)</t>
  </si>
  <si>
    <t>CLI-0018</t>
  </si>
  <si>
    <t>4x Refil Carbon Tech 5"</t>
  </si>
  <si>
    <t>Refil Everest + Mangueira</t>
  </si>
  <si>
    <t>CLI-0051</t>
  </si>
  <si>
    <t>CLI-0450</t>
  </si>
  <si>
    <t>Refil Carbon Tech 5" + Refil Plissado</t>
  </si>
  <si>
    <t>Venda de 14/08/2026 — pagamento recebido em 19/08/2026</t>
  </si>
  <si>
    <t>Refil Everest + Engate + Serviço</t>
  </si>
  <si>
    <t>CLI-0731</t>
  </si>
  <si>
    <t>Abrigo São Vicente Miguel Calmon</t>
  </si>
  <si>
    <t>Venda de 18/08/2026 — pagamento recebido em 19/08/2026</t>
  </si>
  <si>
    <t>Caroline Rios</t>
  </si>
  <si>
    <t>OUT-0054</t>
  </si>
  <si>
    <t>Marinez Bráulio</t>
  </si>
  <si>
    <t>OUT-0078</t>
  </si>
  <si>
    <t>Orlanete Souza</t>
  </si>
  <si>
    <t>OUT-0016</t>
  </si>
  <si>
    <t>Vitor Gabriel</t>
  </si>
  <si>
    <t>Maria Madalena Nunes de Oliveira - Marijane</t>
  </si>
  <si>
    <t>Refil Pro Life + Pré Filtro</t>
  </si>
  <si>
    <t>Crédito em 3x.</t>
  </si>
  <si>
    <t>CLI-0362</t>
  </si>
  <si>
    <t>Edivaldo Jonas de Oliveira</t>
  </si>
  <si>
    <t>Venda de 19/08/2026 — pagamento recebido em 20/08/2026 (crédito 3x)</t>
  </si>
  <si>
    <t>CLI-0211</t>
  </si>
  <si>
    <t>Roup Mania</t>
  </si>
  <si>
    <t>EMP-0263</t>
  </si>
  <si>
    <t>Dona Rute (Limpeza)</t>
  </si>
  <si>
    <t>Gasolina</t>
  </si>
  <si>
    <t>Dm Contabilidade Acessoria e Consultoria</t>
  </si>
  <si>
    <t>EMP-0120</t>
  </si>
  <si>
    <t>Atacadão Lojão dos Calçados</t>
  </si>
  <si>
    <t>EMP-0309</t>
  </si>
  <si>
    <t>EMP-0199</t>
  </si>
  <si>
    <t>Canetas e Tesoura</t>
  </si>
  <si>
    <t>Elvira Rocha Magalhães</t>
  </si>
  <si>
    <t>CLI-0885</t>
  </si>
  <si>
    <t>Pedro Sangalo</t>
  </si>
  <si>
    <t>Refil Everest + Mangueira + Revisão/Manutenção</t>
  </si>
  <si>
    <t>Recebido via Pix de Arena Daniel 73 LTDA — DOC 71208662 (20/08/2026)</t>
  </si>
  <si>
    <t>Endalba</t>
  </si>
  <si>
    <t>CLI-0219</t>
  </si>
  <si>
    <t>Salão de Luciana</t>
  </si>
  <si>
    <t>EMP-0268</t>
  </si>
  <si>
    <t>FGTS</t>
  </si>
  <si>
    <t>Pago via Pix à Caixa Econômica Federal — DOC 70916805 (20/08/2026)</t>
  </si>
  <si>
    <t>Pagamento de Tributos — Internet Banking</t>
  </si>
  <si>
    <t>Extrato: PGTO TRIBUTOS INTERNBANK — DOC 70953537 (20/08/2026)</t>
  </si>
  <si>
    <t>Luana Mesquita Victoria</t>
  </si>
  <si>
    <t>Purificador Everest Foz Grafite</t>
  </si>
  <si>
    <t>CLI-0887</t>
  </si>
  <si>
    <t>Amélia Pinho</t>
  </si>
  <si>
    <t>Colégio Armando Xavier de Oliveira</t>
  </si>
  <si>
    <t>Refil Plissado + Refil Carbon 9"</t>
  </si>
  <si>
    <t>Diarista Eva</t>
  </si>
  <si>
    <t>Everest</t>
  </si>
  <si>
    <t>Hospital e Clinica Santa Barbara</t>
  </si>
  <si>
    <t>EMP-0172</t>
  </si>
  <si>
    <t>Refil FP4</t>
  </si>
  <si>
    <t>Academia Diego Cesar</t>
  </si>
  <si>
    <t>EMP-0310</t>
  </si>
  <si>
    <t>Pedras e Pisos Depósito</t>
  </si>
  <si>
    <t>EMP-0245</t>
  </si>
  <si>
    <t>Extrato: TAR PIX PAGTO TRANSFERENC — DOC 70819916 (20/08/2026)</t>
  </si>
  <si>
    <t>Comissões da quinzena de 10/08 a 22/08/2026 — 53 serviços</t>
  </si>
  <si>
    <t>UNIFG Brumado (Brumado/BA)</t>
  </si>
  <si>
    <t>3x Refil E3 + 3x Refil Pré E3 + 2x Refil Carbon Tech 5" + 2x Refil FP4 + 2x Refil Multifilter</t>
  </si>
  <si>
    <t>Grupo Ânima — OC PO_CESGPO00006007_0 · orçamento de 07/07/2026 (desc. 3%) · pago via Pix pela CESG em 24/08/2026</t>
  </si>
  <si>
    <t>UNIFG Vasco da Gama (Guanambi/BA)</t>
  </si>
  <si>
    <t>11x Refil E3 + 6x Refil Pré E3</t>
  </si>
  <si>
    <t>Grupo Ânima — OC PO_CESGPO00006009_1 · orçamento de 07/07/2026 · pago via Pix pela CESG em 24/08/2026</t>
  </si>
  <si>
    <t>UNP Salgado Filho (Natal/RN)</t>
  </si>
  <si>
    <t>8x Refil E3 + 8x Refil Pré E3 + 6x Refil Carbon Tech 9"</t>
  </si>
  <si>
    <t>Grupo Ânima — OC PO_APECPO00019433_0 · orçamento de 08/07/2026 (desc. 3%) · pago via Pix pela APEC em 24/08/2026</t>
  </si>
  <si>
    <t>FG Piedade (Jaboatão/PE)</t>
  </si>
  <si>
    <t>10x Refil E3 + 10x Refil Pré E3</t>
  </si>
  <si>
    <t>Grupo Ânima — OC PO_SOCECPO00006536_0 · orçamento de 08/07/2026 · pago via Pix pela SOCEC em 24/08/2026</t>
  </si>
  <si>
    <t>FPB João Pessoa (João Pessoa/PB)</t>
  </si>
  <si>
    <t>10x Refil E3 + 10x Refil Pré E3 + 4x Refil BAG + 2x Refil Pro Life</t>
  </si>
  <si>
    <t>Grupo Ânima — OC PO_ASPECPO00004346_0 · orçamento de 08/07/2026 (desc. 3%) · pago via Pix pela ASPEC em 24/08/2026</t>
  </si>
  <si>
    <t>Click Comércio e Distribuição</t>
  </si>
  <si>
    <t>Extrato Stone — Pix de 04/08/2026</t>
  </si>
  <si>
    <t>Vaz Comércio de Cosméticos</t>
  </si>
  <si>
    <t>Estacionamento (Pagar.me)</t>
  </si>
  <si>
    <t>Extrato Stone — Pix de 05/08/2026</t>
  </si>
  <si>
    <t>Extrato Stone — Pix de 10/08/2026</t>
  </si>
  <si>
    <t>Claudina dos Santos Morais</t>
  </si>
  <si>
    <t>Extrato Stone — Pix de 11/08/2026</t>
  </si>
  <si>
    <t>Gerlaine Vieira Santos Costa</t>
  </si>
  <si>
    <t>Malena Lorrane Santos do Nascimento</t>
  </si>
  <si>
    <t>Extrato Stone — Pix de 12/08/2026</t>
  </si>
  <si>
    <t>Evanice Ferreira da Silva</t>
  </si>
  <si>
    <t>Extrato Stone — Pix de 13/08/2026</t>
  </si>
  <si>
    <t>Luciana Cruz Freire Santos</t>
  </si>
  <si>
    <t>Teresinha Almeida Silva Costa</t>
  </si>
  <si>
    <t>Extrato Stone — Pix de 15/08/2026</t>
  </si>
  <si>
    <t>Daniel Barbosa dos Santos (Moto Táxi)</t>
  </si>
  <si>
    <t>Extrato Stone — Pix de 17/08/2026</t>
  </si>
  <si>
    <t>Japedido Software</t>
  </si>
  <si>
    <t>Extrato Stone — Pix de 18/08/2026</t>
  </si>
  <si>
    <t>L. A. Moreira Gráfica e Informática</t>
  </si>
  <si>
    <t>Antonia Bizerra Neta</t>
  </si>
  <si>
    <t>Pampet Club</t>
  </si>
  <si>
    <t>Extrato Stone — Pix de 19/08/2026</t>
  </si>
  <si>
    <t>Laura Christina Pecanhuk Hutson Schwenker Arcara Sales</t>
  </si>
  <si>
    <t>Extrato Stone — Pix de 21/08/2026</t>
  </si>
  <si>
    <t>Extrato Stone — Pix de 24/08/2026</t>
  </si>
  <si>
    <t>Comercial de Estivas e Cereais Rio do Ouro</t>
  </si>
  <si>
    <t>Refil Universal</t>
  </si>
  <si>
    <t>Papelaria Castro</t>
  </si>
  <si>
    <t>Cristiane Lima Procopio</t>
  </si>
  <si>
    <t>Venda de 24/08/2026 — pagamento recebido via Pix em 25/08/2026</t>
  </si>
  <si>
    <t>CLI-0471</t>
  </si>
  <si>
    <t>ICMS Antecipação Parcial</t>
  </si>
  <si>
    <t>Clinica Sao Lucas (Caém)</t>
  </si>
  <si>
    <t>Luciano de Matos Nascimento</t>
  </si>
  <si>
    <t>Purificador Everest Star Prata</t>
  </si>
  <si>
    <t>Crédito em 10x</t>
  </si>
  <si>
    <t>CLI-0886</t>
  </si>
  <si>
    <t>Fix English School</t>
  </si>
  <si>
    <t>Retirada Complementar — Despesas de 17/08</t>
  </si>
  <si>
    <t>CLI-0738</t>
  </si>
  <si>
    <t>Venda única de R$ 470,00 (27/08/2026), paga em 28/08/2026 em duas formas: R$ 270,00 Pix (esta linha) + R$ 200,00 crédito 2x (linha seguinte). Os produtos estão listados só aqui.</t>
  </si>
  <si>
    <t>(Mesma venda acima — 2ª forma de pagamento, sem produtos novos)</t>
  </si>
  <si>
    <t>Parte 2/2 da venda de R$ 470,00 da Promotoria Regional de Jacobina — R$ 200,00 no crédito 2x. NÃO é uma venda nova; os itens já constam na linha anterior.</t>
  </si>
  <si>
    <t>A E G Calçados LTDA</t>
  </si>
  <si>
    <t>Extrato Stone — Pix de 27/08/2026</t>
  </si>
  <si>
    <t>Queite Almeida Duarte</t>
  </si>
  <si>
    <t>Edilania Almeida Silva Costa Fontes</t>
  </si>
  <si>
    <t>Extrato Stone — Pix de 26/08/2026</t>
  </si>
  <si>
    <t>4x Parafuso</t>
  </si>
  <si>
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</si>
  <si>
    <t>Grupo Ânima — OC CESGPO00006036 · NF 000.004.281 de 28/07/2026 · prazo 30 dias · vencimento 27/08/2026 (desc. 3%) · Pago em 27/08/2026 (confirmado via Pix CESG no extrato bancário)</t>
  </si>
  <si>
    <t>Grupo Ânima — OC APECPO00019432 · NF 000.004.282 de 28/07/2026 · prazo 30 dias · vencimento 27/08/2026 · Pago em 27/08/2026 (confirmado via Pix APEC no extrato bancário)</t>
  </si>
  <si>
    <t>Grupo Ânima — OC APECPO00019405 · NF 000.004.283 de 28/07/2026 · pago via Pix pela APEC em 27/08/2026 (após o fechamento do relatório do dia)</t>
  </si>
  <si>
    <t>Produtos de Higiene</t>
  </si>
  <si>
    <t>Katiane</t>
  </si>
  <si>
    <t>CLI-0449</t>
  </si>
  <si>
    <t>Marcelo Pioverzan Pinheiro</t>
  </si>
  <si>
    <t>Bebedouro Industrial 50L + Engate</t>
  </si>
  <si>
    <t>Raiane Melo do Rosario</t>
  </si>
  <si>
    <t>Crédito em 4x</t>
  </si>
  <si>
    <t>CLI-0405</t>
  </si>
  <si>
    <t>Salário Wiliam</t>
  </si>
  <si>
    <t>Tarifa Pix (14 lançamentos)</t>
  </si>
  <si>
    <t>Extrato BNB agosto/2026 — soma de 14 tarifas Pix individuais</t>
  </si>
  <si>
    <t>Pix Pessoal (4 lançamentos)</t>
  </si>
  <si>
    <t>Extrato BNB agosto/2026 — soma de 4 Pix pessoais de Adriano/Edilânia</t>
  </si>
  <si>
    <t>Compras p/Loja (2 lançamentos)</t>
  </si>
  <si>
    <t>Extrato BNB agosto/2026 — soma de 2 compras para a loja</t>
  </si>
  <si>
    <t>Estacionamento (2 lançamentos)</t>
  </si>
  <si>
    <t>Extrato BNB agosto/2026 — soma de 2 lançamentos de estacionamento</t>
  </si>
  <si>
    <t>Cliente de Armando</t>
  </si>
  <si>
    <t>Crédito em 3x. Venda do relatório de prestação de contas do Armando (14/09/2026) — lançada em 21/09/2026.</t>
  </si>
  <si>
    <t>Crédito em 2x. Venda do relatório de prestação de contas do Armando (14/09/2026) — lançada em 21/09/2026.</t>
  </si>
  <si>
    <t>SALDO DO MÊS (Entradas líquidas − Despesas da loja)</t>
  </si>
  <si>
    <t>RELATÓRIO FINANCEIRO — SETEMBRO / 2026</t>
  </si>
  <si>
    <t>Fluxo de caixa da loja — entradas e saídas detalhadas por lançamento (lançamento manual)</t>
  </si>
  <si>
    <t>Grupo Ânima — OC AEMPPO00004359 · NF 000.004.294 de 05/08/2026 · prazo 30 dias · vencimento 04/09/2026 (desc. 3%) · previsão de pagamento confirmada no portal V360 em 02/09/2026 · pagamento recebido via Pix em 04/09/2026</t>
  </si>
  <si>
    <t>Grupo Ânima — OC AEMPPO00004358 · NF 000.004.295 de 05/08/2026 · prazo 30 dias · vencimento 04/09/2026 (desc. 3%) · previsão de pagamento confirmada no portal V360 em 02/09/2026 · pagamento recebido via Pix em 04/09/2026</t>
  </si>
  <si>
    <t>Grupo Ânima — OC AEDPO00004751 · NF 000.004.298 de 06/08/2026 · prazo 30 dias · vencimento 05/09/2026 (desc. 3%) · previsão de pagamento confirmada no portal V360 em 02/09/2026 · pagamento recebido via Pix em 08/09/2026</t>
  </si>
  <si>
    <t>ESC-0007</t>
  </si>
  <si>
    <t>Grupo Ânima — OC AEDPO00004750 · NF 000.004.299 de 06/08/2026 · prazo 30 dias · vencimento 05/09/2026 (desc. 3%) · previsão de pagamento confirmada no portal V360 em 02/09/2026 · pagamento recebido via Pix em 08/09/2026</t>
  </si>
  <si>
    <t>Grupo Ânima — OC AEDPO00004743 · NF 000.004.300 de 06/08/2026 · prazo 30 dias · vencimento 05/09/2026 (desc. 3%) · previsão de pagamento confirmada no portal V360 em 02/09/2026 · pagamento recebido via Pix em 08/09/2026</t>
  </si>
  <si>
    <t>ESC-0006</t>
  </si>
  <si>
    <t>Grupo Ânima — OC AEDPO00004749 · NF 000.004.301 de 06/08/2026 · prazo 30 dias · vencimento 05/09/2026 (desc. 3%) · previsão de pagamento confirmada no portal V360 em 02/09/2026 · pagamento recebido via Pix em 08/09/2026</t>
  </si>
  <si>
    <t>Grupo Ânima — OC APECPO00019551 · NF 000.004.302 de 06/08/2026 · prazo 30 dias · vencimento 05/09/2026 (desc. 3%) · previsão de pagamento confirmada no portal V360 em 02/09/2026 · pagamento recebido via Pix em 08/09/2026</t>
  </si>
  <si>
    <t>Grupo Ânima — OC AEMPPO00004452 · NF 000.004.333 de 26/08/2026 · prazo 30 dias · vencimento 25/09/2026 (desc. 3%) · previsão de pagamento confirmada no portal V360 em 02/09/2026</t>
  </si>
  <si>
    <t>Carlos Tubbi</t>
  </si>
  <si>
    <t>CLI-0475</t>
  </si>
  <si>
    <t>Refil Pro Life + Conexão + Mangueira</t>
  </si>
  <si>
    <t>Vendas de 20 e 21/08/2026 (R$ 140,00 + R$ 40,00) — pagamento recebido em 01/09/2026 com desconto de R$ 10,00</t>
  </si>
  <si>
    <t>CLI-0014</t>
  </si>
  <si>
    <t>Venda de 01/09/2026 — pagamento recebido via Pix em 10/09/2026</t>
  </si>
  <si>
    <t>EMP-0014</t>
  </si>
  <si>
    <t>Olindina Maria Santos Goes</t>
  </si>
  <si>
    <t>CLI-0460</t>
  </si>
  <si>
    <t>Venda de 01/09/2026 — pagamento recebido em 02/09/2026</t>
  </si>
  <si>
    <t>CLI-0465</t>
  </si>
  <si>
    <t>RC Produtos Naturais - Renilde Teixeira</t>
  </si>
  <si>
    <t>Purificador Everest Baby Cereja + Pré Filtro</t>
  </si>
  <si>
    <t>EMP-0311</t>
  </si>
  <si>
    <t>Joselita Alves Da Silva</t>
  </si>
  <si>
    <t>CLI-0472</t>
  </si>
  <si>
    <t>Dalcira</t>
  </si>
  <si>
    <t>CLI-0474</t>
  </si>
  <si>
    <t>Maria Adriana Lima</t>
  </si>
  <si>
    <t>CLI-0482</t>
  </si>
  <si>
    <t>Aluguel da loja — referente a setembro/2026</t>
  </si>
  <si>
    <t>Javan Palace Hotel - Rosa Bruno</t>
  </si>
  <si>
    <t>EMP-0196</t>
  </si>
  <si>
    <t>Ozirema Silva Santos</t>
  </si>
  <si>
    <t>Crédito em 5x</t>
  </si>
  <si>
    <t>CLI-0888</t>
  </si>
  <si>
    <t>Venda de 02/09/2026 — pagamento recebido via Pix em 10/09/2026</t>
  </si>
  <si>
    <t>CLI-0473</t>
  </si>
  <si>
    <t>Diane Oliveira dos Santos</t>
  </si>
  <si>
    <t>Crédito em 3x</t>
  </si>
  <si>
    <t>CLI-0064</t>
  </si>
  <si>
    <t>Helena Henrique Santos</t>
  </si>
  <si>
    <t>CLI-0452</t>
  </si>
  <si>
    <t>Venda de 03/09/2026 — pagamento recebido via Pix em 04/09/2026</t>
  </si>
  <si>
    <t>CLI-0483</t>
  </si>
  <si>
    <t>Compra de Velas Tripla Ação (12 un.) - Filtro de Barro</t>
  </si>
  <si>
    <t>Boleto Santander pago por Edilânia — venc. 02/09/2026</t>
  </si>
  <si>
    <t>Venda de 17/08/2026 — pagamento recebido em 02/09/2026 via TED</t>
  </si>
  <si>
    <t>EMP-0156</t>
  </si>
  <si>
    <t>Venda de 31/08/2026 — pagamento recebido em 01/09/2026 via Pix (Sindicato dos Mineiros de Jacobina)</t>
  </si>
  <si>
    <t>EMP-0179</t>
  </si>
  <si>
    <t>Venda de 31/08/2026 — pagamento recebido em 03/09/2026 via Pix</t>
  </si>
  <si>
    <t>EMP-0133</t>
  </si>
  <si>
    <t>Boleto doc. 131997 (emissão 08/07/2026) — venc. 02/09/2026.</t>
  </si>
  <si>
    <t>Boleto doc. 374271 (emissão 06/04/2026) — venc. 03/09/2026.</t>
  </si>
  <si>
    <t>Consumidor Final</t>
  </si>
  <si>
    <t>Refil Carbon 7" + Carcaça 7"</t>
  </si>
  <si>
    <t>Boleto doc. 72869 (emissão 07/05/2026) — venc. 04/09/2026. Pago em 03/09/2026.</t>
  </si>
  <si>
    <t>Venda de 27/08/2026 — pagamento recebido em dinheiro em 03/09/2026</t>
  </si>
  <si>
    <t>Frutos de Goiás - Rivael Sousa Santos</t>
  </si>
  <si>
    <t>Andrea Dias Rocha (Blogueira) — Permuta</t>
  </si>
  <si>
    <t>Permuta: purificador entregue em troca de divulgação no Instagram (instalação em 02/09/2026). Sem entrada em caixa — valor de tabela do aparelho R$ 1.366,00.</t>
  </si>
  <si>
    <t>CLI-0844</t>
  </si>
  <si>
    <t>DS Transportes</t>
  </si>
  <si>
    <t>EMP-0313</t>
  </si>
  <si>
    <t>Sabrina Valois</t>
  </si>
  <si>
    <t>CLI-0889</t>
  </si>
  <si>
    <t>José Henrique Silva Lima - Naiara Freire</t>
  </si>
  <si>
    <t>CLI-0630</t>
  </si>
  <si>
    <t>Maria Alzete Santana</t>
  </si>
  <si>
    <t>CLI-0419</t>
  </si>
  <si>
    <t>Venda de 04/09/2026 — pagamento recebido via Pix em 10/09/2026</t>
  </si>
  <si>
    <t>Luciane Martins de Souza Santos</t>
  </si>
  <si>
    <t>CLI-0035</t>
  </si>
  <si>
    <t>Refil Universal + Filtro Bica Móvel</t>
  </si>
  <si>
    <t>Suporte Everest</t>
  </si>
  <si>
    <t>Venda de 31/08/2026 — pagamento recebido via Pix em 08/09/2026</t>
  </si>
  <si>
    <t>EMP-0183</t>
  </si>
  <si>
    <t>Edileia Santana Lima</t>
  </si>
  <si>
    <t>CLI-0890</t>
  </si>
  <si>
    <t>Luiz Junior</t>
  </si>
  <si>
    <t>CLI-0441</t>
  </si>
  <si>
    <t>Consultório Dr Vitor Hugo</t>
  </si>
  <si>
    <t>EMP-0314</t>
  </si>
  <si>
    <t>Carcaça 7" + 2x Refil Carbon 7"</t>
  </si>
  <si>
    <t>Crédito em 2x</t>
  </si>
  <si>
    <t>Venda de 24/08/2026 — pagamento recebido em dinheiro em 08/09/2026</t>
  </si>
  <si>
    <t>Refil Everest + Refil C+3</t>
  </si>
  <si>
    <t>Comissões da quinzena de 24/08 a 05/09/2026</t>
  </si>
  <si>
    <t>Central do Suplemento</t>
  </si>
  <si>
    <t>Tarifa Pix (Cobrança QR Code)</t>
  </si>
  <si>
    <t>DOC 85500035</t>
  </si>
  <si>
    <t>Neoenergia Coelba — ref. 08/2026, venc. 08/09/2026.</t>
  </si>
  <si>
    <t>Boleto doc. 73636 (emissão 10/06/2026) — venc. 08/09/2026. Pago em 08/09/2026.</t>
  </si>
  <si>
    <t>Juliane Rosa de Oliveira</t>
  </si>
  <si>
    <t>CLI-0492</t>
  </si>
  <si>
    <t>Erika Lopes de Guimaraes</t>
  </si>
  <si>
    <t>Refil FPA14</t>
  </si>
  <si>
    <t>CLI-0891</t>
  </si>
  <si>
    <t>Venda de 09/09/2026 — pagamento recebido em dinheiro em 16/09/2026</t>
  </si>
  <si>
    <t>Boleto doc. 133138/1 (emissão 12/08/2026) — venc. 09/09/2026. Pago em 09/09/2026.</t>
  </si>
  <si>
    <t>Contribuição assistencial — competência junho/2026. Venc. 10/09/2026, pago em 09/09/2026.</t>
  </si>
  <si>
    <t>Antonio Felix dos Santos</t>
  </si>
  <si>
    <t>CLI-0424</t>
  </si>
  <si>
    <t>Arivaldo Teixeira Advocacia</t>
  </si>
  <si>
    <t>EMP-0262</t>
  </si>
  <si>
    <t>2x Botão do Purificador Everest</t>
  </si>
  <si>
    <t>Tereza Cristina Aquino Martins - Escritório</t>
  </si>
  <si>
    <t>Refil FPA14 + Refil Universal</t>
  </si>
  <si>
    <t>CLI-0892</t>
  </si>
  <si>
    <t>Mangueira (11m)</t>
  </si>
  <si>
    <t>Rebeca Oliveira Soares Avelino</t>
  </si>
  <si>
    <t>Mangueira (2m)</t>
  </si>
  <si>
    <t>Compra na Shopee - Ferramentas, Velas e Tinta</t>
  </si>
  <si>
    <t>Pix de 10/09/2026 11:56 para Shpp Brasil Instituição de Pagamento (CNPJ 38.372.267/0001-82) — ferramentas e tinta para a loja + velas de carvão ativado para revenda. ID E07237373202609101455 8N7SUEN9VKQ</t>
  </si>
  <si>
    <t>Pamella Rodrigues Ribeiro de Oliveira</t>
  </si>
  <si>
    <t>CLI-0493</t>
  </si>
  <si>
    <t>Refil BAG</t>
  </si>
  <si>
    <t>Venda de 10/09/2026 — pagamento recebido via Pix em 11/09/2026</t>
  </si>
  <si>
    <t>CLI-0801</t>
  </si>
  <si>
    <t>EMP-0251</t>
  </si>
  <si>
    <t>EMP-0291</t>
  </si>
  <si>
    <t>Venda de 11/09/2026 — pagamento recebido via Pix em 14/09/2026</t>
  </si>
  <si>
    <t>EMP-0294</t>
  </si>
  <si>
    <t>Loja D Leles</t>
  </si>
  <si>
    <t>EMP-0206</t>
  </si>
  <si>
    <t>Atacadão da Limpeza</t>
  </si>
  <si>
    <t>Luva vinil G + saco de lixo 60L — venda nº 00021207 (total R$ 46,98, desconto R$ 0,98). Pago em dinheiro.</t>
  </si>
  <si>
    <t>Faca Feira Supermercado</t>
  </si>
  <si>
    <t>Copo descartável 200 ml — NFC-e nº 208441. Pago em dinheiro.</t>
  </si>
  <si>
    <t>Conserto do Controle do Alarme da Loja</t>
  </si>
  <si>
    <t>L K Abade Ltda</t>
  </si>
  <si>
    <t>4 caixas organizadoras rattan 28L + 2 panos multiuso + 1 forma descartável para air fryer — pedido nº 48303.</t>
  </si>
  <si>
    <t>Moto Táxi</t>
  </si>
  <si>
    <t>EMP-0185</t>
  </si>
  <si>
    <t>Suporte Fit (para Carcaça) + Refil Plissado + Refil Carbon Tech 9"</t>
  </si>
  <si>
    <t>Jaqueline da Silva Oliveira Nunes</t>
  </si>
  <si>
    <t>CLI-0337</t>
  </si>
  <si>
    <t>Conta de Energia Adriano</t>
  </si>
  <si>
    <t>Neoenergia Coelba — conta pessoal do Adriano (não é da loja). Pix em 12/09/2026 14:49:27 pelo Banco do Nordeste. ID E07237373202609121749YCSQ3HPNJUY</t>
  </si>
  <si>
    <t>Neoenergia Coelba — conta pessoal do Adriano (não é da loja). Pix em 12/09/2026 14:51:41 pelo Banco do Nordeste. ID E07237373202609121751A6GIRL92T9A</t>
  </si>
  <si>
    <t>Tarifa Pix (Pagamento/Transferência)</t>
  </si>
  <si>
    <t>DOC 91449500</t>
  </si>
  <si>
    <t>DOC 91449501</t>
  </si>
  <si>
    <t>DOC 91449504</t>
  </si>
  <si>
    <t>Boleto doc. 74454 (emissão 17/07/2026) · parcela 2/5 — venc. 15/09/2026. Pago em 15/09/2026 pelo Banco do Nordeste, DOC 91607814.</t>
  </si>
  <si>
    <t>Boleto doc. 381554 (emissão 17/07/2026) · parcela 2/5 — venc. 15/09/2026. Pago em 15/09/2026 pelo Banco do Nordeste, DOC 91630932.</t>
  </si>
  <si>
    <t>Serviço contábil — boleto doc. 38/0926, venc. 15/09/2026. Pago em 15/09/2026 pelo Banco do Nordeste, DOC 91632428.</t>
  </si>
  <si>
    <t>Instituto Euvaldo Lodi</t>
  </si>
  <si>
    <t>Contribuição do contrato de estágio — doc. A 000007329, venc. 15/09/2026. Pago em 15/09/2026 pelo Banco do Nordeste, DOC 91633744.</t>
  </si>
  <si>
    <t>Proxxima Telecomunicações</t>
  </si>
  <si>
    <t>Internet da loja — plano Turbinados 700 MB, contrato 578646. Fatura FAT26081721473042, venc. 15/09/2026. Pago em 15/09/2026 pelo Banco do Nordeste, DOC 91638140.</t>
  </si>
  <si>
    <t>Maria Lopes dos Santos</t>
  </si>
  <si>
    <t>CLI-0127</t>
  </si>
  <si>
    <t>Gardenia Ribeiro de Paula</t>
  </si>
  <si>
    <t>CLI-0456</t>
  </si>
  <si>
    <t>Gildete Pinho</t>
  </si>
  <si>
    <t>CLI-0502</t>
  </si>
  <si>
    <t>Atacadão das Confecções e Utilidades</t>
  </si>
  <si>
    <t>Válvula Reguladora de Pressão</t>
  </si>
  <si>
    <t>Instalação feita em 15/09/2026.</t>
  </si>
  <si>
    <t>2x Refil Carbon Tech 5" Rosca</t>
  </si>
  <si>
    <t>R$ 30,00 cada (preço normal R$ 60,00). Versão com encaixe de rosca em vez de borracha de vedação — duas últimas unidades, paradas no estoque havia muito tempo; preço reduzido para girar. Estoque zerado.</t>
  </si>
  <si>
    <t>Dínamo Engenharia Ltda</t>
  </si>
  <si>
    <t>2x Refil Carbon Tech 9" + 2x Refil Plissado</t>
  </si>
  <si>
    <t>EMP-0090</t>
  </si>
  <si>
    <t>Posto Payaya</t>
  </si>
  <si>
    <t>EMP-0315</t>
  </si>
  <si>
    <t>App 99</t>
  </si>
  <si>
    <t>Corrida para ir fazer serviços</t>
  </si>
  <si>
    <t>Luciana dos Santos Freire</t>
  </si>
  <si>
    <t>Purificador Everest Baby Branco</t>
  </si>
  <si>
    <t>CLI-0893</t>
  </si>
  <si>
    <t>Patrus Transportes</t>
  </si>
  <si>
    <t>Frete da fatura 26-08-913041 (CT-e 2117850, remetente Eversoft, NF 75472) — venc. 16/09/2026. Pago em 16/09/2026.</t>
  </si>
  <si>
    <t>Boleto doc. 377737 (emissão 19/05/2026) · parcela 4/5 — venc. 16/09/2026. Pago em 16/09/2026.</t>
  </si>
  <si>
    <t>Boleto doc. 377739 (emissão 19/05/2026) · parcela 4/5 — venc. 16/09/2026. Pago em 16/09/2026.</t>
  </si>
  <si>
    <t>Boleto doc. 377738 (emissão 19/05/2026) · parcela 4/5 — venc. 16/09/2026. Pago em 16/09/2026 pelo Banco do Nordeste.</t>
  </si>
  <si>
    <t>Boleto doc. 131997/4 (emissão 08/07/2026) · parcela 4/4 (última) — venc. 16/09/2026. Pago em 16/09/2026 pelo Banco do Nordeste.</t>
  </si>
  <si>
    <t>Centro Medico Boa Saude</t>
  </si>
  <si>
    <t>Instituição Adventista Nordeste Brasileiro</t>
  </si>
  <si>
    <t>Torneira para Bebedouro Industrial</t>
  </si>
  <si>
    <t>Julia Ribeiro Bezerra Santos</t>
  </si>
  <si>
    <t>CLI-0894</t>
  </si>
  <si>
    <t>Salão de Beleza - Tauana Naiara Matos - Pura Beleza</t>
  </si>
  <si>
    <t>EMP-0267</t>
  </si>
  <si>
    <t>Venda de 18/09/2026 — pagamento recebido via Pix em 19/09/2026</t>
  </si>
  <si>
    <t>CLI-0388</t>
  </si>
  <si>
    <t>Valdemar</t>
  </si>
  <si>
    <t>Instalação do pré-filtro pelo Wiliam. Cliente ainda sem cadastro na Planilha de Clientes.</t>
  </si>
  <si>
    <t>Dailana Araujo Lima</t>
  </si>
  <si>
    <t>Purificador Everest Foz Cinza Claro</t>
  </si>
  <si>
    <t>Crédito em 5x. Instalação feita em 18/09/2026.</t>
  </si>
  <si>
    <t>CLI-0895</t>
  </si>
  <si>
    <t>Maria Lucia Pinho Guimarães</t>
  </si>
  <si>
    <t>CLI-0065</t>
  </si>
  <si>
    <t>Supermercado</t>
  </si>
  <si>
    <t>Compra de supermercado — despesa pessoal (Edilânia).</t>
  </si>
  <si>
    <t>Adrielly Costa Fontes</t>
  </si>
  <si>
    <t>Extrato Stone — saída de 02/09/2026.</t>
  </si>
  <si>
    <t>Dlocal Brasil Instituição de Pagamento</t>
  </si>
  <si>
    <t>Appmax Plataforma</t>
  </si>
  <si>
    <t>Extrato Stone — saída de 03/09/2026.</t>
  </si>
  <si>
    <t>Thiago de Jesus Nascimento</t>
  </si>
  <si>
    <t>Extrato Stone — saída de 04/09/2026.</t>
  </si>
  <si>
    <t>Junior e Oliveira Ltda</t>
  </si>
  <si>
    <t>Extrato Stone — saída de 06/09/2026.</t>
  </si>
  <si>
    <t>Maree Instituição de Pagamento</t>
  </si>
  <si>
    <t>Extrato Stone — saída de 08/09/2026.</t>
  </si>
  <si>
    <t>Pagar.me Instituição de Pagamento</t>
  </si>
  <si>
    <t>Extrato Stone — saída de 09/09/2026.</t>
  </si>
  <si>
    <t>Isabella Santos Flores</t>
  </si>
  <si>
    <t>Extrato Stone — saída de 10/09/2026.</t>
  </si>
  <si>
    <t>Humberto Fernandes Costa</t>
  </si>
  <si>
    <t>Sinesio Moura da Silva</t>
  </si>
  <si>
    <t>Extrato Stone — saída de 14/09/2026.</t>
  </si>
  <si>
    <t>Eziquiel Soares da Cruz</t>
  </si>
  <si>
    <t>Extrato Stone — saída de 15/09/2026.</t>
  </si>
  <si>
    <t>Lojão JB Mega 25</t>
  </si>
  <si>
    <t>Rivael Sousa Santos</t>
  </si>
  <si>
    <t>Extrato Stone — saída de 16/09/2026.</t>
  </si>
  <si>
    <t>Extrato Stone — saída de 18/09/2026.</t>
  </si>
  <si>
    <t>Jose Barbosa Leal Filho Ltda</t>
  </si>
  <si>
    <t>Multidisplay Comercio e Servicos Tecnologicos</t>
  </si>
  <si>
    <t>FGTS mensal — competência 08/2026. Venc. 18/09/2026, pago em 16/09/2026.</t>
  </si>
  <si>
    <t>Receita Federal — DARF / INSS</t>
  </si>
  <si>
    <t>DARF / INSS — período de apuração agosto/2026. Venc. 18/09/2026, pago em 16/09/2026.</t>
  </si>
  <si>
    <t>CLI-0032</t>
  </si>
  <si>
    <t>Josimar Souza Santos</t>
  </si>
  <si>
    <t>CLI-0367</t>
  </si>
  <si>
    <t>CLI-0296</t>
  </si>
  <si>
    <t>Combustível (Etanol) — Transvale</t>
  </si>
  <si>
    <t>10,31 L de etanol hidratado a R$ 4,85/L — NFC-e nº 000284718 (Transvale Derivados de Petróleo, CNPJ 11.271.229/0002-68). Pago em dinheiro.</t>
  </si>
  <si>
    <t>Boleto doc. 133812/001 (emissão 28/08/2026) · parcela 1/4 — 2ª via com venc. 21/09/2026 (original R$ 591,12 venc. 18/09). Pago em 21/09/2026 pelo Banco do Nordeste.</t>
  </si>
  <si>
    <t>DAS competência agosto/2026 (doc. 07.20.26260.6017058-0) — venc. 21/09/2026. Pago em 21/09/2026 pelo Banco do Nordeste.</t>
  </si>
  <si>
    <t>Boleto doc. 379826 (emissão 22/06/2026) · parcela 3/5 — venc. 20/09/2026 (domingo). Pago em 21/09/2026 pelo Banco do Nordeste.</t>
  </si>
  <si>
    <t>Diarista</t>
  </si>
  <si>
    <t>Pagamento de diarista — despesa pessoal (Edilânia).</t>
  </si>
  <si>
    <t>Mangueira (1m)</t>
  </si>
  <si>
    <t>Vela Carvão Ativado</t>
  </si>
  <si>
    <t>Colégio Estadual Normal Arnaldo de Oliveira</t>
  </si>
  <si>
    <t>9x Refil Carbon Tech 5" + 2x Refil Everest + Termostato</t>
  </si>
  <si>
    <t>OUT-0018</t>
  </si>
  <si>
    <t>Jacobina Etiquetas e Rotulos LTDA</t>
  </si>
  <si>
    <t>EMP-0190</t>
  </si>
  <si>
    <t>Chapada Ouro Serviços Ltda - Motel Privilege</t>
  </si>
  <si>
    <t>Refil Pro Life + Mangueira (2m)</t>
  </si>
  <si>
    <t>Casa da Construção Jacobina Ltda - Cavalcanti</t>
  </si>
  <si>
    <t>EMP-0045</t>
  </si>
  <si>
    <t>Carcaça 9" + Refil Plissado</t>
  </si>
  <si>
    <t>RELATÓRIO FINANCEIRO — OUTUBRO / 2026</t>
  </si>
  <si>
    <t>Grupo Ânima — OC AEMPPO00004453 · NF 000.004.332 de 26/08/2026 · prazo 45 dias · vencimento 10/10/2026 (desc. 3%) · previsão de pagamento confirmada no portal V360 em 02/09/2026</t>
  </si>
  <si>
    <t>ESC-0008</t>
  </si>
  <si>
    <t>RELATÓRIO FINANCEIRO — NOVEMBRO / 2026</t>
  </si>
  <si>
    <t>RELATÓRIO FINANCEIRO — DEZEMBRO /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</si>
</sst>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&quot;R$ &quot;#,##0.00"/>
    <numFmt numFmtId="165" formatCode="0.0%"/>
    <numFmt numFmtId="166" formatCode="0.0"/>
  </numFmts>
  <fonts count="76">
    <font>
      <sz val="11"/>
      <color theme="1"/>
      <name val="Calibri"/>
      <family val="2"/>
      <charset val="1"/>
    </font>
    <font>
      <b/>
      <sz val="20"/>
      <color rgb="FF1F3864"/>
      <name val="Calibri"/>
      <charset val="1"/>
    </font>
    <font>
      <i/>
      <sz val="11"/>
      <color rgb="FF666666"/>
      <name val="Calibri"/>
      <charset val="1"/>
    </font>
    <font>
      <b/>
      <sz val="9"/>
      <color rgb="FFFFFFFF"/>
      <name val="Calibri"/>
      <charset val="1"/>
    </font>
    <font>
      <b/>
      <sz val="15"/>
      <color rgb="FF0F9D8B"/>
      <name val="Calibri"/>
      <charset val="1"/>
    </font>
    <font>
      <b/>
      <sz val="15"/>
      <color rgb="FFC0392B"/>
      <name val="Calibri"/>
      <charset val="1"/>
    </font>
    <font>
      <b/>
      <sz val="15"/>
      <color rgb="FF1E7B34"/>
      <name val="Calibri"/>
      <charset val="1"/>
    </font>
    <font>
      <b/>
      <sz val="15"/>
      <color rgb="FFB7862C"/>
      <name val="Calibri"/>
      <charset val="1"/>
    </font>
    <font>
      <b/>
      <sz val="15"/>
      <color rgb="FF5B4B8A"/>
      <name val="Calibri"/>
      <charset val="1"/>
    </font>
    <font>
      <b/>
      <sz val="12"/>
      <color rgb="FF1F3864"/>
      <name val="Calibri"/>
      <charset val="1"/>
    </font>
    <font>
      <sz val="10.5"/>
      <color rgb="FF333333"/>
      <name val="Calibri"/>
      <charset val="1"/>
    </font>
    <font>
      <i/>
      <sz val="9"/>
      <color rgb="FFB7862C"/>
      <name val="Calibri"/>
      <charset val="1"/>
    </font>
    <font>
      <i/>
      <sz val="9"/>
      <color rgb="FF777777"/>
      <name val="Calibri"/>
      <charset val="1"/>
    </font>
    <font>
      <b/>
      <sz val="11"/>
      <color rgb="FFFFFFFF"/>
      <name val="Calibri"/>
      <charset val="1"/>
    </font>
    <font>
      <sz val="10.5"/>
      <name val="Calibri"/>
      <charset val="1"/>
    </font>
    <font>
      <b/>
      <sz val="11"/>
      <color rgb="FF1F3864"/>
      <name val="Calibri"/>
      <charset val="1"/>
    </font>
    <font>
      <b/>
      <sz val="16"/>
      <color rgb="FF1F3864"/>
      <name val="Calibri"/>
      <charset val="1"/>
    </font>
    <font>
      <i/>
      <sz val="10"/>
      <color rgb="FF666666"/>
      <name val="Calibri"/>
      <charset val="1"/>
    </font>
    <font>
      <sz val="10.5"/>
      <color rgb="FFC0392B"/>
      <name val="Calibri"/>
      <charset val="1"/>
    </font>
    <font>
      <sz val="10.5"/>
      <color rgb="FF1E7B34"/>
      <name val="Calibri"/>
      <charset val="1"/>
    </font>
    <font>
      <b/>
      <sz val="12"/>
      <color rgb="FFFFFFFF"/>
      <name val="Calibri"/>
      <charset val="1"/>
    </font>
    <font>
      <sz val="11"/>
      <name val="Calibri"/>
    </font>
    <font>
      <b/>
      <sz val="9"/>
      <color rgb="FFFFFFFF"/>
      <name val="Calibri"/>
    </font>
    <font>
      <b/>
      <sz val="15"/>
      <color rgb="FF0F9D8B"/>
      <name val="Calibri"/>
    </font>
    <font>
      <b/>
      <sz val="15"/>
      <color rgb="FFC0392B"/>
      <name val="Calibri"/>
    </font>
    <font>
      <b/>
      <sz val="15"/>
      <color rgb="FF1E7B34"/>
      <name val="Calibri"/>
    </font>
    <font>
      <b/>
      <sz val="15"/>
      <color rgb="FFB7791F"/>
      <name val="Calibri"/>
    </font>
    <font>
      <b/>
      <sz val="16"/>
      <color rgb="FF1F3864"/>
      <name val="Calibri"/>
    </font>
    <font>
      <i/>
      <sz val="10"/>
      <color rgb="FF666666"/>
      <name val="Calibri"/>
    </font>
    <font>
      <b/>
      <sz val="15"/>
      <color rgb="FF1F3864"/>
      <name val="Calibri"/>
    </font>
    <font>
      <b/>
      <sz val="11"/>
      <color rgb="FFFFFFFF"/>
      <name val="Calibri"/>
    </font>
    <font>
      <sz val="10.5"/>
      <name val="Calibri"/>
    </font>
    <font>
      <sz val="10.5"/>
      <color rgb="FF1E7B34"/>
      <name val="Calibri"/>
    </font>
    <font>
      <b/>
      <sz val="10.5"/>
      <name val="Calibri"/>
    </font>
    <font>
      <b/>
      <sz val="10"/>
      <name val="Calibri"/>
    </font>
    <font>
      <i/>
      <sz val="9"/>
      <color rgb="FF666666"/>
      <name val="Calibri"/>
    </font>
    <font>
      <sz val="10"/>
      <color rgb="FF666666"/>
      <name val="Calibri"/>
    </font>
    <font>
      <sz val="9.5"/>
      <color rgb="FF666666"/>
      <name val="Calibri"/>
    </font>
    <font>
      <b/>
      <sz val="11"/>
      <color rgb="FF1F3864"/>
      <name val="Calibri"/>
    </font>
    <font>
      <b/>
      <sz val="10.5"/>
      <color rgb="FF1F3864"/>
      <name val="Calibri"/>
    </font>
    <font>
      <b/>
      <sz val="12"/>
      <color rgb="FF1F3864"/>
      <name val="Calibri"/>
    </font>
    <font>
      <b/>
      <sz val="16"/>
      <color rgb="FF1F3864"/>
      <name val="Calibri"/>
    </font>
    <font>
      <sz val="10"/>
      <color rgb="FF666666"/>
      <name val="Calibri"/>
    </font>
    <font>
      <b/>
      <sz val="11"/>
      <color rgb="FFFFFFFF"/>
      <name val="Calibri"/>
    </font>
    <font>
      <sz val="10"/>
      <name val="Calibri"/>
    </font>
    <font>
      <b/>
      <sz val="11"/>
      <color rgb="FF1F3864"/>
      <name val="Calibri"/>
    </font>
    <font>
      <i/>
      <sz val="10"/>
      <color rgb="FF666666"/>
      <name val="Calibri"/>
    </font>
    <font>
      <b/>
      <sz val="10"/>
      <color rgb="FF1F3864"/>
      <name val="Calibri"/>
    </font>
    <font>
      <b/>
      <sz val="9"/>
      <color rgb="FFFFFFFF"/>
      <name val="Calibri"/>
    </font>
    <font>
      <b/>
      <sz val="15"/>
      <color rgb="FF0F9D8B"/>
      <name val="Calibri"/>
    </font>
    <font>
      <b/>
      <sz val="15"/>
      <color rgb="FFC0392B"/>
      <name val="Calibri"/>
    </font>
    <font>
      <b/>
      <sz val="15"/>
      <color rgb="FF1E7B34"/>
      <name val="Calibri"/>
    </font>
    <font>
      <b/>
      <sz val="15"/>
      <color rgb="FFB7791F"/>
      <name val="Calibri"/>
    </font>
    <font>
      <b/>
      <sz val="18"/>
      <color rgb="FF1F3864"/>
      <name val="Calibri"/>
    </font>
    <font>
      <b/>
      <sz val="11"/>
      <color rgb="FF1F3864"/>
      <name val="Calibri"/>
    </font>
    <font>
      <b/>
      <sz val="10"/>
      <color rgb="FFC0392B"/>
      <name val="Calibri"/>
    </font>
    <font>
      <b/>
      <sz val="12"/>
      <color rgb="FFFFFFFF"/>
      <name val="Calibri"/>
    </font>
    <font>
      <b/>
      <sz val="11"/>
      <color rgb="FF666666"/>
      <name val="Calibri"/>
    </font>
    <font>
      <sz val="9"/>
      <color rgb="FF666666"/>
      <name val="Calibri"/>
    </font>
    <font>
      <b/>
      <sz val="9"/>
      <color rgb="FF666666"/>
      <name val="Calibri"/>
    </font>
    <font>
      <b/>
      <sz val="10"/>
      <color rgb="FFFFFFFF"/>
      <name val="Calibri"/>
    </font>
    <font>
      <i/>
      <sz val="9"/>
      <color rgb="FF666666"/>
      <name val="Calibri"/>
    </font>
    <font>
      <b/>
      <i/>
      <sz val="10"/>
      <color rgb="FF666666"/>
      <name val="Calibri"/>
    </font>
    <font>
      <b/>
      <sz val="24"/>
      <color rgb="FF1F3864"/>
      <name val="Calibri"/>
    </font>
    <font>
      <sz val="11"/>
      <color rgb="FF666666"/>
      <name val="Calibri"/>
    </font>
    <font>
      <b/>
      <sz val="11"/>
      <color rgb="FFFFFFFF"/>
      <name val="Calibri"/>
    </font>
    <font>
      <b/>
      <sz val="8"/>
      <color rgb="FFFFFFFF"/>
      <name val="Calibri"/>
    </font>
    <font>
      <b/>
      <sz val="13"/>
      <color rgb="FF0F9D8B"/>
      <name val="Calibri"/>
    </font>
    <font>
      <b/>
      <sz val="13"/>
      <color rgb="FFC0392B"/>
      <name val="Calibri"/>
    </font>
    <font>
      <b/>
      <sz val="13"/>
      <color rgb="FF1E7B34"/>
      <name val="Calibri"/>
    </font>
    <font>
      <b/>
      <sz val="13"/>
      <color rgb="FFB7791F"/>
      <name val="Calibri"/>
    </font>
    <font>
      <b/>
      <sz val="13"/>
      <color rgb="FF1F3864"/>
      <name val="Calibri"/>
    </font>
    <font>
      <b/>
      <u/>
      <sz val="11"/>
      <color rgb="FF0563C1"/>
      <name val="Calibri"/>
    </font>
    <font>
      <b/>
      <u/>
      <sz val="9"/>
      <color rgb="FF0563C1"/>
      <name val="Calibri"/>
    </font>
    <font>
      <i/>
      <sz val="10"/>
      <color rgb="FFB7791F"/>
      <name val="Calibri"/>
    </font>
    <font>
      <b/>
      <i/>
      <sz val="10"/>
      <color rgb="FFB7791F"/>
      <name val="Calibri"/>
    </font>
  </fonts>
  <fills count="24">
    <fill>
      <patternFill patternType="none"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1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9"/>
  </cellStyleXfs>
  <cellXfs count="238">
    <xf numFmtId="0" fontId="0" fillId="0" borderId="0" xfId="0" applyBorder="1"/>
    <xf numFmtId="0" fontId="13" fillId="8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/>
    </xf>
    <xf numFmtId="164" fontId="14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4" fillId="9" borderId="1" xfId="0" applyFont="1" applyFill="1" applyBorder="1" applyAlignment="1">
      <alignment horizontal="left"/>
    </xf>
    <xf numFmtId="164" fontId="14" fillId="9" borderId="1" xfId="0" applyNumberFormat="1" applyFont="1" applyFill="1" applyBorder="1" applyAlignment="1">
      <alignment horizontal="center" vertical="center"/>
    </xf>
    <xf numFmtId="165" fontId="14" fillId="9" borderId="1" xfId="0" applyNumberFormat="1" applyFont="1" applyFill="1" applyBorder="1" applyAlignment="1">
      <alignment horizontal="center" vertical="center"/>
    </xf>
    <xf numFmtId="164" fontId="15" fillId="10" borderId="1" xfId="0" applyNumberFormat="1" applyFont="1" applyFill="1" applyBorder="1"/>
    <xf numFmtId="165" fontId="15" fillId="10" borderId="1" xfId="0" applyNumberFormat="1" applyFont="1" applyFill="1" applyBorder="1"/>
    <xf numFmtId="0" fontId="14" fillId="0" borderId="1" xfId="0" applyFont="1" applyBorder="1"/>
    <xf numFmtId="164" fontId="14" fillId="0" borderId="1" xfId="0" applyNumberFormat="1" applyFont="1" applyBorder="1"/>
    <xf numFmtId="165" fontId="14" fillId="0" borderId="1" xfId="0" applyNumberFormat="1" applyFont="1" applyBorder="1"/>
    <xf numFmtId="0" fontId="14" fillId="9" borderId="1" xfId="0" applyFont="1" applyFill="1" applyBorder="1"/>
    <xf numFmtId="164" fontId="14" fillId="9" borderId="1" xfId="0" applyNumberFormat="1" applyFont="1" applyFill="1" applyBorder="1"/>
    <xf numFmtId="165" fontId="14" fillId="9" borderId="1" xfId="0" applyNumberFormat="1" applyFont="1" applyFill="1" applyBorder="1"/>
    <xf numFmtId="165" fontId="0" fillId="10" borderId="1" xfId="0" applyNumberFormat="1" applyFill="1" applyBorder="1"/>
    <xf numFmtId="14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164" fontId="14" fillId="0" borderId="1" xfId="0" applyNumberFormat="1" applyFont="1" applyBorder="1" applyAlignment="1">
      <alignment horizontal="right" vertical="center"/>
    </xf>
    <xf numFmtId="164" fontId="18" fillId="0" borderId="1" xfId="0" applyNumberFormat="1" applyFont="1" applyBorder="1" applyAlignment="1">
      <alignment horizontal="right" vertical="center"/>
    </xf>
    <xf numFmtId="0" fontId="14" fillId="0" borderId="1" xfId="0" applyFont="1" applyBorder="1" applyAlignment="1">
      <alignment horizontal="center" vertical="center"/>
    </xf>
    <xf numFmtId="14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left" vertical="center"/>
    </xf>
    <xf numFmtId="164" fontId="19" fillId="9" borderId="1" xfId="0" applyNumberFormat="1" applyFont="1" applyFill="1" applyBorder="1" applyAlignment="1">
      <alignment horizontal="right" vertical="center"/>
    </xf>
    <xf numFmtId="164" fontId="14" fillId="9" borderId="1" xfId="0" applyNumberFormat="1" applyFont="1" applyFill="1" applyBorder="1" applyAlignment="1">
      <alignment horizontal="right" vertical="center"/>
    </xf>
    <xf numFmtId="0" fontId="14" fillId="9" borderId="1" xfId="0" applyFont="1" applyFill="1" applyBorder="1" applyAlignment="1">
      <alignment horizontal="center" vertical="center"/>
    </xf>
    <xf numFmtId="164" fontId="19" fillId="0" borderId="1" xfId="0" applyNumberFormat="1" applyFont="1" applyBorder="1" applyAlignment="1">
      <alignment horizontal="right" vertical="center"/>
    </xf>
    <xf numFmtId="164" fontId="18" fillId="9" borderId="1" xfId="0" applyNumberFormat="1" applyFont="1" applyFill="1" applyBorder="1" applyAlignment="1">
      <alignment horizontal="right" vertical="center"/>
    </xf>
    <xf numFmtId="0" fontId="0" fillId="10" borderId="1" xfId="0" applyFill="1" applyBorder="1"/>
    <xf numFmtId="0" fontId="0" fillId="2" borderId="0" xfId="0" applyFill="1" applyBorder="1"/>
    <xf numFmtId="0" fontId="21" fillId="0" borderId="0" xfId="0" applyFont="1" applyBorder="1"/>
    <xf numFmtId="164" fontId="0" fillId="0" borderId="0" xfId="0" applyNumberFormat="1" applyBorder="1"/>
    <xf numFmtId="0" fontId="30" fillId="16" borderId="6" xfId="0" applyFont="1" applyFill="1" applyBorder="1" applyAlignment="1">
      <alignment horizontal="center" vertical="center"/>
    </xf>
    <xf numFmtId="0" fontId="31" fillId="0" borderId="6" xfId="0" applyFont="1" applyBorder="1" applyAlignment="1">
      <alignment horizontal="left" vertical="center"/>
    </xf>
    <xf numFmtId="164" fontId="32" fillId="0" borderId="6" xfId="0" applyNumberFormat="1" applyFont="1" applyBorder="1" applyAlignment="1">
      <alignment horizontal="right" vertical="center"/>
    </xf>
    <xf numFmtId="0" fontId="33" fillId="0" borderId="6" xfId="0" applyFont="1" applyBorder="1" applyAlignment="1">
      <alignment horizontal="center" vertical="center"/>
    </xf>
    <xf numFmtId="0" fontId="31" fillId="17" borderId="6" xfId="0" applyFont="1" applyFill="1" applyBorder="1" applyAlignment="1">
      <alignment horizontal="left" vertical="center"/>
    </xf>
    <xf numFmtId="164" fontId="32" fillId="17" borderId="6" xfId="0" applyNumberFormat="1" applyFont="1" applyFill="1" applyBorder="1" applyAlignment="1">
      <alignment horizontal="right" vertical="center"/>
    </xf>
    <xf numFmtId="0" fontId="33" fillId="17" borderId="6" xfId="0" applyFont="1" applyFill="1" applyBorder="1" applyAlignment="1">
      <alignment horizontal="center" vertical="center"/>
    </xf>
    <xf numFmtId="14" fontId="31" fillId="0" borderId="6" xfId="0" applyNumberFormat="1" applyFont="1" applyBorder="1" applyAlignment="1">
      <alignment horizontal="center" vertical="center"/>
    </xf>
    <xf numFmtId="14" fontId="31" fillId="17" borderId="6" xfId="0" applyNumberFormat="1" applyFont="1" applyFill="1" applyBorder="1" applyAlignment="1">
      <alignment horizontal="center" vertical="center"/>
    </xf>
    <xf numFmtId="0" fontId="15" fillId="10" borderId="1" xfId="0" applyFont="1" applyFill="1" applyBorder="1"/>
    <xf numFmtId="0" fontId="15" fillId="10" borderId="1" xfId="0" applyFont="1" applyFill="1" applyBorder="1" applyAlignment="1">
      <alignment horizontal="right"/>
    </xf>
    <xf numFmtId="14" fontId="14" fillId="17" borderId="1" xfId="0" applyNumberFormat="1" applyFont="1" applyFill="1" applyBorder="1" applyAlignment="1">
      <alignment horizontal="center" vertical="center"/>
    </xf>
    <xf numFmtId="0" fontId="14" fillId="17" borderId="1" xfId="0" applyFont="1" applyFill="1" applyBorder="1" applyAlignment="1">
      <alignment horizontal="left" vertical="center"/>
    </xf>
    <xf numFmtId="164" fontId="32" fillId="17" borderId="1" xfId="0" applyNumberFormat="1" applyFont="1" applyFill="1" applyBorder="1" applyAlignment="1">
      <alignment horizontal="right" vertical="center"/>
    </xf>
    <xf numFmtId="164" fontId="14" fillId="17" borderId="1" xfId="0" applyNumberFormat="1" applyFont="1" applyFill="1" applyBorder="1" applyAlignment="1">
      <alignment horizontal="right" vertical="center"/>
    </xf>
    <xf numFmtId="164" fontId="18" fillId="17" borderId="1" xfId="0" applyNumberFormat="1" applyFont="1" applyFill="1" applyBorder="1" applyAlignment="1">
      <alignment horizontal="right" vertical="center"/>
    </xf>
    <xf numFmtId="0" fontId="14" fillId="17" borderId="1" xfId="0" applyFont="1" applyFill="1" applyBorder="1" applyAlignment="1">
      <alignment horizontal="center" vertical="center"/>
    </xf>
    <xf numFmtId="164" fontId="19" fillId="17" borderId="1" xfId="0" applyNumberFormat="1" applyFont="1" applyFill="1" applyBorder="1" applyAlignment="1">
      <alignment horizontal="right" vertical="center"/>
    </xf>
    <xf numFmtId="0" fontId="30" fillId="16" borderId="7" xfId="0" applyFont="1" applyFill="1" applyBorder="1" applyAlignment="1">
      <alignment horizontal="center" vertical="center" wrapText="1"/>
    </xf>
    <xf numFmtId="0" fontId="31" fillId="0" borderId="7" xfId="0" applyFont="1" applyBorder="1"/>
    <xf numFmtId="0" fontId="31" fillId="18" borderId="7" xfId="0" applyFont="1" applyFill="1" applyBorder="1"/>
    <xf numFmtId="0" fontId="31" fillId="17" borderId="7" xfId="0" applyFont="1" applyFill="1" applyBorder="1"/>
    <xf numFmtId="164" fontId="31" fillId="0" borderId="7" xfId="0" applyNumberFormat="1" applyFont="1" applyBorder="1"/>
    <xf numFmtId="0" fontId="31" fillId="0" borderId="7" xfId="0" applyFont="1" applyBorder="1" applyAlignment="1">
      <alignment horizontal="center"/>
    </xf>
    <xf numFmtId="164" fontId="31" fillId="17" borderId="7" xfId="0" applyNumberFormat="1" applyFont="1" applyFill="1" applyBorder="1"/>
    <xf numFmtId="0" fontId="31" fillId="17" borderId="7" xfId="0" applyFont="1" applyFill="1" applyBorder="1" applyAlignment="1">
      <alignment horizontal="center"/>
    </xf>
    <xf numFmtId="0" fontId="38" fillId="19" borderId="7" xfId="0" applyFont="1" applyFill="1" applyBorder="1"/>
    <xf numFmtId="164" fontId="38" fillId="19" borderId="7" xfId="0" applyNumberFormat="1" applyFont="1" applyFill="1" applyBorder="1"/>
    <xf numFmtId="0" fontId="39" fillId="0" borderId="7" xfId="0" applyFont="1" applyBorder="1"/>
    <xf numFmtId="164" fontId="39" fillId="0" borderId="7" xfId="0" applyNumberFormat="1" applyFont="1" applyBorder="1"/>
    <xf numFmtId="165" fontId="31" fillId="0" borderId="7" xfId="0" applyNumberFormat="1" applyFont="1" applyBorder="1"/>
    <xf numFmtId="165" fontId="31" fillId="17" borderId="7" xfId="0" applyNumberFormat="1" applyFont="1" applyFill="1" applyBorder="1"/>
    <xf numFmtId="164" fontId="31" fillId="18" borderId="7" xfId="0" applyNumberFormat="1" applyFont="1" applyFill="1" applyBorder="1"/>
    <xf numFmtId="0" fontId="40" fillId="0" borderId="0" xfId="0" applyFont="1" applyBorder="1"/>
    <xf numFmtId="164" fontId="39" fillId="17" borderId="7" xfId="0" applyNumberFormat="1" applyFont="1" applyFill="1" applyBorder="1"/>
    <xf numFmtId="0" fontId="38" fillId="19" borderId="7" xfId="0" applyFont="1" applyFill="1" applyBorder="1" applyAlignment="1">
      <alignment horizontal="center"/>
    </xf>
    <xf numFmtId="165" fontId="31" fillId="18" borderId="7" xfId="0" applyNumberFormat="1" applyFont="1" applyFill="1" applyBorder="1"/>
    <xf numFmtId="1" fontId="31" fillId="18" borderId="7" xfId="0" applyNumberFormat="1" applyFont="1" applyFill="1" applyBorder="1"/>
    <xf numFmtId="165" fontId="39" fillId="0" borderId="7" xfId="0" applyNumberFormat="1" applyFont="1" applyBorder="1"/>
    <xf numFmtId="165" fontId="38" fillId="19" borderId="7" xfId="0" applyNumberFormat="1" applyFont="1" applyFill="1" applyBorder="1"/>
    <xf numFmtId="14" fontId="31" fillId="17" borderId="7" xfId="0" applyNumberFormat="1" applyFont="1" applyFill="1" applyBorder="1"/>
    <xf numFmtId="14" fontId="31" fillId="0" borderId="7" xfId="0" applyNumberFormat="1" applyFont="1" applyBorder="1"/>
    <xf numFmtId="166" fontId="31" fillId="0" borderId="7" xfId="0" applyNumberFormat="1" applyFont="1" applyBorder="1"/>
    <xf numFmtId="0" fontId="43" fillId="16" borderId="0" xfId="0" applyFont="1" applyFill="1" applyBorder="1" applyAlignment="1">
      <alignment horizontal="center" vertical="center" wrapText="1"/>
    </xf>
    <xf numFmtId="14" fontId="44" fillId="0" borderId="8" xfId="0" applyNumberFormat="1" applyFont="1" applyBorder="1" applyAlignment="1">
      <alignment horizontal="center"/>
    </xf>
    <xf numFmtId="0" fontId="44" fillId="0" borderId="8" xfId="0" applyFont="1" applyBorder="1"/>
    <xf numFmtId="164" fontId="44" fillId="0" borderId="8" xfId="0" applyNumberFormat="1" applyFont="1" applyBorder="1" applyAlignment="1">
      <alignment horizontal="right"/>
    </xf>
    <xf numFmtId="164" fontId="44" fillId="0" borderId="8" xfId="0" applyNumberFormat="1" applyFont="1" applyBorder="1"/>
    <xf numFmtId="14" fontId="44" fillId="17" borderId="8" xfId="0" applyNumberFormat="1" applyFont="1" applyFill="1" applyBorder="1" applyAlignment="1">
      <alignment horizontal="center"/>
    </xf>
    <xf numFmtId="0" fontId="44" fillId="17" borderId="8" xfId="0" applyFont="1" applyFill="1" applyBorder="1"/>
    <xf numFmtId="164" fontId="44" fillId="17" borderId="8" xfId="0" applyNumberFormat="1" applyFont="1" applyFill="1" applyBorder="1" applyAlignment="1">
      <alignment horizontal="right"/>
    </xf>
    <xf numFmtId="0" fontId="46" fillId="0" borderId="8" xfId="0" applyFont="1" applyBorder="1"/>
    <xf numFmtId="164" fontId="46" fillId="0" borderId="8" xfId="0" applyNumberFormat="1" applyFont="1" applyBorder="1"/>
    <xf numFmtId="0" fontId="47" fillId="19" borderId="8" xfId="0" applyFont="1" applyFill="1" applyBorder="1"/>
    <xf numFmtId="164" fontId="47" fillId="19" borderId="8" xfId="0" applyNumberFormat="1" applyFont="1" applyFill="1" applyBorder="1"/>
    <xf numFmtId="0" fontId="46" fillId="12" borderId="8" xfId="0" applyFont="1" applyFill="1" applyBorder="1"/>
    <xf numFmtId="164" fontId="46" fillId="12" borderId="8" xfId="0" applyNumberFormat="1" applyFont="1" applyFill="1" applyBorder="1"/>
    <xf numFmtId="0" fontId="45" fillId="19" borderId="8" xfId="0" applyFont="1" applyFill="1" applyBorder="1"/>
    <xf numFmtId="164" fontId="45" fillId="19" borderId="8" xfId="0" applyNumberFormat="1" applyFont="1" applyFill="1" applyBorder="1"/>
    <xf numFmtId="0" fontId="43" fillId="11" borderId="8" xfId="0" applyFont="1" applyFill="1" applyBorder="1"/>
    <xf numFmtId="164" fontId="43" fillId="11" borderId="8" xfId="0" applyNumberFormat="1" applyFont="1" applyFill="1" applyBorder="1"/>
    <xf numFmtId="0" fontId="47" fillId="0" borderId="0" xfId="0" applyFont="1" applyBorder="1" applyAlignment="1">
      <alignment horizontal="center"/>
    </xf>
    <xf numFmtId="0" fontId="54" fillId="19" borderId="8" xfId="0" applyFont="1" applyFill="1" applyBorder="1" applyAlignment="1">
      <alignment horizontal="left" vertical="center"/>
    </xf>
    <xf numFmtId="164" fontId="54" fillId="19" borderId="8" xfId="0" applyNumberFormat="1" applyFont="1" applyFill="1" applyBorder="1" applyAlignment="1">
      <alignment horizontal="right" vertical="center"/>
    </xf>
    <xf numFmtId="0" fontId="44" fillId="0" borderId="8" xfId="0" applyFont="1" applyBorder="1" applyAlignment="1">
      <alignment horizontal="left" vertical="center"/>
    </xf>
    <xf numFmtId="164" fontId="44" fillId="0" borderId="8" xfId="0" applyNumberFormat="1" applyFont="1" applyBorder="1" applyAlignment="1">
      <alignment horizontal="right" vertical="center"/>
    </xf>
    <xf numFmtId="0" fontId="55" fillId="12" borderId="8" xfId="0" applyFont="1" applyFill="1" applyBorder="1" applyAlignment="1">
      <alignment horizontal="left" vertical="center"/>
    </xf>
    <xf numFmtId="164" fontId="55" fillId="12" borderId="8" xfId="0" applyNumberFormat="1" applyFont="1" applyFill="1" applyBorder="1" applyAlignment="1">
      <alignment horizontal="right" vertical="center"/>
    </xf>
    <xf numFmtId="0" fontId="46" fillId="0" borderId="8" xfId="0" applyFont="1" applyBorder="1" applyAlignment="1">
      <alignment horizontal="left" vertical="center"/>
    </xf>
    <xf numFmtId="165" fontId="46" fillId="0" borderId="8" xfId="0" applyNumberFormat="1" applyFont="1" applyBorder="1" applyAlignment="1">
      <alignment horizontal="right" vertical="center"/>
    </xf>
    <xf numFmtId="0" fontId="56" fillId="11" borderId="8" xfId="0" applyFont="1" applyFill="1" applyBorder="1" applyAlignment="1">
      <alignment horizontal="left" vertical="center"/>
    </xf>
    <xf numFmtId="164" fontId="56" fillId="11" borderId="8" xfId="0" applyNumberFormat="1" applyFont="1" applyFill="1" applyBorder="1" applyAlignment="1">
      <alignment horizontal="right" vertical="center"/>
    </xf>
    <xf numFmtId="0" fontId="57" fillId="0" borderId="9" xfId="0" applyFont="1" applyAlignment="1">
      <alignment horizontal="left" vertical="center"/>
    </xf>
    <xf numFmtId="164" fontId="57" fillId="0" borderId="9" xfId="0" applyNumberFormat="1" applyFont="1" applyAlignment="1">
      <alignment horizontal="right" vertical="center"/>
    </xf>
    <xf numFmtId="0" fontId="46" fillId="17" borderId="8" xfId="0" applyFont="1" applyFill="1" applyBorder="1" applyAlignment="1">
      <alignment horizontal="left" vertical="center"/>
    </xf>
    <xf numFmtId="164" fontId="46" fillId="17" borderId="8" xfId="0" applyNumberFormat="1" applyFont="1" applyFill="1" applyBorder="1" applyAlignment="1">
      <alignment horizontal="right" vertical="center"/>
    </xf>
    <xf numFmtId="164" fontId="31" fillId="18" borderId="8" xfId="0" applyNumberFormat="1" applyFont="1" applyFill="1" applyBorder="1"/>
    <xf numFmtId="1" fontId="31" fillId="18" borderId="8" xfId="0" applyNumberFormat="1" applyFont="1" applyFill="1" applyBorder="1"/>
    <xf numFmtId="0" fontId="60" fillId="16" borderId="0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/>
    </xf>
    <xf numFmtId="0" fontId="44" fillId="17" borderId="8" xfId="0" applyFont="1" applyFill="1" applyBorder="1" applyAlignment="1">
      <alignment horizontal="center"/>
    </xf>
    <xf numFmtId="14" fontId="47" fillId="19" borderId="8" xfId="0" applyNumberFormat="1" applyFont="1" applyFill="1" applyBorder="1" applyAlignment="1">
      <alignment horizontal="center"/>
    </xf>
    <xf numFmtId="164" fontId="47" fillId="19" borderId="8" xfId="0" applyNumberFormat="1" applyFont="1" applyFill="1" applyBorder="1" applyAlignment="1">
      <alignment horizontal="right"/>
    </xf>
    <xf numFmtId="0" fontId="47" fillId="19" borderId="8" xfId="0" applyFont="1" applyFill="1" applyBorder="1" applyAlignment="1">
      <alignment horizontal="center"/>
    </xf>
    <xf numFmtId="0" fontId="66" fillId="11" borderId="0" xfId="0" applyFont="1" applyFill="1" applyBorder="1" applyAlignment="1">
      <alignment horizontal="center" vertical="center" wrapText="1"/>
    </xf>
    <xf numFmtId="0" fontId="66" fillId="13" borderId="0" xfId="0" applyFont="1" applyFill="1" applyBorder="1" applyAlignment="1">
      <alignment horizontal="center" vertical="center" wrapText="1"/>
    </xf>
    <xf numFmtId="0" fontId="66" fillId="14" borderId="0" xfId="0" applyFont="1" applyFill="1" applyBorder="1" applyAlignment="1">
      <alignment horizontal="center" vertical="center" wrapText="1"/>
    </xf>
    <xf numFmtId="0" fontId="66" fillId="15" borderId="0" xfId="0" applyFont="1" applyFill="1" applyBorder="1" applyAlignment="1">
      <alignment horizontal="center" vertical="center" wrapText="1"/>
    </xf>
    <xf numFmtId="0" fontId="66" fillId="16" borderId="0" xfId="0" applyFont="1" applyFill="1" applyBorder="1" applyAlignment="1">
      <alignment horizontal="center" vertical="center" wrapText="1"/>
    </xf>
    <xf numFmtId="164" fontId="67" fillId="12" borderId="8" xfId="0" applyNumberFormat="1" applyFont="1" applyFill="1" applyBorder="1" applyAlignment="1">
      <alignment horizontal="center" vertical="center"/>
    </xf>
    <xf numFmtId="164" fontId="68" fillId="12" borderId="8" xfId="0" applyNumberFormat="1" applyFont="1" applyFill="1" applyBorder="1" applyAlignment="1">
      <alignment horizontal="center" vertical="center"/>
    </xf>
    <xf numFmtId="164" fontId="69" fillId="12" borderId="8" xfId="0" applyNumberFormat="1" applyFont="1" applyFill="1" applyBorder="1" applyAlignment="1">
      <alignment horizontal="center" vertical="center"/>
    </xf>
    <xf numFmtId="164" fontId="70" fillId="12" borderId="8" xfId="0" applyNumberFormat="1" applyFont="1" applyFill="1" applyBorder="1" applyAlignment="1">
      <alignment horizontal="center" vertical="center"/>
    </xf>
    <xf numFmtId="165" fontId="71" fillId="12" borderId="8" xfId="0" applyNumberFormat="1" applyFont="1" applyFill="1" applyBorder="1" applyAlignment="1">
      <alignment horizontal="center" vertical="center"/>
    </xf>
    <xf numFmtId="0" fontId="73" fillId="0" borderId="0" xfId="0" applyFont="1" applyBorder="1"/>
    <xf numFmtId="0" fontId="15" fillId="10" borderId="6" xfId="0" applyFont="1" applyFill="1" applyBorder="1"/>
    <xf numFmtId="0" fontId="35" fillId="0" borderId="0" xfId="0" applyFont="1" applyBorder="1"/>
    <xf numFmtId="0" fontId="39" fillId="0" borderId="0" xfId="0" applyFont="1" applyBorder="1"/>
    <xf numFmtId="0" fontId="37" fillId="0" borderId="0" xfId="0" applyFont="1" applyBorder="1"/>
    <xf numFmtId="164" fontId="20" fillId="2" borderId="0" xfId="0" applyNumberFormat="1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right"/>
    </xf>
    <xf numFmtId="164" fontId="32" fillId="0" borderId="1" xfId="0" applyNumberFormat="1" applyFont="1" applyBorder="1" applyAlignment="1">
      <alignment horizontal="right" vertical="center"/>
    </xf>
    <xf numFmtId="0" fontId="65" fillId="14" borderId="9" xfId="0" applyFont="1" applyFill="1" applyAlignment="1">
      <alignment vertical="center" indent="1"/>
    </xf>
    <xf numFmtId="0" fontId="65" fillId="22" borderId="9" xfId="0" applyFont="1" applyFill="1" applyAlignment="1">
      <alignment vertical="center" indent="1"/>
    </xf>
    <xf numFmtId="10" fontId="31" fillId="0" borderId="7" xfId="0" applyNumberFormat="1" applyFont="1" applyBorder="1"/>
    <xf numFmtId="10" fontId="31" fillId="17" borderId="7" xfId="0" applyNumberFormat="1" applyFont="1" applyFill="1" applyBorder="1"/>
    <xf numFmtId="0" fontId="74" fillId="23" borderId="8" xfId="0" applyFont="1" applyFill="1" applyBorder="1"/>
    <xf numFmtId="14" fontId="74" fillId="23" borderId="8" xfId="0" applyNumberFormat="1" applyFont="1" applyFill="1" applyBorder="1" applyAlignment="1">
      <alignment horizontal="center"/>
    </xf>
    <xf numFmtId="164" fontId="74" fillId="23" borderId="8" xfId="0" applyNumberFormat="1" applyFont="1" applyFill="1" applyBorder="1" applyAlignment="1">
      <alignment horizontal="right"/>
    </xf>
    <xf numFmtId="0" fontId="75" fillId="23" borderId="8" xfId="0" applyFont="1" applyFill="1" applyBorder="1" applyAlignment="1">
      <alignment horizontal="center"/>
    </xf>
    <xf numFmtId="0" fontId="74" fillId="23" borderId="8" xfId="0" applyFont="1" applyFill="1" applyBorder="1" applyAlignment="1">
      <alignment horizontal="center"/>
    </xf>
    <xf numFmtId="0" fontId="75" fillId="23" borderId="8" xfId="0" applyFont="1" applyFill="1" applyBorder="1"/>
    <xf numFmtId="14" fontId="75" fillId="23" borderId="8" xfId="0" applyNumberFormat="1" applyFont="1" applyFill="1" applyBorder="1" applyAlignment="1">
      <alignment horizontal="center"/>
    </xf>
    <xf numFmtId="164" fontId="75" fillId="23" borderId="8" xfId="0" applyNumberFormat="1" applyFont="1" applyFill="1" applyBorder="1" applyAlignment="1">
      <alignment horizontal="right"/>
    </xf>
    <xf numFmtId="0" fontId="0" fillId="0" borderId="0" xfId="0" applyBorder="1"/>
    <xf numFmtId="0" fontId="42" fillId="17" borderId="8" xfId="0" applyFont="1" applyFill="1" applyBorder="1" applyAlignment="1">
      <alignment vertical="center"/>
    </xf>
    <xf numFmtId="0" fontId="0" fillId="0" borderId="10" xfId="0" applyBorder="1"/>
    <xf numFmtId="0" fontId="0" fillId="0" borderId="3" xfId="0" applyBorder="1"/>
    <xf numFmtId="0" fontId="72" fillId="17" borderId="8" xfId="0" applyFont="1" applyFill="1" applyBorder="1" applyAlignment="1">
      <alignment vertical="center" indent="1"/>
    </xf>
    <xf numFmtId="0" fontId="72" fillId="20" borderId="8" xfId="0" applyFont="1" applyFill="1" applyBorder="1" applyAlignment="1">
      <alignment vertical="center" indent="1"/>
    </xf>
    <xf numFmtId="0" fontId="42" fillId="0" borderId="9" xfId="0" applyFont="1" applyAlignment="1">
      <alignment vertical="center" indent="1"/>
    </xf>
    <xf numFmtId="0" fontId="58" fillId="0" borderId="9" xfId="0" applyFont="1"/>
    <xf numFmtId="0" fontId="0" fillId="0" borderId="9" xfId="0"/>
    <xf numFmtId="0" fontId="63" fillId="0" borderId="9" xfId="0" applyFont="1"/>
    <xf numFmtId="0" fontId="0" fillId="0" borderId="0" xfId="0" applyBorder="1"/>
    <xf numFmtId="0" fontId="42" fillId="17" borderId="8" xfId="0" applyFont="1" applyFill="1" applyBorder="1" applyAlignment="1">
      <alignment vertical="center"/>
    </xf>
    <xf numFmtId="0" fontId="0" fillId="0" borderId="10" xfId="0" applyBorder="1"/>
    <xf numFmtId="0" fontId="0" fillId="0" borderId="3" xfId="0" applyBorder="1"/>
    <xf numFmtId="0" fontId="65" fillId="15" borderId="9" xfId="0" applyFont="1" applyFill="1" applyAlignment="1">
      <alignment vertical="center" indent="1"/>
    </xf>
    <xf numFmtId="0" fontId="42" fillId="20" borderId="8" xfId="0" applyFont="1" applyFill="1" applyBorder="1" applyAlignment="1">
      <alignment vertical="center"/>
    </xf>
    <xf numFmtId="0" fontId="65" fillId="16" borderId="9" xfId="0" applyFont="1" applyFill="1" applyAlignment="1">
      <alignment vertical="center" indent="1"/>
    </xf>
    <xf numFmtId="0" fontId="0" fillId="0" borderId="9" xfId="0"/>
    <xf numFmtId="0" fontId="65" fillId="21" borderId="9" xfId="0" applyFont="1" applyFill="1" applyAlignment="1">
      <alignment vertical="center" indent="1"/>
    </xf>
    <xf numFmtId="0" fontId="72" fillId="20" borderId="8" xfId="0" applyFont="1" applyFill="1" applyBorder="1" applyAlignment="1">
      <alignment vertical="center" indent="1"/>
    </xf>
    <xf numFmtId="0" fontId="42" fillId="0" borderId="9" xfId="0" applyFont="1" applyAlignment="1">
      <alignment vertical="center" indent="1"/>
    </xf>
    <xf numFmtId="0" fontId="64" fillId="0" borderId="9" xfId="0" applyFont="1"/>
    <xf numFmtId="0" fontId="54" fillId="0" borderId="9" xfId="0" applyFont="1"/>
    <xf numFmtId="0" fontId="11" fillId="0" borderId="9" xfId="0" applyFont="1" applyAlignment="1">
      <alignment vertical="top" wrapText="1"/>
    </xf>
    <xf numFmtId="0" fontId="12" fillId="0" borderId="9" xfId="0" applyFont="1" applyAlignment="1">
      <alignment vertical="top" wrapText="1"/>
    </xf>
    <xf numFmtId="164" fontId="4" fillId="7" borderId="8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  <xf numFmtId="0" fontId="0" fillId="0" borderId="5" xfId="0" applyBorder="1"/>
    <xf numFmtId="165" fontId="7" fillId="7" borderId="8" xfId="0" applyNumberFormat="1" applyFont="1" applyFill="1" applyBorder="1" applyAlignment="1">
      <alignment horizontal="center" vertical="center"/>
    </xf>
    <xf numFmtId="164" fontId="8" fillId="7" borderId="8" xfId="0" applyNumberFormat="1" applyFont="1" applyFill="1" applyBorder="1" applyAlignment="1">
      <alignment horizontal="center" vertical="center"/>
    </xf>
    <xf numFmtId="0" fontId="10" fillId="0" borderId="9" xfId="0" applyFont="1"/>
    <xf numFmtId="0" fontId="3" fillId="3" borderId="8" xfId="0" applyFont="1" applyFill="1" applyBorder="1" applyAlignment="1">
      <alignment horizontal="center" vertical="center" wrapText="1"/>
    </xf>
    <xf numFmtId="0" fontId="1" fillId="0" borderId="9" xfId="0" applyFont="1"/>
    <xf numFmtId="0" fontId="3" fillId="4" borderId="8" xfId="0" applyFont="1" applyFill="1" applyBorder="1" applyAlignment="1">
      <alignment horizontal="center" vertical="center" wrapText="1"/>
    </xf>
    <xf numFmtId="0" fontId="58" fillId="0" borderId="9" xfId="0" applyFont="1" applyAlignment="1">
      <alignment vertical="top" wrapText="1"/>
    </xf>
    <xf numFmtId="0" fontId="9" fillId="0" borderId="9" xfId="0" applyFont="1"/>
    <xf numFmtId="0" fontId="2" fillId="0" borderId="9" xfId="0" applyFont="1"/>
    <xf numFmtId="0" fontId="55" fillId="0" borderId="9" xfId="0" applyFont="1" applyAlignment="1">
      <alignment vertical="center" wrapText="1"/>
    </xf>
    <xf numFmtId="164" fontId="5" fillId="7" borderId="8" xfId="0" applyNumberFormat="1" applyFont="1" applyFill="1" applyBorder="1" applyAlignment="1">
      <alignment horizontal="center" vertical="center"/>
    </xf>
    <xf numFmtId="0" fontId="15" fillId="10" borderId="8" xfId="0" applyFont="1" applyFill="1" applyBorder="1"/>
    <xf numFmtId="164" fontId="6" fillId="7" borderId="8" xfId="0" applyNumberFormat="1" applyFont="1" applyFill="1" applyBorder="1" applyAlignment="1">
      <alignment horizontal="center" vertical="center"/>
    </xf>
    <xf numFmtId="164" fontId="50" fillId="12" borderId="9" xfId="0" applyNumberFormat="1" applyFont="1" applyFill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3" fillId="6" borderId="8" xfId="0" applyFont="1" applyFill="1" applyBorder="1" applyAlignment="1">
      <alignment horizontal="center" vertical="center" wrapText="1"/>
    </xf>
    <xf numFmtId="0" fontId="48" fillId="13" borderId="9" xfId="0" applyFont="1" applyFill="1" applyAlignment="1">
      <alignment horizontal="center" vertical="center" wrapText="1"/>
    </xf>
    <xf numFmtId="0" fontId="61" fillId="0" borderId="9" xfId="0" applyFont="1"/>
    <xf numFmtId="0" fontId="42" fillId="0" borderId="9" xfId="0" applyFont="1"/>
    <xf numFmtId="0" fontId="59" fillId="0" borderId="9" xfId="0" applyFont="1" applyAlignment="1">
      <alignment vertical="top" wrapText="1"/>
    </xf>
    <xf numFmtId="0" fontId="53" fillId="0" borderId="9" xfId="0" applyFont="1"/>
    <xf numFmtId="0" fontId="48" fillId="13" borderId="9" xfId="0" applyFont="1" applyFill="1" applyAlignment="1">
      <alignment horizontal="center" vertical="center"/>
    </xf>
    <xf numFmtId="0" fontId="48" fillId="14" borderId="9" xfId="0" applyFont="1" applyFill="1" applyAlignment="1">
      <alignment horizontal="center" vertical="center"/>
    </xf>
    <xf numFmtId="0" fontId="56" fillId="15" borderId="9" xfId="0" applyFont="1" applyFill="1" applyAlignment="1">
      <alignment horizontal="left" vertical="center" indent="1"/>
    </xf>
    <xf numFmtId="0" fontId="56" fillId="13" borderId="9" xfId="0" applyFont="1" applyFill="1" applyAlignment="1">
      <alignment horizontal="left" vertical="center" indent="1"/>
    </xf>
    <xf numFmtId="0" fontId="62" fillId="12" borderId="8" xfId="0" applyFont="1" applyFill="1" applyBorder="1"/>
    <xf numFmtId="0" fontId="58" fillId="0" borderId="9" xfId="0" applyFont="1"/>
    <xf numFmtId="164" fontId="52" fillId="12" borderId="9" xfId="0" applyNumberFormat="1" applyFont="1" applyFill="1" applyAlignment="1">
      <alignment horizontal="center" vertical="center"/>
    </xf>
    <xf numFmtId="164" fontId="51" fillId="12" borderId="9" xfId="0" applyNumberFormat="1" applyFont="1" applyFill="1" applyAlignment="1">
      <alignment horizontal="center" vertical="center"/>
    </xf>
    <xf numFmtId="0" fontId="48" fillId="15" borderId="9" xfId="0" applyFont="1" applyFill="1" applyAlignment="1">
      <alignment horizontal="center" vertical="center"/>
    </xf>
    <xf numFmtId="0" fontId="22" fillId="15" borderId="9" xfId="0" applyFont="1" applyFill="1" applyAlignment="1">
      <alignment horizontal="center" vertical="center"/>
    </xf>
    <xf numFmtId="0" fontId="22" fillId="16" borderId="9" xfId="0" applyFont="1" applyFill="1" applyAlignment="1">
      <alignment horizontal="center" vertical="center"/>
    </xf>
    <xf numFmtId="0" fontId="27" fillId="0" borderId="9" xfId="0" applyFont="1"/>
    <xf numFmtId="0" fontId="34" fillId="0" borderId="9" xfId="0" applyFont="1"/>
    <xf numFmtId="0" fontId="35" fillId="0" borderId="9" xfId="0" applyFont="1"/>
    <xf numFmtId="164" fontId="26" fillId="12" borderId="9" xfId="0" applyNumberFormat="1" applyFont="1" applyFill="1" applyAlignment="1">
      <alignment horizontal="center" vertical="center"/>
    </xf>
    <xf numFmtId="0" fontId="0" fillId="15" borderId="9" xfId="0" applyFill="1"/>
    <xf numFmtId="0" fontId="28" fillId="0" borderId="9" xfId="0" applyFont="1"/>
    <xf numFmtId="164" fontId="29" fillId="12" borderId="9" xfId="0" applyNumberFormat="1" applyFont="1" applyFill="1" applyAlignment="1">
      <alignment horizontal="center" vertical="center"/>
    </xf>
    <xf numFmtId="0" fontId="0" fillId="15" borderId="9" xfId="0" applyFill="1" applyAlignment="1">
      <alignment horizontal="center" vertical="center"/>
    </xf>
    <xf numFmtId="0" fontId="39" fillId="0" borderId="9" xfId="0" applyFont="1"/>
    <xf numFmtId="0" fontId="36" fillId="0" borderId="9" xfId="0" applyFont="1"/>
    <xf numFmtId="0" fontId="37" fillId="0" borderId="9" xfId="0" applyFont="1"/>
    <xf numFmtId="0" fontId="55" fillId="0" borderId="9" xfId="0" applyFont="1"/>
    <xf numFmtId="0" fontId="22" fillId="14" borderId="9" xfId="0" applyFont="1" applyFill="1" applyAlignment="1">
      <alignment horizontal="center" vertical="center"/>
    </xf>
    <xf numFmtId="0" fontId="13" fillId="8" borderId="9" xfId="0" applyFont="1" applyFill="1"/>
    <xf numFmtId="0" fontId="16" fillId="0" borderId="9" xfId="0" applyFont="1"/>
    <xf numFmtId="0" fontId="22" fillId="11" borderId="9" xfId="0" applyFont="1" applyFill="1" applyAlignment="1">
      <alignment horizontal="center" vertical="center"/>
    </xf>
    <xf numFmtId="164" fontId="20" fillId="2" borderId="9" xfId="0" applyNumberFormat="1" applyFont="1" applyFill="1" applyAlignment="1">
      <alignment horizontal="center" vertical="center"/>
    </xf>
    <xf numFmtId="0" fontId="13" fillId="2" borderId="9" xfId="0" applyFont="1" applyFill="1" applyAlignment="1">
      <alignment horizontal="right"/>
    </xf>
    <xf numFmtId="0" fontId="15" fillId="10" borderId="8" xfId="0" applyFont="1" applyFill="1" applyBorder="1" applyAlignment="1">
      <alignment horizontal="right"/>
    </xf>
    <xf numFmtId="0" fontId="17" fillId="0" borderId="9" xfId="0" applyFont="1"/>
    <xf numFmtId="164" fontId="23" fillId="12" borderId="9" xfId="0" applyNumberFormat="1" applyFont="1" applyFill="1" applyAlignment="1">
      <alignment horizontal="center" vertical="center"/>
    </xf>
    <xf numFmtId="164" fontId="25" fillId="12" borderId="9" xfId="0" applyNumberFormat="1" applyFont="1" applyFill="1" applyAlignment="1">
      <alignment horizontal="center" vertical="center"/>
    </xf>
    <xf numFmtId="164" fontId="24" fillId="12" borderId="9" xfId="0" applyNumberFormat="1" applyFont="1" applyFill="1" applyAlignment="1">
      <alignment horizontal="center" vertical="center"/>
    </xf>
    <xf numFmtId="0" fontId="22" fillId="13" borderId="9" xfId="0" applyFont="1" applyFill="1" applyAlignment="1">
      <alignment horizontal="center" vertical="center"/>
    </xf>
    <xf numFmtId="0" fontId="13" fillId="8" borderId="8" xfId="0" applyFont="1" applyFill="1" applyBorder="1" applyAlignment="1">
      <alignment horizontal="left" vertical="center"/>
    </xf>
    <xf numFmtId="0" fontId="41" fillId="0" borderId="9" xfId="0" applyFont="1"/>
    <xf numFmtId="0" fontId="43" fillId="16" borderId="9" xfId="0" applyFont="1" applyFill="1" applyAlignment="1">
      <alignment horizontal="center"/>
    </xf>
    <xf numFmtId="164" fontId="49" fillId="12" borderId="9" xfId="0" applyNumberFormat="1" applyFont="1" applyFill="1" applyAlignment="1">
      <alignment horizontal="center" vertical="center"/>
    </xf>
    <xf numFmtId="0" fontId="48" fillId="11" borderId="9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Dashboard!$B$23</c:f>
              <c:strCache>
                <c:ptCount val="1"/>
                <c:pt idx="0">
                  <c:v>Entradas (R$)</c:v>
                </c:pt>
              </c:strCache>
            </c:strRef>
          </c:tx>
          <c:spPr>
            <a:solidFill>
              <a:srgbClr val="0F9D8B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Dashboard!$A$24:$A$30</c:f>
              <c:strCache>
                <c:ptCount val="7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</c:strCache>
            </c:strRef>
          </c:cat>
          <c:val>
            <c:numRef>
              <c:f>Dashboard!$B$24:$B$30</c:f>
              <c:numCache>
                <c:formatCode>"R$ "#,##0.00</c:formatCode>
                <c:ptCount val="7"/>
                <c:pt idx="0">
                  <c:v>22694</c:v>
                </c:pt>
                <c:pt idx="1">
                  <c:v>24956.559999999998</c:v>
                </c:pt>
                <c:pt idx="2">
                  <c:v>27360</c:v>
                </c:pt>
                <c:pt idx="3">
                  <c:v>22291.989999999998</c:v>
                </c:pt>
                <c:pt idx="4">
                  <c:v>16232</c:v>
                </c:pt>
                <c:pt idx="5">
                  <c:v>18108</c:v>
                </c:pt>
                <c:pt idx="6">
                  <c:v>23849.43</c:v>
                </c:pt>
              </c:numCache>
            </c:numRef>
          </c:val>
        </c:ser>
        <c:ser>
          <c:idx val="1"/>
          <c:order val="1"/>
          <c:tx>
            <c:strRef>
              <c:f>Dashboard!$C$23</c:f>
              <c:strCache>
                <c:ptCount val="1"/>
                <c:pt idx="0">
                  <c:v>Saídas (R$)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Dashboard!$A$24:$A$30</c:f>
              <c:strCache>
                <c:ptCount val="7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</c:strCache>
            </c:strRef>
          </c:cat>
          <c:val>
            <c:numRef>
              <c:f>Dashboard!$C$24:$C$30</c:f>
              <c:numCache>
                <c:formatCode>"R$ "#,##0.00</c:formatCode>
                <c:ptCount val="7"/>
                <c:pt idx="0">
                  <c:v>23137.059999999998</c:v>
                </c:pt>
                <c:pt idx="1">
                  <c:v>20349.760000000002</c:v>
                </c:pt>
                <c:pt idx="2">
                  <c:v>21729.300000000003</c:v>
                </c:pt>
                <c:pt idx="3">
                  <c:v>16900.55</c:v>
                </c:pt>
                <c:pt idx="4">
                  <c:v>22268.27</c:v>
                </c:pt>
                <c:pt idx="5">
                  <c:v>22151.510000000002</c:v>
                </c:pt>
                <c:pt idx="6">
                  <c:v>22226.48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560538736"/>
        <c:axId val="-560537104"/>
      </c:barChart>
      <c:catAx>
        <c:axId val="-56053873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-560537104"/>
        <c:crosses val="autoZero"/>
        <c:auto val="1"/>
        <c:lblAlgn val="ctr"/>
        <c:lblOffset val="100"/>
        <c:noMultiLvlLbl val="0"/>
      </c:catAx>
      <c:valAx>
        <c:axId val="-5605371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&quot;R$ &quot;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-560538736"/>
        <c:crosses val="autoZero"/>
        <c:crossBetween val="between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Dashboard!$D$23</c:f>
              <c:strCache>
                <c:ptCount val="1"/>
                <c:pt idx="0">
                  <c:v>Lucro (R$)</c:v>
                </c:pt>
              </c:strCache>
            </c:strRef>
          </c:tx>
          <c:spPr>
            <a:ln w="24840">
              <a:solidFill>
                <a:srgbClr val="1F3864"/>
              </a:solidFill>
              <a:prstDash val="solid"/>
              <a:round/>
            </a:ln>
          </c:spPr>
          <c:marker>
            <c:symbol val="circle"/>
            <c:size val="7"/>
            <c:spPr>
              <a:solidFill>
                <a:srgbClr val="1F3864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Dashboard!$A$24:$A$30</c:f>
              <c:strCache>
                <c:ptCount val="7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</c:strCache>
            </c:strRef>
          </c:cat>
          <c:val>
            <c:numRef>
              <c:f>Dashboard!$D$24:$D$30</c:f>
              <c:numCache>
                <c:formatCode>"R$ "#,##0.00</c:formatCode>
                <c:ptCount val="7"/>
                <c:pt idx="0">
                  <c:v>-443.05999999999767</c:v>
                </c:pt>
                <c:pt idx="1">
                  <c:v>4606.7999999999956</c:v>
                </c:pt>
                <c:pt idx="2">
                  <c:v>5630.6999999999971</c:v>
                </c:pt>
                <c:pt idx="3">
                  <c:v>5391.4399999999987</c:v>
                </c:pt>
                <c:pt idx="4">
                  <c:v>-6036.27</c:v>
                </c:pt>
                <c:pt idx="5">
                  <c:v>-4043.510000000002</c:v>
                </c:pt>
                <c:pt idx="6">
                  <c:v>1622.9500000000007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-560538192"/>
        <c:axId val="-560527312"/>
      </c:lineChart>
      <c:catAx>
        <c:axId val="-56053819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-560527312"/>
        <c:crosses val="autoZero"/>
        <c:auto val="1"/>
        <c:lblAlgn val="ctr"/>
        <c:lblOffset val="100"/>
        <c:noMultiLvlLbl val="0"/>
      </c:catAx>
      <c:valAx>
        <c:axId val="-5605273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&quot;R$ &quot;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-560538192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Dashboard!$B$35</c:f>
              <c:strCache>
                <c:ptCount val="1"/>
                <c:pt idx="0">
                  <c:v>R$ 0,00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Dashboard!$A$36:$A$47</c:f>
              <c:strCache>
                <c:ptCount val="12"/>
                <c:pt idx="0">
                  <c:v>TOTAL / MÉDIA</c:v>
                </c:pt>
                <c:pt idx="3">
                  <c:v>Saídas por Categoria (Ano 2026)</c:v>
                </c:pt>
                <c:pt idx="4">
                  <c:v>Categoria</c:v>
                </c:pt>
                <c:pt idx="5">
                  <c:v>Fornecedores / Mercadoria</c:v>
                </c:pt>
                <c:pt idx="6">
                  <c:v>Aluguel</c:v>
                </c:pt>
                <c:pt idx="7">
                  <c:v>Água, Energia e Internet</c:v>
                </c:pt>
                <c:pt idx="8">
                  <c:v>Impostos e Taxas</c:v>
                </c:pt>
                <c:pt idx="9">
                  <c:v>Tarifas Bancárias e Cartão</c:v>
                </c:pt>
                <c:pt idx="10">
                  <c:v>Transporte e Entregas</c:v>
                </c:pt>
                <c:pt idx="11">
                  <c:v>Salários, Comissões e Encargos</c:v>
                </c:pt>
              </c:strCache>
            </c:strRef>
          </c:cat>
          <c:val>
            <c:numRef>
              <c:f>Dashboard!$B$36:$B$47</c:f>
              <c:numCache>
                <c:formatCode>General</c:formatCode>
                <c:ptCount val="12"/>
                <c:pt idx="0" formatCode="&quot;R$ &quot;#,##0.00">
                  <c:v>230631.81</c:v>
                </c:pt>
                <c:pt idx="4">
                  <c:v>0</c:v>
                </c:pt>
                <c:pt idx="5" formatCode="&quot;R$ &quot;#,##0.00">
                  <c:v>103478.76000000001</c:v>
                </c:pt>
                <c:pt idx="6" formatCode="&quot;R$ &quot;#,##0.00">
                  <c:v>8730</c:v>
                </c:pt>
                <c:pt idx="7" formatCode="&quot;R$ &quot;#,##0.00">
                  <c:v>1452.1000000000001</c:v>
                </c:pt>
                <c:pt idx="8" formatCode="&quot;R$ &quot;#,##0.00">
                  <c:v>35875.840000000004</c:v>
                </c:pt>
                <c:pt idx="9" formatCode="&quot;R$ &quot;#,##0.00">
                  <c:v>527.17999999999995</c:v>
                </c:pt>
                <c:pt idx="10" formatCode="&quot;R$ &quot;#,##0.00">
                  <c:v>6315.68</c:v>
                </c:pt>
                <c:pt idx="11" formatCode="&quot;R$ &quot;#,##0.00">
                  <c:v>28170.13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560535472"/>
        <c:axId val="-560534928"/>
      </c:barChart>
      <c:catAx>
        <c:axId val="-5605354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-560534928"/>
        <c:crosses val="autoZero"/>
        <c:auto val="1"/>
        <c:lblAlgn val="ctr"/>
        <c:lblOffset val="100"/>
        <c:noMultiLvlLbl val="0"/>
      </c:catAx>
      <c:valAx>
        <c:axId val="-56053492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numFmt formatCode="&quot;R$ &quot;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-560535472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69</xdr:row>
      <xdr:rowOff>0</xdr:rowOff>
    </xdr:from>
    <xdr:to>
      <xdr:col>5</xdr:col>
      <xdr:colOff>1168349</xdr:colOff>
      <xdr:row>86</xdr:row>
      <xdr:rowOff>1080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69</xdr:row>
      <xdr:rowOff>0</xdr:rowOff>
    </xdr:from>
    <xdr:to>
      <xdr:col>23</xdr:col>
      <xdr:colOff>2932</xdr:colOff>
      <xdr:row>86</xdr:row>
      <xdr:rowOff>1080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88</xdr:row>
      <xdr:rowOff>0</xdr:rowOff>
    </xdr:from>
    <xdr:to>
      <xdr:col>5</xdr:col>
      <xdr:colOff>1168349</xdr:colOff>
      <xdr:row>110</xdr:row>
      <xdr:rowOff>128520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864"/>
  </sheetPr>
  <dimension ref="A2:H51"/>
  <sheetViews>
    <sheetView showGridLines="0" topLeftCell="A32" zoomScale="85" zoomScaleNormal="85" workbookViewId="0">
      <selection activeCell="B47" sqref="B47:G47"/>
    </sheetView>
  </sheetViews>
  <sheetFormatPr defaultRowHeight="15"/>
  <cols>
    <col min="1" max="1" width="3" style="147" customWidth="1"/>
    <col min="2" max="2" width="34" style="147" customWidth="1"/>
    <col min="3" max="3" width="62" style="147" customWidth="1"/>
    <col min="4" max="7" width="20" style="147" customWidth="1"/>
    <col min="8" max="8" width="3" style="147" customWidth="1"/>
  </cols>
  <sheetData>
    <row r="2" spans="2:7" ht="32.1" customHeight="1">
      <c r="B2" s="156" t="s">
        <v>0</v>
      </c>
      <c r="C2" s="157"/>
      <c r="D2" s="157"/>
      <c r="E2" s="157"/>
      <c r="F2" s="157"/>
      <c r="G2" s="157"/>
    </row>
    <row r="3" spans="2:7">
      <c r="B3" s="168" t="s">
        <v>1</v>
      </c>
      <c r="C3" s="157"/>
      <c r="D3" s="157"/>
      <c r="E3" s="157"/>
      <c r="F3" s="157"/>
      <c r="G3" s="157"/>
    </row>
    <row r="5" spans="2:7" ht="21.95" customHeight="1">
      <c r="B5" s="163" t="s">
        <v>2</v>
      </c>
      <c r="C5" s="157"/>
      <c r="D5" s="157"/>
      <c r="E5" s="157"/>
      <c r="F5" s="157"/>
      <c r="G5" s="157"/>
    </row>
    <row r="6" spans="2:7" ht="26.1" customHeight="1">
      <c r="B6" s="117" t="s">
        <v>3</v>
      </c>
      <c r="C6" s="118" t="s">
        <v>4</v>
      </c>
      <c r="D6" s="119" t="s">
        <v>5</v>
      </c>
      <c r="E6" s="120" t="s">
        <v>6</v>
      </c>
      <c r="F6" s="118" t="s">
        <v>7</v>
      </c>
      <c r="G6" s="121" t="s">
        <v>8</v>
      </c>
    </row>
    <row r="7" spans="2:7" ht="30" customHeight="1">
      <c r="B7" s="122">
        <f>Dashboard!A5</f>
        <v>230631.81</v>
      </c>
      <c r="C7" s="123">
        <f>Dashboard!C5</f>
        <v>191530.90000000002</v>
      </c>
      <c r="D7" s="124">
        <f>Dashboard!E5</f>
        <v>39100.909999999989</v>
      </c>
      <c r="E7" s="125">
        <f>Dashboard!I5</f>
        <v>5063.45</v>
      </c>
      <c r="F7" s="123">
        <f>Dashboard!K5</f>
        <v>0</v>
      </c>
      <c r="G7" s="126">
        <f>Dashboard!G5</f>
        <v>0.16953823499022094</v>
      </c>
    </row>
    <row r="9" spans="2:7" ht="21.95" customHeight="1">
      <c r="B9" s="163" t="s">
        <v>9</v>
      </c>
      <c r="C9" s="157"/>
      <c r="D9" s="157"/>
      <c r="E9" s="157"/>
      <c r="F9" s="157"/>
      <c r="G9" s="157"/>
    </row>
    <row r="10" spans="2:7" ht="18.95" customHeight="1">
      <c r="B10" s="117" t="s">
        <v>10</v>
      </c>
      <c r="C10" s="118" t="s">
        <v>11</v>
      </c>
      <c r="D10" s="119" t="s">
        <v>12</v>
      </c>
      <c r="E10" s="120" t="s">
        <v>13</v>
      </c>
    </row>
    <row r="11" spans="2:7" ht="18.95" customHeight="1">
      <c r="B11" s="122">
        <f>'DRE Simplificado'!O22</f>
        <v>5098.1577777777784</v>
      </c>
      <c r="C11" s="123">
        <f>'DRE Simplificado'!O9</f>
        <v>16183.053333333335</v>
      </c>
      <c r="D11" s="124">
        <f>Dashboard!B53</f>
        <v>9408.630000000001</v>
      </c>
      <c r="E11" s="125">
        <f>'Ponto de Equilíbrio'!B10</f>
        <v>13835.460677921061</v>
      </c>
    </row>
    <row r="13" spans="2:7" ht="21.95" customHeight="1">
      <c r="B13" s="163" t="s">
        <v>14</v>
      </c>
      <c r="C13" s="157"/>
      <c r="D13" s="157"/>
      <c r="E13" s="157"/>
      <c r="F13" s="157"/>
      <c r="G13" s="157"/>
    </row>
    <row r="14" spans="2:7" ht="18.95" customHeight="1">
      <c r="B14" s="152" t="s">
        <v>15</v>
      </c>
      <c r="C14" s="162" t="s">
        <v>16</v>
      </c>
      <c r="D14" s="159"/>
      <c r="E14" s="159"/>
      <c r="F14" s="159"/>
      <c r="G14" s="160"/>
    </row>
    <row r="15" spans="2:7" ht="18.95" customHeight="1">
      <c r="B15" s="151" t="s">
        <v>17</v>
      </c>
      <c r="C15" s="158" t="s">
        <v>18</v>
      </c>
      <c r="D15" s="159"/>
      <c r="E15" s="159"/>
      <c r="F15" s="159"/>
      <c r="G15" s="160"/>
    </row>
    <row r="17" spans="2:7" ht="21.95" customHeight="1">
      <c r="B17" s="161" t="s">
        <v>19</v>
      </c>
      <c r="C17" s="157"/>
      <c r="D17" s="157"/>
      <c r="E17" s="157"/>
      <c r="F17" s="157"/>
      <c r="G17" s="157"/>
    </row>
    <row r="18" spans="2:7" ht="18.95" customHeight="1">
      <c r="B18" s="152" t="s">
        <v>20</v>
      </c>
      <c r="C18" s="162" t="s">
        <v>21</v>
      </c>
      <c r="D18" s="159"/>
      <c r="E18" s="159"/>
      <c r="F18" s="159"/>
      <c r="G18" s="160"/>
    </row>
    <row r="19" spans="2:7" ht="18.95" customHeight="1">
      <c r="B19" s="151" t="s">
        <v>22</v>
      </c>
      <c r="C19" s="158" t="s">
        <v>23</v>
      </c>
      <c r="D19" s="159"/>
      <c r="E19" s="159"/>
      <c r="F19" s="159"/>
      <c r="G19" s="160"/>
    </row>
    <row r="20" spans="2:7" ht="18.95" customHeight="1">
      <c r="C20" s="164"/>
      <c r="D20" s="157"/>
      <c r="E20" s="157"/>
      <c r="F20" s="157"/>
      <c r="G20" s="157"/>
    </row>
    <row r="21" spans="2:7" ht="18.95" customHeight="1">
      <c r="B21" s="135" t="s">
        <v>24</v>
      </c>
      <c r="C21" s="164"/>
      <c r="D21" s="157"/>
      <c r="E21" s="157"/>
      <c r="F21" s="157"/>
      <c r="G21" s="157"/>
    </row>
    <row r="22" spans="2:7" ht="18.95" customHeight="1">
      <c r="B22" s="152" t="s">
        <v>25</v>
      </c>
      <c r="C22" s="162" t="s">
        <v>26</v>
      </c>
      <c r="D22" s="159"/>
      <c r="E22" s="159"/>
      <c r="F22" s="159"/>
      <c r="G22" s="160"/>
    </row>
    <row r="23" spans="2:7">
      <c r="B23" s="151" t="s">
        <v>27</v>
      </c>
      <c r="C23" s="148" t="s">
        <v>28</v>
      </c>
      <c r="D23" s="149"/>
      <c r="E23" s="149"/>
      <c r="F23" s="149"/>
      <c r="G23" s="150"/>
    </row>
    <row r="24" spans="2:7" ht="21.95" customHeight="1">
      <c r="B24" s="166" t="s">
        <v>29</v>
      </c>
      <c r="C24" s="159"/>
      <c r="D24" s="159"/>
      <c r="E24" s="159"/>
      <c r="F24" s="159"/>
      <c r="G24" s="160"/>
    </row>
    <row r="25" spans="2:7" ht="18.95" customHeight="1">
      <c r="B25" s="151" t="s">
        <v>30</v>
      </c>
      <c r="C25" s="158" t="s">
        <v>31</v>
      </c>
      <c r="D25" s="159"/>
      <c r="E25" s="159"/>
      <c r="F25" s="159"/>
      <c r="G25" s="160"/>
    </row>
    <row r="26" spans="2:7" ht="18.95" customHeight="1">
      <c r="B26" s="152" t="s">
        <v>32</v>
      </c>
      <c r="C26" s="162" t="s">
        <v>33</v>
      </c>
      <c r="D26" s="159"/>
      <c r="E26" s="159"/>
      <c r="F26" s="159"/>
      <c r="G26" s="160"/>
    </row>
    <row r="28" spans="2:7" ht="21.95" customHeight="1">
      <c r="B28" s="165" t="s">
        <v>34</v>
      </c>
      <c r="C28" s="157"/>
      <c r="D28" s="157"/>
      <c r="E28" s="157"/>
      <c r="F28" s="157"/>
      <c r="G28" s="157"/>
    </row>
    <row r="29" spans="2:7" ht="18.95" customHeight="1">
      <c r="B29" s="152" t="s">
        <v>35</v>
      </c>
      <c r="C29" s="162" t="s">
        <v>36</v>
      </c>
      <c r="D29" s="159"/>
      <c r="E29" s="159"/>
      <c r="F29" s="159"/>
      <c r="G29" s="160"/>
    </row>
    <row r="30" spans="2:7" ht="18.95" customHeight="1">
      <c r="B30" s="151" t="s">
        <v>37</v>
      </c>
      <c r="C30" s="158" t="s">
        <v>38</v>
      </c>
      <c r="D30" s="159"/>
      <c r="E30" s="159"/>
      <c r="F30" s="159"/>
      <c r="G30" s="160"/>
    </row>
    <row r="31" spans="2:7" ht="18.95" customHeight="1">
      <c r="C31" s="164"/>
      <c r="D31" s="157"/>
      <c r="E31" s="157"/>
      <c r="F31" s="157"/>
      <c r="G31" s="157"/>
    </row>
    <row r="32" spans="2:7" ht="18.95" customHeight="1">
      <c r="B32" s="136" t="s">
        <v>39</v>
      </c>
      <c r="C32" s="164"/>
      <c r="D32" s="157"/>
      <c r="E32" s="157"/>
      <c r="F32" s="157"/>
      <c r="G32" s="157"/>
    </row>
    <row r="33" spans="2:7" ht="18.95" customHeight="1">
      <c r="B33" s="152" t="s">
        <v>40</v>
      </c>
      <c r="C33" s="162" t="s">
        <v>41</v>
      </c>
      <c r="D33" s="159"/>
      <c r="E33" s="159"/>
      <c r="F33" s="159"/>
      <c r="G33" s="160"/>
    </row>
    <row r="34" spans="2:7" ht="18.95" customHeight="1">
      <c r="B34" s="151" t="s">
        <v>42</v>
      </c>
      <c r="C34" s="158" t="s">
        <v>41</v>
      </c>
      <c r="D34" s="159"/>
      <c r="E34" s="159"/>
      <c r="F34" s="159"/>
      <c r="G34" s="160"/>
    </row>
    <row r="35" spans="2:7" ht="18.95" customHeight="1">
      <c r="B35" s="152" t="s">
        <v>43</v>
      </c>
      <c r="C35" s="162" t="s">
        <v>41</v>
      </c>
      <c r="D35" s="159"/>
      <c r="E35" s="159"/>
      <c r="F35" s="159"/>
      <c r="G35" s="160"/>
    </row>
    <row r="36" spans="2:7" ht="18.95" customHeight="1">
      <c r="B36" s="151" t="s">
        <v>44</v>
      </c>
      <c r="C36" s="158" t="s">
        <v>41</v>
      </c>
      <c r="D36" s="159"/>
      <c r="E36" s="159"/>
      <c r="F36" s="159"/>
      <c r="G36" s="160"/>
    </row>
    <row r="37" spans="2:7" ht="18.95" customHeight="1">
      <c r="B37" s="152" t="s">
        <v>45</v>
      </c>
      <c r="C37" s="162" t="s">
        <v>41</v>
      </c>
      <c r="D37" s="159"/>
      <c r="E37" s="159"/>
      <c r="F37" s="159"/>
      <c r="G37" s="160"/>
    </row>
    <row r="38" spans="2:7" ht="18.95" customHeight="1">
      <c r="B38" s="151" t="s">
        <v>46</v>
      </c>
      <c r="C38" s="158" t="s">
        <v>41</v>
      </c>
      <c r="D38" s="159"/>
      <c r="E38" s="159"/>
      <c r="F38" s="159"/>
      <c r="G38" s="160"/>
    </row>
    <row r="39" spans="2:7" ht="18.95" customHeight="1">
      <c r="B39" s="152" t="s">
        <v>47</v>
      </c>
      <c r="C39" s="162" t="s">
        <v>41</v>
      </c>
      <c r="D39" s="159"/>
      <c r="E39" s="159"/>
      <c r="F39" s="159"/>
      <c r="G39" s="160"/>
    </row>
    <row r="40" spans="2:7" ht="18.95" customHeight="1">
      <c r="B40" s="151" t="s">
        <v>48</v>
      </c>
      <c r="C40" s="158" t="s">
        <v>49</v>
      </c>
      <c r="D40" s="159"/>
      <c r="E40" s="159"/>
      <c r="F40" s="159"/>
      <c r="G40" s="160"/>
    </row>
    <row r="41" spans="2:7">
      <c r="B41" s="152" t="s">
        <v>50</v>
      </c>
      <c r="C41" s="162" t="s">
        <v>51</v>
      </c>
      <c r="D41" s="159"/>
      <c r="E41" s="159"/>
      <c r="F41" s="159"/>
      <c r="G41" s="160"/>
    </row>
    <row r="42" spans="2:7">
      <c r="B42" s="151" t="s">
        <v>52</v>
      </c>
      <c r="C42" s="158" t="s">
        <v>53</v>
      </c>
      <c r="D42" s="159"/>
      <c r="E42" s="159"/>
      <c r="F42" s="159"/>
      <c r="G42" s="160"/>
    </row>
    <row r="43" spans="2:7">
      <c r="B43" s="151" t="s">
        <v>54</v>
      </c>
      <c r="C43" s="158" t="s">
        <v>53</v>
      </c>
      <c r="D43" s="159"/>
      <c r="E43" s="159"/>
      <c r="F43" s="159"/>
      <c r="G43" s="160"/>
    </row>
    <row r="44" spans="2:7">
      <c r="B44" s="151" t="s">
        <v>55</v>
      </c>
      <c r="C44" s="158" t="s">
        <v>53</v>
      </c>
      <c r="D44" s="159"/>
      <c r="E44" s="159"/>
      <c r="F44" s="159"/>
      <c r="G44" s="160"/>
    </row>
    <row r="45" spans="2:7">
      <c r="B45" s="164"/>
      <c r="C45" s="157"/>
      <c r="D45" s="157"/>
      <c r="E45" s="157"/>
      <c r="F45" s="157"/>
      <c r="G45" s="157"/>
    </row>
    <row r="46" spans="2:7">
      <c r="B46" s="169" t="s">
        <v>56</v>
      </c>
      <c r="C46" s="157"/>
      <c r="D46" s="157"/>
      <c r="E46" s="157"/>
      <c r="F46" s="157"/>
      <c r="G46" s="157"/>
    </row>
    <row r="47" spans="2:7">
      <c r="B47" s="167" t="s">
        <v>57</v>
      </c>
      <c r="C47" s="157"/>
      <c r="D47" s="157"/>
      <c r="E47" s="157"/>
      <c r="F47" s="157"/>
      <c r="G47" s="157"/>
    </row>
    <row r="48" spans="2:7">
      <c r="B48" s="153" t="s">
        <v>58</v>
      </c>
    </row>
    <row r="49" spans="2:2">
      <c r="B49" s="153" t="s">
        <v>59</v>
      </c>
    </row>
    <row r="50" spans="2:2">
      <c r="B50" s="153" t="s">
        <v>60</v>
      </c>
    </row>
    <row r="51" spans="2:2">
      <c r="B51" s="153" t="s">
        <v>61</v>
      </c>
    </row>
  </sheetData>
  <mergeCells count="36">
    <mergeCell ref="B47:G47"/>
    <mergeCell ref="B3:G3"/>
    <mergeCell ref="B46:G46"/>
    <mergeCell ref="C32:G32"/>
    <mergeCell ref="C38:G38"/>
    <mergeCell ref="C19:G19"/>
    <mergeCell ref="C37:G37"/>
    <mergeCell ref="C18:G18"/>
    <mergeCell ref="C21:G21"/>
    <mergeCell ref="C43:G43"/>
    <mergeCell ref="B5:G5"/>
    <mergeCell ref="B45:G45"/>
    <mergeCell ref="C36:G36"/>
    <mergeCell ref="C39:G39"/>
    <mergeCell ref="C44:G44"/>
    <mergeCell ref="C41:G41"/>
    <mergeCell ref="C31:G31"/>
    <mergeCell ref="C22:G22"/>
    <mergeCell ref="C40:G40"/>
    <mergeCell ref="B24:G24"/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864"/>
  </sheetPr>
  <dimension ref="A1:N72"/>
  <sheetViews>
    <sheetView showGridLines="0" zoomScale="70" zoomScaleNormal="70" workbookViewId="0">
      <pane ySplit="3" topLeftCell="A16" activePane="bottomLeft" state="frozen"/>
      <selection pane="bottomLeft" sqref="A1:N1"/>
    </sheetView>
  </sheetViews>
  <sheetFormatPr defaultColWidth="8.7109375" defaultRowHeight="15"/>
  <cols>
    <col min="1" max="1" width="16" style="147" customWidth="1"/>
    <col min="2" max="2" width="40" style="147" customWidth="1"/>
    <col min="3" max="3" width="13.7109375" style="147" bestFit="1" customWidth="1"/>
    <col min="4" max="4" width="12" style="147" customWidth="1"/>
    <col min="5" max="5" width="14" style="147" customWidth="1"/>
    <col min="6" max="6" width="34" style="147" customWidth="1"/>
    <col min="7" max="8" width="14" style="147" customWidth="1"/>
    <col min="11" max="12" width="14" style="147" customWidth="1"/>
  </cols>
  <sheetData>
    <row r="1" spans="1:14" ht="30" customHeight="1">
      <c r="A1" s="180" t="s">
        <v>62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</row>
    <row r="2" spans="1:14">
      <c r="A2" s="184" t="s">
        <v>63</v>
      </c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</row>
    <row r="3" spans="1:14">
      <c r="A3" s="127" t="s">
        <v>64</v>
      </c>
    </row>
    <row r="4" spans="1:14" ht="25.5" customHeight="1">
      <c r="A4" s="190" t="s">
        <v>3</v>
      </c>
      <c r="B4" s="160"/>
      <c r="C4" s="179" t="s">
        <v>65</v>
      </c>
      <c r="D4" s="160"/>
      <c r="E4" s="181" t="s">
        <v>66</v>
      </c>
      <c r="F4" s="160"/>
      <c r="G4" s="191" t="s">
        <v>8</v>
      </c>
      <c r="H4" s="160"/>
      <c r="I4" s="192" t="s">
        <v>67</v>
      </c>
      <c r="J4" s="160"/>
      <c r="K4" s="193" t="s">
        <v>68</v>
      </c>
      <c r="L4" s="157"/>
    </row>
    <row r="5" spans="1:14" ht="19.5" customHeight="1">
      <c r="A5" s="172">
        <f>SUM(B24:B35)</f>
        <v>230631.81</v>
      </c>
      <c r="B5" s="173"/>
      <c r="C5" s="186">
        <f>SUM(C24:C35)</f>
        <v>191530.90000000002</v>
      </c>
      <c r="D5" s="173"/>
      <c r="E5" s="188">
        <f>SUM(D24:D35)</f>
        <v>39100.909999999989</v>
      </c>
      <c r="F5" s="173"/>
      <c r="G5" s="176">
        <f>IF(B36=0,0,D36/B36)</f>
        <v>0.16953823499022094</v>
      </c>
      <c r="H5" s="173"/>
      <c r="I5" s="177">
        <f>H46</f>
        <v>5063.45</v>
      </c>
      <c r="J5" s="173"/>
      <c r="K5" s="189">
        <f>'Capital de Giro (BB)'!C5</f>
        <v>0</v>
      </c>
      <c r="L5" s="157"/>
    </row>
    <row r="6" spans="1:14" ht="19.5" customHeight="1">
      <c r="A6" s="174"/>
      <c r="B6" s="175"/>
      <c r="C6" s="174"/>
      <c r="D6" s="175"/>
      <c r="E6" s="174"/>
      <c r="F6" s="175"/>
      <c r="G6" s="174"/>
      <c r="H6" s="175"/>
      <c r="I6" s="174"/>
      <c r="J6" s="175"/>
      <c r="K6" s="157"/>
      <c r="L6" s="157"/>
    </row>
    <row r="8" spans="1:14" ht="15.75" customHeight="1">
      <c r="A8" s="183" t="s">
        <v>69</v>
      </c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</row>
    <row r="9" spans="1:14">
      <c r="A9" s="178" t="str">
        <f>"Melhor mês em lucro: "&amp;INDEX(A24:A35,MATCH(MAX(D24:D35),D24:D35,0))&amp;" (lucro de "&amp;TEXT(MAX(D24:D35),"R$ #,##0.00")&amp;")"</f>
        <v>Melhor mês em lucro: Agosto (lucro de R$ 17871,75000)</v>
      </c>
      <c r="B9" s="157"/>
      <c r="C9" s="157"/>
      <c r="D9" s="157"/>
      <c r="E9" s="157"/>
      <c r="F9" s="157"/>
      <c r="G9" s="157"/>
      <c r="H9" s="157"/>
      <c r="I9" s="157"/>
      <c r="J9" s="157"/>
      <c r="K9" s="157"/>
      <c r="L9" s="157"/>
    </row>
    <row r="10" spans="1:14">
      <c r="A10" s="178" t="str">
        <f>"Mês mais fraco em lucro: "&amp;INDEX(A24:A35,MATCH(MIN(D24:D35),D24:D35,0))&amp;" (lucro de "&amp;TEXT(MIN(D24:D35),"R$ #,##0.00")&amp;")"</f>
        <v>Mês mais fraco em lucro: Maio (lucro de -R$ 6036,27000)</v>
      </c>
      <c r="B10" s="157"/>
      <c r="C10" s="157"/>
      <c r="D10" s="157"/>
      <c r="E10" s="157"/>
      <c r="F10" s="157"/>
      <c r="G10" s="157"/>
      <c r="H10" s="157"/>
      <c r="I10" s="157"/>
      <c r="J10" s="157"/>
      <c r="K10" s="157"/>
      <c r="L10" s="157"/>
    </row>
    <row r="11" spans="1:14">
      <c r="A11" s="178" t="str">
        <f>"Número de meses com prejuízo: "&amp;COUNTIF(D24:D35,"&lt;0")&amp;" de "&amp;COUNTIF(B24:B35,"&lt;&gt;0")&amp;" meses com dados"</f>
        <v>Número de meses com prejuízo: 3 de 9 meses com dados</v>
      </c>
      <c r="B11" s="157"/>
      <c r="C11" s="157"/>
      <c r="D11" s="157"/>
      <c r="E11" s="157"/>
      <c r="F11" s="157"/>
      <c r="G11" s="157"/>
      <c r="H11" s="157"/>
      <c r="I11" s="157"/>
      <c r="J11" s="157"/>
      <c r="K11" s="157"/>
      <c r="L11" s="157"/>
    </row>
    <row r="12" spans="1:14">
      <c r="A12" s="178" t="str">
        <f>"Total a receber (vendas pendentes Ago–Dez): "&amp;TEXT(H46,"R$ #,##0.00")</f>
        <v>Total a receber (vendas pendentes Ago–Dez): R$ 5063,45000</v>
      </c>
      <c r="B12" s="157"/>
      <c r="C12" s="157"/>
      <c r="D12" s="157"/>
      <c r="E12" s="157"/>
      <c r="F12" s="157"/>
      <c r="G12" s="157"/>
      <c r="H12" s="157"/>
      <c r="I12" s="157"/>
      <c r="J12" s="157"/>
      <c r="K12" s="157"/>
      <c r="L12" s="157"/>
    </row>
    <row r="13" spans="1:14" ht="30" customHeight="1">
      <c r="A13" s="185" t="str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>Atenção em Agosto: R$ ,000 de despesas da loja foram pagas com o empréstimo do Banco do Brasil e por isso NÃO entram nas Saídas acima. Sem esse alívio, o lucro de agosto seria R$ 17871,75000. Esse valor já foi devolvido integralmente.</v>
      </c>
      <c r="B13" s="157"/>
      <c r="C13" s="157"/>
      <c r="D13" s="157"/>
      <c r="E13" s="157"/>
      <c r="F13" s="157"/>
      <c r="G13" s="157"/>
      <c r="H13" s="157"/>
      <c r="I13" s="157"/>
      <c r="J13" s="157"/>
      <c r="K13" s="157"/>
      <c r="L13" s="157"/>
    </row>
    <row r="14" spans="1:14" ht="13.5" customHeight="1">
      <c r="A14" s="170" t="s">
        <v>70</v>
      </c>
      <c r="B14" s="157"/>
      <c r="C14" s="157"/>
      <c r="D14" s="157"/>
      <c r="E14" s="157"/>
      <c r="F14" s="157"/>
      <c r="G14" s="157"/>
      <c r="H14" s="157"/>
      <c r="I14" s="157"/>
      <c r="J14" s="157"/>
      <c r="K14" s="157"/>
      <c r="L14" s="157"/>
      <c r="M14" s="157"/>
    </row>
    <row r="15" spans="1:14" ht="25.5" customHeight="1">
      <c r="A15" s="171" t="s">
        <v>71</v>
      </c>
      <c r="B15" s="157"/>
      <c r="C15" s="157"/>
      <c r="D15" s="157"/>
      <c r="E15" s="157"/>
      <c r="F15" s="157"/>
      <c r="G15" s="157"/>
      <c r="H15" s="157"/>
      <c r="I15" s="157"/>
      <c r="J15" s="157"/>
      <c r="K15" s="157"/>
      <c r="L15" s="157"/>
      <c r="M15" s="157"/>
    </row>
    <row r="16" spans="1:14" ht="25.5" customHeight="1">
      <c r="A16" s="171" t="s">
        <v>72</v>
      </c>
      <c r="B16" s="157"/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</row>
    <row r="17" spans="1:13" ht="25.5" customHeight="1">
      <c r="A17" s="171" t="s">
        <v>73</v>
      </c>
      <c r="B17" s="157"/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</row>
    <row r="18" spans="1:13" ht="25.5" customHeight="1">
      <c r="A18" s="171" t="s">
        <v>74</v>
      </c>
      <c r="B18" s="157"/>
      <c r="C18" s="157"/>
      <c r="D18" s="157"/>
      <c r="E18" s="157"/>
      <c r="F18" s="157"/>
      <c r="G18" s="157"/>
      <c r="H18" s="157"/>
      <c r="I18" s="157"/>
      <c r="J18" s="157"/>
      <c r="K18" s="157"/>
      <c r="L18" s="157"/>
      <c r="M18" s="157"/>
    </row>
    <row r="19" spans="1:13" ht="26.1" customHeight="1">
      <c r="A19" s="182" t="s">
        <v>75</v>
      </c>
      <c r="B19" s="157"/>
      <c r="C19" s="157"/>
      <c r="D19" s="157"/>
      <c r="E19" s="157"/>
      <c r="F19" s="157"/>
      <c r="G19" s="157"/>
      <c r="H19" s="157"/>
      <c r="I19" s="157"/>
      <c r="J19" s="157"/>
      <c r="K19" s="157"/>
      <c r="L19" s="157"/>
      <c r="M19" s="157"/>
    </row>
    <row r="23" spans="1:13" ht="19.5" customHeight="1">
      <c r="A23" s="1" t="s">
        <v>76</v>
      </c>
      <c r="B23" s="1" t="s">
        <v>77</v>
      </c>
      <c r="C23" s="1" t="s">
        <v>78</v>
      </c>
      <c r="D23" s="1" t="s">
        <v>79</v>
      </c>
      <c r="E23" s="1" t="s">
        <v>80</v>
      </c>
    </row>
    <row r="24" spans="1:13">
      <c r="A24" s="2" t="s">
        <v>81</v>
      </c>
      <c r="B24" s="3">
        <f>'Jan 2026'!D133</f>
        <v>22694</v>
      </c>
      <c r="C24" s="3">
        <f>'Jan 2026'!J18</f>
        <v>23137.059999999998</v>
      </c>
      <c r="D24" s="3">
        <f t="shared" ref="D24:D35" si="0">B24-C24</f>
        <v>-443.05999999999767</v>
      </c>
      <c r="E24" s="4">
        <f t="shared" ref="E24:E36" si="1">IF(B24=0,0,D24/B24)</f>
        <v>-1.9523221997003511E-2</v>
      </c>
    </row>
    <row r="25" spans="1:13">
      <c r="A25" s="5" t="s">
        <v>82</v>
      </c>
      <c r="B25" s="6">
        <f>'Fev 2026'!D146</f>
        <v>24956.559999999998</v>
      </c>
      <c r="C25" s="6">
        <f>'Fev 2026'!J18</f>
        <v>20349.760000000002</v>
      </c>
      <c r="D25" s="6">
        <f t="shared" si="0"/>
        <v>4606.7999999999956</v>
      </c>
      <c r="E25" s="7">
        <f t="shared" si="1"/>
        <v>0.18459274835954939</v>
      </c>
    </row>
    <row r="26" spans="1:13">
      <c r="A26" s="2" t="s">
        <v>83</v>
      </c>
      <c r="B26" s="3">
        <f>'Mar 2026'!D122</f>
        <v>27360</v>
      </c>
      <c r="C26" s="3">
        <f>'Mar 2026'!J18</f>
        <v>21729.300000000003</v>
      </c>
      <c r="D26" s="3">
        <f t="shared" si="0"/>
        <v>5630.6999999999971</v>
      </c>
      <c r="E26" s="4">
        <f t="shared" si="1"/>
        <v>0.20580043859649111</v>
      </c>
    </row>
    <row r="27" spans="1:13">
      <c r="A27" s="5" t="s">
        <v>84</v>
      </c>
      <c r="B27" s="6">
        <f>'Abr 2026'!D124</f>
        <v>22291.989999999998</v>
      </c>
      <c r="C27" s="6">
        <f>'Abr 2026'!J18</f>
        <v>16900.55</v>
      </c>
      <c r="D27" s="6">
        <f t="shared" si="0"/>
        <v>5391.4399999999987</v>
      </c>
      <c r="E27" s="7">
        <f t="shared" si="1"/>
        <v>0.24185548261954179</v>
      </c>
    </row>
    <row r="28" spans="1:13">
      <c r="A28" s="2" t="s">
        <v>85</v>
      </c>
      <c r="B28" s="3">
        <f>'Mai 2026'!D123</f>
        <v>16232</v>
      </c>
      <c r="C28" s="3">
        <f>'Mai 2026'!J18</f>
        <v>22268.27</v>
      </c>
      <c r="D28" s="3">
        <f t="shared" si="0"/>
        <v>-6036.27</v>
      </c>
      <c r="E28" s="4">
        <f t="shared" si="1"/>
        <v>-0.37187469196648598</v>
      </c>
    </row>
    <row r="29" spans="1:13">
      <c r="A29" s="5" t="s">
        <v>86</v>
      </c>
      <c r="B29" s="6">
        <f>'Jun 2026'!D116</f>
        <v>18108</v>
      </c>
      <c r="C29" s="6">
        <f>'Jun 2026'!J18</f>
        <v>22151.510000000002</v>
      </c>
      <c r="D29" s="6">
        <f t="shared" si="0"/>
        <v>-4043.510000000002</v>
      </c>
      <c r="E29" s="7">
        <f t="shared" si="1"/>
        <v>-0.22329964656505424</v>
      </c>
    </row>
    <row r="30" spans="1:13">
      <c r="A30" s="2" t="s">
        <v>87</v>
      </c>
      <c r="B30" s="3">
        <f>'Jul 2026'!D111</f>
        <v>23849.43</v>
      </c>
      <c r="C30" s="3">
        <f>'Jul 2026'!J18</f>
        <v>22226.48</v>
      </c>
      <c r="D30" s="3">
        <f t="shared" si="0"/>
        <v>1622.9500000000007</v>
      </c>
      <c r="E30" s="4">
        <f t="shared" si="1"/>
        <v>6.8049844377832125E-2</v>
      </c>
    </row>
    <row r="31" spans="1:13">
      <c r="A31" s="5" t="s">
        <v>88</v>
      </c>
      <c r="B31" s="6">
        <f>SUMIF('Ago 2026'!E5:E500,"&lt;&gt;",'Ago 2026'!D5:D500)-SUMIF('Ago 2026'!E5:E500,"&lt;&gt;",'Ago 2026'!F5:F500)-SUMIF('Ago 2026'!E5:E500,"Aguardando Pagamento",'Ago 2026'!D5:D500)</f>
        <v>43899.159999999996</v>
      </c>
      <c r="C31" s="6">
        <f>'Ago 2026'!L18-'Ago 2026'!L19</f>
        <v>26027.410000000003</v>
      </c>
      <c r="D31" s="6">
        <f t="shared" si="0"/>
        <v>17871.749999999993</v>
      </c>
      <c r="E31" s="7">
        <f t="shared" si="1"/>
        <v>0.40710915653055763</v>
      </c>
    </row>
    <row r="32" spans="1:13">
      <c r="A32" s="2" t="s">
        <v>89</v>
      </c>
      <c r="B32" s="3">
        <f>SUMIF('Set 2026'!E5:E500,"&lt;&gt;",'Set 2026'!D5:D500)-SUMIF('Set 2026'!E5:E500,"&lt;&gt;",'Set 2026'!F5:F500)-SUMIF('Set 2026'!E5:E500,"Aguardando Pagamento",'Set 2026'!D5:D500)</f>
        <v>31240.670000000002</v>
      </c>
      <c r="C32" s="3">
        <f>'Set 2026'!L18-'Set 2026'!L19</f>
        <v>16740.560000000001</v>
      </c>
      <c r="D32" s="3">
        <f t="shared" si="0"/>
        <v>14500.11</v>
      </c>
      <c r="E32" s="4">
        <f t="shared" si="1"/>
        <v>0.46414209426366337</v>
      </c>
    </row>
    <row r="33" spans="1:8">
      <c r="A33" s="5" t="s">
        <v>90</v>
      </c>
      <c r="B33" s="6">
        <f>SUMIF('Out 2026'!E5:E500,"&lt;&gt;",'Out 2026'!D5:D500)-SUMIF('Out 2026'!E5:E500,"&lt;&gt;",'Out 2026'!F5:F500)-SUMIF('Out 2026'!E5:E500,"Aguardando Pagamento",'Out 2026'!D5:D500)</f>
        <v>0</v>
      </c>
      <c r="C33" s="6">
        <f>'Out 2026'!L18-'Out 2026'!L19</f>
        <v>0</v>
      </c>
      <c r="D33" s="6">
        <f t="shared" si="0"/>
        <v>0</v>
      </c>
      <c r="E33" s="7">
        <f t="shared" si="1"/>
        <v>0</v>
      </c>
    </row>
    <row r="34" spans="1:8" ht="15.75" customHeight="1">
      <c r="A34" s="2" t="s">
        <v>91</v>
      </c>
      <c r="B34" s="3">
        <f>SUMIF('Nov 2026'!E5:E500,"&lt;&gt;",'Nov 2026'!D5:D500)-SUMIF('Nov 2026'!E5:E500,"&lt;&gt;",'Nov 2026'!F5:F500)-SUMIF('Nov 2026'!E5:E500,"Aguardando Pagamento",'Nov 2026'!D5:D500)</f>
        <v>0</v>
      </c>
      <c r="C34" s="3">
        <f>'Nov 2026'!L18-'Nov 2026'!L19</f>
        <v>0</v>
      </c>
      <c r="D34" s="3">
        <f t="shared" si="0"/>
        <v>0</v>
      </c>
      <c r="E34" s="4">
        <f t="shared" si="1"/>
        <v>0</v>
      </c>
    </row>
    <row r="35" spans="1:8">
      <c r="A35" s="5" t="s">
        <v>92</v>
      </c>
      <c r="B35" s="6">
        <f>SUMIF('Dez 2026'!E5:E500,"&lt;&gt;",'Dez 2026'!D5:D500)-SUMIF('Dez 2026'!E5:E500,"&lt;&gt;",'Dez 2026'!F5:F500)-SUMIF('Dez 2026'!E5:E500,"Aguardando Pagamento",'Dez 2026'!D5:D500)</f>
        <v>0</v>
      </c>
      <c r="C35" s="6">
        <f>'Dez 2026'!L18-'Dez 2026'!L19</f>
        <v>0</v>
      </c>
      <c r="D35" s="6">
        <f t="shared" si="0"/>
        <v>0</v>
      </c>
      <c r="E35" s="7">
        <f t="shared" si="1"/>
        <v>0</v>
      </c>
    </row>
    <row r="36" spans="1:8">
      <c r="A36" s="42" t="s">
        <v>93</v>
      </c>
      <c r="B36" s="8">
        <f>SUM(B24:B35)</f>
        <v>230631.81</v>
      </c>
      <c r="C36" s="8">
        <f>SUM(C24:C35)</f>
        <v>191530.90000000002</v>
      </c>
      <c r="D36" s="8">
        <f>SUM(D24:D35)</f>
        <v>39100.909999999989</v>
      </c>
      <c r="E36" s="9">
        <f t="shared" si="1"/>
        <v>0.16953823499022094</v>
      </c>
    </row>
    <row r="39" spans="1:8" ht="15.75" customHeight="1">
      <c r="A39" s="183" t="s">
        <v>94</v>
      </c>
      <c r="B39" s="157"/>
      <c r="C39" s="157"/>
      <c r="F39" s="183" t="s">
        <v>95</v>
      </c>
      <c r="G39" s="157"/>
      <c r="H39" s="157"/>
    </row>
    <row r="40" spans="1:8">
      <c r="A40" s="1" t="s">
        <v>96</v>
      </c>
      <c r="B40" s="1" t="s">
        <v>97</v>
      </c>
      <c r="C40" s="1" t="s">
        <v>98</v>
      </c>
      <c r="F40" s="1" t="s">
        <v>76</v>
      </c>
      <c r="G40" s="1"/>
      <c r="H40" s="1" t="s">
        <v>97</v>
      </c>
    </row>
    <row r="41" spans="1:8">
      <c r="A41" s="10" t="s">
        <v>99</v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>103478.76000000001</v>
      </c>
      <c r="C41" s="12">
        <f t="shared" ref="C41:C53" si="2">IF($B$54=0,0,B41/$B$54)</f>
        <v>0.5402718830225306</v>
      </c>
      <c r="F41" s="10" t="s">
        <v>88</v>
      </c>
      <c r="G41" s="11"/>
      <c r="H41" s="11">
        <f>SUMIF('Ago 2026'!E5:E500,"Aguardando Pagamento",'Ago 2026'!D5:D500)</f>
        <v>420</v>
      </c>
    </row>
    <row r="42" spans="1:8">
      <c r="A42" s="13" t="s">
        <v>100</v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>8730</v>
      </c>
      <c r="C42" s="15">
        <f t="shared" si="2"/>
        <v>4.5580112660672502E-2</v>
      </c>
      <c r="F42" s="13" t="s">
        <v>89</v>
      </c>
      <c r="G42" s="14"/>
      <c r="H42" s="14">
        <f>SUMIF('Set 2026'!E5:E500,"Aguardando Pagamento",'Set 2026'!D5:D500)</f>
        <v>3455.2</v>
      </c>
    </row>
    <row r="43" spans="1:8">
      <c r="A43" s="10" t="s">
        <v>101</v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>1452.1000000000001</v>
      </c>
      <c r="C43" s="12">
        <f t="shared" si="2"/>
        <v>7.5815442834550459E-3</v>
      </c>
      <c r="F43" s="10" t="s">
        <v>90</v>
      </c>
      <c r="G43" s="11"/>
      <c r="H43" s="11">
        <f>SUMIF('Out 2026'!E5:E500,"Aguardando Pagamento",'Out 2026'!D5:D500)</f>
        <v>1188.25</v>
      </c>
    </row>
    <row r="44" spans="1:8">
      <c r="A44" s="13" t="s">
        <v>102</v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>35875.840000000004</v>
      </c>
      <c r="C44" s="15">
        <f t="shared" si="2"/>
        <v>0.18731097697551674</v>
      </c>
      <c r="F44" s="13" t="s">
        <v>91</v>
      </c>
      <c r="G44" s="14"/>
      <c r="H44" s="14">
        <f>SUMIF('Nov 2026'!E5:E500,"Aguardando Pagamento",'Nov 2026'!D5:D500)</f>
        <v>0</v>
      </c>
    </row>
    <row r="45" spans="1:8">
      <c r="A45" s="10" t="s">
        <v>103</v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>527.17999999999995</v>
      </c>
      <c r="C45" s="12">
        <f t="shared" si="2"/>
        <v>2.7524540426636115E-3</v>
      </c>
      <c r="F45" s="10" t="s">
        <v>92</v>
      </c>
      <c r="G45" s="11"/>
      <c r="H45" s="11">
        <f>SUMIF('Dez 2026'!E5:E500,"Aguardando Pagamento",'Dez 2026'!D5:D500)</f>
        <v>0</v>
      </c>
    </row>
    <row r="46" spans="1:8">
      <c r="A46" s="13" t="s">
        <v>104</v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>6315.68</v>
      </c>
      <c r="C46" s="15">
        <f t="shared" si="2"/>
        <v>3.2974731492411924E-2</v>
      </c>
      <c r="F46" s="187" t="s">
        <v>105</v>
      </c>
      <c r="G46" s="160"/>
      <c r="H46" s="8">
        <f>SUM(H41:H45)</f>
        <v>5063.45</v>
      </c>
    </row>
    <row r="47" spans="1:8">
      <c r="A47" s="10" t="s">
        <v>106</v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>28170.13</v>
      </c>
      <c r="C47" s="12">
        <f t="shared" si="2"/>
        <v>0.14707877423434024</v>
      </c>
      <c r="F47" s="10"/>
      <c r="G47" s="10"/>
      <c r="H47" s="10"/>
    </row>
    <row r="48" spans="1:8">
      <c r="A48" s="13" t="s">
        <v>107</v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>3859.6400000000003</v>
      </c>
      <c r="C48" s="15">
        <f t="shared" si="2"/>
        <v>2.0151526463876062E-2</v>
      </c>
      <c r="F48" s="13"/>
      <c r="G48" s="13"/>
      <c r="H48" s="13"/>
    </row>
    <row r="49" spans="1:8">
      <c r="A49" s="10" t="s">
        <v>108</v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>391.59000000000003</v>
      </c>
      <c r="C49" s="12">
        <f t="shared" si="2"/>
        <v>2.0445264967689286E-3</v>
      </c>
      <c r="F49" s="10"/>
      <c r="G49" s="10"/>
      <c r="H49" s="10"/>
    </row>
    <row r="50" spans="1:8">
      <c r="A50" s="13" t="s">
        <v>109</v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>212.98000000000002</v>
      </c>
      <c r="C50" s="15">
        <f t="shared" si="2"/>
        <v>1.1119876740515499E-3</v>
      </c>
      <c r="F50" s="128"/>
      <c r="H50" s="42"/>
    </row>
    <row r="51" spans="1:8" ht="15.75" customHeight="1">
      <c r="A51" s="10" t="s">
        <v>110</v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>1617</v>
      </c>
      <c r="C51" s="12">
        <f t="shared" si="2"/>
        <v>8.4425019670455251E-3</v>
      </c>
    </row>
    <row r="52" spans="1:8">
      <c r="A52" s="13" t="s">
        <v>111</v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>900</v>
      </c>
      <c r="C52" s="15">
        <f t="shared" si="2"/>
        <v>4.6989806866672684E-3</v>
      </c>
    </row>
    <row r="53" spans="1:8">
      <c r="A53" s="10" t="s">
        <v>112</v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>9408.630000000001</v>
      </c>
      <c r="C53" s="12">
        <f t="shared" si="2"/>
        <v>4.9123300731109182E-2</v>
      </c>
    </row>
    <row r="54" spans="1:8">
      <c r="A54" s="42" t="s">
        <v>113</v>
      </c>
      <c r="B54" s="8">
        <f>SUM(B41:B52)</f>
        <v>191530.90000000002</v>
      </c>
      <c r="C54" s="16">
        <v>1</v>
      </c>
    </row>
    <row r="56" spans="1:8" ht="15.75" customHeight="1">
      <c r="A56" s="183" t="s">
        <v>114</v>
      </c>
      <c r="B56" s="157"/>
      <c r="C56" s="157"/>
      <c r="D56" s="157"/>
      <c r="E56" s="157"/>
    </row>
    <row r="57" spans="1:8">
      <c r="A57" s="1" t="s">
        <v>115</v>
      </c>
      <c r="B57" s="1" t="s">
        <v>116</v>
      </c>
      <c r="C57" s="1" t="s">
        <v>117</v>
      </c>
      <c r="D57" s="1" t="s">
        <v>118</v>
      </c>
      <c r="E57" s="1" t="s">
        <v>119</v>
      </c>
    </row>
    <row r="58" spans="1:8">
      <c r="A58" s="10" t="s">
        <v>120</v>
      </c>
      <c r="B58" s="10" t="s">
        <v>121</v>
      </c>
      <c r="C58" s="10">
        <v>382</v>
      </c>
      <c r="D58" s="10">
        <v>285</v>
      </c>
      <c r="E58" s="11">
        <v>48297.42</v>
      </c>
    </row>
    <row r="59" spans="1:8">
      <c r="A59" s="13" t="s">
        <v>122</v>
      </c>
      <c r="B59" s="13" t="s">
        <v>123</v>
      </c>
      <c r="C59" s="13">
        <v>97</v>
      </c>
      <c r="D59" s="13">
        <v>91</v>
      </c>
      <c r="E59" s="14">
        <v>13379.01</v>
      </c>
    </row>
    <row r="60" spans="1:8">
      <c r="A60" s="10" t="s">
        <v>124</v>
      </c>
      <c r="B60" s="10" t="s">
        <v>125</v>
      </c>
      <c r="C60" s="10">
        <v>7</v>
      </c>
      <c r="D60" s="10">
        <v>7</v>
      </c>
      <c r="E60" s="11">
        <v>9322</v>
      </c>
    </row>
    <row r="61" spans="1:8">
      <c r="A61" s="13" t="s">
        <v>126</v>
      </c>
      <c r="B61" s="13" t="s">
        <v>127</v>
      </c>
      <c r="C61" s="13">
        <v>4</v>
      </c>
      <c r="D61" s="13">
        <v>4</v>
      </c>
      <c r="E61" s="14">
        <v>5839.56</v>
      </c>
    </row>
    <row r="62" spans="1:8">
      <c r="A62" s="10" t="s">
        <v>128</v>
      </c>
      <c r="B62" s="10" t="s">
        <v>129</v>
      </c>
      <c r="C62" s="10">
        <v>42</v>
      </c>
      <c r="D62" s="10">
        <v>5</v>
      </c>
      <c r="E62" s="11">
        <v>5800</v>
      </c>
    </row>
    <row r="63" spans="1:8">
      <c r="A63" s="13" t="s">
        <v>130</v>
      </c>
      <c r="B63" s="13" t="s">
        <v>131</v>
      </c>
      <c r="C63" s="13">
        <v>4</v>
      </c>
      <c r="D63" s="13">
        <v>4</v>
      </c>
      <c r="E63" s="14">
        <v>5296</v>
      </c>
    </row>
    <row r="64" spans="1:8">
      <c r="A64" s="10" t="s">
        <v>132</v>
      </c>
      <c r="B64" s="10" t="s">
        <v>133</v>
      </c>
      <c r="C64" s="10">
        <v>4</v>
      </c>
      <c r="D64" s="10">
        <v>4</v>
      </c>
      <c r="E64" s="11">
        <v>5294</v>
      </c>
    </row>
    <row r="65" spans="1:5">
      <c r="A65" s="13" t="s">
        <v>120</v>
      </c>
      <c r="B65" s="13" t="s">
        <v>134</v>
      </c>
      <c r="C65" s="13">
        <v>91</v>
      </c>
      <c r="D65" s="13">
        <v>12</v>
      </c>
      <c r="E65" s="14">
        <v>5241.91</v>
      </c>
    </row>
    <row r="66" spans="1:5">
      <c r="A66" s="10" t="s">
        <v>135</v>
      </c>
      <c r="B66" s="10" t="s">
        <v>136</v>
      </c>
      <c r="C66" s="10">
        <v>87</v>
      </c>
      <c r="D66" s="10">
        <v>78</v>
      </c>
      <c r="E66" s="11">
        <v>5051.1899999999996</v>
      </c>
    </row>
    <row r="67" spans="1:5">
      <c r="A67" s="13" t="s">
        <v>137</v>
      </c>
      <c r="B67" s="13" t="s">
        <v>138</v>
      </c>
      <c r="C67" s="13">
        <v>3</v>
      </c>
      <c r="D67" s="13">
        <v>3</v>
      </c>
      <c r="E67" s="14">
        <v>4496</v>
      </c>
    </row>
    <row r="68" spans="1:5">
      <c r="A68" s="10" t="s">
        <v>139</v>
      </c>
      <c r="B68" s="10" t="s">
        <v>140</v>
      </c>
      <c r="C68" s="10">
        <v>3</v>
      </c>
      <c r="D68" s="10">
        <v>3</v>
      </c>
      <c r="E68" s="11">
        <v>4346</v>
      </c>
    </row>
    <row r="69" spans="1:5">
      <c r="A69" s="13" t="s">
        <v>141</v>
      </c>
      <c r="B69" s="13" t="s">
        <v>142</v>
      </c>
      <c r="C69" s="13">
        <v>3</v>
      </c>
      <c r="D69" s="13">
        <v>3</v>
      </c>
      <c r="E69" s="14">
        <v>4246</v>
      </c>
    </row>
    <row r="70" spans="1:5">
      <c r="A70" s="10" t="s">
        <v>143</v>
      </c>
      <c r="B70" s="10" t="s">
        <v>129</v>
      </c>
      <c r="C70" s="10">
        <v>29</v>
      </c>
      <c r="D70" s="10">
        <v>3</v>
      </c>
      <c r="E70" s="11">
        <v>4240</v>
      </c>
    </row>
    <row r="71" spans="1:5">
      <c r="A71" s="13" t="s">
        <v>144</v>
      </c>
      <c r="B71" s="13" t="s">
        <v>129</v>
      </c>
      <c r="C71" s="13">
        <v>29</v>
      </c>
      <c r="D71" s="13">
        <v>4</v>
      </c>
      <c r="E71" s="14">
        <v>4140</v>
      </c>
    </row>
    <row r="72" spans="1:5">
      <c r="A72" s="10" t="s">
        <v>145</v>
      </c>
      <c r="B72" s="10" t="s">
        <v>146</v>
      </c>
      <c r="C72" s="10">
        <v>3</v>
      </c>
      <c r="D72" s="10">
        <v>3</v>
      </c>
      <c r="E72" s="11">
        <v>4098</v>
      </c>
    </row>
  </sheetData>
  <mergeCells count="30"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C4:D4"/>
    <mergeCell ref="A1:N1"/>
    <mergeCell ref="E4:F4"/>
    <mergeCell ref="A19:M19"/>
    <mergeCell ref="A8:L8"/>
    <mergeCell ref="A15:M15"/>
    <mergeCell ref="A18:M18"/>
    <mergeCell ref="K4:L4"/>
    <mergeCell ref="A14:M14"/>
    <mergeCell ref="A17:M17"/>
    <mergeCell ref="A5:B6"/>
    <mergeCell ref="G5:H6"/>
    <mergeCell ref="I5:J6"/>
    <mergeCell ref="A12:L12"/>
  </mergeCells>
  <hyperlinks>
    <hyperlink ref="A3" location="'Início'!A1" display="← Início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864"/>
  </sheetPr>
  <dimension ref="A1:O33"/>
  <sheetViews>
    <sheetView showGridLines="0" zoomScale="85" zoomScaleNormal="85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/>
  <cols>
    <col min="1" max="1" width="46" style="147" customWidth="1"/>
    <col min="2" max="13" width="13" style="147" customWidth="1"/>
    <col min="14" max="15" width="15" style="147" customWidth="1"/>
  </cols>
  <sheetData>
    <row r="1" spans="1:15" ht="23.25" customHeight="1">
      <c r="A1" s="197" t="s">
        <v>147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</row>
    <row r="2" spans="1:15">
      <c r="A2" s="195" t="s">
        <v>148</v>
      </c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</row>
    <row r="3" spans="1:15">
      <c r="A3" s="127" t="s">
        <v>64</v>
      </c>
      <c r="B3" s="94">
        <f>COUNTIF(B5:M5,"&gt;0")</f>
        <v>9</v>
      </c>
      <c r="C3" s="194" t="s">
        <v>149</v>
      </c>
      <c r="D3" s="157"/>
      <c r="E3" s="157"/>
      <c r="F3" s="157"/>
    </row>
    <row r="4" spans="1:15" ht="27.95" customHeight="1">
      <c r="A4" s="76" t="s">
        <v>150</v>
      </c>
      <c r="B4" s="76" t="s">
        <v>81</v>
      </c>
      <c r="C4" s="76" t="s">
        <v>82</v>
      </c>
      <c r="D4" s="76" t="s">
        <v>83</v>
      </c>
      <c r="E4" s="76" t="s">
        <v>84</v>
      </c>
      <c r="F4" s="76" t="s">
        <v>85</v>
      </c>
      <c r="G4" s="76" t="s">
        <v>86</v>
      </c>
      <c r="H4" s="76" t="s">
        <v>87</v>
      </c>
      <c r="I4" s="76" t="s">
        <v>88</v>
      </c>
      <c r="J4" s="76" t="s">
        <v>89</v>
      </c>
      <c r="K4" s="76" t="s">
        <v>90</v>
      </c>
      <c r="L4" s="76" t="s">
        <v>91</v>
      </c>
      <c r="M4" s="76" t="s">
        <v>92</v>
      </c>
      <c r="N4" s="76" t="s">
        <v>113</v>
      </c>
      <c r="O4" s="76" t="s">
        <v>151</v>
      </c>
    </row>
    <row r="5" spans="1:15">
      <c r="A5" s="95" t="s">
        <v>152</v>
      </c>
      <c r="B5" s="96">
        <f>SUMIF('Jan 2026'!A5:A500,"&lt;&gt;",'Jan 2026'!D5:D500)</f>
        <v>22694</v>
      </c>
      <c r="C5" s="96">
        <f>SUMIF('Fev 2026'!A5:A500,"&lt;&gt;",'Fev 2026'!D5:D500)</f>
        <v>24956.559999999998</v>
      </c>
      <c r="D5" s="96">
        <f>SUMIF('Mar 2026'!A5:A500,"&lt;&gt;",'Mar 2026'!D5:D500)</f>
        <v>27360</v>
      </c>
      <c r="E5" s="96">
        <f>SUMIF('Abr 2026'!A5:A500,"&lt;&gt;",'Abr 2026'!D5:D500)</f>
        <v>22291.989999999998</v>
      </c>
      <c r="F5" s="96">
        <f>SUMIF('Mai 2026'!A5:A500,"&lt;&gt;",'Mai 2026'!D5:D500)</f>
        <v>16232</v>
      </c>
      <c r="G5" s="96">
        <f>SUMIF('Jun 2026'!A5:A500,"&lt;&gt;",'Jun 2026'!D5:D500)</f>
        <v>18108</v>
      </c>
      <c r="H5" s="96">
        <f>SUMIF('Jul 2026'!A5:A500,"&lt;&gt;",'Jul 2026'!D5:D500)</f>
        <v>23849.43</v>
      </c>
      <c r="I5" s="96">
        <f>SUMIF('Ago 2026'!E5:E500,"&lt;&gt;",'Ago 2026'!D5:D500)-SUMIF('Ago 2026'!E5:E500,"&lt;&gt;",'Ago 2026'!F5:F500)-'Ago 2026'!T5</f>
        <v>43899.159999999996</v>
      </c>
      <c r="J5" s="96">
        <f>SUMIF('Set 2026'!E5:E500,"&lt;&gt;",'Set 2026'!D5:D500)-SUMIF('Set 2026'!E5:E500,"&lt;&gt;",'Set 2026'!F5:F500)-'Set 2026'!T5</f>
        <v>31240.670000000002</v>
      </c>
      <c r="K5" s="96">
        <f>SUMIF('Out 2026'!E5:E500,"&lt;&gt;",'Out 2026'!D5:D500)-SUMIF('Out 2026'!E5:E500,"&lt;&gt;",'Out 2026'!F5:F500)-'Out 2026'!T5</f>
        <v>0</v>
      </c>
      <c r="L5" s="96">
        <f>SUMIF('Nov 2026'!E5:E500,"&lt;&gt;",'Nov 2026'!D5:D500)-SUMIF('Nov 2026'!E5:E500,"&lt;&gt;",'Nov 2026'!F5:F500)-'Nov 2026'!T5</f>
        <v>0</v>
      </c>
      <c r="M5" s="96">
        <f>SUMIF('Dez 2026'!E5:E500,"&lt;&gt;",'Dez 2026'!D5:D500)-SUMIF('Dez 2026'!E5:E500,"&lt;&gt;",'Dez 2026'!F5:F500)-'Dez 2026'!T5</f>
        <v>0</v>
      </c>
      <c r="N5" s="96">
        <f t="shared" ref="N5:N10" si="0">SUM(B5:M5)</f>
        <v>230631.81</v>
      </c>
      <c r="O5" s="96">
        <f t="shared" ref="O5:O10" si="1">IF($B$3=0,0,N5/$B$3)</f>
        <v>25625.756666666668</v>
      </c>
    </row>
    <row r="6" spans="1:15">
      <c r="A6" s="97" t="s">
        <v>153</v>
      </c>
      <c r="B6" s="98">
        <f>'Jan 2026'!J5</f>
        <v>11144.529999999999</v>
      </c>
      <c r="C6" s="98">
        <f>'Fev 2026'!J5</f>
        <v>11165.720000000001</v>
      </c>
      <c r="D6" s="98">
        <f>'Mar 2026'!J5</f>
        <v>12448.11</v>
      </c>
      <c r="E6" s="98">
        <f>'Abr 2026'!J5</f>
        <v>8747.66</v>
      </c>
      <c r="F6" s="98">
        <f>'Mai 2026'!J5</f>
        <v>13794.03</v>
      </c>
      <c r="G6" s="98">
        <f>'Jun 2026'!J5</f>
        <v>11474.710000000001</v>
      </c>
      <c r="H6" s="98">
        <f>'Jul 2026'!J5</f>
        <v>10403.720000000001</v>
      </c>
      <c r="I6" s="98">
        <f>'Ago 2026'!L5</f>
        <v>12985.740000000002</v>
      </c>
      <c r="J6" s="98">
        <f>'Set 2026'!L5</f>
        <v>11314.54</v>
      </c>
      <c r="K6" s="98">
        <f>'Out 2026'!L5</f>
        <v>0</v>
      </c>
      <c r="L6" s="98">
        <f>'Nov 2026'!L5</f>
        <v>0</v>
      </c>
      <c r="M6" s="98">
        <f>'Dez 2026'!L5</f>
        <v>0</v>
      </c>
      <c r="N6" s="98">
        <f t="shared" si="0"/>
        <v>103478.76000000001</v>
      </c>
      <c r="O6" s="98">
        <f t="shared" si="1"/>
        <v>11497.640000000001</v>
      </c>
    </row>
    <row r="7" spans="1:15">
      <c r="A7" s="97" t="s">
        <v>154</v>
      </c>
      <c r="B7" s="98">
        <f>'Jan 2026'!J8</f>
        <v>3418.3900000000003</v>
      </c>
      <c r="C7" s="98">
        <f>'Fev 2026'!J8</f>
        <v>3816.09</v>
      </c>
      <c r="D7" s="98">
        <f>'Mar 2026'!J8</f>
        <v>4045.07</v>
      </c>
      <c r="E7" s="98">
        <f>'Abr 2026'!J8</f>
        <v>3188.09</v>
      </c>
      <c r="F7" s="98">
        <f>'Mai 2026'!J8</f>
        <v>4839.3999999999996</v>
      </c>
      <c r="G7" s="98">
        <f>'Jun 2026'!J8</f>
        <v>7598.51</v>
      </c>
      <c r="H7" s="98">
        <f>'Jul 2026'!J8</f>
        <v>1600.54</v>
      </c>
      <c r="I7" s="98">
        <f>'Ago 2026'!L8</f>
        <v>4909.24</v>
      </c>
      <c r="J7" s="98">
        <f>'Set 2026'!L8</f>
        <v>2460.5100000000002</v>
      </c>
      <c r="K7" s="98">
        <f>'Out 2026'!L8</f>
        <v>0</v>
      </c>
      <c r="L7" s="98">
        <f>'Nov 2026'!L8</f>
        <v>0</v>
      </c>
      <c r="M7" s="98">
        <f>'Dez 2026'!L8</f>
        <v>0</v>
      </c>
      <c r="N7" s="98">
        <f t="shared" si="0"/>
        <v>35875.840000000004</v>
      </c>
      <c r="O7" s="98">
        <f t="shared" si="1"/>
        <v>3986.204444444445</v>
      </c>
    </row>
    <row r="8" spans="1:15">
      <c r="A8" s="97" t="s">
        <v>155</v>
      </c>
      <c r="B8" s="98">
        <f>'Jan 2026'!J10-B20</f>
        <v>1198.05</v>
      </c>
      <c r="C8" s="98">
        <f>'Fev 2026'!J10-C20</f>
        <v>477.32</v>
      </c>
      <c r="D8" s="98">
        <f>'Mar 2026'!J10-D20</f>
        <v>1160.8600000000001</v>
      </c>
      <c r="E8" s="98">
        <f>'Abr 2026'!J10-E20</f>
        <v>403.56</v>
      </c>
      <c r="F8" s="98">
        <f>'Mai 2026'!J10-F20</f>
        <v>0</v>
      </c>
      <c r="G8" s="98">
        <f>'Jun 2026'!J10-G20</f>
        <v>0</v>
      </c>
      <c r="H8" s="98">
        <f>'Jul 2026'!J10-H20</f>
        <v>488.6</v>
      </c>
      <c r="I8" s="98">
        <f>'Ago 2026'!L10-I20</f>
        <v>2155.81</v>
      </c>
      <c r="J8" s="98">
        <f>'Set 2026'!L10-J20</f>
        <v>408.68</v>
      </c>
      <c r="K8" s="98">
        <f>'Out 2026'!L10-K20</f>
        <v>0</v>
      </c>
      <c r="L8" s="98">
        <f>'Nov 2026'!L10-L20</f>
        <v>0</v>
      </c>
      <c r="M8" s="98">
        <f>'Dez 2026'!L10-M20</f>
        <v>0</v>
      </c>
      <c r="N8" s="98">
        <f t="shared" si="0"/>
        <v>6292.88</v>
      </c>
      <c r="O8" s="98">
        <f t="shared" si="1"/>
        <v>699.20888888888885</v>
      </c>
    </row>
    <row r="9" spans="1:15">
      <c r="A9" s="99" t="s">
        <v>156</v>
      </c>
      <c r="B9" s="100">
        <f t="shared" ref="B9:M9" si="2">SUM(B6:B8)</f>
        <v>15760.969999999998</v>
      </c>
      <c r="C9" s="100">
        <f t="shared" si="2"/>
        <v>15459.130000000001</v>
      </c>
      <c r="D9" s="100">
        <f t="shared" si="2"/>
        <v>17654.04</v>
      </c>
      <c r="E9" s="100">
        <f t="shared" si="2"/>
        <v>12339.31</v>
      </c>
      <c r="F9" s="100">
        <f t="shared" si="2"/>
        <v>18633.43</v>
      </c>
      <c r="G9" s="100">
        <f t="shared" si="2"/>
        <v>19073.22</v>
      </c>
      <c r="H9" s="100">
        <f t="shared" si="2"/>
        <v>12492.860000000002</v>
      </c>
      <c r="I9" s="100">
        <f t="shared" si="2"/>
        <v>20050.790000000005</v>
      </c>
      <c r="J9" s="100">
        <f t="shared" si="2"/>
        <v>14183.730000000001</v>
      </c>
      <c r="K9" s="100">
        <f t="shared" si="2"/>
        <v>0</v>
      </c>
      <c r="L9" s="100">
        <f t="shared" si="2"/>
        <v>0</v>
      </c>
      <c r="M9" s="100">
        <f t="shared" si="2"/>
        <v>0</v>
      </c>
      <c r="N9" s="100">
        <f t="shared" si="0"/>
        <v>145647.48000000001</v>
      </c>
      <c r="O9" s="100">
        <f t="shared" si="1"/>
        <v>16183.053333333335</v>
      </c>
    </row>
    <row r="10" spans="1:15">
      <c r="A10" s="95" t="s">
        <v>157</v>
      </c>
      <c r="B10" s="96">
        <f t="shared" ref="B10:M10" si="3">B5-B9</f>
        <v>6933.0300000000025</v>
      </c>
      <c r="C10" s="96">
        <f t="shared" si="3"/>
        <v>9497.4299999999967</v>
      </c>
      <c r="D10" s="96">
        <f t="shared" si="3"/>
        <v>9705.9599999999991</v>
      </c>
      <c r="E10" s="96">
        <f t="shared" si="3"/>
        <v>9952.6799999999985</v>
      </c>
      <c r="F10" s="96">
        <f t="shared" si="3"/>
        <v>-2401.4300000000003</v>
      </c>
      <c r="G10" s="96">
        <f t="shared" si="3"/>
        <v>-965.22000000000116</v>
      </c>
      <c r="H10" s="96">
        <f t="shared" si="3"/>
        <v>11356.569999999998</v>
      </c>
      <c r="I10" s="96">
        <f t="shared" si="3"/>
        <v>23848.369999999992</v>
      </c>
      <c r="J10" s="96">
        <f t="shared" si="3"/>
        <v>17056.940000000002</v>
      </c>
      <c r="K10" s="96">
        <f t="shared" si="3"/>
        <v>0</v>
      </c>
      <c r="L10" s="96">
        <f t="shared" si="3"/>
        <v>0</v>
      </c>
      <c r="M10" s="96">
        <f t="shared" si="3"/>
        <v>0</v>
      </c>
      <c r="N10" s="96">
        <f t="shared" si="0"/>
        <v>84984.329999999987</v>
      </c>
      <c r="O10" s="96">
        <f t="shared" si="1"/>
        <v>9442.7033333333311</v>
      </c>
    </row>
    <row r="11" spans="1:15">
      <c r="A11" s="101" t="s">
        <v>158</v>
      </c>
      <c r="B11" s="102">
        <f t="shared" ref="B11:N11" si="4">IF(B5=0,"",B10/B5)</f>
        <v>0.30550057283863585</v>
      </c>
      <c r="C11" s="102">
        <f t="shared" si="4"/>
        <v>0.38055845837727625</v>
      </c>
      <c r="D11" s="102">
        <f t="shared" si="4"/>
        <v>0.35474999999999995</v>
      </c>
      <c r="E11" s="102">
        <f t="shared" si="4"/>
        <v>0.44646888860079337</v>
      </c>
      <c r="F11" s="102">
        <f t="shared" si="4"/>
        <v>-0.14794418432725481</v>
      </c>
      <c r="G11" s="102">
        <f t="shared" si="4"/>
        <v>-5.3303512259774748E-2</v>
      </c>
      <c r="H11" s="102">
        <f t="shared" si="4"/>
        <v>0.47617783737389102</v>
      </c>
      <c r="I11" s="102">
        <f t="shared" si="4"/>
        <v>0.54325344721857993</v>
      </c>
      <c r="J11" s="102">
        <f t="shared" si="4"/>
        <v>0.54598508930826395</v>
      </c>
      <c r="K11" s="102" t="str">
        <f t="shared" si="4"/>
        <v/>
      </c>
      <c r="L11" s="102" t="str">
        <f t="shared" si="4"/>
        <v/>
      </c>
      <c r="M11" s="102" t="str">
        <f t="shared" si="4"/>
        <v/>
      </c>
      <c r="N11" s="102">
        <f t="shared" si="4"/>
        <v>0.36848485904871486</v>
      </c>
      <c r="O11" s="102">
        <f>IF(N5=0,"",N10/N5)</f>
        <v>0.36848485904871486</v>
      </c>
    </row>
    <row r="12" spans="1:15">
      <c r="A12" s="97" t="s">
        <v>159</v>
      </c>
      <c r="B12" s="98">
        <f>'Jan 2026'!J6</f>
        <v>870</v>
      </c>
      <c r="C12" s="98">
        <f>'Fev 2026'!J6</f>
        <v>870</v>
      </c>
      <c r="D12" s="98">
        <f>'Mar 2026'!J6</f>
        <v>870</v>
      </c>
      <c r="E12" s="98">
        <f>'Abr 2026'!J6</f>
        <v>870</v>
      </c>
      <c r="F12" s="98">
        <f>'Mai 2026'!J6</f>
        <v>870</v>
      </c>
      <c r="G12" s="98">
        <f>'Jun 2026'!J6</f>
        <v>870</v>
      </c>
      <c r="H12" s="98">
        <f>'Jul 2026'!J6</f>
        <v>1750</v>
      </c>
      <c r="I12" s="98">
        <f>'Ago 2026'!L6</f>
        <v>880</v>
      </c>
      <c r="J12" s="98">
        <f>'Set 2026'!L6</f>
        <v>880</v>
      </c>
      <c r="K12" s="98">
        <f>'Out 2026'!L6</f>
        <v>0</v>
      </c>
      <c r="L12" s="98">
        <f>'Nov 2026'!L6</f>
        <v>0</v>
      </c>
      <c r="M12" s="98">
        <f>'Dez 2026'!L6</f>
        <v>0</v>
      </c>
      <c r="N12" s="98">
        <f t="shared" ref="N12:N23" si="5">SUM(B12:M12)</f>
        <v>8730</v>
      </c>
      <c r="O12" s="98">
        <f t="shared" ref="O12:O23" si="6">IF($B$3=0,0,N12/$B$3)</f>
        <v>970</v>
      </c>
    </row>
    <row r="13" spans="1:15">
      <c r="A13" s="97" t="s">
        <v>160</v>
      </c>
      <c r="B13" s="98">
        <f>'Jan 2026'!J7</f>
        <v>159.68</v>
      </c>
      <c r="C13" s="98">
        <f>'Fev 2026'!J7</f>
        <v>145.99</v>
      </c>
      <c r="D13" s="98">
        <f>'Mar 2026'!J7</f>
        <v>139.91999999999999</v>
      </c>
      <c r="E13" s="98">
        <f>'Abr 2026'!J7</f>
        <v>0</v>
      </c>
      <c r="F13" s="98">
        <f>'Mai 2026'!J7</f>
        <v>273.52</v>
      </c>
      <c r="G13" s="98">
        <f>'Jun 2026'!J7</f>
        <v>150.65</v>
      </c>
      <c r="H13" s="98">
        <f>'Jul 2026'!J7</f>
        <v>211.65999999999997</v>
      </c>
      <c r="I13" s="98">
        <f>'Ago 2026'!L7</f>
        <v>150.63</v>
      </c>
      <c r="J13" s="98">
        <f>'Set 2026'!L7</f>
        <v>220.05</v>
      </c>
      <c r="K13" s="98">
        <f>'Out 2026'!L7</f>
        <v>0</v>
      </c>
      <c r="L13" s="98">
        <f>'Nov 2026'!L7</f>
        <v>0</v>
      </c>
      <c r="M13" s="98">
        <f>'Dez 2026'!L7</f>
        <v>0</v>
      </c>
      <c r="N13" s="98">
        <f t="shared" si="5"/>
        <v>1452.1000000000001</v>
      </c>
      <c r="O13" s="98">
        <f t="shared" si="6"/>
        <v>161.34444444444446</v>
      </c>
    </row>
    <row r="14" spans="1:15">
      <c r="A14" s="97" t="s">
        <v>161</v>
      </c>
      <c r="B14" s="98">
        <f>'Jan 2026'!J9</f>
        <v>143.09</v>
      </c>
      <c r="C14" s="98">
        <f>'Fev 2026'!J9</f>
        <v>0</v>
      </c>
      <c r="D14" s="98">
        <f>'Mar 2026'!J9</f>
        <v>0</v>
      </c>
      <c r="E14" s="98">
        <f>'Abr 2026'!J9</f>
        <v>0</v>
      </c>
      <c r="F14" s="98">
        <f>'Mai 2026'!J9</f>
        <v>0</v>
      </c>
      <c r="G14" s="98">
        <f>'Jun 2026'!J9</f>
        <v>0</v>
      </c>
      <c r="H14" s="98">
        <f>'Jul 2026'!J9</f>
        <v>216.46</v>
      </c>
      <c r="I14" s="98">
        <f>'Ago 2026'!L9</f>
        <v>161.24</v>
      </c>
      <c r="J14" s="98">
        <f>'Set 2026'!L9</f>
        <v>6.3900000000000006</v>
      </c>
      <c r="K14" s="98">
        <f>'Out 2026'!L9</f>
        <v>0</v>
      </c>
      <c r="L14" s="98">
        <f>'Nov 2026'!L9</f>
        <v>0</v>
      </c>
      <c r="M14" s="98">
        <f>'Dez 2026'!L9</f>
        <v>0</v>
      </c>
      <c r="N14" s="98">
        <f t="shared" si="5"/>
        <v>527.17999999999995</v>
      </c>
      <c r="O14" s="98">
        <f t="shared" si="6"/>
        <v>58.575555555555553</v>
      </c>
    </row>
    <row r="15" spans="1:15">
      <c r="A15" s="97" t="s">
        <v>162</v>
      </c>
      <c r="B15" s="98">
        <f>'Jan 2026'!J11</f>
        <v>5252.92</v>
      </c>
      <c r="C15" s="98">
        <f>'Fev 2026'!J11</f>
        <v>3088.3199999999997</v>
      </c>
      <c r="D15" s="98">
        <f>'Mar 2026'!J11</f>
        <v>2379.02</v>
      </c>
      <c r="E15" s="98">
        <f>'Abr 2026'!J11</f>
        <v>2784.92</v>
      </c>
      <c r="F15" s="98">
        <f>'Mai 2026'!J11</f>
        <v>2071.3199999999997</v>
      </c>
      <c r="G15" s="98">
        <f>'Jun 2026'!J11</f>
        <v>1571.32</v>
      </c>
      <c r="H15" s="98">
        <f>'Jul 2026'!J11</f>
        <v>6463.9900000000007</v>
      </c>
      <c r="I15" s="98">
        <f>'Ago 2026'!L11</f>
        <v>3903.3199999999997</v>
      </c>
      <c r="J15" s="98">
        <f>'Set 2026'!L11</f>
        <v>655</v>
      </c>
      <c r="K15" s="98">
        <f>'Out 2026'!L11</f>
        <v>0</v>
      </c>
      <c r="L15" s="98">
        <f>'Nov 2026'!L11</f>
        <v>0</v>
      </c>
      <c r="M15" s="98">
        <f>'Dez 2026'!L11</f>
        <v>0</v>
      </c>
      <c r="N15" s="98">
        <f t="shared" si="5"/>
        <v>28170.13</v>
      </c>
      <c r="O15" s="98">
        <f t="shared" si="6"/>
        <v>3130.0144444444445</v>
      </c>
    </row>
    <row r="16" spans="1:15">
      <c r="A16" s="97" t="s">
        <v>163</v>
      </c>
      <c r="B16" s="98">
        <f>'Jan 2026'!J12</f>
        <v>455.4</v>
      </c>
      <c r="C16" s="98">
        <f>'Fev 2026'!J12</f>
        <v>486.32</v>
      </c>
      <c r="D16" s="98">
        <f>'Mar 2026'!J12</f>
        <v>486.32</v>
      </c>
      <c r="E16" s="98">
        <f>'Abr 2026'!J12</f>
        <v>486.32</v>
      </c>
      <c r="F16" s="98">
        <f>'Mai 2026'!J12</f>
        <v>0</v>
      </c>
      <c r="G16" s="98">
        <f>'Jun 2026'!J12</f>
        <v>486.32</v>
      </c>
      <c r="H16" s="98">
        <f>'Jul 2026'!J12</f>
        <v>486.32</v>
      </c>
      <c r="I16" s="98">
        <f>'Ago 2026'!L12</f>
        <v>486.32</v>
      </c>
      <c r="J16" s="98">
        <f>'Set 2026'!L12</f>
        <v>486.32</v>
      </c>
      <c r="K16" s="98">
        <f>'Out 2026'!L12</f>
        <v>0</v>
      </c>
      <c r="L16" s="98">
        <f>'Nov 2026'!L12</f>
        <v>0</v>
      </c>
      <c r="M16" s="98">
        <f>'Dez 2026'!L12</f>
        <v>0</v>
      </c>
      <c r="N16" s="98">
        <f t="shared" si="5"/>
        <v>3859.6400000000003</v>
      </c>
      <c r="O16" s="98">
        <f t="shared" si="6"/>
        <v>428.84888888888895</v>
      </c>
    </row>
    <row r="17" spans="1:15">
      <c r="A17" s="97" t="s">
        <v>164</v>
      </c>
      <c r="B17" s="98">
        <f>'Jan 2026'!J13</f>
        <v>0</v>
      </c>
      <c r="C17" s="98">
        <f>'Fev 2026'!J13</f>
        <v>0</v>
      </c>
      <c r="D17" s="98">
        <f>'Mar 2026'!J13</f>
        <v>0</v>
      </c>
      <c r="E17" s="98">
        <f>'Abr 2026'!J13</f>
        <v>0</v>
      </c>
      <c r="F17" s="98">
        <f>'Mai 2026'!J13</f>
        <v>200</v>
      </c>
      <c r="G17" s="98">
        <f>'Jun 2026'!J13</f>
        <v>0</v>
      </c>
      <c r="H17" s="98">
        <f>'Jul 2026'!J13</f>
        <v>0</v>
      </c>
      <c r="I17" s="98">
        <f>'Ago 2026'!L13</f>
        <v>32</v>
      </c>
      <c r="J17" s="98">
        <f>'Set 2026'!L13</f>
        <v>159.59</v>
      </c>
      <c r="K17" s="98">
        <f>'Out 2026'!L13</f>
        <v>0</v>
      </c>
      <c r="L17" s="98">
        <f>'Nov 2026'!L13</f>
        <v>0</v>
      </c>
      <c r="M17" s="98">
        <f>'Dez 2026'!L13</f>
        <v>0</v>
      </c>
      <c r="N17" s="98">
        <f t="shared" si="5"/>
        <v>391.59000000000003</v>
      </c>
      <c r="O17" s="98">
        <f t="shared" si="6"/>
        <v>43.510000000000005</v>
      </c>
    </row>
    <row r="18" spans="1:15">
      <c r="A18" s="97" t="s">
        <v>165</v>
      </c>
      <c r="B18" s="98">
        <f>'Jan 2026'!J14</f>
        <v>0</v>
      </c>
      <c r="C18" s="98">
        <f>'Fev 2026'!J14</f>
        <v>0</v>
      </c>
      <c r="D18" s="98">
        <f>'Mar 2026'!J14</f>
        <v>0</v>
      </c>
      <c r="E18" s="98">
        <f>'Abr 2026'!J14</f>
        <v>0</v>
      </c>
      <c r="F18" s="98">
        <f>'Mai 2026'!J14</f>
        <v>0</v>
      </c>
      <c r="G18" s="98">
        <f>'Jun 2026'!J14</f>
        <v>0</v>
      </c>
      <c r="H18" s="98">
        <f>'Jul 2026'!J14</f>
        <v>23.189999999999998</v>
      </c>
      <c r="I18" s="98">
        <f>'Ago 2026'!L14</f>
        <v>65.31</v>
      </c>
      <c r="J18" s="98">
        <f>'Set 2026'!L14</f>
        <v>124.48</v>
      </c>
      <c r="K18" s="98">
        <f>'Out 2026'!L14</f>
        <v>0</v>
      </c>
      <c r="L18" s="98">
        <f>'Nov 2026'!L14</f>
        <v>0</v>
      </c>
      <c r="M18" s="98">
        <f>'Dez 2026'!L14</f>
        <v>0</v>
      </c>
      <c r="N18" s="98">
        <f t="shared" si="5"/>
        <v>212.98000000000002</v>
      </c>
      <c r="O18" s="98">
        <f t="shared" si="6"/>
        <v>23.664444444444445</v>
      </c>
    </row>
    <row r="19" spans="1:15">
      <c r="A19" s="97" t="s">
        <v>166</v>
      </c>
      <c r="B19" s="98">
        <f>'Jan 2026'!J15</f>
        <v>495</v>
      </c>
      <c r="C19" s="98">
        <f>'Fev 2026'!J15</f>
        <v>300</v>
      </c>
      <c r="D19" s="98">
        <f>'Mar 2026'!J15</f>
        <v>0</v>
      </c>
      <c r="E19" s="98">
        <f>'Abr 2026'!J15</f>
        <v>420</v>
      </c>
      <c r="F19" s="98">
        <f>'Mai 2026'!J15</f>
        <v>220</v>
      </c>
      <c r="G19" s="98">
        <f>'Jun 2026'!J15</f>
        <v>0</v>
      </c>
      <c r="H19" s="98">
        <f>'Jul 2026'!J15</f>
        <v>182</v>
      </c>
      <c r="I19" s="98">
        <f>'Ago 2026'!L15</f>
        <v>0</v>
      </c>
      <c r="J19" s="98">
        <f>'Set 2026'!L15</f>
        <v>0</v>
      </c>
      <c r="K19" s="98">
        <f>'Out 2026'!L15</f>
        <v>0</v>
      </c>
      <c r="L19" s="98">
        <f>'Nov 2026'!L15</f>
        <v>0</v>
      </c>
      <c r="M19" s="98">
        <f>'Dez 2026'!L15</f>
        <v>0</v>
      </c>
      <c r="N19" s="98">
        <f t="shared" si="5"/>
        <v>1617</v>
      </c>
      <c r="O19" s="98">
        <f t="shared" si="6"/>
        <v>179.66666666666666</v>
      </c>
    </row>
    <row r="20" spans="1:15">
      <c r="A20" s="97" t="s">
        <v>167</v>
      </c>
      <c r="B20" s="98">
        <f>SUMIF('Jan 2026'!B5:B500,"Estacionamento*",'Jan 2026'!E5:E500)</f>
        <v>0</v>
      </c>
      <c r="C20" s="98">
        <f>SUMIF('Fev 2026'!B5:B500,"Estacionamento*",'Fev 2026'!E5:E500)</f>
        <v>0</v>
      </c>
      <c r="D20" s="98">
        <f>SUMIF('Mar 2026'!B5:B500,"Estacionamento*",'Mar 2026'!E5:E500)</f>
        <v>0</v>
      </c>
      <c r="E20" s="98">
        <f>SUMIF('Abr 2026'!B5:B500,"Estacionamento*",'Abr 2026'!E5:E500)</f>
        <v>0</v>
      </c>
      <c r="F20" s="98">
        <f>SUMIF('Mai 2026'!B5:B500,"Estacionamento*",'Mai 2026'!E5:E500)</f>
        <v>0</v>
      </c>
      <c r="G20" s="98">
        <f>SUMIF('Jun 2026'!B5:B500,"Estacionamento*",'Jun 2026'!E5:E500)</f>
        <v>0</v>
      </c>
      <c r="H20" s="98">
        <f>SUMIF('Jul 2026'!B5:B500,"Estacionamento*",'Jul 2026'!E5:E500)</f>
        <v>0</v>
      </c>
      <c r="I20" s="98">
        <f>SUMIF('Ago 2026'!B5:B500,"Estacionamento*",'Ago 2026'!G5:G500)</f>
        <v>22.8</v>
      </c>
      <c r="J20" s="98">
        <f>SUMIF('Set 2026'!B5:B500,"Estacionamento*",'Set 2026'!G5:G500)</f>
        <v>0</v>
      </c>
      <c r="K20" s="98">
        <f>SUMIF('Out 2026'!B5:B500,"Estacionamento*",'Out 2026'!G5:G500)</f>
        <v>0</v>
      </c>
      <c r="L20" s="98">
        <f>SUMIF('Nov 2026'!B5:B500,"Estacionamento*",'Nov 2026'!G5:G500)</f>
        <v>0</v>
      </c>
      <c r="M20" s="98">
        <f>SUMIF('Dez 2026'!B5:B500,"Estacionamento*",'Dez 2026'!G5:G500)</f>
        <v>0</v>
      </c>
      <c r="N20" s="98">
        <f t="shared" si="5"/>
        <v>22.8</v>
      </c>
      <c r="O20" s="98">
        <f t="shared" si="6"/>
        <v>2.5333333333333332</v>
      </c>
    </row>
    <row r="21" spans="1:15">
      <c r="A21" s="97" t="s">
        <v>168</v>
      </c>
      <c r="B21" s="98">
        <f>'Jan 2026'!J16</f>
        <v>0</v>
      </c>
      <c r="C21" s="98">
        <f>'Fev 2026'!J16</f>
        <v>0</v>
      </c>
      <c r="D21" s="98">
        <f>'Mar 2026'!J16</f>
        <v>200</v>
      </c>
      <c r="E21" s="98">
        <f>'Abr 2026'!J16</f>
        <v>0</v>
      </c>
      <c r="F21" s="98">
        <f>'Mai 2026'!J16</f>
        <v>0</v>
      </c>
      <c r="G21" s="98">
        <f>'Jun 2026'!J16</f>
        <v>0</v>
      </c>
      <c r="H21" s="98">
        <f>'Jul 2026'!J16</f>
        <v>400</v>
      </c>
      <c r="I21" s="98">
        <f>'Ago 2026'!L16</f>
        <v>275</v>
      </c>
      <c r="J21" s="98">
        <f>'Set 2026'!L16</f>
        <v>25</v>
      </c>
      <c r="K21" s="98">
        <f>'Out 2026'!L16</f>
        <v>0</v>
      </c>
      <c r="L21" s="98">
        <f>'Nov 2026'!L16</f>
        <v>0</v>
      </c>
      <c r="M21" s="98">
        <f>'Dez 2026'!L16</f>
        <v>0</v>
      </c>
      <c r="N21" s="98">
        <f t="shared" si="5"/>
        <v>900</v>
      </c>
      <c r="O21" s="98">
        <f t="shared" si="6"/>
        <v>100</v>
      </c>
    </row>
    <row r="22" spans="1:15">
      <c r="A22" s="99" t="s">
        <v>169</v>
      </c>
      <c r="B22" s="100">
        <f t="shared" ref="B22:M22" si="7">SUM(B12:B21)</f>
        <v>7376.09</v>
      </c>
      <c r="C22" s="100">
        <f t="shared" si="7"/>
        <v>4890.6299999999992</v>
      </c>
      <c r="D22" s="100">
        <f t="shared" si="7"/>
        <v>4075.26</v>
      </c>
      <c r="E22" s="100">
        <f t="shared" si="7"/>
        <v>4561.24</v>
      </c>
      <c r="F22" s="100">
        <f t="shared" si="7"/>
        <v>3634.8399999999997</v>
      </c>
      <c r="G22" s="100">
        <f t="shared" si="7"/>
        <v>3078.29</v>
      </c>
      <c r="H22" s="100">
        <f t="shared" si="7"/>
        <v>9733.6200000000008</v>
      </c>
      <c r="I22" s="100">
        <f t="shared" si="7"/>
        <v>5976.62</v>
      </c>
      <c r="J22" s="100">
        <f t="shared" si="7"/>
        <v>2556.8300000000004</v>
      </c>
      <c r="K22" s="100">
        <f t="shared" si="7"/>
        <v>0</v>
      </c>
      <c r="L22" s="100">
        <f t="shared" si="7"/>
        <v>0</v>
      </c>
      <c r="M22" s="100">
        <f t="shared" si="7"/>
        <v>0</v>
      </c>
      <c r="N22" s="100">
        <f t="shared" si="5"/>
        <v>45883.420000000006</v>
      </c>
      <c r="O22" s="100">
        <f t="shared" si="6"/>
        <v>5098.1577777777784</v>
      </c>
    </row>
    <row r="23" spans="1:15" ht="15.75" customHeight="1">
      <c r="A23" s="103" t="s">
        <v>170</v>
      </c>
      <c r="B23" s="104">
        <f t="shared" ref="B23:M23" si="8">B10-B22</f>
        <v>-443.05999999999767</v>
      </c>
      <c r="C23" s="104">
        <f t="shared" si="8"/>
        <v>4606.7999999999975</v>
      </c>
      <c r="D23" s="104">
        <f t="shared" si="8"/>
        <v>5630.6999999999989</v>
      </c>
      <c r="E23" s="104">
        <f t="shared" si="8"/>
        <v>5391.4399999999987</v>
      </c>
      <c r="F23" s="104">
        <f t="shared" si="8"/>
        <v>-6036.27</v>
      </c>
      <c r="G23" s="104">
        <f t="shared" si="8"/>
        <v>-4043.5100000000011</v>
      </c>
      <c r="H23" s="104">
        <f t="shared" si="8"/>
        <v>1622.9499999999971</v>
      </c>
      <c r="I23" s="104">
        <f t="shared" si="8"/>
        <v>17871.749999999993</v>
      </c>
      <c r="J23" s="104">
        <f t="shared" si="8"/>
        <v>14500.110000000002</v>
      </c>
      <c r="K23" s="104">
        <f t="shared" si="8"/>
        <v>0</v>
      </c>
      <c r="L23" s="104">
        <f t="shared" si="8"/>
        <v>0</v>
      </c>
      <c r="M23" s="104">
        <f t="shared" si="8"/>
        <v>0</v>
      </c>
      <c r="N23" s="104">
        <f t="shared" si="5"/>
        <v>39100.909999999989</v>
      </c>
      <c r="O23" s="104">
        <f t="shared" si="6"/>
        <v>4344.5455555555545</v>
      </c>
    </row>
    <row r="24" spans="1:15">
      <c r="A24" s="101" t="s">
        <v>171</v>
      </c>
      <c r="B24" s="102">
        <f t="shared" ref="B24:N24" si="9">IF(B5=0,"",B23/B5)</f>
        <v>-1.9523221997003511E-2</v>
      </c>
      <c r="C24" s="102">
        <f t="shared" si="9"/>
        <v>0.18459274835954947</v>
      </c>
      <c r="D24" s="102">
        <f t="shared" si="9"/>
        <v>0.20580043859649119</v>
      </c>
      <c r="E24" s="102">
        <f t="shared" si="9"/>
        <v>0.24185548261954179</v>
      </c>
      <c r="F24" s="102">
        <f t="shared" si="9"/>
        <v>-0.37187469196648598</v>
      </c>
      <c r="G24" s="102">
        <f t="shared" si="9"/>
        <v>-0.22329964656505419</v>
      </c>
      <c r="H24" s="102">
        <f t="shared" si="9"/>
        <v>6.8049844377831972E-2</v>
      </c>
      <c r="I24" s="102">
        <f t="shared" si="9"/>
        <v>0.40710915653055763</v>
      </c>
      <c r="J24" s="102">
        <f t="shared" si="9"/>
        <v>0.46414209426366343</v>
      </c>
      <c r="K24" s="102" t="str">
        <f t="shared" si="9"/>
        <v/>
      </c>
      <c r="L24" s="102" t="str">
        <f t="shared" si="9"/>
        <v/>
      </c>
      <c r="M24" s="102" t="str">
        <f t="shared" si="9"/>
        <v/>
      </c>
      <c r="N24" s="102">
        <f t="shared" si="9"/>
        <v>0.16953823499022094</v>
      </c>
      <c r="O24" s="102">
        <f>IF(N5=0,"",N23/N5)</f>
        <v>0.16953823499022094</v>
      </c>
    </row>
    <row r="26" spans="1:15">
      <c r="A26" s="105" t="s">
        <v>172</v>
      </c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</row>
    <row r="27" spans="1:15">
      <c r="A27" s="107" t="s">
        <v>173</v>
      </c>
      <c r="B27" s="108">
        <f>'Jan 2026'!J17</f>
        <v>0</v>
      </c>
      <c r="C27" s="108">
        <f>'Fev 2026'!J17</f>
        <v>509.65999999999997</v>
      </c>
      <c r="D27" s="108">
        <f>'Mar 2026'!J17</f>
        <v>0</v>
      </c>
      <c r="E27" s="108">
        <f>'Abr 2026'!J17</f>
        <v>51.61</v>
      </c>
      <c r="F27" s="108">
        <f>'Mai 2026'!J17</f>
        <v>50.07</v>
      </c>
      <c r="G27" s="108">
        <f>'Jun 2026'!J17</f>
        <v>0</v>
      </c>
      <c r="H27" s="108">
        <f>'Jul 2026'!J17</f>
        <v>1916.18</v>
      </c>
      <c r="I27" s="108">
        <f>'Ago 2026'!L17</f>
        <v>2936.3799999999997</v>
      </c>
      <c r="J27" s="108">
        <f>'Set 2026'!L17</f>
        <v>3944.7300000000005</v>
      </c>
      <c r="K27" s="108">
        <f>'Out 2026'!L17</f>
        <v>0</v>
      </c>
      <c r="L27" s="108">
        <f>'Nov 2026'!L17</f>
        <v>0</v>
      </c>
      <c r="M27" s="108">
        <f>'Dez 2026'!L17</f>
        <v>0</v>
      </c>
      <c r="N27" s="108">
        <f>SUM(B27:M27)</f>
        <v>9408.630000000001</v>
      </c>
      <c r="O27" s="108">
        <f>IF($B$3=0,0,N27/$B$3)</f>
        <v>1045.4033333333334</v>
      </c>
    </row>
    <row r="28" spans="1:15">
      <c r="A28" s="107" t="s">
        <v>174</v>
      </c>
      <c r="B28" s="108"/>
      <c r="C28" s="108"/>
      <c r="D28" s="108"/>
      <c r="E28" s="108"/>
      <c r="F28" s="108"/>
      <c r="G28" s="108"/>
      <c r="H28" s="108"/>
      <c r="I28" s="108">
        <f>'Ago 2026'!L19</f>
        <v>0</v>
      </c>
      <c r="J28" s="108">
        <f>'Set 2026'!L19</f>
        <v>0</v>
      </c>
      <c r="K28" s="108">
        <f>'Out 2026'!L19</f>
        <v>0</v>
      </c>
      <c r="L28" s="108">
        <f>'Nov 2026'!L19</f>
        <v>0</v>
      </c>
      <c r="M28" s="108">
        <f>'Dez 2026'!L19</f>
        <v>0</v>
      </c>
      <c r="N28" s="108">
        <f>SUM(B28:M28)</f>
        <v>0</v>
      </c>
      <c r="O28" s="108">
        <f>IF($B$3=0,0,N28/$B$3)</f>
        <v>0</v>
      </c>
    </row>
    <row r="30" spans="1:15" ht="27.95" customHeight="1">
      <c r="A30" s="182" t="s">
        <v>175</v>
      </c>
      <c r="B30" s="157"/>
      <c r="C30" s="157"/>
      <c r="D30" s="157"/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</row>
    <row r="31" spans="1:15" ht="27.95" customHeight="1">
      <c r="A31" s="182" t="s">
        <v>176</v>
      </c>
      <c r="B31" s="157"/>
      <c r="C31" s="157"/>
      <c r="D31" s="157"/>
      <c r="E31" s="157"/>
      <c r="F31" s="157"/>
      <c r="G31" s="157"/>
      <c r="H31" s="157"/>
      <c r="I31" s="157"/>
      <c r="J31" s="157"/>
      <c r="K31" s="157"/>
      <c r="L31" s="157"/>
      <c r="M31" s="157"/>
      <c r="N31" s="157"/>
      <c r="O31" s="157"/>
    </row>
    <row r="32" spans="1:15" ht="27.95" customHeight="1">
      <c r="A32" s="182" t="s">
        <v>177</v>
      </c>
      <c r="B32" s="157"/>
      <c r="C32" s="157"/>
      <c r="D32" s="157"/>
      <c r="E32" s="157"/>
      <c r="F32" s="157"/>
      <c r="G32" s="157"/>
      <c r="H32" s="157"/>
      <c r="I32" s="157"/>
      <c r="J32" s="157"/>
      <c r="K32" s="157"/>
      <c r="L32" s="157"/>
      <c r="M32" s="157"/>
      <c r="N32" s="157"/>
      <c r="O32" s="157"/>
    </row>
    <row r="33" spans="1:15" ht="27.95" customHeight="1">
      <c r="A33" s="196" t="s">
        <v>178</v>
      </c>
      <c r="B33" s="157"/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7791F"/>
  </sheetPr>
  <dimension ref="A1:G128"/>
  <sheetViews>
    <sheetView showGridLines="0" zoomScale="70" zoomScaleNormal="70" workbookViewId="0">
      <pane ySplit="9" topLeftCell="A10" activePane="bottomLeft" state="frozen"/>
      <selection pane="bottomLeft" sqref="A1:G1"/>
    </sheetView>
  </sheetViews>
  <sheetFormatPr defaultRowHeight="15"/>
  <cols>
    <col min="1" max="1" width="46" style="147" customWidth="1"/>
    <col min="2" max="2" width="40" style="147" customWidth="1"/>
    <col min="3" max="4" width="16" style="147" customWidth="1"/>
    <col min="5" max="5" width="18" style="147" customWidth="1"/>
    <col min="6" max="6" width="14" style="147" customWidth="1"/>
    <col min="7" max="7" width="42" style="147" customWidth="1"/>
  </cols>
  <sheetData>
    <row r="1" spans="1:7" ht="23.25" customHeight="1">
      <c r="A1" s="197" t="s">
        <v>179</v>
      </c>
      <c r="B1" s="157"/>
      <c r="C1" s="157"/>
      <c r="D1" s="157"/>
      <c r="E1" s="157"/>
      <c r="F1" s="157"/>
      <c r="G1" s="157"/>
    </row>
    <row r="2" spans="1:7">
      <c r="A2" s="195" t="s">
        <v>180</v>
      </c>
      <c r="B2" s="157"/>
      <c r="C2" s="157"/>
      <c r="D2" s="157"/>
      <c r="E2" s="157"/>
      <c r="F2" s="157"/>
      <c r="G2" s="157"/>
    </row>
    <row r="3" spans="1:7">
      <c r="A3" s="127" t="s">
        <v>64</v>
      </c>
    </row>
    <row r="4" spans="1:7">
      <c r="A4" s="198" t="s">
        <v>181</v>
      </c>
      <c r="B4" s="157"/>
      <c r="C4" s="206" t="s">
        <v>182</v>
      </c>
      <c r="D4" s="157"/>
      <c r="E4" s="199" t="s">
        <v>183</v>
      </c>
      <c r="F4" s="157"/>
    </row>
    <row r="5" spans="1:7">
      <c r="A5" s="189">
        <f>D77</f>
        <v>28000.300000000003</v>
      </c>
      <c r="B5" s="157"/>
      <c r="C5" s="204">
        <f>'Ago 2026'!T5+'Set 2026'!T5+'Out 2026'!T5+'Nov 2026'!T5+'Dez 2026'!T5</f>
        <v>5063.45</v>
      </c>
      <c r="D5" s="157"/>
      <c r="E5" s="205">
        <f>C5-A5</f>
        <v>-22936.850000000002</v>
      </c>
      <c r="F5" s="157"/>
    </row>
    <row r="6" spans="1:7">
      <c r="A6" s="157"/>
      <c r="B6" s="157"/>
      <c r="C6" s="157"/>
      <c r="D6" s="157"/>
      <c r="E6" s="157"/>
      <c r="F6" s="157"/>
    </row>
    <row r="9" spans="1:7" ht="21.95" customHeight="1">
      <c r="A9" s="201" t="s">
        <v>184</v>
      </c>
      <c r="B9" s="157"/>
      <c r="C9" s="157"/>
      <c r="D9" s="157"/>
      <c r="E9" s="157"/>
      <c r="F9" s="157"/>
      <c r="G9" s="157"/>
    </row>
    <row r="10" spans="1:7" ht="26.1" customHeight="1">
      <c r="A10" s="111" t="s">
        <v>185</v>
      </c>
      <c r="B10" s="111" t="s">
        <v>116</v>
      </c>
      <c r="C10" s="111" t="s">
        <v>186</v>
      </c>
      <c r="D10" s="111" t="s">
        <v>97</v>
      </c>
      <c r="E10" s="111" t="s">
        <v>187</v>
      </c>
      <c r="F10" s="111" t="s">
        <v>188</v>
      </c>
      <c r="G10" s="111" t="s">
        <v>189</v>
      </c>
    </row>
    <row r="11" spans="1:7">
      <c r="A11" s="78" t="s">
        <v>190</v>
      </c>
      <c r="B11" s="78" t="s">
        <v>191</v>
      </c>
      <c r="C11" s="77"/>
      <c r="D11" s="79">
        <f>'Capital de Giro (BB)'!C5</f>
        <v>0</v>
      </c>
      <c r="E11" s="112" t="s">
        <v>192</v>
      </c>
      <c r="F11" s="112" t="str">
        <f t="shared" ref="F11:F42" ca="1" si="0">IF(OR($E11="Pago",$C11=""),"",MAX(0,TODAY()-$C11))</f>
        <v/>
      </c>
      <c r="G11" s="78" t="s">
        <v>193</v>
      </c>
    </row>
    <row r="12" spans="1:7">
      <c r="A12" s="82" t="s">
        <v>194</v>
      </c>
      <c r="B12" s="82" t="s">
        <v>195</v>
      </c>
      <c r="C12" s="81">
        <v>46264</v>
      </c>
      <c r="D12" s="83">
        <v>878.93</v>
      </c>
      <c r="E12" s="113" t="s">
        <v>192</v>
      </c>
      <c r="F12" s="113" t="str">
        <f t="shared" ca="1" si="0"/>
        <v/>
      </c>
      <c r="G12" s="82" t="s">
        <v>196</v>
      </c>
    </row>
    <row r="13" spans="1:7">
      <c r="A13" s="78" t="s">
        <v>197</v>
      </c>
      <c r="B13" s="78" t="s">
        <v>198</v>
      </c>
      <c r="C13" s="77">
        <v>46266</v>
      </c>
      <c r="D13" s="79">
        <v>50.08</v>
      </c>
      <c r="E13" s="112" t="s">
        <v>192</v>
      </c>
      <c r="F13" s="112" t="str">
        <f t="shared" ca="1" si="0"/>
        <v/>
      </c>
      <c r="G13" s="78" t="s">
        <v>199</v>
      </c>
    </row>
    <row r="14" spans="1:7">
      <c r="A14" s="82" t="s">
        <v>200</v>
      </c>
      <c r="B14" s="82" t="s">
        <v>201</v>
      </c>
      <c r="C14" s="81">
        <v>46266</v>
      </c>
      <c r="D14" s="83">
        <v>880</v>
      </c>
      <c r="E14" s="113" t="s">
        <v>192</v>
      </c>
      <c r="F14" s="113" t="str">
        <f t="shared" ca="1" si="0"/>
        <v/>
      </c>
      <c r="G14" s="82" t="s">
        <v>202</v>
      </c>
    </row>
    <row r="15" spans="1:7">
      <c r="A15" s="78" t="s">
        <v>203</v>
      </c>
      <c r="B15" s="78" t="s">
        <v>204</v>
      </c>
      <c r="C15" s="77">
        <v>46266</v>
      </c>
      <c r="D15" s="79">
        <v>1571.32</v>
      </c>
      <c r="E15" s="112" t="s">
        <v>192</v>
      </c>
      <c r="F15" s="112" t="str">
        <f t="shared" ca="1" si="0"/>
        <v/>
      </c>
      <c r="G15" s="78" t="s">
        <v>205</v>
      </c>
    </row>
    <row r="16" spans="1:7">
      <c r="A16" s="82" t="s">
        <v>206</v>
      </c>
      <c r="B16" s="82" t="s">
        <v>207</v>
      </c>
      <c r="C16" s="81">
        <v>46266</v>
      </c>
      <c r="D16" s="83">
        <v>600</v>
      </c>
      <c r="E16" s="113" t="s">
        <v>192</v>
      </c>
      <c r="F16" s="113" t="str">
        <f t="shared" ca="1" si="0"/>
        <v/>
      </c>
      <c r="G16" s="82" t="s">
        <v>208</v>
      </c>
    </row>
    <row r="17" spans="1:7">
      <c r="A17" s="78" t="s">
        <v>209</v>
      </c>
      <c r="B17" s="78" t="s">
        <v>210</v>
      </c>
      <c r="C17" s="77">
        <v>46267</v>
      </c>
      <c r="D17" s="79">
        <v>1385.85</v>
      </c>
      <c r="E17" s="112" t="s">
        <v>192</v>
      </c>
      <c r="F17" s="112" t="str">
        <f t="shared" ca="1" si="0"/>
        <v/>
      </c>
      <c r="G17" s="78" t="s">
        <v>211</v>
      </c>
    </row>
    <row r="18" spans="1:7">
      <c r="A18" s="82" t="s">
        <v>212</v>
      </c>
      <c r="B18" s="82" t="s">
        <v>213</v>
      </c>
      <c r="C18" s="81">
        <v>46268</v>
      </c>
      <c r="D18" s="83">
        <v>706.67</v>
      </c>
      <c r="E18" s="113" t="s">
        <v>192</v>
      </c>
      <c r="F18" s="113" t="str">
        <f t="shared" ca="1" si="0"/>
        <v/>
      </c>
      <c r="G18" s="82" t="s">
        <v>214</v>
      </c>
    </row>
    <row r="19" spans="1:7">
      <c r="A19" s="78" t="s">
        <v>194</v>
      </c>
      <c r="B19" s="78" t="s">
        <v>215</v>
      </c>
      <c r="C19" s="77">
        <v>46269</v>
      </c>
      <c r="D19" s="79">
        <v>980.83</v>
      </c>
      <c r="E19" s="112" t="s">
        <v>192</v>
      </c>
      <c r="F19" s="112" t="str">
        <f t="shared" ca="1" si="0"/>
        <v/>
      </c>
      <c r="G19" s="78" t="s">
        <v>216</v>
      </c>
    </row>
    <row r="20" spans="1:7">
      <c r="A20" s="82" t="s">
        <v>217</v>
      </c>
      <c r="B20" s="82" t="s">
        <v>218</v>
      </c>
      <c r="C20" s="81">
        <v>46273</v>
      </c>
      <c r="D20" s="83">
        <v>150.06</v>
      </c>
      <c r="E20" s="113" t="s">
        <v>192</v>
      </c>
      <c r="F20" s="113" t="str">
        <f t="shared" ca="1" si="0"/>
        <v/>
      </c>
      <c r="G20" s="82" t="s">
        <v>219</v>
      </c>
    </row>
    <row r="21" spans="1:7">
      <c r="A21" s="78" t="s">
        <v>194</v>
      </c>
      <c r="B21" s="78" t="s">
        <v>220</v>
      </c>
      <c r="C21" s="77">
        <v>46273</v>
      </c>
      <c r="D21" s="79">
        <v>878.92</v>
      </c>
      <c r="E21" s="112" t="s">
        <v>192</v>
      </c>
      <c r="F21" s="112" t="str">
        <f t="shared" ca="1" si="0"/>
        <v/>
      </c>
      <c r="G21" s="78" t="s">
        <v>221</v>
      </c>
    </row>
    <row r="22" spans="1:7">
      <c r="A22" s="82" t="s">
        <v>209</v>
      </c>
      <c r="B22" s="82" t="s">
        <v>222</v>
      </c>
      <c r="C22" s="81">
        <v>46274</v>
      </c>
      <c r="D22" s="83">
        <v>649.83000000000004</v>
      </c>
      <c r="E22" s="113" t="s">
        <v>192</v>
      </c>
      <c r="F22" s="113" t="str">
        <f t="shared" ca="1" si="0"/>
        <v/>
      </c>
      <c r="G22" s="82" t="s">
        <v>223</v>
      </c>
    </row>
    <row r="23" spans="1:7">
      <c r="A23" s="78" t="s">
        <v>224</v>
      </c>
      <c r="B23" s="78" t="s">
        <v>225</v>
      </c>
      <c r="C23" s="77">
        <v>46275</v>
      </c>
      <c r="D23" s="79">
        <v>59.5</v>
      </c>
      <c r="E23" s="112" t="s">
        <v>192</v>
      </c>
      <c r="F23" s="112" t="str">
        <f t="shared" ca="1" si="0"/>
        <v/>
      </c>
      <c r="G23" s="78" t="s">
        <v>226</v>
      </c>
    </row>
    <row r="24" spans="1:7">
      <c r="A24" s="82" t="s">
        <v>227</v>
      </c>
      <c r="B24" s="82" t="s">
        <v>228</v>
      </c>
      <c r="C24" s="81">
        <v>46280</v>
      </c>
      <c r="D24" s="83">
        <v>486.32</v>
      </c>
      <c r="E24" s="113" t="s">
        <v>192</v>
      </c>
      <c r="F24" s="113" t="str">
        <f t="shared" ca="1" si="0"/>
        <v/>
      </c>
      <c r="G24" s="82" t="s">
        <v>229</v>
      </c>
    </row>
    <row r="25" spans="1:7">
      <c r="A25" s="78" t="s">
        <v>230</v>
      </c>
      <c r="B25" s="78" t="s">
        <v>231</v>
      </c>
      <c r="C25" s="77">
        <v>46281</v>
      </c>
      <c r="D25" s="79">
        <v>292.68</v>
      </c>
      <c r="E25" s="112" t="s">
        <v>192</v>
      </c>
      <c r="F25" s="113" t="str">
        <f t="shared" ca="1" si="0"/>
        <v/>
      </c>
      <c r="G25" s="78" t="s">
        <v>232</v>
      </c>
    </row>
    <row r="26" spans="1:7">
      <c r="A26" s="82" t="s">
        <v>233</v>
      </c>
      <c r="B26" s="82" t="s">
        <v>234</v>
      </c>
      <c r="C26" s="81">
        <v>46283</v>
      </c>
      <c r="D26" s="83">
        <v>136</v>
      </c>
      <c r="E26" s="113" t="s">
        <v>192</v>
      </c>
      <c r="F26" s="113" t="str">
        <f t="shared" ca="1" si="0"/>
        <v/>
      </c>
      <c r="G26" s="82" t="s">
        <v>235</v>
      </c>
    </row>
    <row r="27" spans="1:7">
      <c r="A27" s="78" t="s">
        <v>236</v>
      </c>
      <c r="B27" s="78" t="s">
        <v>237</v>
      </c>
      <c r="C27" s="77">
        <v>46283</v>
      </c>
      <c r="D27" s="79">
        <v>306.99</v>
      </c>
      <c r="E27" s="112" t="s">
        <v>192</v>
      </c>
      <c r="F27" s="112" t="str">
        <f t="shared" ca="1" si="0"/>
        <v/>
      </c>
      <c r="G27" s="78" t="s">
        <v>238</v>
      </c>
    </row>
    <row r="28" spans="1:7">
      <c r="A28" s="82" t="s">
        <v>194</v>
      </c>
      <c r="B28" s="82" t="s">
        <v>239</v>
      </c>
      <c r="C28" s="81">
        <v>46280</v>
      </c>
      <c r="D28" s="83">
        <v>980.83</v>
      </c>
      <c r="E28" s="113" t="s">
        <v>192</v>
      </c>
      <c r="F28" s="113" t="str">
        <f t="shared" ca="1" si="0"/>
        <v/>
      </c>
      <c r="G28" s="82" t="s">
        <v>240</v>
      </c>
    </row>
    <row r="29" spans="1:7">
      <c r="A29" s="78" t="s">
        <v>194</v>
      </c>
      <c r="B29" s="78" t="s">
        <v>241</v>
      </c>
      <c r="C29" s="77">
        <v>46290</v>
      </c>
      <c r="D29" s="79">
        <v>940.06</v>
      </c>
      <c r="E29" s="112" t="s">
        <v>242</v>
      </c>
      <c r="F29" s="112">
        <f t="shared" ca="1" si="0"/>
        <v>0</v>
      </c>
      <c r="G29" s="78" t="s">
        <v>243</v>
      </c>
    </row>
    <row r="30" spans="1:7">
      <c r="A30" s="82" t="s">
        <v>194</v>
      </c>
      <c r="B30" s="82" t="s">
        <v>244</v>
      </c>
      <c r="C30" s="81">
        <v>46299</v>
      </c>
      <c r="D30" s="83">
        <v>980.81</v>
      </c>
      <c r="E30" s="113" t="s">
        <v>242</v>
      </c>
      <c r="F30" s="113">
        <f t="shared" ca="1" si="0"/>
        <v>0</v>
      </c>
      <c r="G30" s="82" t="s">
        <v>245</v>
      </c>
    </row>
    <row r="31" spans="1:7">
      <c r="A31" s="78" t="s">
        <v>194</v>
      </c>
      <c r="B31" s="78" t="s">
        <v>246</v>
      </c>
      <c r="C31" s="77">
        <v>46303</v>
      </c>
      <c r="D31" s="79">
        <v>878.92</v>
      </c>
      <c r="E31" s="112" t="s">
        <v>242</v>
      </c>
      <c r="F31" s="112">
        <f t="shared" ca="1" si="0"/>
        <v>0</v>
      </c>
      <c r="G31" s="78" t="s">
        <v>247</v>
      </c>
    </row>
    <row r="32" spans="1:7">
      <c r="A32" s="82" t="s">
        <v>194</v>
      </c>
      <c r="B32" s="82" t="s">
        <v>248</v>
      </c>
      <c r="C32" s="81">
        <v>46310</v>
      </c>
      <c r="D32" s="83">
        <v>980.83</v>
      </c>
      <c r="E32" s="113" t="s">
        <v>242</v>
      </c>
      <c r="F32" s="113">
        <f t="shared" ca="1" si="0"/>
        <v>0</v>
      </c>
      <c r="G32" s="82" t="s">
        <v>249</v>
      </c>
    </row>
    <row r="33" spans="1:7">
      <c r="A33" s="78" t="s">
        <v>194</v>
      </c>
      <c r="B33" s="78" t="s">
        <v>250</v>
      </c>
      <c r="C33" s="77">
        <v>46320</v>
      </c>
      <c r="D33" s="79">
        <v>940.06</v>
      </c>
      <c r="E33" s="112" t="s">
        <v>242</v>
      </c>
      <c r="F33" s="112">
        <f t="shared" ca="1" si="0"/>
        <v>0</v>
      </c>
      <c r="G33" s="78" t="s">
        <v>251</v>
      </c>
    </row>
    <row r="34" spans="1:7">
      <c r="A34" s="82" t="s">
        <v>194</v>
      </c>
      <c r="B34" s="82" t="s">
        <v>252</v>
      </c>
      <c r="C34" s="81">
        <v>46333</v>
      </c>
      <c r="D34" s="83">
        <v>878.93</v>
      </c>
      <c r="E34" s="113" t="s">
        <v>242</v>
      </c>
      <c r="F34" s="113">
        <f t="shared" ca="1" si="0"/>
        <v>0</v>
      </c>
      <c r="G34" s="82" t="s">
        <v>253</v>
      </c>
    </row>
    <row r="35" spans="1:7">
      <c r="A35" s="78" t="s">
        <v>212</v>
      </c>
      <c r="B35" s="78" t="s">
        <v>254</v>
      </c>
      <c r="C35" s="77">
        <v>46280</v>
      </c>
      <c r="D35" s="79">
        <v>892.3</v>
      </c>
      <c r="E35" s="112" t="s">
        <v>192</v>
      </c>
      <c r="F35" s="112" t="str">
        <f t="shared" ca="1" si="0"/>
        <v/>
      </c>
      <c r="G35" s="78" t="s">
        <v>255</v>
      </c>
    </row>
    <row r="36" spans="1:7">
      <c r="A36" s="82" t="s">
        <v>212</v>
      </c>
      <c r="B36" s="82" t="s">
        <v>256</v>
      </c>
      <c r="C36" s="81">
        <v>46281</v>
      </c>
      <c r="D36" s="83">
        <v>139.31</v>
      </c>
      <c r="E36" s="113" t="s">
        <v>192</v>
      </c>
      <c r="F36" s="113" t="str">
        <f t="shared" ca="1" si="0"/>
        <v/>
      </c>
      <c r="G36" s="82" t="s">
        <v>257</v>
      </c>
    </row>
    <row r="37" spans="1:7">
      <c r="A37" s="78" t="s">
        <v>212</v>
      </c>
      <c r="B37" s="78" t="s">
        <v>258</v>
      </c>
      <c r="C37" s="77">
        <v>46281</v>
      </c>
      <c r="D37" s="79">
        <v>865.5</v>
      </c>
      <c r="E37" s="112" t="s">
        <v>192</v>
      </c>
      <c r="F37" s="112" t="str">
        <f t="shared" ca="1" si="0"/>
        <v/>
      </c>
      <c r="G37" s="78" t="s">
        <v>259</v>
      </c>
    </row>
    <row r="38" spans="1:7">
      <c r="A38" s="82" t="s">
        <v>212</v>
      </c>
      <c r="B38" s="82" t="s">
        <v>260</v>
      </c>
      <c r="C38" s="81">
        <v>46281</v>
      </c>
      <c r="D38" s="83">
        <v>856.35</v>
      </c>
      <c r="E38" s="113" t="s">
        <v>192</v>
      </c>
      <c r="F38" s="113" t="str">
        <f t="shared" ca="1" si="0"/>
        <v/>
      </c>
      <c r="G38" s="82" t="s">
        <v>261</v>
      </c>
    </row>
    <row r="39" spans="1:7" ht="21.95" customHeight="1">
      <c r="A39" s="78" t="s">
        <v>212</v>
      </c>
      <c r="B39" s="78" t="s">
        <v>262</v>
      </c>
      <c r="C39" s="77">
        <v>46285</v>
      </c>
      <c r="D39" s="79">
        <v>874.68</v>
      </c>
      <c r="E39" s="112" t="s">
        <v>192</v>
      </c>
      <c r="F39" s="112" t="str">
        <f t="shared" ca="1" si="0"/>
        <v/>
      </c>
      <c r="G39" s="78" t="s">
        <v>263</v>
      </c>
    </row>
    <row r="40" spans="1:7">
      <c r="A40" s="82" t="s">
        <v>212</v>
      </c>
      <c r="B40" s="82" t="s">
        <v>264</v>
      </c>
      <c r="C40" s="81">
        <v>46310</v>
      </c>
      <c r="D40" s="83">
        <v>892.3</v>
      </c>
      <c r="E40" s="113" t="s">
        <v>242</v>
      </c>
      <c r="F40" s="113">
        <f t="shared" ca="1" si="0"/>
        <v>0</v>
      </c>
      <c r="G40" s="82" t="s">
        <v>265</v>
      </c>
    </row>
    <row r="41" spans="1:7" ht="26.1" customHeight="1">
      <c r="A41" s="78" t="s">
        <v>212</v>
      </c>
      <c r="B41" s="78" t="s">
        <v>266</v>
      </c>
      <c r="C41" s="77">
        <v>46311</v>
      </c>
      <c r="D41" s="79">
        <v>139.32</v>
      </c>
      <c r="E41" s="112" t="s">
        <v>242</v>
      </c>
      <c r="F41" s="112">
        <f t="shared" ca="1" si="0"/>
        <v>0</v>
      </c>
      <c r="G41" s="78" t="s">
        <v>267</v>
      </c>
    </row>
    <row r="42" spans="1:7">
      <c r="A42" s="82" t="s">
        <v>212</v>
      </c>
      <c r="B42" s="82" t="s">
        <v>268</v>
      </c>
      <c r="C42" s="81">
        <v>46311</v>
      </c>
      <c r="D42" s="83">
        <v>865.52</v>
      </c>
      <c r="E42" s="113" t="s">
        <v>242</v>
      </c>
      <c r="F42" s="113">
        <f t="shared" ca="1" si="0"/>
        <v>0</v>
      </c>
      <c r="G42" s="82" t="s">
        <v>269</v>
      </c>
    </row>
    <row r="43" spans="1:7">
      <c r="A43" s="78" t="s">
        <v>212</v>
      </c>
      <c r="B43" s="78" t="s">
        <v>270</v>
      </c>
      <c r="C43" s="77">
        <v>46311</v>
      </c>
      <c r="D43" s="79">
        <v>856.34</v>
      </c>
      <c r="E43" s="112" t="s">
        <v>242</v>
      </c>
      <c r="F43" s="112">
        <f t="shared" ref="F43:F74" ca="1" si="1">IF(OR($E43="Pago",$C43=""),"",MAX(0,TODAY()-$C43))</f>
        <v>0</v>
      </c>
      <c r="G43" s="78" t="s">
        <v>271</v>
      </c>
    </row>
    <row r="44" spans="1:7">
      <c r="A44" s="82" t="s">
        <v>212</v>
      </c>
      <c r="B44" s="82" t="s">
        <v>272</v>
      </c>
      <c r="C44" s="81">
        <v>46315</v>
      </c>
      <c r="D44" s="83">
        <v>874.68</v>
      </c>
      <c r="E44" s="113" t="s">
        <v>242</v>
      </c>
      <c r="F44" s="113">
        <f t="shared" ca="1" si="1"/>
        <v>0</v>
      </c>
      <c r="G44" s="82" t="s">
        <v>273</v>
      </c>
    </row>
    <row r="45" spans="1:7">
      <c r="A45" s="139" t="s">
        <v>194</v>
      </c>
      <c r="B45" s="139" t="s">
        <v>274</v>
      </c>
      <c r="C45" s="140">
        <v>46340</v>
      </c>
      <c r="D45" s="141">
        <v>980.83</v>
      </c>
      <c r="E45" s="142" t="s">
        <v>275</v>
      </c>
      <c r="F45" s="143">
        <f t="shared" ca="1" si="1"/>
        <v>0</v>
      </c>
      <c r="G45" s="139" t="s">
        <v>276</v>
      </c>
    </row>
    <row r="46" spans="1:7">
      <c r="A46" s="139" t="s">
        <v>212</v>
      </c>
      <c r="B46" s="139" t="s">
        <v>277</v>
      </c>
      <c r="C46" s="140">
        <v>46340</v>
      </c>
      <c r="D46" s="141">
        <v>892.3</v>
      </c>
      <c r="E46" s="142" t="s">
        <v>275</v>
      </c>
      <c r="F46" s="143">
        <f t="shared" ca="1" si="1"/>
        <v>0</v>
      </c>
      <c r="G46" s="139" t="s">
        <v>278</v>
      </c>
    </row>
    <row r="47" spans="1:7">
      <c r="A47" s="139" t="s">
        <v>212</v>
      </c>
      <c r="B47" s="139" t="s">
        <v>279</v>
      </c>
      <c r="C47" s="140">
        <v>46345</v>
      </c>
      <c r="D47" s="141">
        <v>874.68</v>
      </c>
      <c r="E47" s="142" t="s">
        <v>275</v>
      </c>
      <c r="F47" s="143">
        <f t="shared" ca="1" si="1"/>
        <v>0</v>
      </c>
      <c r="G47" s="139" t="s">
        <v>280</v>
      </c>
    </row>
    <row r="48" spans="1:7">
      <c r="A48" s="139" t="s">
        <v>194</v>
      </c>
      <c r="B48" s="139" t="s">
        <v>281</v>
      </c>
      <c r="C48" s="140">
        <v>46350</v>
      </c>
      <c r="D48" s="141">
        <v>940.06</v>
      </c>
      <c r="E48" s="142" t="s">
        <v>275</v>
      </c>
      <c r="F48" s="143">
        <f t="shared" ca="1" si="1"/>
        <v>0</v>
      </c>
      <c r="G48" s="139" t="s">
        <v>282</v>
      </c>
    </row>
    <row r="49" spans="1:7">
      <c r="A49" s="139" t="s">
        <v>212</v>
      </c>
      <c r="B49" s="139" t="s">
        <v>283</v>
      </c>
      <c r="C49" s="140">
        <v>46370</v>
      </c>
      <c r="D49" s="141">
        <v>892.29</v>
      </c>
      <c r="E49" s="142" t="s">
        <v>275</v>
      </c>
      <c r="F49" s="143">
        <f t="shared" ca="1" si="1"/>
        <v>0</v>
      </c>
      <c r="G49" s="139" t="s">
        <v>278</v>
      </c>
    </row>
    <row r="50" spans="1:7">
      <c r="A50" s="139" t="s">
        <v>194</v>
      </c>
      <c r="B50" s="139" t="s">
        <v>284</v>
      </c>
      <c r="C50" s="140">
        <v>46370</v>
      </c>
      <c r="D50" s="141">
        <v>980.81</v>
      </c>
      <c r="E50" s="142" t="s">
        <v>275</v>
      </c>
      <c r="F50" s="143">
        <f t="shared" ca="1" si="1"/>
        <v>0</v>
      </c>
      <c r="G50" s="139" t="s">
        <v>276</v>
      </c>
    </row>
    <row r="51" spans="1:7">
      <c r="A51" s="139" t="s">
        <v>194</v>
      </c>
      <c r="B51" s="139" t="s">
        <v>285</v>
      </c>
      <c r="C51" s="140">
        <v>46380</v>
      </c>
      <c r="D51" s="141">
        <v>940.06</v>
      </c>
      <c r="E51" s="142" t="s">
        <v>275</v>
      </c>
      <c r="F51" s="143">
        <f t="shared" ca="1" si="1"/>
        <v>0</v>
      </c>
      <c r="G51" s="139" t="s">
        <v>282</v>
      </c>
    </row>
    <row r="52" spans="1:7">
      <c r="A52" s="139" t="s">
        <v>194</v>
      </c>
      <c r="B52" s="139" t="s">
        <v>286</v>
      </c>
      <c r="C52" s="140">
        <v>46410</v>
      </c>
      <c r="D52" s="141">
        <v>940.08</v>
      </c>
      <c r="E52" s="142" t="s">
        <v>275</v>
      </c>
      <c r="F52" s="143">
        <f t="shared" ca="1" si="1"/>
        <v>0</v>
      </c>
      <c r="G52" s="139" t="s">
        <v>282</v>
      </c>
    </row>
    <row r="53" spans="1:7">
      <c r="A53" s="78" t="s">
        <v>209</v>
      </c>
      <c r="B53" s="78" t="s">
        <v>287</v>
      </c>
      <c r="C53" s="77">
        <v>46281</v>
      </c>
      <c r="D53" s="79">
        <v>1385.85</v>
      </c>
      <c r="E53" s="112" t="s">
        <v>192</v>
      </c>
      <c r="F53" s="112" t="str">
        <f t="shared" ca="1" si="1"/>
        <v/>
      </c>
      <c r="G53" s="78" t="s">
        <v>288</v>
      </c>
    </row>
    <row r="54" spans="1:7">
      <c r="A54" s="82" t="s">
        <v>289</v>
      </c>
      <c r="B54" s="82" t="s">
        <v>290</v>
      </c>
      <c r="C54" s="81">
        <v>46280</v>
      </c>
      <c r="D54" s="83">
        <v>75</v>
      </c>
      <c r="E54" s="113" t="s">
        <v>192</v>
      </c>
      <c r="F54" s="113" t="str">
        <f t="shared" ca="1" si="1"/>
        <v/>
      </c>
      <c r="G54" s="82" t="s">
        <v>291</v>
      </c>
    </row>
    <row r="55" spans="1:7">
      <c r="A55" s="78" t="s">
        <v>292</v>
      </c>
      <c r="B55" s="78" t="s">
        <v>293</v>
      </c>
      <c r="C55" s="77">
        <v>46280</v>
      </c>
      <c r="D55" s="79">
        <v>69.989999999999995</v>
      </c>
      <c r="E55" s="112" t="s">
        <v>192</v>
      </c>
      <c r="F55" s="112" t="str">
        <f t="shared" ca="1" si="1"/>
        <v/>
      </c>
      <c r="G55" s="78" t="s">
        <v>294</v>
      </c>
    </row>
    <row r="56" spans="1:7">
      <c r="A56" s="82" t="s">
        <v>209</v>
      </c>
      <c r="B56" s="82" t="s">
        <v>295</v>
      </c>
      <c r="C56" s="81">
        <v>46288</v>
      </c>
      <c r="D56" s="83">
        <v>537.92999999999995</v>
      </c>
      <c r="E56" s="113" t="s">
        <v>242</v>
      </c>
      <c r="F56" s="113">
        <f t="shared" ca="1" si="1"/>
        <v>0</v>
      </c>
      <c r="G56" s="82" t="s">
        <v>296</v>
      </c>
    </row>
    <row r="57" spans="1:7">
      <c r="A57" s="78" t="s">
        <v>197</v>
      </c>
      <c r="B57" s="78" t="s">
        <v>297</v>
      </c>
      <c r="C57" s="77">
        <v>46296</v>
      </c>
      <c r="D57" s="79">
        <v>91</v>
      </c>
      <c r="E57" s="112" t="s">
        <v>242</v>
      </c>
      <c r="F57" s="112">
        <f t="shared" ca="1" si="1"/>
        <v>0</v>
      </c>
      <c r="G57" s="78" t="s">
        <v>298</v>
      </c>
    </row>
    <row r="58" spans="1:7">
      <c r="A58" s="82" t="s">
        <v>209</v>
      </c>
      <c r="B58" s="82" t="s">
        <v>299</v>
      </c>
      <c r="C58" s="81">
        <v>46302</v>
      </c>
      <c r="D58" s="83">
        <v>537.92999999999995</v>
      </c>
      <c r="E58" s="113" t="s">
        <v>242</v>
      </c>
      <c r="F58" s="113">
        <f t="shared" ca="1" si="1"/>
        <v>0</v>
      </c>
      <c r="G58" s="82" t="s">
        <v>300</v>
      </c>
    </row>
    <row r="59" spans="1:7">
      <c r="A59" s="78" t="s">
        <v>209</v>
      </c>
      <c r="B59" s="78" t="s">
        <v>301</v>
      </c>
      <c r="C59" s="77">
        <v>46316</v>
      </c>
      <c r="D59" s="79">
        <v>537.92999999999995</v>
      </c>
      <c r="E59" s="112" t="s">
        <v>242</v>
      </c>
      <c r="F59" s="112">
        <f t="shared" ca="1" si="1"/>
        <v>0</v>
      </c>
      <c r="G59" s="78" t="s">
        <v>302</v>
      </c>
    </row>
    <row r="60" spans="1:7">
      <c r="A60" s="139" t="s">
        <v>203</v>
      </c>
      <c r="B60" s="139" t="s">
        <v>303</v>
      </c>
      <c r="C60" s="140">
        <v>46296</v>
      </c>
      <c r="D60" s="141">
        <v>1571.32</v>
      </c>
      <c r="E60" s="142" t="s">
        <v>275</v>
      </c>
      <c r="F60" s="143">
        <f t="shared" ca="1" si="1"/>
        <v>0</v>
      </c>
      <c r="G60" s="139" t="s">
        <v>304</v>
      </c>
    </row>
    <row r="61" spans="1:7">
      <c r="A61" s="139" t="s">
        <v>203</v>
      </c>
      <c r="B61" s="139" t="s">
        <v>305</v>
      </c>
      <c r="C61" s="140">
        <v>46327</v>
      </c>
      <c r="D61" s="141">
        <v>1571.32</v>
      </c>
      <c r="E61" s="142" t="s">
        <v>275</v>
      </c>
      <c r="F61" s="143">
        <f t="shared" ca="1" si="1"/>
        <v>0</v>
      </c>
      <c r="G61" s="139" t="s">
        <v>304</v>
      </c>
    </row>
    <row r="62" spans="1:7">
      <c r="A62" s="82" t="s">
        <v>212</v>
      </c>
      <c r="B62" s="82" t="s">
        <v>306</v>
      </c>
      <c r="C62" s="81">
        <v>46310</v>
      </c>
      <c r="D62" s="83">
        <v>574.27</v>
      </c>
      <c r="E62" s="113" t="s">
        <v>242</v>
      </c>
      <c r="F62" s="113">
        <f t="shared" ca="1" si="1"/>
        <v>0</v>
      </c>
      <c r="G62" s="82" t="s">
        <v>307</v>
      </c>
    </row>
    <row r="63" spans="1:7">
      <c r="A63" s="78" t="s">
        <v>212</v>
      </c>
      <c r="B63" s="78" t="s">
        <v>308</v>
      </c>
      <c r="C63" s="77">
        <v>46340</v>
      </c>
      <c r="D63" s="79">
        <v>574.27</v>
      </c>
      <c r="E63" s="112" t="s">
        <v>242</v>
      </c>
      <c r="F63" s="112">
        <f t="shared" ca="1" si="1"/>
        <v>0</v>
      </c>
      <c r="G63" s="78" t="s">
        <v>309</v>
      </c>
    </row>
    <row r="64" spans="1:7">
      <c r="A64" s="82" t="s">
        <v>212</v>
      </c>
      <c r="B64" s="82" t="s">
        <v>310</v>
      </c>
      <c r="C64" s="81">
        <v>46370</v>
      </c>
      <c r="D64" s="83">
        <v>574.27</v>
      </c>
      <c r="E64" s="113" t="s">
        <v>242</v>
      </c>
      <c r="F64" s="113">
        <f t="shared" ca="1" si="1"/>
        <v>0</v>
      </c>
      <c r="G64" s="82" t="s">
        <v>311</v>
      </c>
    </row>
    <row r="65" spans="1:7">
      <c r="A65" s="78" t="s">
        <v>212</v>
      </c>
      <c r="B65" s="78" t="s">
        <v>312</v>
      </c>
      <c r="C65" s="77">
        <v>46400</v>
      </c>
      <c r="D65" s="79">
        <v>574.27</v>
      </c>
      <c r="E65" s="112" t="s">
        <v>242</v>
      </c>
      <c r="F65" s="112">
        <f t="shared" ca="1" si="1"/>
        <v>0</v>
      </c>
      <c r="G65" s="78" t="s">
        <v>313</v>
      </c>
    </row>
    <row r="66" spans="1:7">
      <c r="A66" s="82" t="s">
        <v>212</v>
      </c>
      <c r="B66" s="82" t="s">
        <v>314</v>
      </c>
      <c r="C66" s="81">
        <v>46430</v>
      </c>
      <c r="D66" s="83">
        <v>574.28</v>
      </c>
      <c r="E66" s="113" t="s">
        <v>242</v>
      </c>
      <c r="F66" s="113">
        <f t="shared" ca="1" si="1"/>
        <v>0</v>
      </c>
      <c r="G66" s="82" t="s">
        <v>315</v>
      </c>
    </row>
    <row r="67" spans="1:7">
      <c r="A67" s="82" t="s">
        <v>316</v>
      </c>
      <c r="B67" s="82" t="s">
        <v>317</v>
      </c>
      <c r="C67" s="81">
        <v>46286</v>
      </c>
      <c r="D67" s="83">
        <v>1958.02</v>
      </c>
      <c r="E67" s="113" t="s">
        <v>192</v>
      </c>
      <c r="F67" s="113" t="str">
        <f t="shared" ca="1" si="1"/>
        <v/>
      </c>
      <c r="G67" s="82" t="s">
        <v>318</v>
      </c>
    </row>
    <row r="68" spans="1:7">
      <c r="A68" s="82" t="s">
        <v>319</v>
      </c>
      <c r="B68" s="82" t="s">
        <v>320</v>
      </c>
      <c r="C68" s="81">
        <v>46290</v>
      </c>
      <c r="D68" s="83">
        <v>1712.7</v>
      </c>
      <c r="E68" s="113" t="s">
        <v>242</v>
      </c>
      <c r="F68" s="113">
        <f t="shared" ca="1" si="1"/>
        <v>0</v>
      </c>
      <c r="G68" s="82" t="s">
        <v>321</v>
      </c>
    </row>
    <row r="69" spans="1:7">
      <c r="A69" s="82" t="s">
        <v>322</v>
      </c>
      <c r="B69" s="82" t="s">
        <v>323</v>
      </c>
      <c r="C69" s="81">
        <v>46290</v>
      </c>
      <c r="D69" s="83">
        <v>74.05</v>
      </c>
      <c r="E69" s="113" t="s">
        <v>242</v>
      </c>
      <c r="F69" s="113">
        <f t="shared" ca="1" si="1"/>
        <v>0</v>
      </c>
      <c r="G69" s="82" t="s">
        <v>324</v>
      </c>
    </row>
    <row r="70" spans="1:7">
      <c r="A70" s="82" t="s">
        <v>209</v>
      </c>
      <c r="B70" s="82" t="s">
        <v>325</v>
      </c>
      <c r="C70" s="81">
        <v>46286</v>
      </c>
      <c r="D70" s="83">
        <v>592.89</v>
      </c>
      <c r="E70" s="113" t="s">
        <v>192</v>
      </c>
      <c r="F70" s="113" t="str">
        <f t="shared" ca="1" si="1"/>
        <v/>
      </c>
      <c r="G70" s="82" t="s">
        <v>326</v>
      </c>
    </row>
    <row r="71" spans="1:7">
      <c r="A71" s="82" t="s">
        <v>209</v>
      </c>
      <c r="B71" s="82" t="s">
        <v>327</v>
      </c>
      <c r="C71" s="81">
        <v>46304</v>
      </c>
      <c r="D71" s="83">
        <v>500.81</v>
      </c>
      <c r="E71" s="113" t="s">
        <v>242</v>
      </c>
      <c r="F71" s="113">
        <f t="shared" ca="1" si="1"/>
        <v>0</v>
      </c>
      <c r="G71" s="82" t="s">
        <v>328</v>
      </c>
    </row>
    <row r="72" spans="1:7">
      <c r="A72" s="82" t="s">
        <v>209</v>
      </c>
      <c r="B72" s="82" t="s">
        <v>329</v>
      </c>
      <c r="C72" s="81">
        <v>46325</v>
      </c>
      <c r="D72" s="83">
        <v>500.81</v>
      </c>
      <c r="E72" s="113" t="s">
        <v>242</v>
      </c>
      <c r="F72" s="113">
        <f t="shared" ca="1" si="1"/>
        <v>0</v>
      </c>
      <c r="G72" s="82" t="s">
        <v>330</v>
      </c>
    </row>
    <row r="73" spans="1:7">
      <c r="A73" s="82" t="s">
        <v>209</v>
      </c>
      <c r="B73" s="82" t="s">
        <v>331</v>
      </c>
      <c r="C73" s="81">
        <v>46346</v>
      </c>
      <c r="D73" s="83">
        <v>500.81</v>
      </c>
      <c r="E73" s="113" t="s">
        <v>242</v>
      </c>
      <c r="F73" s="113">
        <f t="shared" ca="1" si="1"/>
        <v>0</v>
      </c>
      <c r="G73" s="82" t="s">
        <v>332</v>
      </c>
    </row>
    <row r="74" spans="1:7">
      <c r="A74" s="82" t="s">
        <v>230</v>
      </c>
      <c r="B74" s="82" t="s">
        <v>333</v>
      </c>
      <c r="C74" s="81">
        <v>46297</v>
      </c>
      <c r="D74" s="83">
        <v>323.45</v>
      </c>
      <c r="E74" s="113" t="s">
        <v>242</v>
      </c>
      <c r="F74" s="113">
        <f t="shared" ca="1" si="1"/>
        <v>0</v>
      </c>
      <c r="G74" s="82" t="s">
        <v>334</v>
      </c>
    </row>
    <row r="75" spans="1:7">
      <c r="A75" s="86" t="s">
        <v>335</v>
      </c>
      <c r="B75" s="86"/>
      <c r="C75" s="114"/>
      <c r="D75" s="115">
        <f>SUMIF(E11:E74,"Pendente",D11:D74)</f>
        <v>17416.550000000007</v>
      </c>
      <c r="E75" s="116"/>
      <c r="F75" s="116"/>
      <c r="G75" s="86"/>
    </row>
    <row r="76" spans="1:7">
      <c r="A76" s="144" t="s">
        <v>336</v>
      </c>
      <c r="B76" s="144"/>
      <c r="C76" s="145"/>
      <c r="D76" s="146">
        <f>SUMIF(E11:E74,"Previsto",D11:D74)</f>
        <v>10583.749999999998</v>
      </c>
      <c r="E76" s="142"/>
      <c r="F76" s="142"/>
      <c r="G76" s="144"/>
    </row>
    <row r="77" spans="1:7">
      <c r="A77" s="86" t="s">
        <v>337</v>
      </c>
      <c r="B77" s="86"/>
      <c r="C77" s="114"/>
      <c r="D77" s="115">
        <f>D75+D76</f>
        <v>28000.300000000003</v>
      </c>
      <c r="E77" s="116"/>
      <c r="F77" s="116"/>
      <c r="G77" s="86"/>
    </row>
    <row r="79" spans="1:7" ht="15.75" customHeight="1"/>
    <row r="80" spans="1:7" ht="15.75">
      <c r="A80" s="200" t="s">
        <v>338</v>
      </c>
      <c r="B80" s="157"/>
      <c r="C80" s="157"/>
      <c r="D80" s="157"/>
      <c r="E80" s="157"/>
      <c r="F80" s="157"/>
      <c r="G80" s="157"/>
    </row>
    <row r="81" spans="1:7">
      <c r="A81" s="194" t="s">
        <v>339</v>
      </c>
      <c r="B81" s="157"/>
      <c r="C81" s="157"/>
      <c r="D81" s="157"/>
      <c r="E81" s="157"/>
      <c r="F81" s="157"/>
      <c r="G81" s="157"/>
    </row>
    <row r="82" spans="1:7">
      <c r="A82" s="111" t="s">
        <v>340</v>
      </c>
      <c r="B82" s="111" t="s">
        <v>341</v>
      </c>
      <c r="C82" s="111" t="s">
        <v>342</v>
      </c>
      <c r="D82" s="111" t="s">
        <v>97</v>
      </c>
      <c r="E82" s="111" t="s">
        <v>187</v>
      </c>
      <c r="F82" s="111" t="s">
        <v>188</v>
      </c>
      <c r="G82" s="111" t="s">
        <v>189</v>
      </c>
    </row>
    <row r="83" spans="1:7">
      <c r="A83" s="78" t="s">
        <v>343</v>
      </c>
      <c r="B83" s="78" t="s">
        <v>344</v>
      </c>
      <c r="C83" s="77">
        <v>46239</v>
      </c>
      <c r="D83" s="79">
        <v>140</v>
      </c>
      <c r="E83" s="112" t="s">
        <v>242</v>
      </c>
      <c r="F83" s="112">
        <f t="shared" ref="F83:F124" ca="1" si="2">IF(OR($E83="Recebido",$C83=""),"",MAX(0,TODAY()-$C83))</f>
        <v>48</v>
      </c>
      <c r="G83" s="78"/>
    </row>
    <row r="84" spans="1:7">
      <c r="A84" s="82" t="s">
        <v>345</v>
      </c>
      <c r="B84" s="82" t="s">
        <v>346</v>
      </c>
      <c r="C84" s="81">
        <v>46239</v>
      </c>
      <c r="D84" s="83">
        <v>280</v>
      </c>
      <c r="E84" s="113" t="s">
        <v>242</v>
      </c>
      <c r="F84" s="113">
        <f t="shared" ca="1" si="2"/>
        <v>48</v>
      </c>
      <c r="G84" s="82"/>
    </row>
    <row r="85" spans="1:7">
      <c r="A85" s="78" t="s">
        <v>347</v>
      </c>
      <c r="B85" s="78" t="s">
        <v>348</v>
      </c>
      <c r="C85" s="77">
        <v>46245</v>
      </c>
      <c r="D85" s="79">
        <v>820</v>
      </c>
      <c r="E85" s="112" t="s">
        <v>349</v>
      </c>
      <c r="F85" s="112" t="str">
        <f t="shared" ca="1" si="2"/>
        <v/>
      </c>
      <c r="G85" s="78" t="s">
        <v>350</v>
      </c>
    </row>
    <row r="86" spans="1:7">
      <c r="A86" s="82" t="s">
        <v>351</v>
      </c>
      <c r="B86" s="82" t="s">
        <v>352</v>
      </c>
      <c r="C86" s="81">
        <v>46251</v>
      </c>
      <c r="D86" s="83">
        <v>700</v>
      </c>
      <c r="E86" s="113" t="s">
        <v>349</v>
      </c>
      <c r="F86" s="113" t="str">
        <f t="shared" ca="1" si="2"/>
        <v/>
      </c>
      <c r="G86" s="82" t="s">
        <v>353</v>
      </c>
    </row>
    <row r="87" spans="1:7">
      <c r="A87" s="78" t="s">
        <v>354</v>
      </c>
      <c r="B87" s="78" t="s">
        <v>355</v>
      </c>
      <c r="C87" s="77">
        <v>46254</v>
      </c>
      <c r="D87" s="79">
        <v>140</v>
      </c>
      <c r="E87" s="112" t="s">
        <v>349</v>
      </c>
      <c r="F87" s="112" t="str">
        <f t="shared" ca="1" si="2"/>
        <v/>
      </c>
      <c r="G87" s="78" t="s">
        <v>356</v>
      </c>
    </row>
    <row r="88" spans="1:7">
      <c r="A88" s="82" t="s">
        <v>354</v>
      </c>
      <c r="B88" s="82" t="s">
        <v>357</v>
      </c>
      <c r="C88" s="81">
        <v>46255</v>
      </c>
      <c r="D88" s="83">
        <v>40</v>
      </c>
      <c r="E88" s="113" t="s">
        <v>349</v>
      </c>
      <c r="F88" s="113" t="str">
        <f t="shared" ca="1" si="2"/>
        <v/>
      </c>
      <c r="G88" s="82" t="s">
        <v>356</v>
      </c>
    </row>
    <row r="89" spans="1:7">
      <c r="A89" s="78" t="s">
        <v>358</v>
      </c>
      <c r="B89" s="78" t="s">
        <v>359</v>
      </c>
      <c r="C89" s="77">
        <v>46258</v>
      </c>
      <c r="D89" s="79">
        <v>480</v>
      </c>
      <c r="E89" s="112" t="s">
        <v>349</v>
      </c>
      <c r="F89" s="112" t="str">
        <f t="shared" ca="1" si="2"/>
        <v/>
      </c>
      <c r="G89" s="78" t="s">
        <v>360</v>
      </c>
    </row>
    <row r="90" spans="1:7">
      <c r="A90" s="82" t="s">
        <v>361</v>
      </c>
      <c r="B90" s="82" t="s">
        <v>344</v>
      </c>
      <c r="C90" s="81">
        <v>46261</v>
      </c>
      <c r="D90" s="83">
        <v>140</v>
      </c>
      <c r="E90" s="113" t="s">
        <v>349</v>
      </c>
      <c r="F90" s="113" t="str">
        <f t="shared" ca="1" si="2"/>
        <v/>
      </c>
      <c r="G90" s="82" t="s">
        <v>362</v>
      </c>
    </row>
    <row r="91" spans="1:7">
      <c r="A91" s="78" t="s">
        <v>363</v>
      </c>
      <c r="B91" s="78" t="s">
        <v>364</v>
      </c>
      <c r="C91" s="77">
        <v>46261</v>
      </c>
      <c r="D91" s="79">
        <v>470</v>
      </c>
      <c r="E91" s="112" t="s">
        <v>349</v>
      </c>
      <c r="F91" s="112" t="str">
        <f t="shared" ca="1" si="2"/>
        <v/>
      </c>
      <c r="G91" s="78" t="s">
        <v>365</v>
      </c>
    </row>
    <row r="92" spans="1:7">
      <c r="A92" s="82" t="s">
        <v>366</v>
      </c>
      <c r="B92" s="82" t="s">
        <v>367</v>
      </c>
      <c r="C92" s="81">
        <v>46261</v>
      </c>
      <c r="D92" s="83">
        <v>200</v>
      </c>
      <c r="E92" s="113" t="s">
        <v>349</v>
      </c>
      <c r="F92" s="113" t="str">
        <f t="shared" ca="1" si="2"/>
        <v/>
      </c>
      <c r="G92" s="82" t="s">
        <v>368</v>
      </c>
    </row>
    <row r="93" spans="1:7">
      <c r="A93" s="78" t="s">
        <v>369</v>
      </c>
      <c r="B93" s="78" t="s">
        <v>370</v>
      </c>
      <c r="C93" s="77">
        <v>46261</v>
      </c>
      <c r="D93" s="79">
        <v>1008.8</v>
      </c>
      <c r="E93" s="112" t="s">
        <v>349</v>
      </c>
      <c r="F93" s="112" t="str">
        <f t="shared" ca="1" si="2"/>
        <v/>
      </c>
      <c r="G93" s="78" t="s">
        <v>371</v>
      </c>
    </row>
    <row r="94" spans="1:7">
      <c r="A94" s="82" t="s">
        <v>372</v>
      </c>
      <c r="B94" s="82" t="s">
        <v>370</v>
      </c>
      <c r="C94" s="81">
        <v>46261</v>
      </c>
      <c r="D94" s="83">
        <v>4534.75</v>
      </c>
      <c r="E94" s="113" t="s">
        <v>349</v>
      </c>
      <c r="F94" s="113" t="str">
        <f t="shared" ca="1" si="2"/>
        <v/>
      </c>
      <c r="G94" s="82" t="s">
        <v>373</v>
      </c>
    </row>
    <row r="95" spans="1:7">
      <c r="A95" s="78" t="s">
        <v>374</v>
      </c>
      <c r="B95" s="78" t="s">
        <v>370</v>
      </c>
      <c r="C95" s="77">
        <v>46261</v>
      </c>
      <c r="D95" s="79">
        <v>870</v>
      </c>
      <c r="E95" s="112" t="s">
        <v>349</v>
      </c>
      <c r="F95" s="112" t="str">
        <f t="shared" ca="1" si="2"/>
        <v/>
      </c>
      <c r="G95" s="78" t="s">
        <v>375</v>
      </c>
    </row>
    <row r="96" spans="1:7">
      <c r="A96" s="82" t="s">
        <v>376</v>
      </c>
      <c r="B96" s="82" t="s">
        <v>370</v>
      </c>
      <c r="C96" s="81">
        <v>46261</v>
      </c>
      <c r="D96" s="83">
        <v>440</v>
      </c>
      <c r="E96" s="113" t="s">
        <v>349</v>
      </c>
      <c r="F96" s="113" t="str">
        <f t="shared" ca="1" si="2"/>
        <v/>
      </c>
      <c r="G96" s="82" t="s">
        <v>377</v>
      </c>
    </row>
    <row r="97" spans="1:7">
      <c r="A97" s="78" t="s">
        <v>378</v>
      </c>
      <c r="B97" s="78" t="s">
        <v>370</v>
      </c>
      <c r="C97" s="77">
        <v>46269</v>
      </c>
      <c r="D97" s="79">
        <v>1338.6</v>
      </c>
      <c r="E97" s="112" t="s">
        <v>349</v>
      </c>
      <c r="F97" s="112" t="str">
        <f t="shared" ca="1" si="2"/>
        <v/>
      </c>
      <c r="G97" s="78" t="s">
        <v>379</v>
      </c>
    </row>
    <row r="98" spans="1:7">
      <c r="A98" s="82" t="s">
        <v>380</v>
      </c>
      <c r="B98" s="82" t="s">
        <v>370</v>
      </c>
      <c r="C98" s="81">
        <v>46269</v>
      </c>
      <c r="D98" s="83">
        <v>1358</v>
      </c>
      <c r="E98" s="113" t="s">
        <v>349</v>
      </c>
      <c r="F98" s="113" t="str">
        <f t="shared" ca="1" si="2"/>
        <v/>
      </c>
      <c r="G98" s="82" t="s">
        <v>381</v>
      </c>
    </row>
    <row r="99" spans="1:7">
      <c r="A99" s="78" t="s">
        <v>382</v>
      </c>
      <c r="B99" s="78" t="s">
        <v>370</v>
      </c>
      <c r="C99" s="77">
        <v>46270</v>
      </c>
      <c r="D99" s="79">
        <v>649.9</v>
      </c>
      <c r="E99" s="112" t="s">
        <v>349</v>
      </c>
      <c r="F99" s="112" t="str">
        <f t="shared" ca="1" si="2"/>
        <v/>
      </c>
      <c r="G99" s="78" t="s">
        <v>383</v>
      </c>
    </row>
    <row r="100" spans="1:7">
      <c r="A100" s="82" t="s">
        <v>384</v>
      </c>
      <c r="B100" s="82" t="s">
        <v>370</v>
      </c>
      <c r="C100" s="81">
        <v>46270</v>
      </c>
      <c r="D100" s="83">
        <v>562.6</v>
      </c>
      <c r="E100" s="113" t="s">
        <v>349</v>
      </c>
      <c r="F100" s="113" t="str">
        <f t="shared" ca="1" si="2"/>
        <v/>
      </c>
      <c r="G100" s="82" t="s">
        <v>385</v>
      </c>
    </row>
    <row r="101" spans="1:7">
      <c r="A101" s="78" t="s">
        <v>386</v>
      </c>
      <c r="B101" s="78" t="s">
        <v>370</v>
      </c>
      <c r="C101" s="77">
        <v>46270</v>
      </c>
      <c r="D101" s="79">
        <v>1086.4000000000001</v>
      </c>
      <c r="E101" s="112" t="s">
        <v>349</v>
      </c>
      <c r="F101" s="112" t="str">
        <f t="shared" ca="1" si="2"/>
        <v/>
      </c>
      <c r="G101" s="78" t="s">
        <v>387</v>
      </c>
    </row>
    <row r="102" spans="1:7">
      <c r="A102" s="82" t="s">
        <v>388</v>
      </c>
      <c r="B102" s="82" t="s">
        <v>370</v>
      </c>
      <c r="C102" s="81">
        <v>46270</v>
      </c>
      <c r="D102" s="83">
        <v>1265.8499999999999</v>
      </c>
      <c r="E102" s="113" t="s">
        <v>349</v>
      </c>
      <c r="F102" s="113" t="str">
        <f t="shared" ca="1" si="2"/>
        <v/>
      </c>
      <c r="G102" s="82" t="s">
        <v>389</v>
      </c>
    </row>
    <row r="103" spans="1:7">
      <c r="A103" s="78" t="s">
        <v>390</v>
      </c>
      <c r="B103" s="78" t="s">
        <v>370</v>
      </c>
      <c r="C103" s="77">
        <v>46270</v>
      </c>
      <c r="D103" s="79">
        <v>1867.25</v>
      </c>
      <c r="E103" s="112" t="s">
        <v>349</v>
      </c>
      <c r="F103" s="112" t="str">
        <f t="shared" ca="1" si="2"/>
        <v/>
      </c>
      <c r="G103" s="78" t="s">
        <v>391</v>
      </c>
    </row>
    <row r="104" spans="1:7">
      <c r="A104" s="82" t="s">
        <v>392</v>
      </c>
      <c r="B104" s="82" t="s">
        <v>370</v>
      </c>
      <c r="C104" s="81">
        <v>46290</v>
      </c>
      <c r="D104" s="83">
        <v>2095.1999999999998</v>
      </c>
      <c r="E104" s="113" t="s">
        <v>242</v>
      </c>
      <c r="F104" s="113">
        <f t="shared" ca="1" si="2"/>
        <v>0</v>
      </c>
      <c r="G104" s="82" t="s">
        <v>393</v>
      </c>
    </row>
    <row r="105" spans="1:7">
      <c r="A105" s="78" t="s">
        <v>394</v>
      </c>
      <c r="B105" s="78" t="s">
        <v>370</v>
      </c>
      <c r="C105" s="77">
        <v>46305</v>
      </c>
      <c r="D105" s="79">
        <v>1188.25</v>
      </c>
      <c r="E105" s="112" t="s">
        <v>242</v>
      </c>
      <c r="F105" s="112">
        <f t="shared" ca="1" si="2"/>
        <v>0</v>
      </c>
      <c r="G105" s="78" t="s">
        <v>395</v>
      </c>
    </row>
    <row r="106" spans="1:7">
      <c r="A106" s="82" t="s">
        <v>396</v>
      </c>
      <c r="B106" s="82" t="s">
        <v>397</v>
      </c>
      <c r="C106" s="81">
        <v>46265</v>
      </c>
      <c r="D106" s="83">
        <v>160</v>
      </c>
      <c r="E106" s="113" t="s">
        <v>349</v>
      </c>
      <c r="F106" s="113" t="str">
        <f t="shared" ca="1" si="2"/>
        <v/>
      </c>
      <c r="G106" s="82" t="s">
        <v>398</v>
      </c>
    </row>
    <row r="107" spans="1:7">
      <c r="A107" s="78" t="s">
        <v>399</v>
      </c>
      <c r="B107" s="78" t="s">
        <v>400</v>
      </c>
      <c r="C107" s="77">
        <v>46265</v>
      </c>
      <c r="D107" s="79">
        <v>60</v>
      </c>
      <c r="E107" s="112" t="s">
        <v>349</v>
      </c>
      <c r="F107" s="112" t="str">
        <f t="shared" ca="1" si="2"/>
        <v/>
      </c>
      <c r="G107" s="78" t="s">
        <v>401</v>
      </c>
    </row>
    <row r="108" spans="1:7">
      <c r="A108" s="82" t="s">
        <v>402</v>
      </c>
      <c r="B108" s="82" t="s">
        <v>355</v>
      </c>
      <c r="C108" s="81">
        <v>46265</v>
      </c>
      <c r="D108" s="83">
        <v>150</v>
      </c>
      <c r="E108" s="113" t="s">
        <v>349</v>
      </c>
      <c r="F108" s="113" t="str">
        <f t="shared" ca="1" si="2"/>
        <v/>
      </c>
      <c r="G108" s="82" t="s">
        <v>403</v>
      </c>
    </row>
    <row r="109" spans="1:7">
      <c r="A109" s="78" t="s">
        <v>404</v>
      </c>
      <c r="B109" s="78" t="s">
        <v>405</v>
      </c>
      <c r="C109" s="77">
        <v>46266</v>
      </c>
      <c r="D109" s="79">
        <v>225</v>
      </c>
      <c r="E109" s="112" t="s">
        <v>349</v>
      </c>
      <c r="F109" s="112" t="str">
        <f t="shared" ca="1" si="2"/>
        <v/>
      </c>
      <c r="G109" s="78" t="s">
        <v>406</v>
      </c>
    </row>
    <row r="110" spans="1:7">
      <c r="A110" s="82" t="s">
        <v>407</v>
      </c>
      <c r="B110" s="82" t="s">
        <v>344</v>
      </c>
      <c r="C110" s="81">
        <v>46266</v>
      </c>
      <c r="D110" s="83">
        <v>140</v>
      </c>
      <c r="E110" s="113" t="s">
        <v>349</v>
      </c>
      <c r="F110" s="113" t="str">
        <f t="shared" ca="1" si="2"/>
        <v/>
      </c>
      <c r="G110" s="82" t="s">
        <v>408</v>
      </c>
    </row>
    <row r="111" spans="1:7">
      <c r="A111" s="82" t="s">
        <v>409</v>
      </c>
      <c r="B111" s="82" t="s">
        <v>410</v>
      </c>
      <c r="C111" s="81">
        <v>46267</v>
      </c>
      <c r="D111" s="83">
        <v>540</v>
      </c>
      <c r="E111" s="113" t="s">
        <v>242</v>
      </c>
      <c r="F111" s="113">
        <f t="shared" ca="1" si="2"/>
        <v>20</v>
      </c>
      <c r="G111" s="82" t="s">
        <v>411</v>
      </c>
    </row>
    <row r="112" spans="1:7">
      <c r="A112" s="78" t="s">
        <v>412</v>
      </c>
      <c r="B112" s="78" t="s">
        <v>344</v>
      </c>
      <c r="C112" s="77">
        <v>46267</v>
      </c>
      <c r="D112" s="79">
        <v>140</v>
      </c>
      <c r="E112" s="112" t="s">
        <v>349</v>
      </c>
      <c r="F112" s="112" t="str">
        <f t="shared" ca="1" si="2"/>
        <v/>
      </c>
      <c r="G112" s="78" t="s">
        <v>406</v>
      </c>
    </row>
    <row r="113" spans="1:7">
      <c r="A113" s="78" t="s">
        <v>413</v>
      </c>
      <c r="B113" s="78" t="s">
        <v>367</v>
      </c>
      <c r="C113" s="77">
        <v>46268</v>
      </c>
      <c r="D113" s="79">
        <v>200</v>
      </c>
      <c r="E113" s="112" t="s">
        <v>349</v>
      </c>
      <c r="F113" s="112" t="str">
        <f t="shared" ca="1" si="2"/>
        <v/>
      </c>
      <c r="G113" s="78" t="s">
        <v>414</v>
      </c>
    </row>
    <row r="114" spans="1:7">
      <c r="A114" s="78" t="s">
        <v>415</v>
      </c>
      <c r="B114" s="78" t="s">
        <v>355</v>
      </c>
      <c r="C114" s="77">
        <v>46269</v>
      </c>
      <c r="D114" s="79">
        <v>140</v>
      </c>
      <c r="E114" s="112" t="s">
        <v>349</v>
      </c>
      <c r="F114" s="112" t="str">
        <f t="shared" ca="1" si="2"/>
        <v/>
      </c>
      <c r="G114" s="78" t="s">
        <v>406</v>
      </c>
    </row>
    <row r="115" spans="1:7">
      <c r="A115" s="78" t="s">
        <v>416</v>
      </c>
      <c r="B115" s="78" t="s">
        <v>417</v>
      </c>
      <c r="C115" s="77">
        <v>46274</v>
      </c>
      <c r="D115" s="79">
        <v>150</v>
      </c>
      <c r="E115" s="112" t="s">
        <v>349</v>
      </c>
      <c r="F115" s="112" t="str">
        <f t="shared" ca="1" si="2"/>
        <v/>
      </c>
      <c r="G115" s="78" t="s">
        <v>418</v>
      </c>
    </row>
    <row r="116" spans="1:7">
      <c r="A116" s="78" t="s">
        <v>419</v>
      </c>
      <c r="B116" s="78" t="s">
        <v>344</v>
      </c>
      <c r="C116" s="77">
        <v>46275</v>
      </c>
      <c r="D116" s="79">
        <v>140</v>
      </c>
      <c r="E116" s="112" t="s">
        <v>349</v>
      </c>
      <c r="F116" s="112" t="str">
        <f t="shared" ca="1" si="2"/>
        <v/>
      </c>
      <c r="G116" s="78" t="s">
        <v>420</v>
      </c>
    </row>
    <row r="117" spans="1:7">
      <c r="A117" s="78" t="s">
        <v>421</v>
      </c>
      <c r="B117" s="78" t="s">
        <v>367</v>
      </c>
      <c r="C117" s="77">
        <v>46275</v>
      </c>
      <c r="D117" s="79">
        <v>200</v>
      </c>
      <c r="E117" s="112" t="s">
        <v>349</v>
      </c>
      <c r="F117" s="112" t="str">
        <f t="shared" ca="1" si="2"/>
        <v/>
      </c>
      <c r="G117" s="78" t="s">
        <v>420</v>
      </c>
    </row>
    <row r="118" spans="1:7">
      <c r="A118" s="78" t="s">
        <v>422</v>
      </c>
      <c r="B118" s="78" t="s">
        <v>423</v>
      </c>
      <c r="C118" s="77">
        <v>46276</v>
      </c>
      <c r="D118" s="79">
        <v>370</v>
      </c>
      <c r="E118" s="112" t="s">
        <v>242</v>
      </c>
      <c r="F118" s="112">
        <f t="shared" ca="1" si="2"/>
        <v>11</v>
      </c>
      <c r="G118" s="78" t="s">
        <v>424</v>
      </c>
    </row>
    <row r="119" spans="1:7">
      <c r="A119" s="78" t="s">
        <v>425</v>
      </c>
      <c r="B119" s="78" t="s">
        <v>344</v>
      </c>
      <c r="C119" s="77">
        <v>46276</v>
      </c>
      <c r="D119" s="79">
        <v>140</v>
      </c>
      <c r="E119" s="112" t="s">
        <v>349</v>
      </c>
      <c r="F119" s="112" t="str">
        <f t="shared" ca="1" si="2"/>
        <v/>
      </c>
      <c r="G119" s="78" t="s">
        <v>426</v>
      </c>
    </row>
    <row r="120" spans="1:7">
      <c r="A120" s="78" t="s">
        <v>427</v>
      </c>
      <c r="B120" s="78" t="s">
        <v>367</v>
      </c>
      <c r="C120" s="77">
        <v>46279</v>
      </c>
      <c r="D120" s="79">
        <v>200</v>
      </c>
      <c r="E120" s="112" t="s">
        <v>349</v>
      </c>
      <c r="F120" s="112" t="str">
        <f t="shared" ca="1" si="2"/>
        <v/>
      </c>
      <c r="G120" s="78" t="s">
        <v>428</v>
      </c>
    </row>
    <row r="121" spans="1:7">
      <c r="A121" s="78" t="s">
        <v>429</v>
      </c>
      <c r="B121" s="78" t="s">
        <v>430</v>
      </c>
      <c r="C121" s="77">
        <v>46281</v>
      </c>
      <c r="D121" s="79">
        <v>310</v>
      </c>
      <c r="E121" s="112" t="s">
        <v>242</v>
      </c>
      <c r="F121" s="112">
        <f t="shared" ca="1" si="2"/>
        <v>6</v>
      </c>
      <c r="G121" s="78" t="s">
        <v>431</v>
      </c>
    </row>
    <row r="122" spans="1:7">
      <c r="A122" s="78" t="s">
        <v>432</v>
      </c>
      <c r="B122" s="78" t="s">
        <v>367</v>
      </c>
      <c r="C122" s="77">
        <v>46283</v>
      </c>
      <c r="D122" s="79">
        <v>200</v>
      </c>
      <c r="E122" s="112" t="s">
        <v>349</v>
      </c>
      <c r="F122" s="112" t="str">
        <f t="shared" ca="1" si="2"/>
        <v/>
      </c>
      <c r="G122" s="78" t="s">
        <v>433</v>
      </c>
    </row>
    <row r="123" spans="1:7">
      <c r="A123" s="78" t="s">
        <v>434</v>
      </c>
      <c r="B123" s="78" t="s">
        <v>344</v>
      </c>
      <c r="C123" s="77">
        <v>46286</v>
      </c>
      <c r="D123" s="79">
        <v>140</v>
      </c>
      <c r="E123" s="112" t="s">
        <v>242</v>
      </c>
      <c r="F123" s="112">
        <f t="shared" ca="1" si="2"/>
        <v>1</v>
      </c>
      <c r="G123" s="78" t="s">
        <v>435</v>
      </c>
    </row>
    <row r="124" spans="1:7">
      <c r="A124" s="78" t="s">
        <v>436</v>
      </c>
      <c r="B124" s="78" t="s">
        <v>344</v>
      </c>
      <c r="C124" s="77">
        <v>46286</v>
      </c>
      <c r="D124" s="79">
        <v>140</v>
      </c>
      <c r="E124" s="112" t="s">
        <v>349</v>
      </c>
      <c r="F124" s="112" t="str">
        <f t="shared" ca="1" si="2"/>
        <v/>
      </c>
      <c r="G124" s="78" t="s">
        <v>437</v>
      </c>
    </row>
    <row r="125" spans="1:7">
      <c r="A125" s="86" t="s">
        <v>438</v>
      </c>
      <c r="D125" s="115">
        <f>SUMIF(E83:E124,"Pendente",D83:D124)</f>
        <v>5063.45</v>
      </c>
    </row>
    <row r="126" spans="1:7">
      <c r="A126" s="202" t="s">
        <v>439</v>
      </c>
      <c r="B126" s="159"/>
      <c r="C126" s="159"/>
      <c r="D126" s="159"/>
      <c r="E126" s="159"/>
      <c r="F126" s="159"/>
      <c r="G126" s="160"/>
    </row>
    <row r="127" spans="1:7">
      <c r="A127" s="203" t="str">
        <f>IF(ROUND(D125-C5,2)=0,"OK — o detalhe acima bate com as vendas marcadas como Aguardando Pagamento nas abas dos meses.","ATENÇÃO: diferença de R$ "&amp;TEXT(ABS(D125-C5),"#,##0.00")&amp;" entre este detalhe e as abas dos meses — alguma venda mudou de status em um lado só.")</f>
        <v>OK — o detalhe acima bate com as vendas marcadas como Aguardando Pagamento nas abas dos meses.</v>
      </c>
      <c r="B127" s="157"/>
      <c r="C127" s="157"/>
      <c r="D127" s="157"/>
      <c r="E127" s="157"/>
      <c r="F127" s="157"/>
      <c r="G127" s="157"/>
    </row>
    <row r="128" spans="1:7">
      <c r="A128" s="154" t="s">
        <v>440</v>
      </c>
    </row>
  </sheetData>
  <mergeCells count="13">
    <mergeCell ref="A126:G126"/>
    <mergeCell ref="A127:G127"/>
    <mergeCell ref="C5:D6"/>
    <mergeCell ref="A5:B6"/>
    <mergeCell ref="A2:G2"/>
    <mergeCell ref="E5:F6"/>
    <mergeCell ref="A81:G81"/>
    <mergeCell ref="C4:D4"/>
    <mergeCell ref="A4:B4"/>
    <mergeCell ref="E4:F4"/>
    <mergeCell ref="A1:G1"/>
    <mergeCell ref="A80:G80"/>
    <mergeCell ref="A9:G9"/>
  </mergeCells>
  <dataValidations count="2">
    <dataValidation type="list" allowBlank="1" sqref="E11:E74">
      <formula1>"Pendente,Pago,Previsto"</formula1>
    </dataValidation>
    <dataValidation type="list" allowBlank="1" sqref="E83:E124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7791F"/>
  </sheetPr>
  <dimension ref="A1:G19"/>
  <sheetViews>
    <sheetView showGridLines="0" zoomScale="70" zoomScaleNormal="70" workbookViewId="0">
      <pane ySplit="8" topLeftCell="A9" activePane="bottomLeft" state="frozen"/>
      <selection pane="bottomLeft" sqref="A1:G1"/>
    </sheetView>
  </sheetViews>
  <sheetFormatPr defaultRowHeight="15"/>
  <cols>
    <col min="1" max="1" width="14" style="147" customWidth="1"/>
    <col min="2" max="2" width="46" style="147" customWidth="1"/>
    <col min="3" max="3" width="32" style="147" customWidth="1"/>
    <col min="4" max="5" width="16" style="147" customWidth="1"/>
    <col min="6" max="6" width="18" style="147" customWidth="1"/>
    <col min="7" max="7" width="52" style="147" customWidth="1"/>
  </cols>
  <sheetData>
    <row r="1" spans="1:7" ht="21" customHeight="1">
      <c r="A1" s="209" t="s">
        <v>441</v>
      </c>
      <c r="B1" s="157"/>
      <c r="C1" s="157"/>
      <c r="D1" s="157"/>
      <c r="E1" s="157"/>
      <c r="F1" s="157"/>
      <c r="G1" s="157"/>
    </row>
    <row r="2" spans="1:7">
      <c r="A2" s="214" t="s">
        <v>442</v>
      </c>
      <c r="B2" s="157"/>
      <c r="C2" s="157"/>
      <c r="D2" s="157"/>
      <c r="E2" s="157"/>
      <c r="F2" s="157"/>
      <c r="G2" s="157"/>
    </row>
    <row r="3" spans="1:7">
      <c r="A3" s="127" t="s">
        <v>64</v>
      </c>
    </row>
    <row r="4" spans="1:7">
      <c r="A4" s="207" t="s">
        <v>443</v>
      </c>
      <c r="B4" s="157"/>
      <c r="C4" s="216"/>
      <c r="D4" s="157"/>
      <c r="E4" s="208" t="s">
        <v>444</v>
      </c>
      <c r="F4" s="157"/>
    </row>
    <row r="5" spans="1:7">
      <c r="A5" s="213"/>
      <c r="B5" s="157"/>
      <c r="C5" s="212">
        <f>SUMIF(E9:E200,"A Devolver",D9:D200)</f>
        <v>0</v>
      </c>
      <c r="D5" s="157"/>
      <c r="E5" s="215">
        <f>SUM(D9:D200)</f>
        <v>8135.48</v>
      </c>
      <c r="F5" s="157"/>
    </row>
    <row r="6" spans="1:7">
      <c r="A6" s="157"/>
      <c r="B6" s="157"/>
      <c r="C6" s="157"/>
      <c r="D6" s="157"/>
      <c r="E6" s="157"/>
      <c r="F6" s="157"/>
    </row>
    <row r="8" spans="1:7">
      <c r="A8" s="33" t="s">
        <v>445</v>
      </c>
      <c r="B8" s="33" t="s">
        <v>446</v>
      </c>
      <c r="C8" s="33" t="s">
        <v>447</v>
      </c>
      <c r="D8" s="33" t="s">
        <v>97</v>
      </c>
      <c r="E8" s="33" t="s">
        <v>187</v>
      </c>
      <c r="F8" s="33" t="s">
        <v>448</v>
      </c>
      <c r="G8" s="33" t="s">
        <v>189</v>
      </c>
    </row>
    <row r="9" spans="1:7">
      <c r="A9" s="40">
        <v>46237</v>
      </c>
      <c r="B9" s="34" t="s">
        <v>449</v>
      </c>
      <c r="C9" s="34" t="s">
        <v>104</v>
      </c>
      <c r="D9" s="35">
        <v>1420</v>
      </c>
      <c r="E9" s="36" t="s">
        <v>450</v>
      </c>
      <c r="F9" s="40">
        <v>46265</v>
      </c>
      <c r="G9" s="34" t="s">
        <v>451</v>
      </c>
    </row>
    <row r="10" spans="1:7">
      <c r="A10" s="41">
        <v>46237</v>
      </c>
      <c r="B10" s="37" t="s">
        <v>452</v>
      </c>
      <c r="C10" s="37" t="s">
        <v>100</v>
      </c>
      <c r="D10" s="38">
        <v>880</v>
      </c>
      <c r="E10" s="39" t="s">
        <v>450</v>
      </c>
      <c r="F10" s="41">
        <v>46265</v>
      </c>
      <c r="G10" s="37" t="s">
        <v>451</v>
      </c>
    </row>
    <row r="11" spans="1:7">
      <c r="A11" s="40">
        <v>46237</v>
      </c>
      <c r="B11" s="34" t="s">
        <v>453</v>
      </c>
      <c r="C11" s="34" t="s">
        <v>106</v>
      </c>
      <c r="D11" s="35">
        <v>600</v>
      </c>
      <c r="E11" s="36" t="s">
        <v>450</v>
      </c>
      <c r="F11" s="40">
        <v>46265</v>
      </c>
      <c r="G11" s="34" t="s">
        <v>451</v>
      </c>
    </row>
    <row r="12" spans="1:7">
      <c r="A12" s="41">
        <v>46239</v>
      </c>
      <c r="B12" s="37" t="s">
        <v>454</v>
      </c>
      <c r="C12" s="37" t="s">
        <v>99</v>
      </c>
      <c r="D12" s="38">
        <v>1674.12</v>
      </c>
      <c r="E12" s="39" t="s">
        <v>450</v>
      </c>
      <c r="F12" s="41">
        <v>46265</v>
      </c>
      <c r="G12" s="37" t="s">
        <v>451</v>
      </c>
    </row>
    <row r="13" spans="1:7">
      <c r="A13" s="40">
        <v>46238</v>
      </c>
      <c r="B13" s="34" t="s">
        <v>455</v>
      </c>
      <c r="C13" s="34" t="s">
        <v>99</v>
      </c>
      <c r="D13" s="35">
        <v>980.83</v>
      </c>
      <c r="E13" s="36" t="s">
        <v>450</v>
      </c>
      <c r="F13" s="40">
        <v>46265</v>
      </c>
      <c r="G13" s="34" t="s">
        <v>451</v>
      </c>
    </row>
    <row r="14" spans="1:7">
      <c r="A14" s="40">
        <v>46251</v>
      </c>
      <c r="B14" s="34" t="s">
        <v>456</v>
      </c>
      <c r="C14" s="34" t="s">
        <v>457</v>
      </c>
      <c r="D14" s="35">
        <v>250</v>
      </c>
      <c r="E14" s="36" t="s">
        <v>450</v>
      </c>
      <c r="F14" s="40">
        <v>46265</v>
      </c>
      <c r="G14" s="34" t="s">
        <v>458</v>
      </c>
    </row>
    <row r="15" spans="1:7">
      <c r="A15" s="40">
        <v>46254</v>
      </c>
      <c r="B15" s="34" t="s">
        <v>459</v>
      </c>
      <c r="C15" s="34" t="s">
        <v>102</v>
      </c>
      <c r="D15" s="35">
        <v>2330.5300000000002</v>
      </c>
      <c r="E15" s="36" t="s">
        <v>450</v>
      </c>
      <c r="F15" s="40">
        <v>46265</v>
      </c>
      <c r="G15" s="34" t="s">
        <v>451</v>
      </c>
    </row>
    <row r="16" spans="1:7">
      <c r="A16" s="164"/>
      <c r="B16" s="157"/>
      <c r="C16" s="157"/>
      <c r="D16" s="157"/>
      <c r="E16" s="157"/>
      <c r="F16" s="157"/>
      <c r="G16" s="157"/>
    </row>
    <row r="17" spans="1:7">
      <c r="A17" s="210" t="s">
        <v>460</v>
      </c>
      <c r="B17" s="157"/>
      <c r="C17" s="157"/>
      <c r="D17" s="157"/>
      <c r="E17" s="157"/>
      <c r="F17" s="157"/>
      <c r="G17" s="157"/>
    </row>
    <row r="18" spans="1:7">
      <c r="A18" s="211" t="s">
        <v>461</v>
      </c>
      <c r="B18" s="157"/>
      <c r="C18" s="157"/>
      <c r="D18" s="157"/>
      <c r="E18" s="157"/>
      <c r="F18" s="157"/>
      <c r="G18" s="157"/>
    </row>
    <row r="19" spans="1:7">
      <c r="A19" s="129" t="s">
        <v>462</v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type="list" allowBlank="1" sqref="E9:E200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7B34"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defaultRowHeight="15"/>
  <cols>
    <col min="1" max="1" width="42" style="147" customWidth="1"/>
    <col min="2" max="2" width="18" style="147" customWidth="1"/>
    <col min="3" max="3" width="26" style="147" customWidth="1"/>
    <col min="4" max="4" width="20" style="147" customWidth="1"/>
    <col min="5" max="5" width="26" style="147" customWidth="1"/>
  </cols>
  <sheetData>
    <row r="1" spans="1:8" ht="21" customHeight="1">
      <c r="A1" s="209" t="s">
        <v>463</v>
      </c>
      <c r="B1" s="157"/>
      <c r="C1" s="157"/>
      <c r="D1" s="157"/>
      <c r="E1" s="157"/>
      <c r="F1" s="157"/>
      <c r="G1" s="157"/>
      <c r="H1" s="157"/>
    </row>
    <row r="2" spans="1:8">
      <c r="A2" s="218" t="s">
        <v>464</v>
      </c>
      <c r="B2" s="157"/>
      <c r="C2" s="157"/>
      <c r="D2" s="157"/>
      <c r="E2" s="157"/>
      <c r="F2" s="157"/>
      <c r="G2" s="157"/>
      <c r="H2" s="157"/>
    </row>
    <row r="3" spans="1:8">
      <c r="A3" s="127" t="s">
        <v>64</v>
      </c>
    </row>
    <row r="4" spans="1:8">
      <c r="A4" s="51" t="s">
        <v>465</v>
      </c>
      <c r="B4" s="51" t="s">
        <v>466</v>
      </c>
    </row>
    <row r="5" spans="1:8">
      <c r="A5" s="52" t="s">
        <v>467</v>
      </c>
      <c r="B5" s="55">
        <f>'DRE Simplificado'!O5</f>
        <v>25625.756666666668</v>
      </c>
    </row>
    <row r="6" spans="1:8">
      <c r="A6" s="54" t="s">
        <v>468</v>
      </c>
      <c r="B6" s="57">
        <f>'DRE Simplificado'!O9</f>
        <v>16183.053333333335</v>
      </c>
    </row>
    <row r="7" spans="1:8">
      <c r="A7" s="52" t="s">
        <v>469</v>
      </c>
      <c r="B7" s="55">
        <f>'DRE Simplificado'!O10</f>
        <v>9442.7033333333311</v>
      </c>
    </row>
    <row r="8" spans="1:8">
      <c r="A8" s="54" t="s">
        <v>470</v>
      </c>
      <c r="B8" s="64">
        <f>IF(B5=0,"",B7/B5)</f>
        <v>0.36848485904871481</v>
      </c>
    </row>
    <row r="9" spans="1:8">
      <c r="A9" s="52" t="s">
        <v>471</v>
      </c>
      <c r="B9" s="55">
        <f>'DRE Simplificado'!O22</f>
        <v>5098.1577777777784</v>
      </c>
    </row>
    <row r="10" spans="1:8">
      <c r="A10" s="59" t="s">
        <v>472</v>
      </c>
      <c r="B10" s="60">
        <f>IF(B8&lt;=0,"",B9/B8)</f>
        <v>13835.460677921061</v>
      </c>
    </row>
    <row r="11" spans="1:8">
      <c r="A11" s="52" t="s">
        <v>473</v>
      </c>
      <c r="B11" s="55">
        <f>'DRE Simplificado'!O23</f>
        <v>4344.5455555555545</v>
      </c>
    </row>
    <row r="13" spans="1:8">
      <c r="A13" s="130" t="s">
        <v>474</v>
      </c>
      <c r="B13" s="65">
        <v>140</v>
      </c>
      <c r="C13" s="131" t="s">
        <v>475</v>
      </c>
    </row>
    <row r="15" spans="1:8" ht="15.75" customHeight="1">
      <c r="A15" s="66" t="s">
        <v>476</v>
      </c>
    </row>
    <row r="16" spans="1:8" ht="30" customHeight="1">
      <c r="A16" s="51" t="s">
        <v>477</v>
      </c>
      <c r="B16" s="51" t="s">
        <v>478</v>
      </c>
      <c r="C16" s="51" t="s">
        <v>479</v>
      </c>
      <c r="D16" s="51" t="s">
        <v>480</v>
      </c>
      <c r="E16" s="51" t="s">
        <v>481</v>
      </c>
    </row>
    <row r="17" spans="1:8">
      <c r="A17" s="52" t="s">
        <v>482</v>
      </c>
      <c r="B17" s="55">
        <v>0</v>
      </c>
      <c r="C17" s="55">
        <f t="shared" ref="C17:C22" si="0">IF($B$8&lt;=0,"",($B$9+B17)/$B$8)</f>
        <v>13835.460677921061</v>
      </c>
      <c r="D17" s="56">
        <f t="shared" ref="D17:D22" si="1">IF(OR($B$8&lt;=0,$B$13=0),"",ROUNDUP(C17/$B$13,0))</f>
        <v>99</v>
      </c>
      <c r="E17" s="56">
        <f t="shared" ref="E17:E22" si="2">IF(D17="","",ROUND(D17/26,1))</f>
        <v>3.8</v>
      </c>
    </row>
    <row r="18" spans="1:8">
      <c r="A18" s="54" t="s">
        <v>483</v>
      </c>
      <c r="B18" s="57">
        <v>500</v>
      </c>
      <c r="C18" s="57">
        <f t="shared" si="0"/>
        <v>15192.368533757543</v>
      </c>
      <c r="D18" s="58">
        <f t="shared" si="1"/>
        <v>109</v>
      </c>
      <c r="E18" s="58">
        <f t="shared" si="2"/>
        <v>4.2</v>
      </c>
    </row>
    <row r="19" spans="1:8">
      <c r="A19" s="52" t="s">
        <v>484</v>
      </c>
      <c r="B19" s="55">
        <v>1000</v>
      </c>
      <c r="C19" s="55">
        <f t="shared" si="0"/>
        <v>16549.276389594026</v>
      </c>
      <c r="D19" s="56">
        <f t="shared" si="1"/>
        <v>119</v>
      </c>
      <c r="E19" s="56">
        <f t="shared" si="2"/>
        <v>4.5999999999999996</v>
      </c>
    </row>
    <row r="20" spans="1:8">
      <c r="A20" s="54" t="s">
        <v>485</v>
      </c>
      <c r="B20" s="57">
        <v>2000</v>
      </c>
      <c r="C20" s="57">
        <f t="shared" si="0"/>
        <v>19263.09210126699</v>
      </c>
      <c r="D20" s="58">
        <f t="shared" si="1"/>
        <v>138</v>
      </c>
      <c r="E20" s="58">
        <f t="shared" si="2"/>
        <v>5.3</v>
      </c>
    </row>
    <row r="21" spans="1:8">
      <c r="A21" s="52" t="s">
        <v>486</v>
      </c>
      <c r="B21" s="55">
        <v>3000</v>
      </c>
      <c r="C21" s="55">
        <f t="shared" si="0"/>
        <v>21976.907812939953</v>
      </c>
      <c r="D21" s="56">
        <f t="shared" si="1"/>
        <v>157</v>
      </c>
      <c r="E21" s="56">
        <f t="shared" si="2"/>
        <v>6</v>
      </c>
    </row>
    <row r="22" spans="1:8">
      <c r="A22" s="54" t="s">
        <v>487</v>
      </c>
      <c r="B22" s="57">
        <v>5000</v>
      </c>
      <c r="C22" s="57">
        <f t="shared" si="0"/>
        <v>27404.539236285884</v>
      </c>
      <c r="D22" s="58">
        <f t="shared" si="1"/>
        <v>196</v>
      </c>
      <c r="E22" s="58">
        <f t="shared" si="2"/>
        <v>7.5</v>
      </c>
    </row>
    <row r="24" spans="1:8">
      <c r="A24" s="217" t="str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>✔ Margem de contribuição positiva: cada R$ 100 vendidos deixam R$ 037 para pagar os custos fixos e gerar lucro.</v>
      </c>
      <c r="B24" s="157"/>
      <c r="C24" s="157"/>
      <c r="D24" s="157"/>
      <c r="E24" s="157"/>
      <c r="F24" s="157"/>
      <c r="G24" s="157"/>
      <c r="H24" s="157"/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7B34"/>
  </sheetPr>
  <dimension ref="A1:H16"/>
  <sheetViews>
    <sheetView showGridLines="0" zoomScale="85" zoomScaleNormal="85" workbookViewId="0">
      <pane ySplit="6" topLeftCell="A7" activePane="bottomLeft" state="frozen"/>
      <selection pane="bottomLeft" sqref="A1:H1"/>
    </sheetView>
  </sheetViews>
  <sheetFormatPr defaultRowHeight="15"/>
  <cols>
    <col min="1" max="1" width="20" style="147" customWidth="1"/>
    <col min="2" max="6" width="22" style="147" customWidth="1"/>
  </cols>
  <sheetData>
    <row r="1" spans="1:8" ht="21" customHeight="1">
      <c r="A1" s="209" t="s">
        <v>488</v>
      </c>
      <c r="B1" s="157"/>
      <c r="C1" s="157"/>
      <c r="D1" s="157"/>
      <c r="E1" s="157"/>
      <c r="F1" s="157"/>
      <c r="G1" s="157"/>
      <c r="H1" s="157"/>
    </row>
    <row r="2" spans="1:8">
      <c r="A2" s="218" t="s">
        <v>489</v>
      </c>
      <c r="B2" s="157"/>
      <c r="C2" s="157"/>
      <c r="D2" s="157"/>
      <c r="E2" s="157"/>
      <c r="F2" s="157"/>
      <c r="G2" s="157"/>
      <c r="H2" s="157"/>
    </row>
    <row r="3" spans="1:8">
      <c r="A3" s="127" t="s">
        <v>64</v>
      </c>
    </row>
    <row r="4" spans="1:8">
      <c r="A4" s="130" t="s">
        <v>490</v>
      </c>
      <c r="B4" s="109">
        <v>0</v>
      </c>
      <c r="C4" s="131" t="s">
        <v>491</v>
      </c>
    </row>
    <row r="6" spans="1:8" ht="30" customHeight="1">
      <c r="A6" s="51" t="s">
        <v>76</v>
      </c>
      <c r="B6" s="51" t="s">
        <v>492</v>
      </c>
      <c r="C6" s="51" t="s">
        <v>493</v>
      </c>
      <c r="D6" s="51" t="s">
        <v>494</v>
      </c>
      <c r="E6" s="51" t="s">
        <v>495</v>
      </c>
      <c r="F6" s="51" t="s">
        <v>496</v>
      </c>
    </row>
    <row r="7" spans="1:8">
      <c r="A7" s="52" t="s">
        <v>497</v>
      </c>
      <c r="B7" s="65">
        <f>'DRE Simplificado'!O5</f>
        <v>25625.756666666668</v>
      </c>
      <c r="C7" s="65">
        <f>'Contas a Pagar e Receber'!C5</f>
        <v>5063.45</v>
      </c>
      <c r="D7" s="65">
        <f>('DRE Simplificado'!O9+'DRE Simplificado'!O22)</f>
        <v>21281.211111111115</v>
      </c>
      <c r="E7" s="55">
        <f>B7+C7-D7</f>
        <v>9407.9955555555534</v>
      </c>
      <c r="F7" s="62">
        <f>$B$4+E7</f>
        <v>9407.9955555555534</v>
      </c>
    </row>
    <row r="8" spans="1:8">
      <c r="A8" s="54" t="s">
        <v>498</v>
      </c>
      <c r="B8" s="65">
        <f>'DRE Simplificado'!O5</f>
        <v>25625.756666666668</v>
      </c>
      <c r="C8" s="65">
        <v>0</v>
      </c>
      <c r="D8" s="65">
        <f>('DRE Simplificado'!O9+'DRE Simplificado'!O22)</f>
        <v>21281.211111111115</v>
      </c>
      <c r="E8" s="57">
        <f>B8+C8-D8</f>
        <v>4344.5455555555527</v>
      </c>
      <c r="F8" s="67">
        <f>F7+E8</f>
        <v>13752.541111111106</v>
      </c>
    </row>
    <row r="9" spans="1:8">
      <c r="A9" s="52" t="s">
        <v>499</v>
      </c>
      <c r="B9" s="65">
        <f>'DRE Simplificado'!O5</f>
        <v>25625.756666666668</v>
      </c>
      <c r="C9" s="65">
        <v>0</v>
      </c>
      <c r="D9" s="65">
        <f>('DRE Simplificado'!O9+'DRE Simplificado'!O22)</f>
        <v>21281.211111111115</v>
      </c>
      <c r="E9" s="55">
        <f>B9+C9-D9</f>
        <v>4344.5455555555527</v>
      </c>
      <c r="F9" s="62">
        <f>F8+E9</f>
        <v>18097.086666666659</v>
      </c>
    </row>
    <row r="10" spans="1:8">
      <c r="A10" s="54" t="s">
        <v>500</v>
      </c>
      <c r="B10" s="65">
        <f>'DRE Simplificado'!O5</f>
        <v>25625.756666666668</v>
      </c>
      <c r="C10" s="65">
        <v>0</v>
      </c>
      <c r="D10" s="65">
        <f>('DRE Simplificado'!O9+'DRE Simplificado'!O22)</f>
        <v>21281.211111111115</v>
      </c>
      <c r="E10" s="57">
        <f>B10+C10-D10</f>
        <v>4344.5455555555527</v>
      </c>
      <c r="F10" s="67">
        <f>F9+E10</f>
        <v>22441.632222222212</v>
      </c>
    </row>
    <row r="11" spans="1:8">
      <c r="A11" s="59"/>
      <c r="B11" s="59"/>
      <c r="C11" s="59"/>
      <c r="D11" s="59"/>
      <c r="E11" s="59"/>
      <c r="F11" s="59"/>
    </row>
    <row r="12" spans="1:8">
      <c r="A12" s="59" t="s">
        <v>501</v>
      </c>
      <c r="B12" s="60">
        <f>SUM(B7:B10)</f>
        <v>102503.02666666667</v>
      </c>
      <c r="C12" s="60">
        <f>SUM(C7:C10)</f>
        <v>5063.45</v>
      </c>
      <c r="D12" s="60">
        <f>SUM(D7:D10)</f>
        <v>85124.844444444461</v>
      </c>
      <c r="E12" s="60">
        <f>SUM(E7:E10)</f>
        <v>22441.632222222212</v>
      </c>
      <c r="F12" s="60">
        <f>F10</f>
        <v>22441.632222222212</v>
      </c>
    </row>
    <row r="14" spans="1:8">
      <c r="A14" s="217" t="str">
        <f>IF(F10&lt;0,"⚠ Pelo ritmo atual, o caixa fica NEGATIVO até dezembro. Reveja despesas fixas ou acelere a cobrança do que está a receber.","✔ Pelo ritmo atual, o caixa se mantém positivo até dezembro.")</f>
        <v>✔ Pelo ritmo atual, o caixa se mantém positivo até dezembro.</v>
      </c>
      <c r="B14" s="157"/>
      <c r="C14" s="157"/>
      <c r="D14" s="157"/>
      <c r="E14" s="157"/>
      <c r="F14" s="157"/>
    </row>
    <row r="16" spans="1:8">
      <c r="A16" s="219" t="s">
        <v>502</v>
      </c>
      <c r="B16" s="157"/>
      <c r="C16" s="157"/>
      <c r="D16" s="157"/>
      <c r="E16" s="157"/>
      <c r="F16" s="157"/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7B34"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defaultRowHeight="15"/>
  <cols>
    <col min="1" max="1" width="52" style="147" customWidth="1"/>
    <col min="2" max="2" width="20" style="147" customWidth="1"/>
    <col min="3" max="3" width="56" style="147" customWidth="1"/>
  </cols>
  <sheetData>
    <row r="1" spans="1:8" ht="21" customHeight="1">
      <c r="A1" s="209" t="s">
        <v>503</v>
      </c>
      <c r="B1" s="157"/>
      <c r="C1" s="157"/>
      <c r="D1" s="157"/>
      <c r="E1" s="157"/>
      <c r="F1" s="157"/>
      <c r="G1" s="157"/>
      <c r="H1" s="157"/>
    </row>
    <row r="2" spans="1:8">
      <c r="A2" s="218" t="s">
        <v>504</v>
      </c>
      <c r="B2" s="157"/>
      <c r="C2" s="157"/>
      <c r="D2" s="157"/>
      <c r="E2" s="157"/>
      <c r="F2" s="157"/>
      <c r="G2" s="157"/>
      <c r="H2" s="157"/>
    </row>
    <row r="3" spans="1:8">
      <c r="A3" s="127" t="s">
        <v>64</v>
      </c>
    </row>
    <row r="4" spans="1:8" ht="15.75" customHeight="1">
      <c r="A4" s="66" t="s">
        <v>505</v>
      </c>
    </row>
    <row r="5" spans="1:8">
      <c r="A5" s="51" t="s">
        <v>465</v>
      </c>
      <c r="B5" s="51" t="s">
        <v>466</v>
      </c>
    </row>
    <row r="6" spans="1:8">
      <c r="A6" s="54" t="s">
        <v>506</v>
      </c>
      <c r="B6" s="57">
        <f>'DRE Simplificado'!O22</f>
        <v>5098.1577777777784</v>
      </c>
    </row>
    <row r="7" spans="1:8">
      <c r="A7" s="52" t="s">
        <v>507</v>
      </c>
      <c r="B7" s="110">
        <v>3</v>
      </c>
      <c r="C7" s="131" t="s">
        <v>508</v>
      </c>
    </row>
    <row r="8" spans="1:8">
      <c r="A8" s="59" t="s">
        <v>509</v>
      </c>
      <c r="B8" s="60">
        <f>B6*B7</f>
        <v>15294.473333333335</v>
      </c>
    </row>
    <row r="9" spans="1:8">
      <c r="A9" s="52" t="s">
        <v>510</v>
      </c>
      <c r="B9" s="109">
        <v>23500</v>
      </c>
      <c r="C9" s="131" t="s">
        <v>511</v>
      </c>
    </row>
    <row r="10" spans="1:8">
      <c r="A10" s="54" t="s">
        <v>512</v>
      </c>
      <c r="B10" s="57">
        <f>MAX(0,B8-B9)</f>
        <v>0</v>
      </c>
    </row>
    <row r="11" spans="1:8">
      <c r="A11" s="52" t="s">
        <v>513</v>
      </c>
      <c r="B11" s="75">
        <f>IF(B6=0,"",B9/B6)</f>
        <v>4.6095081840019763</v>
      </c>
    </row>
    <row r="14" spans="1:8" ht="15.75" customHeight="1">
      <c r="A14" s="66" t="s">
        <v>514</v>
      </c>
    </row>
    <row r="15" spans="1:8">
      <c r="A15" s="51" t="s">
        <v>515</v>
      </c>
      <c r="B15" s="51" t="s">
        <v>466</v>
      </c>
    </row>
    <row r="16" spans="1:8">
      <c r="A16" s="54" t="s">
        <v>516</v>
      </c>
      <c r="B16" s="53" t="s">
        <v>517</v>
      </c>
    </row>
    <row r="17" spans="1:8">
      <c r="A17" s="52" t="s">
        <v>518</v>
      </c>
      <c r="B17" s="69">
        <v>0.06</v>
      </c>
    </row>
    <row r="18" spans="1:8">
      <c r="A18" s="54" t="s">
        <v>519</v>
      </c>
      <c r="B18" s="57">
        <f>'DRE Simplificado'!O5</f>
        <v>25625.756666666668</v>
      </c>
    </row>
    <row r="19" spans="1:8">
      <c r="A19" s="52" t="s">
        <v>520</v>
      </c>
      <c r="B19" s="55">
        <f>B18*B17</f>
        <v>1537.5454</v>
      </c>
    </row>
    <row r="20" spans="1:8">
      <c r="A20" s="54" t="s">
        <v>521</v>
      </c>
      <c r="B20" s="57">
        <f>B19*12</f>
        <v>18450.5448</v>
      </c>
    </row>
    <row r="21" spans="1:8">
      <c r="A21" s="52" t="s">
        <v>522</v>
      </c>
      <c r="B21" s="70">
        <v>20</v>
      </c>
    </row>
    <row r="23" spans="1:8">
      <c r="A23" s="219" t="s">
        <v>523</v>
      </c>
      <c r="B23" s="157"/>
      <c r="C23" s="157"/>
      <c r="D23" s="157"/>
      <c r="E23" s="157"/>
      <c r="F23" s="157"/>
      <c r="G23" s="157"/>
      <c r="H23" s="157"/>
    </row>
    <row r="24" spans="1:8">
      <c r="A24" s="219" t="s">
        <v>524</v>
      </c>
      <c r="B24" s="157"/>
      <c r="C24" s="157"/>
      <c r="D24" s="157"/>
      <c r="E24" s="157"/>
      <c r="F24" s="157"/>
      <c r="G24" s="157"/>
      <c r="H24" s="157"/>
    </row>
  </sheetData>
  <mergeCells count="4">
    <mergeCell ref="A23:H23"/>
    <mergeCell ref="A24:H24"/>
    <mergeCell ref="A2:H2"/>
    <mergeCell ref="A1:H1"/>
  </mergeCells>
  <dataValidations count="1">
    <dataValidation type="list" allowBlank="1" sqref="B16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7B34"/>
  </sheetPr>
  <dimension ref="A1:F25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40" style="147" customWidth="1"/>
    <col min="2" max="6" width="18" style="147" customWidth="1"/>
  </cols>
  <sheetData>
    <row r="1" spans="1:6" ht="21" customHeight="1">
      <c r="A1" s="209" t="s">
        <v>525</v>
      </c>
      <c r="B1" s="157"/>
      <c r="C1" s="157"/>
      <c r="D1" s="157"/>
      <c r="E1" s="157"/>
      <c r="F1" s="157"/>
    </row>
    <row r="2" spans="1:6">
      <c r="A2" s="218" t="s">
        <v>526</v>
      </c>
      <c r="B2" s="157"/>
      <c r="C2" s="157"/>
      <c r="D2" s="157"/>
      <c r="E2" s="157"/>
      <c r="F2" s="157"/>
    </row>
    <row r="3" spans="1:6">
      <c r="A3" s="127" t="s">
        <v>64</v>
      </c>
    </row>
    <row r="4" spans="1:6">
      <c r="A4" s="51" t="s">
        <v>515</v>
      </c>
      <c r="B4" s="51" t="s">
        <v>527</v>
      </c>
      <c r="C4" s="51" t="s">
        <v>528</v>
      </c>
      <c r="D4" s="51" t="s">
        <v>529</v>
      </c>
      <c r="E4" s="51" t="s">
        <v>530</v>
      </c>
      <c r="F4" s="51" t="s">
        <v>531</v>
      </c>
    </row>
    <row r="5" spans="1:6">
      <c r="A5" s="61" t="s">
        <v>532</v>
      </c>
      <c r="B5" s="109">
        <v>15000</v>
      </c>
      <c r="C5" s="62">
        <f>SUMIF('Ago 2026'!E5:E500,"&lt;&gt;",'Ago 2026'!D5:D500)-SUMIF('Ago 2026'!E5:E500,"&lt;&gt;",'Ago 2026'!F5:F500)-'Ago 2026'!T5</f>
        <v>43899.159999999996</v>
      </c>
      <c r="D5" s="62">
        <f>C5-B5</f>
        <v>28899.159999999996</v>
      </c>
      <c r="E5" s="71">
        <f>IF(B5=0,"",C5/B5)</f>
        <v>2.9266106666666665</v>
      </c>
      <c r="F5" s="61" t="str">
        <f>IF(B5=0,"",IF(C5&gt;=B5,"✔ Meta atingida","Faltam "&amp;TEXT(B5-C5,"R$ #,##0.00")))</f>
        <v>✔ Meta atingida</v>
      </c>
    </row>
    <row r="7" spans="1:6" ht="15.75" customHeight="1">
      <c r="A7" s="66" t="s">
        <v>533</v>
      </c>
    </row>
    <row r="8" spans="1:6">
      <c r="A8" s="51" t="s">
        <v>96</v>
      </c>
      <c r="B8" s="51" t="s">
        <v>527</v>
      </c>
      <c r="C8" s="51" t="s">
        <v>528</v>
      </c>
      <c r="D8" s="51" t="s">
        <v>529</v>
      </c>
      <c r="E8" s="51" t="s">
        <v>530</v>
      </c>
      <c r="F8" s="51" t="s">
        <v>531</v>
      </c>
    </row>
    <row r="9" spans="1:6">
      <c r="A9" s="52" t="s">
        <v>99</v>
      </c>
      <c r="B9" s="109"/>
      <c r="C9" s="55">
        <f>'Ago 2026'!L5</f>
        <v>12985.740000000002</v>
      </c>
      <c r="D9" s="55">
        <f t="shared" ref="D9:D21" si="0">C9-B9</f>
        <v>12985.740000000002</v>
      </c>
      <c r="E9" s="63" t="str">
        <f t="shared" ref="E9:E21" si="1">IF(B9=0,"",C9/B9)</f>
        <v/>
      </c>
      <c r="F9" s="52" t="str">
        <f t="shared" ref="F9:F20" si="2">IF(B9=0,"",IF(C9&lt;=B9,"✔ Dentro do orçado","Estourou "&amp;TEXT(C9-B9,"R$ #,##0.00")))</f>
        <v/>
      </c>
    </row>
    <row r="10" spans="1:6">
      <c r="A10" s="54" t="s">
        <v>100</v>
      </c>
      <c r="B10" s="109"/>
      <c r="C10" s="57">
        <f>'Ago 2026'!L6</f>
        <v>880</v>
      </c>
      <c r="D10" s="57">
        <f t="shared" si="0"/>
        <v>880</v>
      </c>
      <c r="E10" s="64" t="str">
        <f t="shared" si="1"/>
        <v/>
      </c>
      <c r="F10" s="54" t="str">
        <f t="shared" si="2"/>
        <v/>
      </c>
    </row>
    <row r="11" spans="1:6">
      <c r="A11" s="52" t="s">
        <v>101</v>
      </c>
      <c r="B11" s="109"/>
      <c r="C11" s="55">
        <f>'Ago 2026'!L7</f>
        <v>150.63</v>
      </c>
      <c r="D11" s="55">
        <f t="shared" si="0"/>
        <v>150.63</v>
      </c>
      <c r="E11" s="63" t="str">
        <f t="shared" si="1"/>
        <v/>
      </c>
      <c r="F11" s="52" t="str">
        <f t="shared" si="2"/>
        <v/>
      </c>
    </row>
    <row r="12" spans="1:6">
      <c r="A12" s="54" t="s">
        <v>102</v>
      </c>
      <c r="B12" s="109"/>
      <c r="C12" s="57">
        <f>'Ago 2026'!L8</f>
        <v>4909.24</v>
      </c>
      <c r="D12" s="57">
        <f t="shared" si="0"/>
        <v>4909.24</v>
      </c>
      <c r="E12" s="64" t="str">
        <f t="shared" si="1"/>
        <v/>
      </c>
      <c r="F12" s="54" t="str">
        <f t="shared" si="2"/>
        <v/>
      </c>
    </row>
    <row r="13" spans="1:6">
      <c r="A13" s="52" t="s">
        <v>103</v>
      </c>
      <c r="B13" s="109"/>
      <c r="C13" s="55">
        <f>'Ago 2026'!L9</f>
        <v>161.24</v>
      </c>
      <c r="D13" s="55">
        <f t="shared" si="0"/>
        <v>161.24</v>
      </c>
      <c r="E13" s="63" t="str">
        <f t="shared" si="1"/>
        <v/>
      </c>
      <c r="F13" s="52" t="str">
        <f t="shared" si="2"/>
        <v/>
      </c>
    </row>
    <row r="14" spans="1:6">
      <c r="A14" s="54" t="s">
        <v>104</v>
      </c>
      <c r="B14" s="109"/>
      <c r="C14" s="57">
        <f>'Ago 2026'!L10</f>
        <v>2178.61</v>
      </c>
      <c r="D14" s="57">
        <f t="shared" si="0"/>
        <v>2178.61</v>
      </c>
      <c r="E14" s="64" t="str">
        <f t="shared" si="1"/>
        <v/>
      </c>
      <c r="F14" s="54" t="str">
        <f t="shared" si="2"/>
        <v/>
      </c>
    </row>
    <row r="15" spans="1:6">
      <c r="A15" s="52" t="s">
        <v>106</v>
      </c>
      <c r="B15" s="109"/>
      <c r="C15" s="55">
        <f>'Ago 2026'!L11</f>
        <v>3903.3199999999997</v>
      </c>
      <c r="D15" s="55">
        <f t="shared" si="0"/>
        <v>3903.3199999999997</v>
      </c>
      <c r="E15" s="63" t="str">
        <f t="shared" si="1"/>
        <v/>
      </c>
      <c r="F15" s="52" t="str">
        <f t="shared" si="2"/>
        <v/>
      </c>
    </row>
    <row r="16" spans="1:6">
      <c r="A16" s="54" t="s">
        <v>107</v>
      </c>
      <c r="B16" s="109"/>
      <c r="C16" s="57">
        <f>'Ago 2026'!L12</f>
        <v>486.32</v>
      </c>
      <c r="D16" s="57">
        <f t="shared" si="0"/>
        <v>486.32</v>
      </c>
      <c r="E16" s="64" t="str">
        <f t="shared" si="1"/>
        <v/>
      </c>
      <c r="F16" s="54" t="str">
        <f t="shared" si="2"/>
        <v/>
      </c>
    </row>
    <row r="17" spans="1:6">
      <c r="A17" s="52" t="s">
        <v>108</v>
      </c>
      <c r="B17" s="109"/>
      <c r="C17" s="55">
        <f>'Ago 2026'!L13</f>
        <v>32</v>
      </c>
      <c r="D17" s="55">
        <f t="shared" si="0"/>
        <v>32</v>
      </c>
      <c r="E17" s="63" t="str">
        <f t="shared" si="1"/>
        <v/>
      </c>
      <c r="F17" s="52" t="str">
        <f t="shared" si="2"/>
        <v/>
      </c>
    </row>
    <row r="18" spans="1:6">
      <c r="A18" s="54" t="s">
        <v>109</v>
      </c>
      <c r="B18" s="109"/>
      <c r="C18" s="57">
        <f>'Ago 2026'!L14</f>
        <v>65.31</v>
      </c>
      <c r="D18" s="57">
        <f t="shared" si="0"/>
        <v>65.31</v>
      </c>
      <c r="E18" s="64" t="str">
        <f t="shared" si="1"/>
        <v/>
      </c>
      <c r="F18" s="54" t="str">
        <f t="shared" si="2"/>
        <v/>
      </c>
    </row>
    <row r="19" spans="1:6">
      <c r="A19" s="52" t="s">
        <v>110</v>
      </c>
      <c r="B19" s="109"/>
      <c r="C19" s="55">
        <f>'Ago 2026'!L15</f>
        <v>0</v>
      </c>
      <c r="D19" s="55">
        <f t="shared" si="0"/>
        <v>0</v>
      </c>
      <c r="E19" s="63" t="str">
        <f t="shared" si="1"/>
        <v/>
      </c>
      <c r="F19" s="52" t="str">
        <f t="shared" si="2"/>
        <v/>
      </c>
    </row>
    <row r="20" spans="1:6">
      <c r="A20" s="54" t="s">
        <v>111</v>
      </c>
      <c r="B20" s="109"/>
      <c r="C20" s="57">
        <f>'Ago 2026'!L16</f>
        <v>275</v>
      </c>
      <c r="D20" s="57">
        <f t="shared" si="0"/>
        <v>275</v>
      </c>
      <c r="E20" s="64" t="str">
        <f t="shared" si="1"/>
        <v/>
      </c>
      <c r="F20" s="54" t="str">
        <f t="shared" si="2"/>
        <v/>
      </c>
    </row>
    <row r="21" spans="1:6">
      <c r="A21" s="59" t="s">
        <v>534</v>
      </c>
      <c r="B21" s="60">
        <f>SUM(B9:B20)</f>
        <v>0</v>
      </c>
      <c r="C21" s="60">
        <f>SUM(C9:C20)</f>
        <v>26027.410000000003</v>
      </c>
      <c r="D21" s="60">
        <f t="shared" si="0"/>
        <v>26027.410000000003</v>
      </c>
      <c r="E21" s="72" t="str">
        <f t="shared" si="1"/>
        <v/>
      </c>
      <c r="F21" s="59"/>
    </row>
    <row r="23" spans="1:6">
      <c r="A23" s="59" t="s">
        <v>535</v>
      </c>
      <c r="B23" s="60">
        <f>B5-B21</f>
        <v>15000</v>
      </c>
      <c r="C23" s="60">
        <f>C5-C21</f>
        <v>17871.749999999993</v>
      </c>
      <c r="D23" s="60">
        <f>C23-B23</f>
        <v>2871.7499999999927</v>
      </c>
      <c r="E23" s="59"/>
      <c r="F23" s="59"/>
    </row>
    <row r="25" spans="1:6">
      <c r="A25" s="219" t="s">
        <v>536</v>
      </c>
      <c r="B25" s="157"/>
      <c r="C25" s="157"/>
      <c r="D25" s="157"/>
      <c r="E25" s="157"/>
      <c r="F25" s="157"/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7B34"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defaultRowHeight="15"/>
  <cols>
    <col min="1" max="1" width="38" style="147" customWidth="1"/>
    <col min="2" max="9" width="15" style="147" customWidth="1"/>
    <col min="10" max="10" width="13" style="147" customWidth="1"/>
  </cols>
  <sheetData>
    <row r="1" spans="1:10" ht="21" customHeight="1">
      <c r="A1" s="209" t="s">
        <v>537</v>
      </c>
      <c r="B1" s="157"/>
      <c r="C1" s="157"/>
      <c r="D1" s="157"/>
      <c r="E1" s="157"/>
      <c r="F1" s="157"/>
      <c r="G1" s="157"/>
      <c r="H1" s="157"/>
      <c r="I1" s="157"/>
    </row>
    <row r="2" spans="1:10">
      <c r="A2" s="218" t="s">
        <v>538</v>
      </c>
      <c r="B2" s="157"/>
      <c r="C2" s="157"/>
      <c r="D2" s="157"/>
      <c r="E2" s="157"/>
      <c r="F2" s="157"/>
      <c r="G2" s="157"/>
      <c r="H2" s="157"/>
      <c r="I2" s="157"/>
    </row>
    <row r="3" spans="1:10">
      <c r="A3" s="127" t="s">
        <v>64</v>
      </c>
    </row>
    <row r="4" spans="1:10">
      <c r="A4" s="130" t="s">
        <v>539</v>
      </c>
      <c r="B4" s="69">
        <v>7.0000000000000007E-2</v>
      </c>
      <c r="C4" s="130" t="s">
        <v>540</v>
      </c>
      <c r="D4" s="69">
        <v>0.06</v>
      </c>
      <c r="E4" s="131" t="s">
        <v>541</v>
      </c>
    </row>
    <row r="5" spans="1:10">
      <c r="A5" s="220" t="s">
        <v>542</v>
      </c>
      <c r="B5" s="157"/>
      <c r="C5" s="157"/>
      <c r="D5" s="157"/>
      <c r="E5" s="157"/>
      <c r="F5" s="157"/>
      <c r="G5" s="157"/>
      <c r="H5" s="157"/>
      <c r="I5" s="157"/>
    </row>
    <row r="6" spans="1:10" ht="30" customHeight="1">
      <c r="A6" s="51" t="s">
        <v>543</v>
      </c>
      <c r="B6" s="51" t="s">
        <v>544</v>
      </c>
      <c r="C6" s="51" t="s">
        <v>545</v>
      </c>
      <c r="D6" s="51" t="s">
        <v>546</v>
      </c>
      <c r="E6" s="51" t="s">
        <v>547</v>
      </c>
      <c r="F6" s="51" t="s">
        <v>548</v>
      </c>
      <c r="G6" s="51" t="s">
        <v>549</v>
      </c>
      <c r="H6" s="51" t="s">
        <v>550</v>
      </c>
      <c r="I6" s="51" t="s">
        <v>80</v>
      </c>
      <c r="J6" s="51" t="s">
        <v>551</v>
      </c>
    </row>
    <row r="7" spans="1:10">
      <c r="A7" s="52" t="s">
        <v>344</v>
      </c>
      <c r="B7" s="55">
        <v>140</v>
      </c>
      <c r="C7" s="109">
        <v>46.76</v>
      </c>
      <c r="D7" s="55">
        <v>10</v>
      </c>
      <c r="E7" s="55">
        <f t="shared" ref="E7:E29" si="0">IF(B7="","",B7*IF($J7="",$B$4,$J7))</f>
        <v>9.8000000000000007</v>
      </c>
      <c r="F7" s="55">
        <f t="shared" ref="F7:F29" si="1">IF(B7="","",B7*$D$4)</f>
        <v>8.4</v>
      </c>
      <c r="G7" s="55">
        <f t="shared" ref="G7:G29" si="2">IF(B7="","",SUM(C7:F7))</f>
        <v>74.960000000000008</v>
      </c>
      <c r="H7" s="55">
        <f t="shared" ref="H7:H29" si="3">IF(B7="","",B7-G7)</f>
        <v>65.039999999999992</v>
      </c>
      <c r="I7" s="63">
        <f t="shared" ref="I7:I29" si="4">IF(B7=0,"",H7/B7)</f>
        <v>0.46457142857142852</v>
      </c>
      <c r="J7" s="137"/>
    </row>
    <row r="8" spans="1:10">
      <c r="A8" s="54" t="s">
        <v>355</v>
      </c>
      <c r="B8" s="57">
        <v>140</v>
      </c>
      <c r="C8" s="109">
        <v>24.2</v>
      </c>
      <c r="D8" s="57">
        <v>10</v>
      </c>
      <c r="E8" s="57">
        <f t="shared" si="0"/>
        <v>9.8000000000000007</v>
      </c>
      <c r="F8" s="57">
        <f t="shared" si="1"/>
        <v>8.4</v>
      </c>
      <c r="G8" s="57">
        <f t="shared" si="2"/>
        <v>52.4</v>
      </c>
      <c r="H8" s="57">
        <f t="shared" si="3"/>
        <v>87.6</v>
      </c>
      <c r="I8" s="64">
        <f t="shared" si="4"/>
        <v>0.62571428571428567</v>
      </c>
      <c r="J8" s="138"/>
    </row>
    <row r="9" spans="1:10">
      <c r="A9" s="52" t="s">
        <v>552</v>
      </c>
      <c r="B9" s="55">
        <v>85</v>
      </c>
      <c r="C9" s="109">
        <v>32.479999999999997</v>
      </c>
      <c r="D9" s="55">
        <v>0</v>
      </c>
      <c r="E9" s="55">
        <f t="shared" si="0"/>
        <v>5.95</v>
      </c>
      <c r="F9" s="55">
        <f t="shared" si="1"/>
        <v>5.0999999999999996</v>
      </c>
      <c r="G9" s="55">
        <f t="shared" si="2"/>
        <v>43.53</v>
      </c>
      <c r="H9" s="55">
        <f t="shared" si="3"/>
        <v>41.47</v>
      </c>
      <c r="I9" s="63">
        <f t="shared" si="4"/>
        <v>0.48788235294117643</v>
      </c>
      <c r="J9" s="137"/>
    </row>
    <row r="10" spans="1:10">
      <c r="A10" s="54" t="s">
        <v>553</v>
      </c>
      <c r="B10" s="57">
        <v>60</v>
      </c>
      <c r="C10" s="109">
        <v>34.409999999999997</v>
      </c>
      <c r="D10" s="57">
        <v>0</v>
      </c>
      <c r="E10" s="57">
        <f t="shared" si="0"/>
        <v>4.2</v>
      </c>
      <c r="F10" s="57">
        <f t="shared" si="1"/>
        <v>3.5999999999999996</v>
      </c>
      <c r="G10" s="57">
        <f t="shared" si="2"/>
        <v>42.21</v>
      </c>
      <c r="H10" s="57">
        <f t="shared" si="3"/>
        <v>17.79</v>
      </c>
      <c r="I10" s="64">
        <f t="shared" si="4"/>
        <v>0.29649999999999999</v>
      </c>
      <c r="J10" s="138"/>
    </row>
    <row r="11" spans="1:10">
      <c r="A11" s="52" t="s">
        <v>554</v>
      </c>
      <c r="B11" s="55">
        <v>110</v>
      </c>
      <c r="C11" s="109">
        <v>20.170000000000002</v>
      </c>
      <c r="D11" s="55">
        <v>0</v>
      </c>
      <c r="E11" s="55">
        <f t="shared" si="0"/>
        <v>7.7000000000000011</v>
      </c>
      <c r="F11" s="55">
        <f t="shared" si="1"/>
        <v>6.6</v>
      </c>
      <c r="G11" s="55">
        <f t="shared" si="2"/>
        <v>34.470000000000006</v>
      </c>
      <c r="H11" s="55">
        <f t="shared" si="3"/>
        <v>75.53</v>
      </c>
      <c r="I11" s="63">
        <f t="shared" si="4"/>
        <v>0.6866363636363636</v>
      </c>
      <c r="J11" s="137"/>
    </row>
    <row r="12" spans="1:10">
      <c r="A12" s="54" t="s">
        <v>555</v>
      </c>
      <c r="B12" s="57">
        <v>80</v>
      </c>
      <c r="C12" s="109">
        <v>20.260000000000002</v>
      </c>
      <c r="D12" s="57">
        <v>0</v>
      </c>
      <c r="E12" s="57">
        <f t="shared" si="0"/>
        <v>5.6000000000000005</v>
      </c>
      <c r="F12" s="57">
        <f t="shared" si="1"/>
        <v>4.8</v>
      </c>
      <c r="G12" s="57">
        <f t="shared" si="2"/>
        <v>30.660000000000004</v>
      </c>
      <c r="H12" s="57">
        <f t="shared" si="3"/>
        <v>49.339999999999996</v>
      </c>
      <c r="I12" s="64">
        <f t="shared" si="4"/>
        <v>0.61674999999999991</v>
      </c>
      <c r="J12" s="138"/>
    </row>
    <row r="13" spans="1:10">
      <c r="A13" s="52" t="s">
        <v>556</v>
      </c>
      <c r="B13" s="55">
        <v>115</v>
      </c>
      <c r="C13" s="109">
        <v>24</v>
      </c>
      <c r="D13" s="55">
        <v>0</v>
      </c>
      <c r="E13" s="55">
        <f t="shared" si="0"/>
        <v>8.0500000000000007</v>
      </c>
      <c r="F13" s="55">
        <f t="shared" si="1"/>
        <v>6.8999999999999995</v>
      </c>
      <c r="G13" s="55">
        <f t="shared" si="2"/>
        <v>38.949999999999996</v>
      </c>
      <c r="H13" s="55">
        <f t="shared" si="3"/>
        <v>76.050000000000011</v>
      </c>
      <c r="I13" s="63">
        <f t="shared" si="4"/>
        <v>0.66130434782608705</v>
      </c>
      <c r="J13" s="137"/>
    </row>
    <row r="14" spans="1:10">
      <c r="A14" s="54" t="s">
        <v>400</v>
      </c>
      <c r="B14" s="57">
        <v>60</v>
      </c>
      <c r="C14" s="109">
        <v>10.84</v>
      </c>
      <c r="D14" s="57">
        <v>0</v>
      </c>
      <c r="E14" s="57">
        <f t="shared" si="0"/>
        <v>4.2</v>
      </c>
      <c r="F14" s="57">
        <f t="shared" si="1"/>
        <v>3.5999999999999996</v>
      </c>
      <c r="G14" s="57">
        <f t="shared" si="2"/>
        <v>18.64</v>
      </c>
      <c r="H14" s="57">
        <f t="shared" si="3"/>
        <v>41.36</v>
      </c>
      <c r="I14" s="64">
        <f t="shared" si="4"/>
        <v>0.68933333333333335</v>
      </c>
      <c r="J14" s="138"/>
    </row>
    <row r="15" spans="1:10">
      <c r="A15" s="52" t="s">
        <v>557</v>
      </c>
      <c r="B15" s="55">
        <v>10</v>
      </c>
      <c r="C15" s="109">
        <v>1.72</v>
      </c>
      <c r="D15" s="55">
        <v>0</v>
      </c>
      <c r="E15" s="55">
        <f t="shared" si="0"/>
        <v>0.70000000000000007</v>
      </c>
      <c r="F15" s="55">
        <f t="shared" si="1"/>
        <v>0.6</v>
      </c>
      <c r="G15" s="55">
        <f t="shared" si="2"/>
        <v>3.02</v>
      </c>
      <c r="H15" s="55">
        <f t="shared" si="3"/>
        <v>6.98</v>
      </c>
      <c r="I15" s="63">
        <f t="shared" si="4"/>
        <v>0.69800000000000006</v>
      </c>
      <c r="J15" s="137"/>
    </row>
    <row r="16" spans="1:10">
      <c r="A16" s="54" t="s">
        <v>558</v>
      </c>
      <c r="B16" s="57">
        <v>30</v>
      </c>
      <c r="C16" s="109">
        <v>5.19</v>
      </c>
      <c r="D16" s="57">
        <v>0</v>
      </c>
      <c r="E16" s="57">
        <f t="shared" si="0"/>
        <v>2.1</v>
      </c>
      <c r="F16" s="57">
        <f t="shared" si="1"/>
        <v>1.7999999999999998</v>
      </c>
      <c r="G16" s="57">
        <f t="shared" si="2"/>
        <v>9.09</v>
      </c>
      <c r="H16" s="57">
        <f t="shared" si="3"/>
        <v>20.91</v>
      </c>
      <c r="I16" s="64">
        <f t="shared" si="4"/>
        <v>0.69699999999999995</v>
      </c>
      <c r="J16" s="138"/>
    </row>
    <row r="17" spans="1:10">
      <c r="A17" s="52" t="s">
        <v>559</v>
      </c>
      <c r="B17" s="55">
        <v>170</v>
      </c>
      <c r="C17" s="109">
        <v>45</v>
      </c>
      <c r="D17" s="55">
        <v>30</v>
      </c>
      <c r="E17" s="55">
        <f t="shared" si="0"/>
        <v>11.9</v>
      </c>
      <c r="F17" s="55">
        <f t="shared" si="1"/>
        <v>10.199999999999999</v>
      </c>
      <c r="G17" s="55">
        <f t="shared" si="2"/>
        <v>97.100000000000009</v>
      </c>
      <c r="H17" s="55">
        <f t="shared" si="3"/>
        <v>72.899999999999991</v>
      </c>
      <c r="I17" s="63">
        <f t="shared" si="4"/>
        <v>0.42882352941176466</v>
      </c>
      <c r="J17" s="137"/>
    </row>
    <row r="18" spans="1:10">
      <c r="A18" s="54" t="s">
        <v>560</v>
      </c>
      <c r="B18" s="57">
        <v>1429</v>
      </c>
      <c r="C18" s="109">
        <v>715.02</v>
      </c>
      <c r="D18" s="57">
        <v>30</v>
      </c>
      <c r="E18" s="57">
        <f t="shared" si="0"/>
        <v>199.9171</v>
      </c>
      <c r="F18" s="57">
        <f t="shared" si="1"/>
        <v>85.74</v>
      </c>
      <c r="G18" s="57">
        <f t="shared" si="2"/>
        <v>1030.6770999999999</v>
      </c>
      <c r="H18" s="57">
        <f t="shared" si="3"/>
        <v>398.32290000000012</v>
      </c>
      <c r="I18" s="64">
        <f t="shared" si="4"/>
        <v>0.27874240727781674</v>
      </c>
      <c r="J18" s="138">
        <v>0.1399</v>
      </c>
    </row>
    <row r="19" spans="1:10">
      <c r="A19" s="52" t="s">
        <v>561</v>
      </c>
      <c r="B19" s="55">
        <v>1486</v>
      </c>
      <c r="C19" s="109">
        <v>784.97</v>
      </c>
      <c r="D19" s="55">
        <v>30</v>
      </c>
      <c r="E19" s="55">
        <f t="shared" si="0"/>
        <v>207.8914</v>
      </c>
      <c r="F19" s="55">
        <f t="shared" si="1"/>
        <v>89.16</v>
      </c>
      <c r="G19" s="55">
        <f t="shared" si="2"/>
        <v>1112.0214000000001</v>
      </c>
      <c r="H19" s="55">
        <f t="shared" si="3"/>
        <v>373.97859999999991</v>
      </c>
      <c r="I19" s="63">
        <f t="shared" si="4"/>
        <v>0.25166796769851946</v>
      </c>
      <c r="J19" s="137">
        <v>0.1399</v>
      </c>
    </row>
    <row r="20" spans="1:10">
      <c r="A20" s="54" t="s">
        <v>562</v>
      </c>
      <c r="B20" s="57">
        <v>1429</v>
      </c>
      <c r="C20" s="109">
        <v>756.73</v>
      </c>
      <c r="D20" s="57">
        <v>30</v>
      </c>
      <c r="E20" s="57">
        <f t="shared" si="0"/>
        <v>199.9171</v>
      </c>
      <c r="F20" s="57">
        <f t="shared" si="1"/>
        <v>85.74</v>
      </c>
      <c r="G20" s="57">
        <f t="shared" si="2"/>
        <v>1072.3870999999999</v>
      </c>
      <c r="H20" s="57">
        <f t="shared" si="3"/>
        <v>356.61290000000008</v>
      </c>
      <c r="I20" s="64">
        <f t="shared" si="4"/>
        <v>0.2495541637508748</v>
      </c>
      <c r="J20" s="138">
        <v>0.1399</v>
      </c>
    </row>
    <row r="21" spans="1:10">
      <c r="A21" s="52" t="s">
        <v>563</v>
      </c>
      <c r="B21" s="55">
        <v>1529</v>
      </c>
      <c r="C21" s="109">
        <v>820.73</v>
      </c>
      <c r="D21" s="55">
        <v>30</v>
      </c>
      <c r="E21" s="55">
        <f t="shared" si="0"/>
        <v>213.90709999999999</v>
      </c>
      <c r="F21" s="55">
        <f t="shared" si="1"/>
        <v>91.74</v>
      </c>
      <c r="G21" s="55">
        <f t="shared" si="2"/>
        <v>1156.3770999999999</v>
      </c>
      <c r="H21" s="55">
        <f t="shared" si="3"/>
        <v>372.62290000000007</v>
      </c>
      <c r="I21" s="63">
        <f t="shared" si="4"/>
        <v>0.24370366252452588</v>
      </c>
      <c r="J21" s="137">
        <v>0.1399</v>
      </c>
    </row>
    <row r="22" spans="1:10">
      <c r="A22" s="54" t="s">
        <v>564</v>
      </c>
      <c r="B22" s="57">
        <v>1569</v>
      </c>
      <c r="C22" s="109">
        <v>906.93</v>
      </c>
      <c r="D22" s="57">
        <v>30</v>
      </c>
      <c r="E22" s="57">
        <f t="shared" si="0"/>
        <v>219.50309999999999</v>
      </c>
      <c r="F22" s="57">
        <f t="shared" si="1"/>
        <v>94.14</v>
      </c>
      <c r="G22" s="57">
        <f t="shared" si="2"/>
        <v>1250.5731000000001</v>
      </c>
      <c r="H22" s="57">
        <f t="shared" si="3"/>
        <v>318.42689999999993</v>
      </c>
      <c r="I22" s="64">
        <f t="shared" si="4"/>
        <v>0.20294894837476096</v>
      </c>
      <c r="J22" s="138">
        <v>0.1399</v>
      </c>
    </row>
    <row r="23" spans="1:10">
      <c r="A23" s="52" t="s">
        <v>565</v>
      </c>
      <c r="B23" s="55">
        <v>1429</v>
      </c>
      <c r="C23" s="109">
        <v>756.73</v>
      </c>
      <c r="D23" s="55">
        <v>30</v>
      </c>
      <c r="E23" s="55">
        <f t="shared" si="0"/>
        <v>199.9171</v>
      </c>
      <c r="F23" s="55">
        <f t="shared" si="1"/>
        <v>85.74</v>
      </c>
      <c r="G23" s="55">
        <f t="shared" si="2"/>
        <v>1072.3870999999999</v>
      </c>
      <c r="H23" s="55">
        <f t="shared" si="3"/>
        <v>356.61290000000008</v>
      </c>
      <c r="I23" s="63">
        <f t="shared" si="4"/>
        <v>0.2495541637508748</v>
      </c>
      <c r="J23" s="137">
        <v>0.1399</v>
      </c>
    </row>
    <row r="24" spans="1:10">
      <c r="A24" s="54" t="s">
        <v>566</v>
      </c>
      <c r="B24" s="57">
        <v>1486</v>
      </c>
      <c r="C24" s="109">
        <v>784.96</v>
      </c>
      <c r="D24" s="57">
        <v>30</v>
      </c>
      <c r="E24" s="57">
        <f t="shared" si="0"/>
        <v>207.8914</v>
      </c>
      <c r="F24" s="57">
        <f t="shared" si="1"/>
        <v>89.16</v>
      </c>
      <c r="G24" s="57">
        <f t="shared" si="2"/>
        <v>1112.0114000000001</v>
      </c>
      <c r="H24" s="57">
        <f t="shared" si="3"/>
        <v>373.98859999999991</v>
      </c>
      <c r="I24" s="64">
        <f t="shared" si="4"/>
        <v>0.2516746971736204</v>
      </c>
      <c r="J24" s="138">
        <v>0.1399</v>
      </c>
    </row>
    <row r="25" spans="1:10">
      <c r="A25" s="52" t="s">
        <v>567</v>
      </c>
      <c r="B25" s="55">
        <v>1486</v>
      </c>
      <c r="C25" s="109">
        <v>739.37</v>
      </c>
      <c r="D25" s="55">
        <v>30</v>
      </c>
      <c r="E25" s="55">
        <f t="shared" si="0"/>
        <v>207.8914</v>
      </c>
      <c r="F25" s="55">
        <f t="shared" si="1"/>
        <v>89.16</v>
      </c>
      <c r="G25" s="55">
        <f t="shared" si="2"/>
        <v>1066.4213999999999</v>
      </c>
      <c r="H25" s="55">
        <f t="shared" si="3"/>
        <v>419.57860000000005</v>
      </c>
      <c r="I25" s="63">
        <f t="shared" si="4"/>
        <v>0.28235437415881565</v>
      </c>
      <c r="J25" s="137">
        <v>0.1399</v>
      </c>
    </row>
    <row r="26" spans="1:10">
      <c r="A26" s="54" t="s">
        <v>568</v>
      </c>
      <c r="B26" s="65">
        <v>1486</v>
      </c>
      <c r="C26" s="109">
        <v>784.96</v>
      </c>
      <c r="D26" s="57">
        <v>30</v>
      </c>
      <c r="E26" s="57">
        <f t="shared" si="0"/>
        <v>207.8914</v>
      </c>
      <c r="F26" s="57">
        <f t="shared" si="1"/>
        <v>89.16</v>
      </c>
      <c r="G26" s="57">
        <f t="shared" si="2"/>
        <v>1112.0114000000001</v>
      </c>
      <c r="H26" s="57">
        <f t="shared" si="3"/>
        <v>373.98859999999991</v>
      </c>
      <c r="I26" s="64">
        <f t="shared" si="4"/>
        <v>0.2516746971736204</v>
      </c>
      <c r="J26" s="138">
        <v>0.1399</v>
      </c>
    </row>
    <row r="27" spans="1:10">
      <c r="A27" s="54" t="s">
        <v>569</v>
      </c>
      <c r="B27" s="65">
        <v>1589</v>
      </c>
      <c r="C27" s="109">
        <v>767.95</v>
      </c>
      <c r="D27" s="57">
        <v>30</v>
      </c>
      <c r="E27" s="57">
        <f t="shared" si="0"/>
        <v>222.30109999999999</v>
      </c>
      <c r="F27" s="57">
        <f t="shared" si="1"/>
        <v>95.34</v>
      </c>
      <c r="G27" s="57">
        <f t="shared" si="2"/>
        <v>1115.5911000000001</v>
      </c>
      <c r="H27" s="57">
        <f t="shared" si="3"/>
        <v>473.4088999999999</v>
      </c>
      <c r="I27" s="64">
        <f t="shared" si="4"/>
        <v>0.29792882315921959</v>
      </c>
      <c r="J27" s="138">
        <v>0.1399</v>
      </c>
    </row>
    <row r="28" spans="1:10">
      <c r="A28" s="54" t="s">
        <v>570</v>
      </c>
      <c r="B28" s="65">
        <v>1689</v>
      </c>
      <c r="C28" s="109">
        <v>819.57</v>
      </c>
      <c r="D28" s="57">
        <v>30</v>
      </c>
      <c r="E28" s="57">
        <f t="shared" si="0"/>
        <v>236.2911</v>
      </c>
      <c r="F28" s="57">
        <f t="shared" si="1"/>
        <v>101.33999999999999</v>
      </c>
      <c r="G28" s="57">
        <f t="shared" si="2"/>
        <v>1187.2011</v>
      </c>
      <c r="H28" s="57">
        <f t="shared" si="3"/>
        <v>501.7989</v>
      </c>
      <c r="I28" s="64">
        <f t="shared" si="4"/>
        <v>0.29709822380106571</v>
      </c>
      <c r="J28" s="138">
        <v>0.1399</v>
      </c>
    </row>
    <row r="29" spans="1:10">
      <c r="A29" s="54" t="s">
        <v>571</v>
      </c>
      <c r="B29" s="65">
        <v>420</v>
      </c>
      <c r="C29" s="109">
        <v>150.13</v>
      </c>
      <c r="D29" s="57">
        <v>30</v>
      </c>
      <c r="E29" s="57">
        <f t="shared" si="0"/>
        <v>46.2</v>
      </c>
      <c r="F29" s="57">
        <f t="shared" si="1"/>
        <v>25.2</v>
      </c>
      <c r="G29" s="57">
        <f t="shared" si="2"/>
        <v>251.52999999999997</v>
      </c>
      <c r="H29" s="57">
        <f t="shared" si="3"/>
        <v>168.47000000000003</v>
      </c>
      <c r="I29" s="64">
        <f t="shared" si="4"/>
        <v>0.40111904761904771</v>
      </c>
      <c r="J29" s="138">
        <v>0.11</v>
      </c>
    </row>
    <row r="31" spans="1:10">
      <c r="A31" s="219" t="s">
        <v>572</v>
      </c>
      <c r="B31" s="157"/>
      <c r="C31" s="157"/>
      <c r="D31" s="157"/>
      <c r="E31" s="157"/>
      <c r="F31" s="157"/>
      <c r="G31" s="157"/>
      <c r="H31" s="157"/>
      <c r="I31" s="157"/>
    </row>
    <row r="32" spans="1:10">
      <c r="A32" s="219" t="s">
        <v>573</v>
      </c>
      <c r="B32" s="157"/>
      <c r="C32" s="157"/>
      <c r="D32" s="157"/>
      <c r="E32" s="157"/>
      <c r="F32" s="157"/>
      <c r="G32" s="157"/>
      <c r="H32" s="157"/>
      <c r="I32" s="157"/>
    </row>
    <row r="33" spans="1:9">
      <c r="A33" s="164" t="s">
        <v>574</v>
      </c>
      <c r="B33" s="157"/>
      <c r="C33" s="157"/>
      <c r="D33" s="157"/>
      <c r="E33" s="157"/>
      <c r="F33" s="157"/>
      <c r="G33" s="157"/>
      <c r="H33" s="157"/>
      <c r="I33" s="157"/>
    </row>
    <row r="34" spans="1:9">
      <c r="A34" s="155" t="s">
        <v>575</v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AA0A6"/>
  </sheetPr>
  <dimension ref="A1:G45"/>
  <sheetViews>
    <sheetView showGridLines="0" zoomScale="85" zoomScaleNormal="85" workbookViewId="0">
      <pane ySplit="4" topLeftCell="A5" activePane="bottomLeft" state="frozen"/>
      <selection pane="bottomLeft" sqref="A1:G1"/>
    </sheetView>
  </sheetViews>
  <sheetFormatPr defaultRowHeight="15"/>
  <cols>
    <col min="1" max="1" width="14" style="147" customWidth="1"/>
    <col min="2" max="2" width="44" style="147" customWidth="1"/>
    <col min="3" max="4" width="18" style="147" customWidth="1"/>
    <col min="5" max="6" width="16" style="147" customWidth="1"/>
    <col min="7" max="7" width="40" style="147" customWidth="1"/>
  </cols>
  <sheetData>
    <row r="1" spans="1:7" ht="21" customHeight="1">
      <c r="A1" s="209" t="s">
        <v>576</v>
      </c>
      <c r="B1" s="157"/>
      <c r="C1" s="157"/>
      <c r="D1" s="157"/>
      <c r="E1" s="157"/>
      <c r="F1" s="157"/>
      <c r="G1" s="157"/>
    </row>
    <row r="2" spans="1:7">
      <c r="A2" s="218" t="s">
        <v>577</v>
      </c>
      <c r="B2" s="157"/>
      <c r="C2" s="157"/>
      <c r="D2" s="157"/>
      <c r="E2" s="157"/>
      <c r="F2" s="157"/>
      <c r="G2" s="157"/>
    </row>
    <row r="3" spans="1:7">
      <c r="A3" s="127" t="s">
        <v>64</v>
      </c>
    </row>
    <row r="4" spans="1:7" ht="30" customHeight="1">
      <c r="A4" s="51" t="s">
        <v>445</v>
      </c>
      <c r="B4" s="51" t="s">
        <v>116</v>
      </c>
      <c r="C4" s="51" t="s">
        <v>578</v>
      </c>
      <c r="D4" s="51" t="s">
        <v>579</v>
      </c>
      <c r="E4" s="51" t="s">
        <v>529</v>
      </c>
      <c r="F4" s="51" t="s">
        <v>187</v>
      </c>
      <c r="G4" s="51" t="s">
        <v>189</v>
      </c>
    </row>
    <row r="5" spans="1:7">
      <c r="A5" s="74"/>
      <c r="B5" s="52"/>
      <c r="C5" s="55"/>
      <c r="D5" s="55"/>
      <c r="E5" s="55" t="str">
        <f t="shared" ref="E5:E44" si="0">IF(AND(C5="",D5=""),"",C5-D5)</f>
        <v/>
      </c>
      <c r="F5" s="56" t="str">
        <f t="shared" ref="F5:F44" si="1">IF(AND(C5="",D5=""),"",IF(ROUND(E5,2)=0,"OK","DIVERGENTE"))</f>
        <v/>
      </c>
      <c r="G5" s="52"/>
    </row>
    <row r="6" spans="1:7">
      <c r="A6" s="73"/>
      <c r="B6" s="54"/>
      <c r="C6" s="57"/>
      <c r="D6" s="57"/>
      <c r="E6" s="57" t="str">
        <f t="shared" si="0"/>
        <v/>
      </c>
      <c r="F6" s="58" t="str">
        <f t="shared" si="1"/>
        <v/>
      </c>
      <c r="G6" s="54"/>
    </row>
    <row r="7" spans="1:7">
      <c r="A7" s="74"/>
      <c r="B7" s="52"/>
      <c r="C7" s="55"/>
      <c r="D7" s="55"/>
      <c r="E7" s="55" t="str">
        <f t="shared" si="0"/>
        <v/>
      </c>
      <c r="F7" s="56" t="str">
        <f t="shared" si="1"/>
        <v/>
      </c>
      <c r="G7" s="52"/>
    </row>
    <row r="8" spans="1:7">
      <c r="A8" s="73"/>
      <c r="B8" s="54"/>
      <c r="C8" s="57"/>
      <c r="D8" s="57"/>
      <c r="E8" s="57" t="str">
        <f t="shared" si="0"/>
        <v/>
      </c>
      <c r="F8" s="58" t="str">
        <f t="shared" si="1"/>
        <v/>
      </c>
      <c r="G8" s="54"/>
    </row>
    <row r="9" spans="1:7">
      <c r="A9" s="74"/>
      <c r="B9" s="52"/>
      <c r="C9" s="55"/>
      <c r="D9" s="55"/>
      <c r="E9" s="55" t="str">
        <f t="shared" si="0"/>
        <v/>
      </c>
      <c r="F9" s="56" t="str">
        <f t="shared" si="1"/>
        <v/>
      </c>
      <c r="G9" s="52"/>
    </row>
    <row r="10" spans="1:7">
      <c r="A10" s="73"/>
      <c r="B10" s="54"/>
      <c r="C10" s="57"/>
      <c r="D10" s="57"/>
      <c r="E10" s="57" t="str">
        <f t="shared" si="0"/>
        <v/>
      </c>
      <c r="F10" s="58" t="str">
        <f t="shared" si="1"/>
        <v/>
      </c>
      <c r="G10" s="54"/>
    </row>
    <row r="11" spans="1:7">
      <c r="A11" s="74"/>
      <c r="B11" s="52"/>
      <c r="C11" s="55"/>
      <c r="D11" s="55"/>
      <c r="E11" s="55" t="str">
        <f t="shared" si="0"/>
        <v/>
      </c>
      <c r="F11" s="56" t="str">
        <f t="shared" si="1"/>
        <v/>
      </c>
      <c r="G11" s="52"/>
    </row>
    <row r="12" spans="1:7">
      <c r="A12" s="73"/>
      <c r="B12" s="54"/>
      <c r="C12" s="57"/>
      <c r="D12" s="57"/>
      <c r="E12" s="57" t="str">
        <f t="shared" si="0"/>
        <v/>
      </c>
      <c r="F12" s="58" t="str">
        <f t="shared" si="1"/>
        <v/>
      </c>
      <c r="G12" s="54"/>
    </row>
    <row r="13" spans="1:7">
      <c r="A13" s="74"/>
      <c r="B13" s="52"/>
      <c r="C13" s="55"/>
      <c r="D13" s="55"/>
      <c r="E13" s="55" t="str">
        <f t="shared" si="0"/>
        <v/>
      </c>
      <c r="F13" s="56" t="str">
        <f t="shared" si="1"/>
        <v/>
      </c>
      <c r="G13" s="52"/>
    </row>
    <row r="14" spans="1:7">
      <c r="A14" s="73"/>
      <c r="B14" s="54"/>
      <c r="C14" s="57"/>
      <c r="D14" s="57"/>
      <c r="E14" s="57" t="str">
        <f t="shared" si="0"/>
        <v/>
      </c>
      <c r="F14" s="58" t="str">
        <f t="shared" si="1"/>
        <v/>
      </c>
      <c r="G14" s="54"/>
    </row>
    <row r="15" spans="1:7">
      <c r="A15" s="74"/>
      <c r="B15" s="52"/>
      <c r="C15" s="55"/>
      <c r="D15" s="55"/>
      <c r="E15" s="55" t="str">
        <f t="shared" si="0"/>
        <v/>
      </c>
      <c r="F15" s="56" t="str">
        <f t="shared" si="1"/>
        <v/>
      </c>
      <c r="G15" s="52"/>
    </row>
    <row r="16" spans="1:7">
      <c r="A16" s="73"/>
      <c r="B16" s="54"/>
      <c r="C16" s="57"/>
      <c r="D16" s="57"/>
      <c r="E16" s="57" t="str">
        <f t="shared" si="0"/>
        <v/>
      </c>
      <c r="F16" s="58" t="str">
        <f t="shared" si="1"/>
        <v/>
      </c>
      <c r="G16" s="54"/>
    </row>
    <row r="17" spans="1:7">
      <c r="A17" s="74"/>
      <c r="B17" s="52"/>
      <c r="C17" s="55"/>
      <c r="D17" s="55"/>
      <c r="E17" s="55" t="str">
        <f t="shared" si="0"/>
        <v/>
      </c>
      <c r="F17" s="56" t="str">
        <f t="shared" si="1"/>
        <v/>
      </c>
      <c r="G17" s="52"/>
    </row>
    <row r="18" spans="1:7">
      <c r="A18" s="73"/>
      <c r="B18" s="54"/>
      <c r="C18" s="57"/>
      <c r="D18" s="57"/>
      <c r="E18" s="57" t="str">
        <f t="shared" si="0"/>
        <v/>
      </c>
      <c r="F18" s="58" t="str">
        <f t="shared" si="1"/>
        <v/>
      </c>
      <c r="G18" s="54"/>
    </row>
    <row r="19" spans="1:7">
      <c r="A19" s="74"/>
      <c r="B19" s="52"/>
      <c r="C19" s="55"/>
      <c r="D19" s="55"/>
      <c r="E19" s="55" t="str">
        <f t="shared" si="0"/>
        <v/>
      </c>
      <c r="F19" s="56" t="str">
        <f t="shared" si="1"/>
        <v/>
      </c>
      <c r="G19" s="52"/>
    </row>
    <row r="20" spans="1:7">
      <c r="A20" s="73"/>
      <c r="B20" s="54"/>
      <c r="C20" s="57"/>
      <c r="D20" s="57"/>
      <c r="E20" s="57" t="str">
        <f t="shared" si="0"/>
        <v/>
      </c>
      <c r="F20" s="58" t="str">
        <f t="shared" si="1"/>
        <v/>
      </c>
      <c r="G20" s="54"/>
    </row>
    <row r="21" spans="1:7">
      <c r="A21" s="74"/>
      <c r="B21" s="52"/>
      <c r="C21" s="55"/>
      <c r="D21" s="55"/>
      <c r="E21" s="55" t="str">
        <f t="shared" si="0"/>
        <v/>
      </c>
      <c r="F21" s="56" t="str">
        <f t="shared" si="1"/>
        <v/>
      </c>
      <c r="G21" s="52"/>
    </row>
    <row r="22" spans="1:7">
      <c r="A22" s="73"/>
      <c r="B22" s="54"/>
      <c r="C22" s="57"/>
      <c r="D22" s="57"/>
      <c r="E22" s="57" t="str">
        <f t="shared" si="0"/>
        <v/>
      </c>
      <c r="F22" s="58" t="str">
        <f t="shared" si="1"/>
        <v/>
      </c>
      <c r="G22" s="54"/>
    </row>
    <row r="23" spans="1:7">
      <c r="A23" s="74"/>
      <c r="B23" s="52"/>
      <c r="C23" s="55"/>
      <c r="D23" s="55"/>
      <c r="E23" s="55" t="str">
        <f t="shared" si="0"/>
        <v/>
      </c>
      <c r="F23" s="56" t="str">
        <f t="shared" si="1"/>
        <v/>
      </c>
      <c r="G23" s="52"/>
    </row>
    <row r="24" spans="1:7">
      <c r="A24" s="73"/>
      <c r="B24" s="54"/>
      <c r="C24" s="57"/>
      <c r="D24" s="57"/>
      <c r="E24" s="57" t="str">
        <f t="shared" si="0"/>
        <v/>
      </c>
      <c r="F24" s="58" t="str">
        <f t="shared" si="1"/>
        <v/>
      </c>
      <c r="G24" s="54"/>
    </row>
    <row r="25" spans="1:7">
      <c r="A25" s="74"/>
      <c r="B25" s="52"/>
      <c r="C25" s="55"/>
      <c r="D25" s="55"/>
      <c r="E25" s="55" t="str">
        <f t="shared" si="0"/>
        <v/>
      </c>
      <c r="F25" s="56" t="str">
        <f t="shared" si="1"/>
        <v/>
      </c>
      <c r="G25" s="52"/>
    </row>
    <row r="26" spans="1:7">
      <c r="A26" s="73"/>
      <c r="B26" s="54"/>
      <c r="C26" s="57"/>
      <c r="D26" s="57"/>
      <c r="E26" s="57" t="str">
        <f t="shared" si="0"/>
        <v/>
      </c>
      <c r="F26" s="58" t="str">
        <f t="shared" si="1"/>
        <v/>
      </c>
      <c r="G26" s="54"/>
    </row>
    <row r="27" spans="1:7">
      <c r="A27" s="74"/>
      <c r="B27" s="52"/>
      <c r="C27" s="55"/>
      <c r="D27" s="55"/>
      <c r="E27" s="55" t="str">
        <f t="shared" si="0"/>
        <v/>
      </c>
      <c r="F27" s="56" t="str">
        <f t="shared" si="1"/>
        <v/>
      </c>
      <c r="G27" s="52"/>
    </row>
    <row r="28" spans="1:7">
      <c r="A28" s="73"/>
      <c r="B28" s="54"/>
      <c r="C28" s="57"/>
      <c r="D28" s="57"/>
      <c r="E28" s="57" t="str">
        <f t="shared" si="0"/>
        <v/>
      </c>
      <c r="F28" s="58" t="str">
        <f t="shared" si="1"/>
        <v/>
      </c>
      <c r="G28" s="54"/>
    </row>
    <row r="29" spans="1:7">
      <c r="A29" s="74"/>
      <c r="B29" s="52"/>
      <c r="C29" s="55"/>
      <c r="D29" s="55"/>
      <c r="E29" s="55" t="str">
        <f t="shared" si="0"/>
        <v/>
      </c>
      <c r="F29" s="56" t="str">
        <f t="shared" si="1"/>
        <v/>
      </c>
      <c r="G29" s="52"/>
    </row>
    <row r="30" spans="1:7">
      <c r="A30" s="73"/>
      <c r="B30" s="54"/>
      <c r="C30" s="57"/>
      <c r="D30" s="57"/>
      <c r="E30" s="57" t="str">
        <f t="shared" si="0"/>
        <v/>
      </c>
      <c r="F30" s="58" t="str">
        <f t="shared" si="1"/>
        <v/>
      </c>
      <c r="G30" s="54"/>
    </row>
    <row r="31" spans="1:7">
      <c r="A31" s="74"/>
      <c r="B31" s="52"/>
      <c r="C31" s="55"/>
      <c r="D31" s="55"/>
      <c r="E31" s="55" t="str">
        <f t="shared" si="0"/>
        <v/>
      </c>
      <c r="F31" s="56" t="str">
        <f t="shared" si="1"/>
        <v/>
      </c>
      <c r="G31" s="52"/>
    </row>
    <row r="32" spans="1:7">
      <c r="A32" s="73"/>
      <c r="B32" s="54"/>
      <c r="C32" s="57"/>
      <c r="D32" s="57"/>
      <c r="E32" s="57" t="str">
        <f t="shared" si="0"/>
        <v/>
      </c>
      <c r="F32" s="58" t="str">
        <f t="shared" si="1"/>
        <v/>
      </c>
      <c r="G32" s="54"/>
    </row>
    <row r="33" spans="1:7">
      <c r="A33" s="74"/>
      <c r="B33" s="52"/>
      <c r="C33" s="55"/>
      <c r="D33" s="55"/>
      <c r="E33" s="55" t="str">
        <f t="shared" si="0"/>
        <v/>
      </c>
      <c r="F33" s="56" t="str">
        <f t="shared" si="1"/>
        <v/>
      </c>
      <c r="G33" s="52"/>
    </row>
    <row r="34" spans="1:7">
      <c r="A34" s="73"/>
      <c r="B34" s="54"/>
      <c r="C34" s="57"/>
      <c r="D34" s="57"/>
      <c r="E34" s="57" t="str">
        <f t="shared" si="0"/>
        <v/>
      </c>
      <c r="F34" s="58" t="str">
        <f t="shared" si="1"/>
        <v/>
      </c>
      <c r="G34" s="54"/>
    </row>
    <row r="35" spans="1:7">
      <c r="A35" s="74"/>
      <c r="B35" s="52"/>
      <c r="C35" s="55"/>
      <c r="D35" s="55"/>
      <c r="E35" s="55" t="str">
        <f t="shared" si="0"/>
        <v/>
      </c>
      <c r="F35" s="56" t="str">
        <f t="shared" si="1"/>
        <v/>
      </c>
      <c r="G35" s="52"/>
    </row>
    <row r="36" spans="1:7">
      <c r="A36" s="73"/>
      <c r="B36" s="54"/>
      <c r="C36" s="57"/>
      <c r="D36" s="57"/>
      <c r="E36" s="57" t="str">
        <f t="shared" si="0"/>
        <v/>
      </c>
      <c r="F36" s="58" t="str">
        <f t="shared" si="1"/>
        <v/>
      </c>
      <c r="G36" s="54"/>
    </row>
    <row r="37" spans="1:7">
      <c r="A37" s="74"/>
      <c r="B37" s="52"/>
      <c r="C37" s="55"/>
      <c r="D37" s="55"/>
      <c r="E37" s="55" t="str">
        <f t="shared" si="0"/>
        <v/>
      </c>
      <c r="F37" s="56" t="str">
        <f t="shared" si="1"/>
        <v/>
      </c>
      <c r="G37" s="52"/>
    </row>
    <row r="38" spans="1:7">
      <c r="A38" s="73"/>
      <c r="B38" s="54"/>
      <c r="C38" s="57"/>
      <c r="D38" s="57"/>
      <c r="E38" s="57" t="str">
        <f t="shared" si="0"/>
        <v/>
      </c>
      <c r="F38" s="58" t="str">
        <f t="shared" si="1"/>
        <v/>
      </c>
      <c r="G38" s="54"/>
    </row>
    <row r="39" spans="1:7">
      <c r="A39" s="74"/>
      <c r="B39" s="52"/>
      <c r="C39" s="55"/>
      <c r="D39" s="55"/>
      <c r="E39" s="55" t="str">
        <f t="shared" si="0"/>
        <v/>
      </c>
      <c r="F39" s="56" t="str">
        <f t="shared" si="1"/>
        <v/>
      </c>
      <c r="G39" s="52"/>
    </row>
    <row r="40" spans="1:7">
      <c r="A40" s="73"/>
      <c r="B40" s="54"/>
      <c r="C40" s="57"/>
      <c r="D40" s="57"/>
      <c r="E40" s="57" t="str">
        <f t="shared" si="0"/>
        <v/>
      </c>
      <c r="F40" s="58" t="str">
        <f t="shared" si="1"/>
        <v/>
      </c>
      <c r="G40" s="54"/>
    </row>
    <row r="41" spans="1:7">
      <c r="A41" s="74"/>
      <c r="B41" s="52"/>
      <c r="C41" s="55"/>
      <c r="D41" s="55"/>
      <c r="E41" s="55" t="str">
        <f t="shared" si="0"/>
        <v/>
      </c>
      <c r="F41" s="56" t="str">
        <f t="shared" si="1"/>
        <v/>
      </c>
      <c r="G41" s="52"/>
    </row>
    <row r="42" spans="1:7">
      <c r="A42" s="73"/>
      <c r="B42" s="54"/>
      <c r="C42" s="57"/>
      <c r="D42" s="57"/>
      <c r="E42" s="57" t="str">
        <f t="shared" si="0"/>
        <v/>
      </c>
      <c r="F42" s="58" t="str">
        <f t="shared" si="1"/>
        <v/>
      </c>
      <c r="G42" s="54"/>
    </row>
    <row r="43" spans="1:7">
      <c r="A43" s="74"/>
      <c r="B43" s="52"/>
      <c r="C43" s="55"/>
      <c r="D43" s="55"/>
      <c r="E43" s="55" t="str">
        <f t="shared" si="0"/>
        <v/>
      </c>
      <c r="F43" s="56" t="str">
        <f t="shared" si="1"/>
        <v/>
      </c>
      <c r="G43" s="52"/>
    </row>
    <row r="44" spans="1:7">
      <c r="A44" s="73"/>
      <c r="B44" s="54"/>
      <c r="C44" s="57"/>
      <c r="D44" s="57"/>
      <c r="E44" s="57" t="str">
        <f t="shared" si="0"/>
        <v/>
      </c>
      <c r="F44" s="58" t="str">
        <f t="shared" si="1"/>
        <v/>
      </c>
      <c r="G44" s="54"/>
    </row>
    <row r="45" spans="1:7">
      <c r="A45" s="59" t="s">
        <v>580</v>
      </c>
      <c r="B45" s="59"/>
      <c r="C45" s="60">
        <f>SUM(C5:C44)</f>
        <v>0</v>
      </c>
      <c r="D45" s="60">
        <f>SUM(D5:D44)</f>
        <v>0</v>
      </c>
      <c r="E45" s="60">
        <f>SUM(E5:E44)</f>
        <v>0</v>
      </c>
      <c r="F45" s="68" t="str">
        <f>COUNTIF(F5:F44,"DIVERGENTE")&amp;" divergência(s)"</f>
        <v>0 divergência(s)</v>
      </c>
      <c r="G45" s="59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AA0A6"/>
  </sheetPr>
  <dimension ref="A1:I90"/>
  <sheetViews>
    <sheetView showGridLines="0" zoomScale="70" zoomScaleNormal="70" workbookViewId="0">
      <pane ySplit="4" topLeftCell="A23" activePane="bottomLeft" state="frozen"/>
      <selection pane="bottomLeft" sqref="A1:I1"/>
    </sheetView>
  </sheetViews>
  <sheetFormatPr defaultRowHeight="15"/>
  <cols>
    <col min="1" max="1" width="42" style="147" customWidth="1"/>
    <col min="2" max="2" width="14" style="147" customWidth="1"/>
    <col min="3" max="3" width="12" style="147" customWidth="1"/>
    <col min="4" max="4" width="22" style="147" customWidth="1"/>
    <col min="5" max="5" width="24" style="147" customWidth="1"/>
    <col min="6" max="6" width="28" style="147" customWidth="1"/>
    <col min="7" max="7" width="44" style="147" customWidth="1"/>
    <col min="8" max="8" width="18" style="147" customWidth="1"/>
    <col min="9" max="9" width="28" style="147" customWidth="1"/>
  </cols>
  <sheetData>
    <row r="1" spans="1:9" ht="21" customHeight="1">
      <c r="A1" s="209" t="s">
        <v>581</v>
      </c>
      <c r="B1" s="157"/>
      <c r="C1" s="157"/>
      <c r="D1" s="157"/>
      <c r="E1" s="157"/>
      <c r="F1" s="157"/>
      <c r="G1" s="157"/>
      <c r="H1" s="157"/>
      <c r="I1" s="157"/>
    </row>
    <row r="2" spans="1:9">
      <c r="A2" s="218" t="s">
        <v>582</v>
      </c>
      <c r="B2" s="157"/>
      <c r="C2" s="157"/>
      <c r="D2" s="157"/>
      <c r="E2" s="157"/>
      <c r="F2" s="157"/>
      <c r="G2" s="157"/>
      <c r="H2" s="157"/>
      <c r="I2" s="157"/>
    </row>
    <row r="3" spans="1:9">
      <c r="A3" s="127" t="s">
        <v>64</v>
      </c>
    </row>
    <row r="4" spans="1:9">
      <c r="A4" s="51" t="s">
        <v>583</v>
      </c>
      <c r="B4" s="51" t="s">
        <v>584</v>
      </c>
      <c r="C4" s="51" t="s">
        <v>585</v>
      </c>
      <c r="D4" s="51" t="s">
        <v>586</v>
      </c>
      <c r="E4" s="51" t="s">
        <v>587</v>
      </c>
      <c r="F4" s="51" t="s">
        <v>588</v>
      </c>
      <c r="G4" s="51" t="s">
        <v>589</v>
      </c>
      <c r="H4" s="51" t="s">
        <v>590</v>
      </c>
      <c r="I4" s="51" t="s">
        <v>189</v>
      </c>
    </row>
    <row r="5" spans="1:9">
      <c r="A5" s="52" t="s">
        <v>591</v>
      </c>
      <c r="B5" s="52" t="s">
        <v>340</v>
      </c>
      <c r="C5" s="53"/>
      <c r="D5" s="53"/>
      <c r="E5" s="52">
        <v>991403050</v>
      </c>
      <c r="F5" s="53"/>
      <c r="G5" s="52" t="s">
        <v>592</v>
      </c>
      <c r="H5" s="52" t="s">
        <v>593</v>
      </c>
      <c r="I5" s="52" t="s">
        <v>594</v>
      </c>
    </row>
    <row r="6" spans="1:9">
      <c r="A6" s="54" t="s">
        <v>595</v>
      </c>
      <c r="B6" s="54" t="s">
        <v>340</v>
      </c>
      <c r="C6" s="53"/>
      <c r="D6" s="53"/>
      <c r="E6" s="54" t="s">
        <v>596</v>
      </c>
      <c r="F6" s="53"/>
      <c r="G6" s="54" t="s">
        <v>597</v>
      </c>
      <c r="H6" s="54" t="s">
        <v>593</v>
      </c>
      <c r="I6" s="54" t="s">
        <v>598</v>
      </c>
    </row>
    <row r="7" spans="1:9">
      <c r="A7" s="52" t="s">
        <v>599</v>
      </c>
      <c r="B7" s="52" t="s">
        <v>340</v>
      </c>
      <c r="C7" s="53"/>
      <c r="D7" s="53"/>
      <c r="E7" s="52">
        <v>991217035</v>
      </c>
      <c r="F7" s="53"/>
      <c r="G7" s="52" t="s">
        <v>600</v>
      </c>
      <c r="H7" s="52" t="s">
        <v>593</v>
      </c>
      <c r="I7" s="52" t="s">
        <v>601</v>
      </c>
    </row>
    <row r="8" spans="1:9">
      <c r="A8" s="54" t="s">
        <v>602</v>
      </c>
      <c r="B8" s="54" t="s">
        <v>340</v>
      </c>
      <c r="C8" s="53"/>
      <c r="D8" s="53"/>
      <c r="E8" s="54" t="s">
        <v>596</v>
      </c>
      <c r="F8" s="53"/>
      <c r="G8" s="54" t="s">
        <v>603</v>
      </c>
      <c r="H8" s="54" t="s">
        <v>593</v>
      </c>
      <c r="I8" s="54" t="s">
        <v>598</v>
      </c>
    </row>
    <row r="9" spans="1:9">
      <c r="A9" s="52" t="s">
        <v>604</v>
      </c>
      <c r="B9" s="52" t="s">
        <v>340</v>
      </c>
      <c r="C9" s="53"/>
      <c r="D9" s="53"/>
      <c r="E9" s="52">
        <v>991330608</v>
      </c>
      <c r="F9" s="53"/>
      <c r="G9" s="52" t="s">
        <v>605</v>
      </c>
      <c r="H9" s="52" t="s">
        <v>593</v>
      </c>
      <c r="I9" s="52" t="s">
        <v>606</v>
      </c>
    </row>
    <row r="10" spans="1:9">
      <c r="A10" s="54" t="s">
        <v>607</v>
      </c>
      <c r="B10" s="54" t="s">
        <v>340</v>
      </c>
      <c r="C10" s="53"/>
      <c r="D10" s="53"/>
      <c r="E10" s="54"/>
      <c r="F10" s="53"/>
      <c r="G10" s="54" t="s">
        <v>608</v>
      </c>
      <c r="H10" s="54" t="s">
        <v>593</v>
      </c>
      <c r="I10" s="54" t="s">
        <v>609</v>
      </c>
    </row>
    <row r="11" spans="1:9">
      <c r="A11" s="52" t="s">
        <v>610</v>
      </c>
      <c r="B11" s="52" t="s">
        <v>340</v>
      </c>
      <c r="C11" s="53"/>
      <c r="D11" s="53"/>
      <c r="E11" s="52">
        <v>988221828</v>
      </c>
      <c r="F11" s="53"/>
      <c r="G11" s="52" t="s">
        <v>611</v>
      </c>
      <c r="H11" s="52" t="s">
        <v>593</v>
      </c>
      <c r="I11" s="52" t="s">
        <v>612</v>
      </c>
    </row>
    <row r="12" spans="1:9">
      <c r="A12" s="54" t="s">
        <v>613</v>
      </c>
      <c r="B12" s="54" t="s">
        <v>340</v>
      </c>
      <c r="C12" s="53"/>
      <c r="D12" s="53"/>
      <c r="E12" s="54" t="s">
        <v>614</v>
      </c>
      <c r="F12" s="53"/>
      <c r="G12" s="54" t="s">
        <v>615</v>
      </c>
      <c r="H12" s="54" t="s">
        <v>593</v>
      </c>
      <c r="I12" s="54" t="s">
        <v>616</v>
      </c>
    </row>
    <row r="13" spans="1:9">
      <c r="A13" s="52" t="s">
        <v>617</v>
      </c>
      <c r="B13" s="52" t="s">
        <v>340</v>
      </c>
      <c r="C13" s="53"/>
      <c r="D13" s="53"/>
      <c r="E13" s="52" t="s">
        <v>618</v>
      </c>
      <c r="F13" s="53"/>
      <c r="G13" s="52" t="s">
        <v>619</v>
      </c>
      <c r="H13" s="52" t="s">
        <v>593</v>
      </c>
      <c r="I13" s="52" t="s">
        <v>620</v>
      </c>
    </row>
    <row r="14" spans="1:9">
      <c r="A14" s="54" t="s">
        <v>343</v>
      </c>
      <c r="B14" s="54" t="s">
        <v>340</v>
      </c>
      <c r="C14" s="53"/>
      <c r="D14" s="53"/>
      <c r="E14" s="54" t="s">
        <v>621</v>
      </c>
      <c r="F14" s="53"/>
      <c r="G14" s="54" t="s">
        <v>622</v>
      </c>
      <c r="H14" s="54" t="s">
        <v>593</v>
      </c>
      <c r="I14" s="54" t="s">
        <v>598</v>
      </c>
    </row>
    <row r="15" spans="1:9">
      <c r="A15" s="52" t="s">
        <v>345</v>
      </c>
      <c r="B15" s="52" t="s">
        <v>340</v>
      </c>
      <c r="C15" s="53"/>
      <c r="D15" s="53"/>
      <c r="E15" s="52" t="s">
        <v>623</v>
      </c>
      <c r="F15" s="53"/>
      <c r="G15" s="52" t="s">
        <v>624</v>
      </c>
      <c r="H15" s="52" t="s">
        <v>593</v>
      </c>
      <c r="I15" s="52" t="s">
        <v>620</v>
      </c>
    </row>
    <row r="16" spans="1:9">
      <c r="A16" s="54" t="s">
        <v>625</v>
      </c>
      <c r="B16" s="54" t="s">
        <v>340</v>
      </c>
      <c r="C16" s="53"/>
      <c r="D16" s="53"/>
      <c r="E16" s="54" t="s">
        <v>626</v>
      </c>
      <c r="F16" s="53"/>
      <c r="G16" s="54" t="s">
        <v>627</v>
      </c>
      <c r="H16" s="54" t="s">
        <v>593</v>
      </c>
      <c r="I16" s="54" t="s">
        <v>628</v>
      </c>
    </row>
    <row r="17" spans="1:9">
      <c r="A17" s="52" t="s">
        <v>629</v>
      </c>
      <c r="B17" s="52" t="s">
        <v>340</v>
      </c>
      <c r="C17" s="53"/>
      <c r="D17" s="53"/>
      <c r="E17" s="52">
        <v>991343522</v>
      </c>
      <c r="F17" s="53"/>
      <c r="G17" s="52" t="s">
        <v>630</v>
      </c>
      <c r="H17" s="52" t="s">
        <v>593</v>
      </c>
      <c r="I17" s="52" t="s">
        <v>631</v>
      </c>
    </row>
    <row r="18" spans="1:9">
      <c r="A18" s="54" t="s">
        <v>632</v>
      </c>
      <c r="B18" s="54" t="s">
        <v>340</v>
      </c>
      <c r="C18" s="53"/>
      <c r="D18" s="53"/>
      <c r="E18" s="54" t="s">
        <v>633</v>
      </c>
      <c r="F18" s="53"/>
      <c r="G18" s="54" t="s">
        <v>634</v>
      </c>
      <c r="H18" s="54" t="s">
        <v>593</v>
      </c>
      <c r="I18" s="54" t="s">
        <v>598</v>
      </c>
    </row>
    <row r="19" spans="1:9">
      <c r="A19" s="52" t="s">
        <v>635</v>
      </c>
      <c r="B19" s="52" t="s">
        <v>340</v>
      </c>
      <c r="C19" s="53"/>
      <c r="D19" s="53"/>
      <c r="E19" s="52" t="s">
        <v>636</v>
      </c>
      <c r="F19" s="53"/>
      <c r="G19" s="52" t="s">
        <v>637</v>
      </c>
      <c r="H19" s="52" t="s">
        <v>593</v>
      </c>
      <c r="I19" s="52" t="s">
        <v>628</v>
      </c>
    </row>
    <row r="20" spans="1:9">
      <c r="A20" s="54" t="s">
        <v>638</v>
      </c>
      <c r="B20" s="54" t="s">
        <v>340</v>
      </c>
      <c r="C20" s="53"/>
      <c r="D20" s="53"/>
      <c r="E20" s="54"/>
      <c r="F20" s="53"/>
      <c r="G20" s="54"/>
      <c r="H20" s="54"/>
      <c r="I20" s="54"/>
    </row>
    <row r="21" spans="1:9">
      <c r="A21" s="52" t="s">
        <v>639</v>
      </c>
      <c r="B21" s="52" t="s">
        <v>340</v>
      </c>
      <c r="C21" s="53"/>
      <c r="D21" s="53"/>
      <c r="E21" s="52" t="s">
        <v>640</v>
      </c>
      <c r="F21" s="53"/>
      <c r="G21" s="52" t="s">
        <v>641</v>
      </c>
      <c r="H21" s="52" t="s">
        <v>593</v>
      </c>
      <c r="I21" s="52" t="s">
        <v>642</v>
      </c>
    </row>
    <row r="22" spans="1:9">
      <c r="A22" s="54" t="s">
        <v>643</v>
      </c>
      <c r="B22" s="54" t="s">
        <v>340</v>
      </c>
      <c r="C22" s="53"/>
      <c r="D22" s="53"/>
      <c r="E22" s="54">
        <v>999773095</v>
      </c>
      <c r="F22" s="53"/>
      <c r="G22" s="54" t="s">
        <v>644</v>
      </c>
      <c r="H22" s="54" t="s">
        <v>593</v>
      </c>
      <c r="I22" s="54" t="s">
        <v>645</v>
      </c>
    </row>
    <row r="23" spans="1:9">
      <c r="A23" s="52" t="s">
        <v>646</v>
      </c>
      <c r="B23" s="52" t="s">
        <v>340</v>
      </c>
      <c r="C23" s="53"/>
      <c r="D23" s="53"/>
      <c r="E23" s="52" t="s">
        <v>647</v>
      </c>
      <c r="F23" s="53"/>
      <c r="G23" s="52" t="s">
        <v>648</v>
      </c>
      <c r="H23" s="52" t="s">
        <v>593</v>
      </c>
      <c r="I23" s="52" t="s">
        <v>620</v>
      </c>
    </row>
    <row r="24" spans="1:9">
      <c r="A24" s="54" t="s">
        <v>649</v>
      </c>
      <c r="B24" s="54" t="s">
        <v>340</v>
      </c>
      <c r="C24" s="53"/>
      <c r="D24" s="53"/>
      <c r="E24" s="54">
        <v>999980107</v>
      </c>
      <c r="F24" s="53"/>
      <c r="G24" s="54" t="s">
        <v>650</v>
      </c>
      <c r="H24" s="54" t="s">
        <v>593</v>
      </c>
      <c r="I24" s="54" t="s">
        <v>612</v>
      </c>
    </row>
    <row r="25" spans="1:9">
      <c r="A25" s="52" t="s">
        <v>651</v>
      </c>
      <c r="B25" s="52" t="s">
        <v>340</v>
      </c>
      <c r="C25" s="53"/>
      <c r="D25" s="53"/>
      <c r="E25" s="52" t="s">
        <v>652</v>
      </c>
      <c r="F25" s="53"/>
      <c r="G25" s="52" t="s">
        <v>653</v>
      </c>
      <c r="H25" s="52" t="s">
        <v>593</v>
      </c>
      <c r="I25" s="52" t="s">
        <v>598</v>
      </c>
    </row>
    <row r="26" spans="1:9">
      <c r="A26" s="54" t="s">
        <v>654</v>
      </c>
      <c r="B26" s="54" t="s">
        <v>340</v>
      </c>
      <c r="C26" s="53"/>
      <c r="D26" s="53"/>
      <c r="E26" s="54" t="s">
        <v>655</v>
      </c>
      <c r="F26" s="53"/>
      <c r="G26" s="54" t="s">
        <v>656</v>
      </c>
      <c r="H26" s="54" t="s">
        <v>593</v>
      </c>
      <c r="I26" s="54" t="s">
        <v>657</v>
      </c>
    </row>
    <row r="27" spans="1:9">
      <c r="A27" s="52" t="s">
        <v>658</v>
      </c>
      <c r="B27" s="52" t="s">
        <v>340</v>
      </c>
      <c r="C27" s="53"/>
      <c r="D27" s="53"/>
      <c r="E27" s="52" t="s">
        <v>659</v>
      </c>
      <c r="F27" s="53"/>
      <c r="G27" s="52" t="s">
        <v>660</v>
      </c>
      <c r="H27" s="52" t="s">
        <v>593</v>
      </c>
      <c r="I27" s="52" t="s">
        <v>598</v>
      </c>
    </row>
    <row r="28" spans="1:9">
      <c r="A28" s="54" t="s">
        <v>347</v>
      </c>
      <c r="B28" s="54" t="s">
        <v>340</v>
      </c>
      <c r="C28" s="53"/>
      <c r="D28" s="53"/>
      <c r="E28" s="54" t="s">
        <v>661</v>
      </c>
      <c r="F28" s="53"/>
      <c r="G28" s="54" t="s">
        <v>662</v>
      </c>
      <c r="H28" s="54" t="s">
        <v>593</v>
      </c>
      <c r="I28" s="54" t="s">
        <v>616</v>
      </c>
    </row>
    <row r="29" spans="1:9">
      <c r="A29" s="52" t="s">
        <v>663</v>
      </c>
      <c r="B29" s="52" t="s">
        <v>340</v>
      </c>
      <c r="C29" s="53"/>
      <c r="D29" s="53"/>
      <c r="E29" s="52">
        <v>981090497</v>
      </c>
      <c r="F29" s="53"/>
      <c r="G29" s="52" t="s">
        <v>664</v>
      </c>
      <c r="H29" s="52" t="s">
        <v>593</v>
      </c>
      <c r="I29" s="52" t="s">
        <v>631</v>
      </c>
    </row>
    <row r="30" spans="1:9">
      <c r="A30" s="54" t="s">
        <v>665</v>
      </c>
      <c r="B30" s="54" t="s">
        <v>340</v>
      </c>
      <c r="C30" s="53"/>
      <c r="D30" s="53"/>
      <c r="E30" s="54" t="s">
        <v>666</v>
      </c>
      <c r="F30" s="53"/>
      <c r="G30" s="54" t="s">
        <v>667</v>
      </c>
      <c r="H30" s="54" t="s">
        <v>593</v>
      </c>
      <c r="I30" s="54" t="s">
        <v>668</v>
      </c>
    </row>
    <row r="31" spans="1:9">
      <c r="A31" s="52" t="s">
        <v>669</v>
      </c>
      <c r="B31" s="52" t="s">
        <v>340</v>
      </c>
      <c r="C31" s="53"/>
      <c r="D31" s="53"/>
      <c r="E31" s="52" t="s">
        <v>670</v>
      </c>
      <c r="F31" s="53"/>
      <c r="G31" s="52" t="s">
        <v>671</v>
      </c>
      <c r="H31" s="52" t="s">
        <v>593</v>
      </c>
      <c r="I31" s="52" t="s">
        <v>594</v>
      </c>
    </row>
    <row r="32" spans="1:9">
      <c r="A32" s="54" t="s">
        <v>672</v>
      </c>
      <c r="B32" s="54" t="s">
        <v>340</v>
      </c>
      <c r="C32" s="53"/>
      <c r="D32" s="53"/>
      <c r="E32" s="54">
        <v>991166458</v>
      </c>
      <c r="F32" s="53"/>
      <c r="G32" s="54" t="s">
        <v>673</v>
      </c>
      <c r="H32" s="54" t="s">
        <v>593</v>
      </c>
      <c r="I32" s="54" t="s">
        <v>594</v>
      </c>
    </row>
    <row r="33" spans="1:9">
      <c r="A33" s="52" t="s">
        <v>674</v>
      </c>
      <c r="B33" s="52" t="s">
        <v>340</v>
      </c>
      <c r="C33" s="53"/>
      <c r="D33" s="53"/>
      <c r="E33" s="52">
        <v>981211491</v>
      </c>
      <c r="F33" s="53"/>
      <c r="G33" s="52" t="s">
        <v>675</v>
      </c>
      <c r="H33" s="52" t="s">
        <v>593</v>
      </c>
      <c r="I33" s="52" t="s">
        <v>616</v>
      </c>
    </row>
    <row r="34" spans="1:9">
      <c r="A34" s="54" t="s">
        <v>676</v>
      </c>
      <c r="B34" s="54" t="s">
        <v>340</v>
      </c>
      <c r="C34" s="53"/>
      <c r="D34" s="53"/>
      <c r="E34" s="54"/>
      <c r="F34" s="53"/>
      <c r="G34" s="54"/>
      <c r="H34" s="54"/>
      <c r="I34" s="54"/>
    </row>
    <row r="35" spans="1:9">
      <c r="A35" s="52" t="s">
        <v>677</v>
      </c>
      <c r="B35" s="52" t="s">
        <v>340</v>
      </c>
      <c r="C35" s="53"/>
      <c r="D35" s="53"/>
      <c r="E35" s="52"/>
      <c r="F35" s="53"/>
      <c r="G35" s="52"/>
      <c r="H35" s="52"/>
      <c r="I35" s="52"/>
    </row>
    <row r="36" spans="1:9">
      <c r="A36" s="54" t="s">
        <v>678</v>
      </c>
      <c r="B36" s="54" t="s">
        <v>340</v>
      </c>
      <c r="C36" s="53"/>
      <c r="D36" s="53"/>
      <c r="E36" s="54">
        <v>991102473</v>
      </c>
      <c r="F36" s="53"/>
      <c r="G36" s="54" t="s">
        <v>679</v>
      </c>
      <c r="H36" s="54" t="s">
        <v>593</v>
      </c>
      <c r="I36" s="54" t="s">
        <v>631</v>
      </c>
    </row>
    <row r="37" spans="1:9">
      <c r="A37" s="52" t="s">
        <v>680</v>
      </c>
      <c r="B37" s="52" t="s">
        <v>340</v>
      </c>
      <c r="C37" s="53"/>
      <c r="D37" s="53"/>
      <c r="E37" s="52">
        <v>999128394</v>
      </c>
      <c r="F37" s="53"/>
      <c r="G37" s="52" t="s">
        <v>681</v>
      </c>
      <c r="H37" s="52" t="s">
        <v>593</v>
      </c>
      <c r="I37" s="52" t="s">
        <v>657</v>
      </c>
    </row>
    <row r="38" spans="1:9">
      <c r="A38" s="54" t="s">
        <v>682</v>
      </c>
      <c r="B38" s="54" t="s">
        <v>340</v>
      </c>
      <c r="C38" s="53"/>
      <c r="D38" s="53"/>
      <c r="E38" s="54"/>
      <c r="F38" s="53"/>
      <c r="G38" s="54"/>
      <c r="H38" s="54"/>
      <c r="I38" s="54"/>
    </row>
    <row r="39" spans="1:9">
      <c r="A39" s="52" t="s">
        <v>683</v>
      </c>
      <c r="B39" s="52" t="s">
        <v>340</v>
      </c>
      <c r="C39" s="53"/>
      <c r="D39" s="53"/>
      <c r="E39" s="52">
        <v>991390102</v>
      </c>
      <c r="F39" s="53"/>
      <c r="G39" s="52" t="s">
        <v>684</v>
      </c>
      <c r="H39" s="52" t="s">
        <v>593</v>
      </c>
      <c r="I39" s="52" t="s">
        <v>628</v>
      </c>
    </row>
    <row r="40" spans="1:9">
      <c r="A40" s="54" t="s">
        <v>685</v>
      </c>
      <c r="B40" s="54" t="s">
        <v>340</v>
      </c>
      <c r="C40" s="53"/>
      <c r="D40" s="53"/>
      <c r="E40" s="54">
        <v>7191754415</v>
      </c>
      <c r="F40" s="53"/>
      <c r="G40" s="54" t="s">
        <v>686</v>
      </c>
      <c r="H40" s="54" t="s">
        <v>593</v>
      </c>
      <c r="I40" s="54" t="s">
        <v>628</v>
      </c>
    </row>
    <row r="41" spans="1:9">
      <c r="A41" s="52" t="s">
        <v>351</v>
      </c>
      <c r="B41" s="52" t="s">
        <v>340</v>
      </c>
      <c r="C41" s="53"/>
      <c r="D41" s="53"/>
      <c r="E41" s="52" t="s">
        <v>687</v>
      </c>
      <c r="F41" s="53"/>
      <c r="G41" s="52" t="s">
        <v>688</v>
      </c>
      <c r="H41" s="52" t="s">
        <v>593</v>
      </c>
      <c r="I41" s="52" t="s">
        <v>689</v>
      </c>
    </row>
    <row r="42" spans="1:9">
      <c r="A42" s="54" t="s">
        <v>690</v>
      </c>
      <c r="B42" s="54" t="s">
        <v>691</v>
      </c>
      <c r="C42" s="54" t="s">
        <v>692</v>
      </c>
      <c r="D42" s="53"/>
      <c r="E42" s="53"/>
      <c r="F42" s="53"/>
      <c r="G42" s="54"/>
      <c r="H42" s="54"/>
      <c r="I42" s="54" t="s">
        <v>99</v>
      </c>
    </row>
    <row r="43" spans="1:9">
      <c r="A43" s="52" t="s">
        <v>454</v>
      </c>
      <c r="B43" s="52" t="s">
        <v>691</v>
      </c>
      <c r="C43" s="52" t="s">
        <v>692</v>
      </c>
      <c r="D43" s="53"/>
      <c r="E43" s="53"/>
      <c r="F43" s="53"/>
      <c r="G43" s="52"/>
      <c r="H43" s="52"/>
      <c r="I43" s="52" t="s">
        <v>99</v>
      </c>
    </row>
    <row r="44" spans="1:9">
      <c r="A44" s="54" t="s">
        <v>455</v>
      </c>
      <c r="B44" s="54" t="s">
        <v>691</v>
      </c>
      <c r="C44" s="54" t="s">
        <v>692</v>
      </c>
      <c r="D44" s="53"/>
      <c r="E44" s="53"/>
      <c r="F44" s="53"/>
      <c r="G44" s="54"/>
      <c r="H44" s="54"/>
      <c r="I44" s="54" t="s">
        <v>99</v>
      </c>
    </row>
    <row r="45" spans="1:9">
      <c r="A45" s="52" t="s">
        <v>693</v>
      </c>
      <c r="B45" s="52" t="s">
        <v>691</v>
      </c>
      <c r="C45" s="52" t="s">
        <v>692</v>
      </c>
      <c r="D45" s="53"/>
      <c r="E45" s="53"/>
      <c r="F45" s="53"/>
      <c r="G45" s="52"/>
      <c r="H45" s="52"/>
      <c r="I45" s="52" t="s">
        <v>99</v>
      </c>
    </row>
    <row r="46" spans="1:9">
      <c r="A46" s="54" t="s">
        <v>449</v>
      </c>
      <c r="B46" s="54" t="s">
        <v>691</v>
      </c>
      <c r="C46" s="54" t="s">
        <v>692</v>
      </c>
      <c r="D46" s="53"/>
      <c r="E46" s="53"/>
      <c r="F46" s="53"/>
      <c r="G46" s="54"/>
      <c r="H46" s="54"/>
      <c r="I46" s="54" t="s">
        <v>104</v>
      </c>
    </row>
    <row r="47" spans="1:9">
      <c r="A47" s="52" t="s">
        <v>694</v>
      </c>
      <c r="B47" s="52" t="s">
        <v>691</v>
      </c>
      <c r="C47" s="52" t="s">
        <v>692</v>
      </c>
      <c r="D47" s="53"/>
      <c r="E47" s="53"/>
      <c r="F47" s="53"/>
      <c r="G47" s="52"/>
      <c r="H47" s="52"/>
      <c r="I47" s="52" t="s">
        <v>104</v>
      </c>
    </row>
    <row r="48" spans="1:9">
      <c r="A48" s="54" t="s">
        <v>227</v>
      </c>
      <c r="B48" s="54" t="s">
        <v>691</v>
      </c>
      <c r="C48" s="54" t="s">
        <v>692</v>
      </c>
      <c r="D48" s="53"/>
      <c r="E48" s="53"/>
      <c r="F48" s="53"/>
      <c r="G48" s="54"/>
      <c r="H48" s="54"/>
      <c r="I48" s="54" t="s">
        <v>104</v>
      </c>
    </row>
    <row r="49" spans="1:9">
      <c r="A49" s="52"/>
      <c r="B49" s="52"/>
      <c r="C49" s="53"/>
      <c r="D49" s="53"/>
      <c r="E49" s="52"/>
      <c r="F49" s="53"/>
      <c r="G49" s="52"/>
      <c r="H49" s="52"/>
      <c r="I49" s="52"/>
    </row>
    <row r="50" spans="1:9">
      <c r="A50" s="54"/>
      <c r="B50" s="54"/>
      <c r="C50" s="53"/>
      <c r="D50" s="53"/>
      <c r="E50" s="54"/>
      <c r="F50" s="53"/>
      <c r="G50" s="54"/>
      <c r="H50" s="54"/>
      <c r="I50" s="54"/>
    </row>
    <row r="51" spans="1:9">
      <c r="A51" s="52"/>
      <c r="B51" s="52"/>
      <c r="C51" s="53"/>
      <c r="D51" s="53"/>
      <c r="E51" s="52"/>
      <c r="F51" s="53"/>
      <c r="G51" s="52"/>
      <c r="H51" s="52"/>
      <c r="I51" s="52"/>
    </row>
    <row r="52" spans="1:9">
      <c r="A52" s="54"/>
      <c r="B52" s="54"/>
      <c r="C52" s="53"/>
      <c r="D52" s="53"/>
      <c r="E52" s="54"/>
      <c r="F52" s="53"/>
      <c r="G52" s="54"/>
      <c r="H52" s="54"/>
      <c r="I52" s="54"/>
    </row>
    <row r="53" spans="1:9">
      <c r="A53" s="52"/>
      <c r="B53" s="52"/>
      <c r="C53" s="53"/>
      <c r="D53" s="53"/>
      <c r="E53" s="52"/>
      <c r="F53" s="53"/>
      <c r="G53" s="52"/>
      <c r="H53" s="52"/>
      <c r="I53" s="52"/>
    </row>
    <row r="54" spans="1:9">
      <c r="A54" s="54"/>
      <c r="B54" s="54"/>
      <c r="C54" s="53"/>
      <c r="D54" s="53"/>
      <c r="E54" s="54"/>
      <c r="F54" s="53"/>
      <c r="G54" s="54"/>
      <c r="H54" s="54"/>
      <c r="I54" s="54"/>
    </row>
    <row r="55" spans="1:9">
      <c r="A55" s="52"/>
      <c r="B55" s="52"/>
      <c r="C55" s="53"/>
      <c r="D55" s="53"/>
      <c r="E55" s="52"/>
      <c r="F55" s="53"/>
      <c r="G55" s="52"/>
      <c r="H55" s="52"/>
      <c r="I55" s="52"/>
    </row>
    <row r="56" spans="1:9">
      <c r="A56" s="54"/>
      <c r="B56" s="54"/>
      <c r="C56" s="53"/>
      <c r="D56" s="53"/>
      <c r="E56" s="54"/>
      <c r="F56" s="53"/>
      <c r="G56" s="54"/>
      <c r="H56" s="54"/>
      <c r="I56" s="54"/>
    </row>
    <row r="57" spans="1:9">
      <c r="A57" s="52"/>
      <c r="B57" s="52"/>
      <c r="C57" s="53"/>
      <c r="D57" s="53"/>
      <c r="E57" s="52"/>
      <c r="F57" s="53"/>
      <c r="G57" s="52"/>
      <c r="H57" s="52"/>
      <c r="I57" s="52"/>
    </row>
    <row r="58" spans="1:9">
      <c r="A58" s="54"/>
      <c r="B58" s="54"/>
      <c r="C58" s="53"/>
      <c r="D58" s="53"/>
      <c r="E58" s="54"/>
      <c r="F58" s="53"/>
      <c r="G58" s="54"/>
      <c r="H58" s="54"/>
      <c r="I58" s="54"/>
    </row>
    <row r="59" spans="1:9">
      <c r="A59" s="52"/>
      <c r="B59" s="52"/>
      <c r="C59" s="53"/>
      <c r="D59" s="53"/>
      <c r="E59" s="52"/>
      <c r="F59" s="53"/>
      <c r="G59" s="52"/>
      <c r="H59" s="52"/>
      <c r="I59" s="52"/>
    </row>
    <row r="60" spans="1:9">
      <c r="A60" s="54"/>
      <c r="B60" s="54"/>
      <c r="C60" s="53"/>
      <c r="D60" s="53"/>
      <c r="E60" s="54"/>
      <c r="F60" s="53"/>
      <c r="G60" s="54"/>
      <c r="H60" s="54"/>
      <c r="I60" s="54"/>
    </row>
    <row r="61" spans="1:9">
      <c r="A61" s="52"/>
      <c r="B61" s="52"/>
      <c r="C61" s="53"/>
      <c r="D61" s="53"/>
      <c r="E61" s="52"/>
      <c r="F61" s="53"/>
      <c r="G61" s="52"/>
      <c r="H61" s="52"/>
      <c r="I61" s="52"/>
    </row>
    <row r="62" spans="1:9">
      <c r="A62" s="54"/>
      <c r="B62" s="54"/>
      <c r="C62" s="53"/>
      <c r="D62" s="53"/>
      <c r="E62" s="54"/>
      <c r="F62" s="53"/>
      <c r="G62" s="54"/>
      <c r="H62" s="54"/>
      <c r="I62" s="54"/>
    </row>
    <row r="63" spans="1:9">
      <c r="A63" s="52"/>
      <c r="B63" s="52"/>
      <c r="C63" s="53"/>
      <c r="D63" s="53"/>
      <c r="E63" s="52"/>
      <c r="F63" s="53"/>
      <c r="G63" s="52"/>
      <c r="H63" s="52"/>
      <c r="I63" s="52"/>
    </row>
    <row r="64" spans="1:9">
      <c r="A64" s="54"/>
      <c r="B64" s="54"/>
      <c r="C64" s="53"/>
      <c r="D64" s="53"/>
      <c r="E64" s="54"/>
      <c r="F64" s="53"/>
      <c r="G64" s="54"/>
      <c r="H64" s="54"/>
      <c r="I64" s="54"/>
    </row>
    <row r="65" spans="1:9">
      <c r="A65" s="52"/>
      <c r="B65" s="52"/>
      <c r="C65" s="53"/>
      <c r="D65" s="53"/>
      <c r="E65" s="52"/>
      <c r="F65" s="53"/>
      <c r="G65" s="52"/>
      <c r="H65" s="52"/>
      <c r="I65" s="52"/>
    </row>
    <row r="66" spans="1:9">
      <c r="A66" s="54"/>
      <c r="B66" s="54"/>
      <c r="C66" s="53"/>
      <c r="D66" s="53"/>
      <c r="E66" s="54"/>
      <c r="F66" s="53"/>
      <c r="G66" s="54"/>
      <c r="H66" s="54"/>
      <c r="I66" s="54"/>
    </row>
    <row r="67" spans="1:9">
      <c r="A67" s="52"/>
      <c r="B67" s="52"/>
      <c r="C67" s="53"/>
      <c r="D67" s="53"/>
      <c r="E67" s="52"/>
      <c r="F67" s="53"/>
      <c r="G67" s="52"/>
      <c r="H67" s="52"/>
      <c r="I67" s="52"/>
    </row>
    <row r="68" spans="1:9">
      <c r="A68" s="54"/>
      <c r="B68" s="54"/>
      <c r="C68" s="53"/>
      <c r="D68" s="53"/>
      <c r="E68" s="54"/>
      <c r="F68" s="53"/>
      <c r="G68" s="54"/>
      <c r="H68" s="54"/>
      <c r="I68" s="54"/>
    </row>
    <row r="69" spans="1:9">
      <c r="A69" s="52"/>
      <c r="B69" s="52"/>
      <c r="C69" s="53"/>
      <c r="D69" s="53"/>
      <c r="E69" s="52"/>
      <c r="F69" s="53"/>
      <c r="G69" s="52"/>
      <c r="H69" s="52"/>
      <c r="I69" s="52"/>
    </row>
    <row r="70" spans="1:9">
      <c r="A70" s="54"/>
      <c r="B70" s="54"/>
      <c r="C70" s="53"/>
      <c r="D70" s="53"/>
      <c r="E70" s="54"/>
      <c r="F70" s="53"/>
      <c r="G70" s="54"/>
      <c r="H70" s="54"/>
      <c r="I70" s="54"/>
    </row>
    <row r="71" spans="1:9">
      <c r="A71" s="52"/>
      <c r="B71" s="52"/>
      <c r="C71" s="53"/>
      <c r="D71" s="53"/>
      <c r="E71" s="52"/>
      <c r="F71" s="53"/>
      <c r="G71" s="52"/>
      <c r="H71" s="52"/>
      <c r="I71" s="52"/>
    </row>
    <row r="72" spans="1:9">
      <c r="A72" s="54"/>
      <c r="B72" s="54"/>
      <c r="C72" s="53"/>
      <c r="D72" s="53"/>
      <c r="E72" s="54"/>
      <c r="F72" s="53"/>
      <c r="G72" s="54"/>
      <c r="H72" s="54"/>
      <c r="I72" s="54"/>
    </row>
    <row r="73" spans="1:9">
      <c r="A73" s="52"/>
      <c r="B73" s="52"/>
      <c r="C73" s="53"/>
      <c r="D73" s="53"/>
      <c r="E73" s="52"/>
      <c r="F73" s="53"/>
      <c r="G73" s="52"/>
      <c r="H73" s="52"/>
      <c r="I73" s="52"/>
    </row>
    <row r="74" spans="1:9">
      <c r="A74" s="54"/>
      <c r="B74" s="54"/>
      <c r="C74" s="53"/>
      <c r="D74" s="53"/>
      <c r="E74" s="54"/>
      <c r="F74" s="53"/>
      <c r="G74" s="54"/>
      <c r="H74" s="54"/>
      <c r="I74" s="54"/>
    </row>
    <row r="75" spans="1:9">
      <c r="A75" s="52"/>
      <c r="B75" s="52"/>
      <c r="C75" s="53"/>
      <c r="D75" s="53"/>
      <c r="E75" s="52"/>
      <c r="F75" s="53"/>
      <c r="G75" s="52"/>
      <c r="H75" s="52"/>
      <c r="I75" s="52"/>
    </row>
    <row r="76" spans="1:9">
      <c r="A76" s="54"/>
      <c r="B76" s="54"/>
      <c r="C76" s="53"/>
      <c r="D76" s="53"/>
      <c r="E76" s="54"/>
      <c r="F76" s="53"/>
      <c r="G76" s="54"/>
      <c r="H76" s="54"/>
      <c r="I76" s="54"/>
    </row>
    <row r="77" spans="1:9">
      <c r="A77" s="52"/>
      <c r="B77" s="52"/>
      <c r="C77" s="53"/>
      <c r="D77" s="53"/>
      <c r="E77" s="52"/>
      <c r="F77" s="53"/>
      <c r="G77" s="52"/>
      <c r="H77" s="52"/>
      <c r="I77" s="52"/>
    </row>
    <row r="78" spans="1:9">
      <c r="A78" s="54"/>
      <c r="B78" s="54"/>
      <c r="C78" s="53"/>
      <c r="D78" s="53"/>
      <c r="E78" s="54"/>
      <c r="F78" s="53"/>
      <c r="G78" s="54"/>
      <c r="H78" s="54"/>
      <c r="I78" s="54"/>
    </row>
    <row r="79" spans="1:9">
      <c r="A79" s="52"/>
      <c r="B79" s="52"/>
      <c r="C79" s="53"/>
      <c r="D79" s="53"/>
      <c r="E79" s="52"/>
      <c r="F79" s="53"/>
      <c r="G79" s="52"/>
      <c r="H79" s="52"/>
      <c r="I79" s="52"/>
    </row>
    <row r="80" spans="1:9">
      <c r="A80" s="54"/>
      <c r="B80" s="54"/>
      <c r="C80" s="53"/>
      <c r="D80" s="53"/>
      <c r="E80" s="54"/>
      <c r="F80" s="53"/>
      <c r="G80" s="54"/>
      <c r="H80" s="54"/>
      <c r="I80" s="54"/>
    </row>
    <row r="81" spans="1:9">
      <c r="A81" s="52"/>
      <c r="B81" s="52"/>
      <c r="C81" s="53"/>
      <c r="D81" s="53"/>
      <c r="E81" s="52"/>
      <c r="F81" s="53"/>
      <c r="G81" s="52"/>
      <c r="H81" s="52"/>
      <c r="I81" s="52"/>
    </row>
    <row r="82" spans="1:9">
      <c r="A82" s="54"/>
      <c r="B82" s="54"/>
      <c r="C82" s="53"/>
      <c r="D82" s="53"/>
      <c r="E82" s="54"/>
      <c r="F82" s="53"/>
      <c r="G82" s="54"/>
      <c r="H82" s="54"/>
      <c r="I82" s="54"/>
    </row>
    <row r="83" spans="1:9">
      <c r="A83" s="52"/>
      <c r="B83" s="52"/>
      <c r="C83" s="53"/>
      <c r="D83" s="53"/>
      <c r="E83" s="52"/>
      <c r="F83" s="53"/>
      <c r="G83" s="52"/>
      <c r="H83" s="52"/>
      <c r="I83" s="52"/>
    </row>
    <row r="84" spans="1:9">
      <c r="A84" s="54"/>
      <c r="B84" s="54"/>
      <c r="C84" s="53"/>
      <c r="D84" s="53"/>
      <c r="E84" s="54"/>
      <c r="F84" s="53"/>
      <c r="G84" s="54"/>
      <c r="H84" s="54"/>
      <c r="I84" s="54"/>
    </row>
    <row r="85" spans="1:9">
      <c r="A85" s="52"/>
      <c r="B85" s="52"/>
      <c r="C85" s="53"/>
      <c r="D85" s="53"/>
      <c r="E85" s="52"/>
      <c r="F85" s="53"/>
      <c r="G85" s="52"/>
      <c r="H85" s="52"/>
      <c r="I85" s="52"/>
    </row>
    <row r="86" spans="1:9">
      <c r="A86" s="54"/>
      <c r="B86" s="54"/>
      <c r="C86" s="53"/>
      <c r="D86" s="53"/>
      <c r="E86" s="54"/>
      <c r="F86" s="53"/>
      <c r="G86" s="54"/>
      <c r="H86" s="54"/>
      <c r="I86" s="54"/>
    </row>
    <row r="87" spans="1:9">
      <c r="A87" s="52"/>
      <c r="B87" s="52"/>
      <c r="C87" s="53"/>
      <c r="D87" s="53"/>
      <c r="E87" s="52"/>
      <c r="F87" s="53"/>
      <c r="G87" s="52"/>
      <c r="H87" s="52"/>
      <c r="I87" s="52"/>
    </row>
    <row r="88" spans="1:9">
      <c r="A88" s="54"/>
      <c r="B88" s="54"/>
      <c r="C88" s="53"/>
      <c r="D88" s="53"/>
      <c r="E88" s="54"/>
      <c r="F88" s="53"/>
      <c r="G88" s="54"/>
      <c r="H88" s="54"/>
      <c r="I88" s="54"/>
    </row>
    <row r="90" spans="1:9">
      <c r="A90" s="219" t="s">
        <v>695</v>
      </c>
      <c r="B90" s="157"/>
      <c r="C90" s="157"/>
      <c r="D90" s="157"/>
      <c r="E90" s="157"/>
      <c r="F90" s="157"/>
      <c r="G90" s="157"/>
      <c r="H90" s="157"/>
      <c r="I90" s="157"/>
    </row>
  </sheetData>
  <mergeCells count="3">
    <mergeCell ref="A1:I1"/>
    <mergeCell ref="A90:I90"/>
    <mergeCell ref="A2:I2"/>
  </mergeCells>
  <dataValidations count="2">
    <dataValidation type="list" allowBlank="1" sqref="B5:B128">
      <formula1>"Cliente,Fornecedor,Ambos"</formula1>
    </dataValidation>
    <dataValidation type="list" allowBlank="1" sqref="C5:C128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46C1"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defaultColWidth="8.7109375" defaultRowHeight="15"/>
  <cols>
    <col min="1" max="1" width="12" style="147" customWidth="1"/>
    <col min="2" max="2" width="52" style="147" customWidth="1"/>
    <col min="3" max="3" width="32" style="147" customWidth="1"/>
    <col min="4" max="5" width="14" style="147" customWidth="1"/>
    <col min="6" max="6" width="26" style="147" customWidth="1"/>
    <col min="7" max="7" width="30" style="147" customWidth="1"/>
    <col min="8" max="8" width="11" style="147" customWidth="1"/>
    <col min="9" max="9" width="32" style="147" customWidth="1"/>
    <col min="10" max="10" width="14" style="147" customWidth="1"/>
    <col min="12" max="17" width="15" style="147" customWidth="1"/>
  </cols>
  <sheetData>
    <row r="1" spans="1:17" ht="25.5" customHeight="1">
      <c r="A1" s="223" t="s">
        <v>696</v>
      </c>
      <c r="B1" s="157"/>
      <c r="C1" s="157"/>
      <c r="D1" s="157"/>
      <c r="E1" s="157"/>
      <c r="F1" s="157"/>
      <c r="G1" s="157"/>
    </row>
    <row r="2" spans="1:17">
      <c r="A2" s="228" t="s">
        <v>697</v>
      </c>
      <c r="B2" s="157"/>
      <c r="C2" s="157"/>
      <c r="D2" s="157"/>
      <c r="E2" s="157"/>
      <c r="F2" s="157"/>
      <c r="G2" s="157"/>
    </row>
    <row r="3" spans="1:17">
      <c r="A3" s="127" t="s">
        <v>64</v>
      </c>
    </row>
    <row r="4" spans="1:17" ht="20.100000000000001" customHeight="1">
      <c r="A4" s="1" t="s">
        <v>445</v>
      </c>
      <c r="B4" s="1" t="s">
        <v>698</v>
      </c>
      <c r="C4" s="1" t="s">
        <v>699</v>
      </c>
      <c r="D4" s="1" t="s">
        <v>700</v>
      </c>
      <c r="E4" s="1" t="s">
        <v>701</v>
      </c>
      <c r="F4" s="1" t="s">
        <v>702</v>
      </c>
      <c r="G4" s="1" t="s">
        <v>189</v>
      </c>
      <c r="H4" s="1" t="s">
        <v>703</v>
      </c>
      <c r="I4" s="222" t="s">
        <v>704</v>
      </c>
      <c r="J4" s="157"/>
      <c r="L4" s="224" t="s">
        <v>532</v>
      </c>
      <c r="M4" s="157"/>
      <c r="N4" s="232" t="s">
        <v>705</v>
      </c>
      <c r="O4" s="157"/>
      <c r="P4" s="221" t="s">
        <v>706</v>
      </c>
      <c r="Q4" s="157"/>
    </row>
    <row r="5" spans="1:17" ht="14.1" customHeight="1">
      <c r="A5" s="17">
        <v>46023</v>
      </c>
      <c r="B5" s="18" t="s">
        <v>707</v>
      </c>
      <c r="C5" s="18" t="s">
        <v>708</v>
      </c>
      <c r="D5" s="19"/>
      <c r="E5" s="20">
        <v>870</v>
      </c>
      <c r="F5" s="21" t="s">
        <v>100</v>
      </c>
      <c r="G5" s="18"/>
      <c r="I5" s="10" t="s">
        <v>99</v>
      </c>
      <c r="J5" s="11">
        <f>SUMIF(F5:F132,I5,E5:E132)</f>
        <v>11144.529999999999</v>
      </c>
      <c r="L5" s="229">
        <f>D133</f>
        <v>22694</v>
      </c>
      <c r="M5" s="157"/>
      <c r="N5" s="231">
        <f>J18</f>
        <v>23137.059999999998</v>
      </c>
      <c r="O5" s="157"/>
      <c r="P5" s="230">
        <f>D134</f>
        <v>-443.05999999999767</v>
      </c>
      <c r="Q5" s="157"/>
    </row>
    <row r="6" spans="1:17" ht="14.1" customHeight="1">
      <c r="A6" s="22">
        <v>46024</v>
      </c>
      <c r="B6" s="23" t="s">
        <v>709</v>
      </c>
      <c r="C6" s="23" t="s">
        <v>710</v>
      </c>
      <c r="D6" s="24">
        <v>130</v>
      </c>
      <c r="E6" s="25"/>
      <c r="F6" s="26"/>
      <c r="G6" s="23"/>
      <c r="H6" s="23" t="s">
        <v>711</v>
      </c>
      <c r="I6" s="13" t="s">
        <v>100</v>
      </c>
      <c r="J6" s="14">
        <f>SUMIF(F5:F132,I6,E5:E132)</f>
        <v>870</v>
      </c>
      <c r="L6" s="157"/>
      <c r="M6" s="157"/>
      <c r="N6" s="157"/>
      <c r="O6" s="157"/>
      <c r="P6" s="157"/>
      <c r="Q6" s="157"/>
    </row>
    <row r="7" spans="1:17">
      <c r="A7" s="17">
        <v>46024</v>
      </c>
      <c r="B7" s="18" t="s">
        <v>712</v>
      </c>
      <c r="C7" s="18" t="s">
        <v>713</v>
      </c>
      <c r="D7" s="27">
        <v>140</v>
      </c>
      <c r="E7" s="19"/>
      <c r="F7" s="21"/>
      <c r="G7" s="18"/>
      <c r="H7" s="18" t="s">
        <v>714</v>
      </c>
      <c r="I7" s="10" t="s">
        <v>101</v>
      </c>
      <c r="J7" s="11">
        <f>SUMIF(F5:F132,I7,E5:E132)</f>
        <v>159.68</v>
      </c>
    </row>
    <row r="8" spans="1:17">
      <c r="A8" s="22">
        <v>46024</v>
      </c>
      <c r="B8" s="23" t="s">
        <v>715</v>
      </c>
      <c r="C8" s="23" t="s">
        <v>716</v>
      </c>
      <c r="D8" s="25"/>
      <c r="E8" s="28">
        <v>597.74</v>
      </c>
      <c r="F8" s="26" t="s">
        <v>99</v>
      </c>
      <c r="G8" s="23"/>
      <c r="I8" s="13" t="s">
        <v>102</v>
      </c>
      <c r="J8" s="14">
        <f>SUMIF(F5:F132,I8,E5:E132)</f>
        <v>3418.3900000000003</v>
      </c>
    </row>
    <row r="9" spans="1:17">
      <c r="A9" s="17">
        <v>46024</v>
      </c>
      <c r="B9" s="18" t="s">
        <v>717</v>
      </c>
      <c r="C9" s="18" t="s">
        <v>718</v>
      </c>
      <c r="D9" s="19"/>
      <c r="E9" s="20">
        <v>771.56</v>
      </c>
      <c r="F9" s="21" t="s">
        <v>99</v>
      </c>
      <c r="G9" s="18"/>
      <c r="I9" s="10" t="s">
        <v>103</v>
      </c>
      <c r="J9" s="11">
        <f>SUMIF(F5:F132,I9,E5:E132)</f>
        <v>143.09</v>
      </c>
    </row>
    <row r="10" spans="1:17">
      <c r="A10" s="22">
        <v>46024</v>
      </c>
      <c r="B10" s="23" t="s">
        <v>719</v>
      </c>
      <c r="C10" s="23" t="s">
        <v>720</v>
      </c>
      <c r="D10" s="24">
        <v>700</v>
      </c>
      <c r="E10" s="25"/>
      <c r="F10" s="26"/>
      <c r="G10" s="23"/>
      <c r="H10" s="23" t="s">
        <v>721</v>
      </c>
      <c r="I10" s="13" t="s">
        <v>104</v>
      </c>
      <c r="J10" s="14">
        <f>SUMIF(F5:F132,I10,E5:E132)</f>
        <v>1198.05</v>
      </c>
    </row>
    <row r="11" spans="1:17">
      <c r="A11" s="17">
        <v>46025</v>
      </c>
      <c r="B11" s="18" t="s">
        <v>722</v>
      </c>
      <c r="C11" s="18" t="s">
        <v>723</v>
      </c>
      <c r="D11" s="27">
        <v>510</v>
      </c>
      <c r="E11" s="19"/>
      <c r="F11" s="21"/>
      <c r="G11" s="18"/>
      <c r="H11" s="18" t="s">
        <v>724</v>
      </c>
      <c r="I11" s="10" t="s">
        <v>106</v>
      </c>
      <c r="J11" s="11">
        <f>SUMIF(F5:F132,I11,E5:E132)</f>
        <v>5252.92</v>
      </c>
    </row>
    <row r="12" spans="1:17">
      <c r="A12" s="22">
        <v>46025</v>
      </c>
      <c r="B12" s="23" t="s">
        <v>725</v>
      </c>
      <c r="C12" s="23" t="s">
        <v>726</v>
      </c>
      <c r="D12" s="24">
        <v>100</v>
      </c>
      <c r="E12" s="25"/>
      <c r="F12" s="26"/>
      <c r="G12" s="23"/>
      <c r="I12" s="13" t="s">
        <v>107</v>
      </c>
      <c r="J12" s="14">
        <f>SUMIF(F5:F132,I12,E5:E132)</f>
        <v>455.4</v>
      </c>
    </row>
    <row r="13" spans="1:17">
      <c r="A13" s="17">
        <v>46027</v>
      </c>
      <c r="B13" s="18" t="s">
        <v>727</v>
      </c>
      <c r="C13" s="18" t="s">
        <v>728</v>
      </c>
      <c r="D13" s="27">
        <v>95</v>
      </c>
      <c r="E13" s="19"/>
      <c r="F13" s="21"/>
      <c r="G13" s="18"/>
      <c r="I13" s="10" t="s">
        <v>108</v>
      </c>
      <c r="J13" s="11">
        <f>SUMIF(F5:F132,I13,E5:E132)</f>
        <v>0</v>
      </c>
    </row>
    <row r="14" spans="1:17">
      <c r="A14" s="22">
        <v>46027</v>
      </c>
      <c r="B14" s="23" t="s">
        <v>729</v>
      </c>
      <c r="C14" s="23" t="s">
        <v>730</v>
      </c>
      <c r="D14" s="25"/>
      <c r="E14" s="28">
        <v>980.81</v>
      </c>
      <c r="F14" s="26" t="s">
        <v>99</v>
      </c>
      <c r="G14" s="23"/>
      <c r="I14" s="13" t="s">
        <v>109</v>
      </c>
      <c r="J14" s="14">
        <f>SUMIF(F5:F132,I14,E5:E132)</f>
        <v>0</v>
      </c>
    </row>
    <row r="15" spans="1:17">
      <c r="A15" s="17">
        <v>46028</v>
      </c>
      <c r="B15" s="18" t="s">
        <v>731</v>
      </c>
      <c r="C15" s="18" t="s">
        <v>732</v>
      </c>
      <c r="D15" s="27">
        <v>60</v>
      </c>
      <c r="E15" s="19"/>
      <c r="F15" s="21"/>
      <c r="G15" s="18"/>
      <c r="I15" s="10" t="s">
        <v>110</v>
      </c>
      <c r="J15" s="11">
        <f>SUMIF(F5:F132,I15,E5:E132)</f>
        <v>495</v>
      </c>
    </row>
    <row r="16" spans="1:17">
      <c r="A16" s="22">
        <v>46028</v>
      </c>
      <c r="B16" s="23" t="s">
        <v>733</v>
      </c>
      <c r="C16" s="23" t="s">
        <v>726</v>
      </c>
      <c r="D16" s="24">
        <v>170</v>
      </c>
      <c r="E16" s="25"/>
      <c r="F16" s="26"/>
      <c r="G16" s="23"/>
      <c r="I16" s="13" t="s">
        <v>111</v>
      </c>
      <c r="J16" s="14">
        <f>SUMIF(F5:F132,I16,E5:E132)</f>
        <v>0</v>
      </c>
    </row>
    <row r="17" spans="1:10">
      <c r="A17" s="17">
        <v>46028</v>
      </c>
      <c r="B17" s="18" t="s">
        <v>734</v>
      </c>
      <c r="C17" s="18" t="s">
        <v>735</v>
      </c>
      <c r="D17" s="27">
        <v>260</v>
      </c>
      <c r="E17" s="19"/>
      <c r="F17" s="21"/>
      <c r="G17" s="18"/>
      <c r="I17" s="42" t="s">
        <v>112</v>
      </c>
      <c r="J17" s="8">
        <f>SUMIF(F5:F132,I17,E5:E132)</f>
        <v>0</v>
      </c>
    </row>
    <row r="18" spans="1:10">
      <c r="A18" s="22">
        <v>46028</v>
      </c>
      <c r="B18" s="23" t="s">
        <v>736</v>
      </c>
      <c r="C18" s="23" t="s">
        <v>737</v>
      </c>
      <c r="D18" s="24">
        <v>1420</v>
      </c>
      <c r="E18" s="25"/>
      <c r="F18" s="26"/>
      <c r="G18" s="23"/>
      <c r="H18" s="23" t="s">
        <v>738</v>
      </c>
      <c r="I18" t="s">
        <v>113</v>
      </c>
      <c r="J18">
        <f>SUM(J5:J16)</f>
        <v>23137.059999999998</v>
      </c>
    </row>
    <row r="19" spans="1:10">
      <c r="A19" s="17">
        <v>46028</v>
      </c>
      <c r="B19" s="18" t="s">
        <v>739</v>
      </c>
      <c r="C19" s="18" t="s">
        <v>740</v>
      </c>
      <c r="D19" s="27">
        <v>180</v>
      </c>
      <c r="E19" s="19"/>
      <c r="F19" s="21"/>
      <c r="G19" s="18"/>
      <c r="H19" s="18" t="s">
        <v>741</v>
      </c>
    </row>
    <row r="20" spans="1:10">
      <c r="A20" s="22">
        <v>46028</v>
      </c>
      <c r="B20" s="23" t="s">
        <v>742</v>
      </c>
      <c r="C20" s="23" t="s">
        <v>740</v>
      </c>
      <c r="D20" s="25"/>
      <c r="E20" s="28">
        <v>180</v>
      </c>
      <c r="F20" s="26" t="s">
        <v>110</v>
      </c>
      <c r="G20" s="23"/>
    </row>
    <row r="21" spans="1:10">
      <c r="A21" s="17">
        <v>46028</v>
      </c>
      <c r="B21" s="18" t="s">
        <v>743</v>
      </c>
      <c r="C21" s="18" t="s">
        <v>740</v>
      </c>
      <c r="D21" s="27">
        <v>190</v>
      </c>
      <c r="E21" s="19"/>
      <c r="F21" s="21"/>
      <c r="G21" s="18"/>
      <c r="H21" s="18" t="s">
        <v>741</v>
      </c>
    </row>
    <row r="22" spans="1:10">
      <c r="A22" s="22">
        <v>46028</v>
      </c>
      <c r="B22" s="23" t="s">
        <v>744</v>
      </c>
      <c r="C22" s="23" t="s">
        <v>745</v>
      </c>
      <c r="D22" s="24">
        <v>140</v>
      </c>
      <c r="E22" s="25"/>
      <c r="F22" s="26"/>
      <c r="G22" s="23"/>
      <c r="H22" s="23" t="s">
        <v>746</v>
      </c>
    </row>
    <row r="23" spans="1:10">
      <c r="A23" s="17">
        <v>46028</v>
      </c>
      <c r="B23" s="18" t="s">
        <v>747</v>
      </c>
      <c r="C23" s="18" t="s">
        <v>748</v>
      </c>
      <c r="D23" s="27">
        <v>280</v>
      </c>
      <c r="E23" s="19"/>
      <c r="F23" s="21"/>
      <c r="G23" s="18"/>
    </row>
    <row r="24" spans="1:10">
      <c r="A24" s="22">
        <v>46028</v>
      </c>
      <c r="B24" s="23" t="s">
        <v>749</v>
      </c>
      <c r="C24" s="23" t="s">
        <v>750</v>
      </c>
      <c r="D24" s="24">
        <v>190</v>
      </c>
      <c r="E24" s="25"/>
      <c r="F24" s="26"/>
      <c r="G24" s="23"/>
      <c r="H24" s="23" t="s">
        <v>751</v>
      </c>
    </row>
    <row r="25" spans="1:10">
      <c r="A25" s="17">
        <v>46028</v>
      </c>
      <c r="B25" s="18" t="s">
        <v>752</v>
      </c>
      <c r="C25" s="18" t="s">
        <v>753</v>
      </c>
      <c r="D25" s="27">
        <v>140</v>
      </c>
      <c r="E25" s="19"/>
      <c r="F25" s="21"/>
      <c r="G25" s="18"/>
      <c r="H25" s="18" t="s">
        <v>754</v>
      </c>
    </row>
    <row r="26" spans="1:10">
      <c r="A26" s="22">
        <v>46028</v>
      </c>
      <c r="B26" s="23" t="s">
        <v>755</v>
      </c>
      <c r="C26" s="23" t="s">
        <v>756</v>
      </c>
      <c r="D26" s="24">
        <v>280</v>
      </c>
      <c r="E26" s="25"/>
      <c r="F26" s="26"/>
      <c r="G26" s="23"/>
      <c r="H26" s="23" t="s">
        <v>757</v>
      </c>
    </row>
    <row r="27" spans="1:10">
      <c r="A27" s="17">
        <v>46029</v>
      </c>
      <c r="B27" s="18" t="s">
        <v>758</v>
      </c>
      <c r="C27" s="18" t="s">
        <v>759</v>
      </c>
      <c r="D27" s="27">
        <v>1508</v>
      </c>
      <c r="E27" s="19"/>
      <c r="F27" s="21"/>
      <c r="G27" s="18"/>
    </row>
    <row r="28" spans="1:10">
      <c r="A28" s="22">
        <v>46029</v>
      </c>
      <c r="B28" s="23" t="s">
        <v>760</v>
      </c>
      <c r="C28" s="23" t="s">
        <v>726</v>
      </c>
      <c r="D28" s="24">
        <v>20</v>
      </c>
      <c r="E28" s="25"/>
      <c r="F28" s="26"/>
      <c r="G28" s="23"/>
    </row>
    <row r="29" spans="1:10">
      <c r="A29" s="17">
        <v>46029</v>
      </c>
      <c r="B29" s="18" t="s">
        <v>761</v>
      </c>
      <c r="C29" s="18" t="s">
        <v>735</v>
      </c>
      <c r="D29" s="27">
        <v>60</v>
      </c>
      <c r="E29" s="19"/>
      <c r="F29" s="21"/>
      <c r="G29" s="18"/>
    </row>
    <row r="30" spans="1:10">
      <c r="A30" s="22">
        <v>46029</v>
      </c>
      <c r="B30" s="23" t="s">
        <v>762</v>
      </c>
      <c r="C30" s="23" t="s">
        <v>726</v>
      </c>
      <c r="D30" s="24">
        <v>40</v>
      </c>
      <c r="E30" s="25"/>
      <c r="F30" s="26"/>
      <c r="G30" s="23"/>
    </row>
    <row r="31" spans="1:10">
      <c r="A31" s="17">
        <v>46029</v>
      </c>
      <c r="B31" s="18" t="s">
        <v>763</v>
      </c>
      <c r="C31" s="18" t="s">
        <v>726</v>
      </c>
      <c r="D31" s="27">
        <v>95</v>
      </c>
      <c r="E31" s="19"/>
      <c r="F31" s="21"/>
      <c r="G31" s="18"/>
    </row>
    <row r="32" spans="1:10">
      <c r="A32" s="22">
        <v>46029</v>
      </c>
      <c r="B32" s="23" t="s">
        <v>764</v>
      </c>
      <c r="C32" s="23" t="s">
        <v>726</v>
      </c>
      <c r="D32" s="24">
        <v>85</v>
      </c>
      <c r="E32" s="25"/>
      <c r="F32" s="26"/>
      <c r="G32" s="23"/>
    </row>
    <row r="33" spans="1:7">
      <c r="A33" s="17">
        <v>46029</v>
      </c>
      <c r="B33" s="18" t="s">
        <v>765</v>
      </c>
      <c r="C33" s="18" t="s">
        <v>718</v>
      </c>
      <c r="D33" s="19"/>
      <c r="E33" s="20">
        <v>513.07000000000005</v>
      </c>
      <c r="F33" s="21" t="s">
        <v>99</v>
      </c>
      <c r="G33" s="18"/>
    </row>
    <row r="34" spans="1:7">
      <c r="A34" s="22">
        <v>46029</v>
      </c>
      <c r="B34" s="23" t="s">
        <v>766</v>
      </c>
      <c r="C34" s="23" t="s">
        <v>767</v>
      </c>
      <c r="D34" s="25"/>
      <c r="E34" s="28">
        <v>159.68</v>
      </c>
      <c r="F34" s="26" t="s">
        <v>101</v>
      </c>
      <c r="G34" s="23"/>
    </row>
    <row r="35" spans="1:7">
      <c r="A35" s="17">
        <v>46030</v>
      </c>
      <c r="B35" s="18" t="s">
        <v>768</v>
      </c>
      <c r="C35" s="18" t="s">
        <v>769</v>
      </c>
      <c r="D35" s="27">
        <v>1448</v>
      </c>
      <c r="E35" s="19"/>
      <c r="F35" s="21"/>
      <c r="G35" s="18"/>
    </row>
    <row r="36" spans="1:7">
      <c r="A36" s="22">
        <v>46030</v>
      </c>
      <c r="B36" s="23" t="s">
        <v>770</v>
      </c>
      <c r="C36" s="23" t="s">
        <v>771</v>
      </c>
      <c r="D36" s="24">
        <v>140</v>
      </c>
      <c r="E36" s="25"/>
      <c r="F36" s="26"/>
      <c r="G36" s="23"/>
    </row>
    <row r="37" spans="1:7">
      <c r="A37" s="17">
        <v>46030</v>
      </c>
      <c r="B37" s="18" t="s">
        <v>772</v>
      </c>
      <c r="C37" s="18" t="s">
        <v>735</v>
      </c>
      <c r="D37" s="27">
        <v>95</v>
      </c>
      <c r="E37" s="19"/>
      <c r="F37" s="21"/>
      <c r="G37" s="18"/>
    </row>
    <row r="38" spans="1:7">
      <c r="A38" s="22">
        <v>46030</v>
      </c>
      <c r="B38" s="23" t="s">
        <v>773</v>
      </c>
      <c r="C38" s="23" t="s">
        <v>726</v>
      </c>
      <c r="D38" s="24">
        <v>95</v>
      </c>
      <c r="E38" s="25"/>
      <c r="F38" s="26"/>
      <c r="G38" s="23"/>
    </row>
    <row r="39" spans="1:7">
      <c r="A39" s="17">
        <v>46030</v>
      </c>
      <c r="B39" s="18" t="s">
        <v>774</v>
      </c>
      <c r="C39" s="18" t="s">
        <v>726</v>
      </c>
      <c r="D39" s="27">
        <v>10</v>
      </c>
      <c r="E39" s="19"/>
      <c r="F39" s="21"/>
      <c r="G39" s="18"/>
    </row>
    <row r="40" spans="1:7">
      <c r="A40" s="22">
        <v>46030</v>
      </c>
      <c r="B40" s="23" t="s">
        <v>775</v>
      </c>
      <c r="C40" s="23" t="s">
        <v>726</v>
      </c>
      <c r="D40" s="24">
        <v>30</v>
      </c>
      <c r="E40" s="25"/>
      <c r="F40" s="26"/>
      <c r="G40" s="23"/>
    </row>
    <row r="41" spans="1:7">
      <c r="A41" s="17">
        <v>46030</v>
      </c>
      <c r="B41" s="18" t="s">
        <v>776</v>
      </c>
      <c r="C41" s="18" t="s">
        <v>716</v>
      </c>
      <c r="D41" s="19"/>
      <c r="E41" s="20">
        <v>781.4</v>
      </c>
      <c r="F41" s="21" t="s">
        <v>99</v>
      </c>
      <c r="G41" s="18"/>
    </row>
    <row r="42" spans="1:7">
      <c r="A42" s="22">
        <v>46030</v>
      </c>
      <c r="B42" s="23" t="s">
        <v>777</v>
      </c>
      <c r="C42" s="23" t="s">
        <v>778</v>
      </c>
      <c r="D42" s="25"/>
      <c r="E42" s="28">
        <v>143.09</v>
      </c>
      <c r="F42" s="26" t="s">
        <v>103</v>
      </c>
      <c r="G42" s="23"/>
    </row>
    <row r="43" spans="1:7">
      <c r="A43" s="17">
        <v>46031</v>
      </c>
      <c r="B43" s="18" t="s">
        <v>779</v>
      </c>
      <c r="C43" s="18" t="s">
        <v>735</v>
      </c>
      <c r="D43" s="27">
        <v>35</v>
      </c>
      <c r="E43" s="19"/>
      <c r="F43" s="21"/>
      <c r="G43" s="18"/>
    </row>
    <row r="44" spans="1:7">
      <c r="A44" s="22">
        <v>46031</v>
      </c>
      <c r="B44" s="23" t="s">
        <v>780</v>
      </c>
      <c r="C44" s="23" t="s">
        <v>726</v>
      </c>
      <c r="D44" s="24">
        <v>80</v>
      </c>
      <c r="E44" s="25"/>
      <c r="F44" s="26"/>
      <c r="G44" s="23"/>
    </row>
    <row r="45" spans="1:7">
      <c r="A45" s="17">
        <v>46031</v>
      </c>
      <c r="B45" s="18" t="s">
        <v>781</v>
      </c>
      <c r="C45" s="18" t="s">
        <v>735</v>
      </c>
      <c r="D45" s="27">
        <v>140</v>
      </c>
      <c r="E45" s="19"/>
      <c r="F45" s="21"/>
      <c r="G45" s="18"/>
    </row>
    <row r="46" spans="1:7">
      <c r="A46" s="22">
        <v>46031</v>
      </c>
      <c r="B46" s="23" t="s">
        <v>782</v>
      </c>
      <c r="C46" s="23" t="s">
        <v>783</v>
      </c>
      <c r="D46" s="24">
        <v>170</v>
      </c>
      <c r="E46" s="25"/>
      <c r="F46" s="26"/>
      <c r="G46" s="23"/>
    </row>
    <row r="47" spans="1:7">
      <c r="A47" s="17">
        <v>46031</v>
      </c>
      <c r="B47" s="18" t="s">
        <v>784</v>
      </c>
      <c r="C47" s="18" t="s">
        <v>783</v>
      </c>
      <c r="D47" s="19"/>
      <c r="E47" s="20">
        <v>170</v>
      </c>
      <c r="F47" s="21" t="s">
        <v>110</v>
      </c>
      <c r="G47" s="18"/>
    </row>
    <row r="48" spans="1:7">
      <c r="A48" s="22">
        <v>46031</v>
      </c>
      <c r="B48" s="23" t="s">
        <v>785</v>
      </c>
      <c r="C48" s="23" t="s">
        <v>783</v>
      </c>
      <c r="D48" s="24">
        <v>170</v>
      </c>
      <c r="E48" s="25"/>
      <c r="F48" s="26"/>
      <c r="G48" s="23"/>
    </row>
    <row r="49" spans="1:8">
      <c r="A49" s="17">
        <v>46032</v>
      </c>
      <c r="B49" s="18" t="s">
        <v>786</v>
      </c>
      <c r="C49" s="18" t="s">
        <v>735</v>
      </c>
      <c r="D49" s="27">
        <v>20</v>
      </c>
      <c r="E49" s="19"/>
      <c r="F49" s="21"/>
      <c r="G49" s="18"/>
    </row>
    <row r="50" spans="1:8">
      <c r="A50" s="22">
        <v>46032</v>
      </c>
      <c r="B50" s="23" t="s">
        <v>787</v>
      </c>
      <c r="C50" s="23" t="s">
        <v>735</v>
      </c>
      <c r="D50" s="24">
        <v>50</v>
      </c>
      <c r="E50" s="25"/>
      <c r="F50" s="26"/>
      <c r="G50" s="23"/>
    </row>
    <row r="51" spans="1:8">
      <c r="A51" s="17">
        <v>46032</v>
      </c>
      <c r="B51" s="18" t="s">
        <v>788</v>
      </c>
      <c r="C51" s="18" t="s">
        <v>726</v>
      </c>
      <c r="D51" s="27">
        <v>30</v>
      </c>
      <c r="E51" s="19"/>
      <c r="F51" s="21"/>
      <c r="G51" s="18"/>
    </row>
    <row r="52" spans="1:8">
      <c r="A52" s="22">
        <v>46034</v>
      </c>
      <c r="B52" s="23" t="s">
        <v>789</v>
      </c>
      <c r="C52" s="23" t="s">
        <v>790</v>
      </c>
      <c r="D52" s="24">
        <v>160</v>
      </c>
      <c r="E52" s="25"/>
      <c r="F52" s="26"/>
      <c r="G52" s="23"/>
    </row>
    <row r="53" spans="1:8">
      <c r="A53" s="17">
        <v>46034</v>
      </c>
      <c r="B53" s="18" t="s">
        <v>791</v>
      </c>
      <c r="C53" s="18" t="s">
        <v>792</v>
      </c>
      <c r="D53" s="27">
        <v>180</v>
      </c>
      <c r="E53" s="19"/>
      <c r="F53" s="21"/>
      <c r="G53" s="18"/>
    </row>
    <row r="54" spans="1:8">
      <c r="A54" s="22">
        <v>46034</v>
      </c>
      <c r="B54" s="23" t="s">
        <v>793</v>
      </c>
      <c r="C54" s="23" t="s">
        <v>716</v>
      </c>
      <c r="D54" s="25"/>
      <c r="E54" s="28">
        <v>841.06</v>
      </c>
      <c r="F54" s="26" t="s">
        <v>99</v>
      </c>
      <c r="G54" s="23"/>
    </row>
    <row r="55" spans="1:8">
      <c r="A55" s="17">
        <v>46034</v>
      </c>
      <c r="B55" s="18" t="s">
        <v>794</v>
      </c>
      <c r="C55" s="18" t="s">
        <v>716</v>
      </c>
      <c r="D55" s="19"/>
      <c r="E55" s="20">
        <v>577.35</v>
      </c>
      <c r="F55" s="21" t="s">
        <v>99</v>
      </c>
      <c r="G55" s="18"/>
    </row>
    <row r="56" spans="1:8">
      <c r="A56" s="22">
        <v>46034</v>
      </c>
      <c r="B56" s="23" t="s">
        <v>795</v>
      </c>
      <c r="C56" s="23" t="s">
        <v>796</v>
      </c>
      <c r="D56" s="25"/>
      <c r="E56" s="28">
        <v>1405</v>
      </c>
      <c r="F56" s="26" t="s">
        <v>106</v>
      </c>
      <c r="G56" s="23"/>
    </row>
    <row r="57" spans="1:8">
      <c r="A57" s="17">
        <v>46035</v>
      </c>
      <c r="B57" s="18" t="s">
        <v>797</v>
      </c>
      <c r="C57" s="18" t="s">
        <v>726</v>
      </c>
      <c r="D57" s="27">
        <v>40</v>
      </c>
      <c r="E57" s="19"/>
      <c r="F57" s="21"/>
      <c r="G57" s="18"/>
    </row>
    <row r="58" spans="1:8">
      <c r="A58" s="22">
        <v>46035</v>
      </c>
      <c r="B58" s="23" t="s">
        <v>798</v>
      </c>
      <c r="C58" s="23" t="s">
        <v>735</v>
      </c>
      <c r="D58" s="24">
        <v>140</v>
      </c>
      <c r="E58" s="25"/>
      <c r="F58" s="26"/>
      <c r="G58" s="23"/>
    </row>
    <row r="59" spans="1:8">
      <c r="A59" s="17">
        <v>46035</v>
      </c>
      <c r="B59" s="18" t="s">
        <v>799</v>
      </c>
      <c r="C59" s="18" t="s">
        <v>735</v>
      </c>
      <c r="D59" s="27">
        <v>140</v>
      </c>
      <c r="E59" s="19"/>
      <c r="F59" s="21"/>
      <c r="G59" s="18"/>
    </row>
    <row r="60" spans="1:8">
      <c r="A60" s="22">
        <v>46035</v>
      </c>
      <c r="B60" s="23" t="s">
        <v>800</v>
      </c>
      <c r="C60" s="23" t="s">
        <v>735</v>
      </c>
      <c r="D60" s="24">
        <v>90</v>
      </c>
      <c r="E60" s="25"/>
      <c r="F60" s="26"/>
      <c r="G60" s="23"/>
    </row>
    <row r="61" spans="1:8">
      <c r="A61" s="17">
        <v>46035</v>
      </c>
      <c r="B61" s="18" t="s">
        <v>801</v>
      </c>
      <c r="C61" s="18" t="s">
        <v>802</v>
      </c>
      <c r="D61" s="27">
        <v>200</v>
      </c>
      <c r="E61" s="19"/>
      <c r="F61" s="21"/>
      <c r="G61" s="18"/>
      <c r="H61" s="18" t="s">
        <v>803</v>
      </c>
    </row>
    <row r="62" spans="1:8">
      <c r="A62" s="22">
        <v>46035</v>
      </c>
      <c r="B62" s="23" t="s">
        <v>804</v>
      </c>
      <c r="C62" s="23" t="s">
        <v>805</v>
      </c>
      <c r="D62" s="24">
        <v>50</v>
      </c>
      <c r="E62" s="25"/>
      <c r="F62" s="26"/>
      <c r="G62" s="23"/>
      <c r="H62" s="23" t="s">
        <v>806</v>
      </c>
    </row>
    <row r="63" spans="1:8">
      <c r="A63" s="17">
        <v>46035</v>
      </c>
      <c r="B63" s="18" t="s">
        <v>807</v>
      </c>
      <c r="C63" s="18" t="s">
        <v>808</v>
      </c>
      <c r="D63" s="27">
        <v>185</v>
      </c>
      <c r="E63" s="19"/>
      <c r="F63" s="21"/>
      <c r="G63" s="18"/>
      <c r="H63" s="18" t="s">
        <v>809</v>
      </c>
    </row>
    <row r="64" spans="1:8">
      <c r="A64" s="22">
        <v>46035</v>
      </c>
      <c r="B64" s="23" t="s">
        <v>810</v>
      </c>
      <c r="C64" s="23" t="s">
        <v>811</v>
      </c>
      <c r="D64" s="24">
        <v>140</v>
      </c>
      <c r="E64" s="25"/>
      <c r="F64" s="26"/>
      <c r="G64" s="23"/>
    </row>
    <row r="65" spans="1:8">
      <c r="A65" s="17">
        <v>46036</v>
      </c>
      <c r="B65" s="18" t="s">
        <v>812</v>
      </c>
      <c r="C65" s="18" t="s">
        <v>813</v>
      </c>
      <c r="D65" s="27">
        <v>140</v>
      </c>
      <c r="E65" s="19"/>
      <c r="F65" s="21"/>
      <c r="G65" s="18"/>
      <c r="H65" s="18" t="s">
        <v>814</v>
      </c>
    </row>
    <row r="66" spans="1:8">
      <c r="A66" s="22">
        <v>46036</v>
      </c>
      <c r="B66" s="23" t="s">
        <v>815</v>
      </c>
      <c r="C66" s="23" t="s">
        <v>726</v>
      </c>
      <c r="D66" s="24">
        <v>90</v>
      </c>
      <c r="E66" s="25"/>
      <c r="F66" s="26"/>
      <c r="G66" s="23"/>
    </row>
    <row r="67" spans="1:8">
      <c r="A67" s="17">
        <v>46036</v>
      </c>
      <c r="B67" s="18" t="s">
        <v>816</v>
      </c>
      <c r="C67" s="18" t="s">
        <v>726</v>
      </c>
      <c r="D67" s="27">
        <v>125</v>
      </c>
      <c r="E67" s="19"/>
      <c r="F67" s="21"/>
      <c r="G67" s="18"/>
    </row>
    <row r="68" spans="1:8">
      <c r="A68" s="22">
        <v>46037</v>
      </c>
      <c r="B68" s="23" t="s">
        <v>817</v>
      </c>
      <c r="C68" s="23" t="s">
        <v>818</v>
      </c>
      <c r="D68" s="24">
        <v>1348</v>
      </c>
      <c r="E68" s="25"/>
      <c r="F68" s="26"/>
      <c r="G68" s="23"/>
      <c r="H68" s="23" t="s">
        <v>819</v>
      </c>
    </row>
    <row r="69" spans="1:8">
      <c r="A69" s="17">
        <v>46037</v>
      </c>
      <c r="B69" s="18" t="s">
        <v>820</v>
      </c>
      <c r="C69" s="18" t="s">
        <v>735</v>
      </c>
      <c r="D69" s="27">
        <v>60</v>
      </c>
      <c r="E69" s="19"/>
      <c r="F69" s="21"/>
      <c r="G69" s="18"/>
    </row>
    <row r="70" spans="1:8">
      <c r="A70" s="22">
        <v>46037</v>
      </c>
      <c r="B70" s="23" t="s">
        <v>821</v>
      </c>
      <c r="C70" s="23" t="s">
        <v>726</v>
      </c>
      <c r="D70" s="24">
        <v>145</v>
      </c>
      <c r="E70" s="25"/>
      <c r="F70" s="26"/>
      <c r="G70" s="23"/>
    </row>
    <row r="71" spans="1:8">
      <c r="A71" s="17">
        <v>46037</v>
      </c>
      <c r="B71" s="18" t="s">
        <v>822</v>
      </c>
      <c r="C71" s="18" t="s">
        <v>726</v>
      </c>
      <c r="D71" s="19"/>
      <c r="E71" s="20">
        <v>145</v>
      </c>
      <c r="F71" s="21" t="s">
        <v>110</v>
      </c>
      <c r="G71" s="18"/>
    </row>
    <row r="72" spans="1:8">
      <c r="A72" s="22">
        <v>46037</v>
      </c>
      <c r="B72" s="23" t="s">
        <v>823</v>
      </c>
      <c r="C72" s="23" t="s">
        <v>726</v>
      </c>
      <c r="D72" s="24">
        <v>135</v>
      </c>
      <c r="E72" s="25"/>
      <c r="F72" s="26"/>
      <c r="G72" s="23"/>
    </row>
    <row r="73" spans="1:8">
      <c r="A73" s="17">
        <v>46038</v>
      </c>
      <c r="B73" s="18" t="s">
        <v>824</v>
      </c>
      <c r="C73" s="18" t="s">
        <v>726</v>
      </c>
      <c r="D73" s="27">
        <v>10</v>
      </c>
      <c r="E73" s="19"/>
      <c r="F73" s="21"/>
      <c r="G73" s="18"/>
    </row>
    <row r="74" spans="1:8">
      <c r="A74" s="22">
        <v>46038</v>
      </c>
      <c r="B74" s="23" t="s">
        <v>825</v>
      </c>
      <c r="C74" s="23" t="s">
        <v>826</v>
      </c>
      <c r="D74" s="25"/>
      <c r="E74" s="28">
        <v>455.4</v>
      </c>
      <c r="F74" s="26" t="s">
        <v>107</v>
      </c>
      <c r="G74" s="23"/>
    </row>
    <row r="75" spans="1:8">
      <c r="A75" s="17">
        <v>46038</v>
      </c>
      <c r="B75" s="18" t="s">
        <v>827</v>
      </c>
      <c r="C75" s="18" t="s">
        <v>716</v>
      </c>
      <c r="D75" s="19"/>
      <c r="E75" s="20">
        <v>824.74</v>
      </c>
      <c r="F75" s="21" t="s">
        <v>99</v>
      </c>
      <c r="G75" s="18"/>
    </row>
    <row r="76" spans="1:8">
      <c r="A76" s="22">
        <v>46038</v>
      </c>
      <c r="B76" s="23" t="s">
        <v>717</v>
      </c>
      <c r="C76" s="23" t="s">
        <v>718</v>
      </c>
      <c r="D76" s="25"/>
      <c r="E76" s="28">
        <v>771.56</v>
      </c>
      <c r="F76" s="26" t="s">
        <v>99</v>
      </c>
      <c r="G76" s="23"/>
    </row>
    <row r="77" spans="1:8">
      <c r="A77" s="17">
        <v>46038</v>
      </c>
      <c r="B77" s="18" t="s">
        <v>828</v>
      </c>
      <c r="C77" s="18" t="s">
        <v>829</v>
      </c>
      <c r="D77" s="19"/>
      <c r="E77" s="20">
        <v>358.82</v>
      </c>
      <c r="F77" s="21" t="s">
        <v>104</v>
      </c>
      <c r="G77" s="18"/>
    </row>
    <row r="78" spans="1:8">
      <c r="A78" s="22">
        <v>46041</v>
      </c>
      <c r="B78" s="23" t="s">
        <v>830</v>
      </c>
      <c r="C78" s="23" t="s">
        <v>831</v>
      </c>
      <c r="D78" s="24">
        <v>1398</v>
      </c>
      <c r="E78" s="25"/>
      <c r="F78" s="26"/>
      <c r="G78" s="23"/>
      <c r="H78" s="23" t="s">
        <v>832</v>
      </c>
    </row>
    <row r="79" spans="1:8">
      <c r="A79" s="17">
        <v>46041</v>
      </c>
      <c r="B79" s="18" t="s">
        <v>833</v>
      </c>
      <c r="C79" s="18" t="s">
        <v>834</v>
      </c>
      <c r="D79" s="27">
        <v>140</v>
      </c>
      <c r="E79" s="19"/>
      <c r="F79" s="21"/>
      <c r="G79" s="18"/>
    </row>
    <row r="80" spans="1:8">
      <c r="A80" s="22">
        <v>46041</v>
      </c>
      <c r="B80" s="23" t="s">
        <v>835</v>
      </c>
      <c r="C80" s="23" t="s">
        <v>735</v>
      </c>
      <c r="D80" s="24">
        <v>140</v>
      </c>
      <c r="E80" s="25"/>
      <c r="F80" s="26"/>
      <c r="G80" s="23"/>
    </row>
    <row r="81" spans="1:8">
      <c r="A81" s="17">
        <v>46041</v>
      </c>
      <c r="B81" s="18" t="s">
        <v>836</v>
      </c>
      <c r="C81" s="18" t="s">
        <v>837</v>
      </c>
      <c r="D81" s="27">
        <v>140</v>
      </c>
      <c r="E81" s="19"/>
      <c r="F81" s="21"/>
      <c r="G81" s="18"/>
      <c r="H81" s="18" t="s">
        <v>838</v>
      </c>
    </row>
    <row r="82" spans="1:8">
      <c r="A82" s="22">
        <v>46041</v>
      </c>
      <c r="B82" s="23" t="s">
        <v>839</v>
      </c>
      <c r="C82" s="23" t="s">
        <v>730</v>
      </c>
      <c r="D82" s="25"/>
      <c r="E82" s="28">
        <v>878.92</v>
      </c>
      <c r="F82" s="26" t="s">
        <v>99</v>
      </c>
      <c r="G82" s="23"/>
    </row>
    <row r="83" spans="1:8">
      <c r="A83" s="17">
        <v>46041</v>
      </c>
      <c r="B83" s="18" t="s">
        <v>840</v>
      </c>
      <c r="C83" s="18" t="s">
        <v>718</v>
      </c>
      <c r="D83" s="19"/>
      <c r="E83" s="20">
        <v>519.19000000000005</v>
      </c>
      <c r="F83" s="21" t="s">
        <v>99</v>
      </c>
      <c r="G83" s="18"/>
    </row>
    <row r="84" spans="1:8">
      <c r="A84" s="22">
        <v>46042</v>
      </c>
      <c r="B84" s="23" t="s">
        <v>841</v>
      </c>
      <c r="C84" s="23" t="s">
        <v>842</v>
      </c>
      <c r="D84" s="24">
        <v>140</v>
      </c>
      <c r="E84" s="25"/>
      <c r="F84" s="26"/>
      <c r="G84" s="23"/>
    </row>
    <row r="85" spans="1:8">
      <c r="A85" s="17">
        <v>46042</v>
      </c>
      <c r="B85" s="18" t="s">
        <v>843</v>
      </c>
      <c r="C85" s="18" t="s">
        <v>735</v>
      </c>
      <c r="D85" s="27">
        <v>320</v>
      </c>
      <c r="E85" s="19"/>
      <c r="F85" s="21"/>
      <c r="G85" s="18"/>
    </row>
    <row r="86" spans="1:8">
      <c r="A86" s="22">
        <v>46042</v>
      </c>
      <c r="B86" s="23" t="s">
        <v>844</v>
      </c>
      <c r="C86" s="23" t="s">
        <v>845</v>
      </c>
      <c r="D86" s="24">
        <v>140</v>
      </c>
      <c r="E86" s="25"/>
      <c r="F86" s="26"/>
      <c r="G86" s="23"/>
      <c r="H86" s="23" t="s">
        <v>846</v>
      </c>
    </row>
    <row r="87" spans="1:8">
      <c r="A87" s="17">
        <v>46042</v>
      </c>
      <c r="B87" s="18" t="s">
        <v>847</v>
      </c>
      <c r="C87" s="18" t="s">
        <v>848</v>
      </c>
      <c r="D87" s="27">
        <v>100</v>
      </c>
      <c r="E87" s="19"/>
      <c r="F87" s="21"/>
      <c r="G87" s="18"/>
      <c r="H87" s="18" t="s">
        <v>849</v>
      </c>
    </row>
    <row r="88" spans="1:8">
      <c r="A88" s="22">
        <v>46042</v>
      </c>
      <c r="B88" s="23" t="s">
        <v>850</v>
      </c>
      <c r="C88" s="23" t="s">
        <v>735</v>
      </c>
      <c r="D88" s="24">
        <v>140</v>
      </c>
      <c r="E88" s="25"/>
      <c r="F88" s="26"/>
      <c r="G88" s="23"/>
    </row>
    <row r="89" spans="1:8">
      <c r="A89" s="17">
        <v>46042</v>
      </c>
      <c r="B89" s="18" t="s">
        <v>851</v>
      </c>
      <c r="C89" s="18" t="s">
        <v>852</v>
      </c>
      <c r="D89" s="27">
        <v>140</v>
      </c>
      <c r="E89" s="19"/>
      <c r="F89" s="21"/>
      <c r="G89" s="18"/>
    </row>
    <row r="90" spans="1:8">
      <c r="A90" s="22">
        <v>46042</v>
      </c>
      <c r="B90" s="23" t="s">
        <v>853</v>
      </c>
      <c r="C90" s="23" t="s">
        <v>854</v>
      </c>
      <c r="D90" s="24">
        <v>140</v>
      </c>
      <c r="E90" s="25"/>
      <c r="F90" s="26"/>
      <c r="G90" s="23"/>
    </row>
    <row r="91" spans="1:8">
      <c r="A91" s="17">
        <v>46042</v>
      </c>
      <c r="B91" s="18" t="s">
        <v>855</v>
      </c>
      <c r="C91" s="18" t="s">
        <v>716</v>
      </c>
      <c r="D91" s="19"/>
      <c r="E91" s="20">
        <v>800.65</v>
      </c>
      <c r="F91" s="21" t="s">
        <v>99</v>
      </c>
      <c r="G91" s="18"/>
    </row>
    <row r="92" spans="1:8">
      <c r="A92" s="22">
        <v>46042</v>
      </c>
      <c r="B92" s="23" t="s">
        <v>856</v>
      </c>
      <c r="C92" s="23" t="s">
        <v>857</v>
      </c>
      <c r="D92" s="25"/>
      <c r="E92" s="28">
        <v>249.44</v>
      </c>
      <c r="F92" s="26" t="s">
        <v>102</v>
      </c>
      <c r="G92" s="23"/>
    </row>
    <row r="93" spans="1:8">
      <c r="A93" s="17">
        <v>46042</v>
      </c>
      <c r="B93" s="18" t="s">
        <v>858</v>
      </c>
      <c r="C93" s="18" t="s">
        <v>857</v>
      </c>
      <c r="D93" s="19"/>
      <c r="E93" s="20">
        <v>402.06</v>
      </c>
      <c r="F93" s="21" t="s">
        <v>102</v>
      </c>
      <c r="G93" s="18"/>
    </row>
    <row r="94" spans="1:8">
      <c r="A94" s="22">
        <v>46042</v>
      </c>
      <c r="B94" s="23" t="s">
        <v>859</v>
      </c>
      <c r="C94" s="23" t="s">
        <v>857</v>
      </c>
      <c r="D94" s="25"/>
      <c r="E94" s="28">
        <v>1644.44</v>
      </c>
      <c r="F94" s="26" t="s">
        <v>102</v>
      </c>
      <c r="G94" s="23"/>
    </row>
    <row r="95" spans="1:8">
      <c r="A95" s="17">
        <v>46043</v>
      </c>
      <c r="B95" s="18" t="s">
        <v>860</v>
      </c>
      <c r="C95" s="18" t="s">
        <v>726</v>
      </c>
      <c r="D95" s="27">
        <v>85</v>
      </c>
      <c r="E95" s="19"/>
      <c r="F95" s="21"/>
      <c r="G95" s="18"/>
    </row>
    <row r="96" spans="1:8">
      <c r="A96" s="22">
        <v>46043</v>
      </c>
      <c r="B96" s="23" t="s">
        <v>861</v>
      </c>
      <c r="C96" s="23" t="s">
        <v>862</v>
      </c>
      <c r="D96" s="24">
        <v>140</v>
      </c>
      <c r="E96" s="25"/>
      <c r="F96" s="26"/>
      <c r="G96" s="23"/>
      <c r="H96" s="23" t="s">
        <v>863</v>
      </c>
    </row>
    <row r="97" spans="1:8">
      <c r="A97" s="17">
        <v>46043</v>
      </c>
      <c r="B97" s="18" t="s">
        <v>864</v>
      </c>
      <c r="C97" s="18" t="s">
        <v>735</v>
      </c>
      <c r="D97" s="27">
        <v>200</v>
      </c>
      <c r="E97" s="19"/>
      <c r="F97" s="21"/>
      <c r="G97" s="18"/>
    </row>
    <row r="98" spans="1:8">
      <c r="A98" s="22">
        <v>46043</v>
      </c>
      <c r="B98" s="23" t="s">
        <v>865</v>
      </c>
      <c r="C98" s="23" t="s">
        <v>866</v>
      </c>
      <c r="D98" s="24">
        <v>280</v>
      </c>
      <c r="E98" s="25"/>
      <c r="F98" s="26"/>
      <c r="G98" s="23"/>
      <c r="H98" s="23" t="s">
        <v>867</v>
      </c>
    </row>
    <row r="99" spans="1:8">
      <c r="A99" s="17">
        <v>46043</v>
      </c>
      <c r="B99" s="18" t="s">
        <v>868</v>
      </c>
      <c r="C99" s="18" t="s">
        <v>869</v>
      </c>
      <c r="D99" s="27">
        <v>140</v>
      </c>
      <c r="E99" s="19"/>
      <c r="F99" s="21"/>
      <c r="G99" s="18"/>
      <c r="H99" s="18" t="s">
        <v>870</v>
      </c>
    </row>
    <row r="100" spans="1:8">
      <c r="A100" s="22">
        <v>46043</v>
      </c>
      <c r="B100" s="23" t="s">
        <v>871</v>
      </c>
      <c r="C100" s="23" t="s">
        <v>735</v>
      </c>
      <c r="D100" s="24">
        <v>40</v>
      </c>
      <c r="E100" s="25"/>
      <c r="F100" s="26"/>
      <c r="G100" s="23"/>
    </row>
    <row r="101" spans="1:8">
      <c r="A101" s="17">
        <v>46043</v>
      </c>
      <c r="B101" s="18" t="s">
        <v>872</v>
      </c>
      <c r="C101" s="18" t="s">
        <v>735</v>
      </c>
      <c r="D101" s="27">
        <v>10</v>
      </c>
      <c r="E101" s="19"/>
      <c r="F101" s="21"/>
      <c r="G101" s="18"/>
    </row>
    <row r="102" spans="1:8">
      <c r="A102" s="22">
        <v>46043</v>
      </c>
      <c r="B102" s="23" t="s">
        <v>873</v>
      </c>
      <c r="C102" s="23" t="s">
        <v>735</v>
      </c>
      <c r="D102" s="24">
        <v>10</v>
      </c>
      <c r="E102" s="25"/>
      <c r="F102" s="26"/>
      <c r="G102" s="23"/>
    </row>
    <row r="103" spans="1:8">
      <c r="A103" s="17">
        <v>46043</v>
      </c>
      <c r="B103" s="18" t="s">
        <v>874</v>
      </c>
      <c r="C103" s="18" t="s">
        <v>875</v>
      </c>
      <c r="D103" s="27">
        <v>200</v>
      </c>
      <c r="E103" s="19"/>
      <c r="F103" s="21"/>
      <c r="G103" s="18"/>
      <c r="H103" s="18" t="s">
        <v>876</v>
      </c>
    </row>
    <row r="104" spans="1:8">
      <c r="A104" s="22">
        <v>46043</v>
      </c>
      <c r="B104" s="23" t="s">
        <v>765</v>
      </c>
      <c r="C104" s="23" t="s">
        <v>718</v>
      </c>
      <c r="D104" s="25"/>
      <c r="E104" s="28">
        <v>426.73</v>
      </c>
      <c r="F104" s="26" t="s">
        <v>99</v>
      </c>
      <c r="G104" s="23"/>
    </row>
    <row r="105" spans="1:8">
      <c r="A105" s="17">
        <v>46043</v>
      </c>
      <c r="B105" s="18" t="s">
        <v>877</v>
      </c>
      <c r="C105" s="18" t="s">
        <v>829</v>
      </c>
      <c r="D105" s="19"/>
      <c r="E105" s="20">
        <v>418.41</v>
      </c>
      <c r="F105" s="21" t="s">
        <v>104</v>
      </c>
      <c r="G105" s="18"/>
    </row>
    <row r="106" spans="1:8">
      <c r="A106" s="22">
        <v>46044</v>
      </c>
      <c r="B106" s="23" t="s">
        <v>878</v>
      </c>
      <c r="C106" s="23" t="s">
        <v>735</v>
      </c>
      <c r="D106" s="24">
        <v>35</v>
      </c>
      <c r="E106" s="25"/>
      <c r="F106" s="26"/>
      <c r="G106" s="23"/>
    </row>
    <row r="107" spans="1:8">
      <c r="A107" s="17">
        <v>46044</v>
      </c>
      <c r="B107" s="18" t="s">
        <v>879</v>
      </c>
      <c r="C107" s="18" t="s">
        <v>726</v>
      </c>
      <c r="D107" s="27">
        <v>135</v>
      </c>
      <c r="E107" s="19"/>
      <c r="F107" s="21"/>
      <c r="G107" s="18"/>
    </row>
    <row r="108" spans="1:8">
      <c r="A108" s="22">
        <v>46044</v>
      </c>
      <c r="B108" s="23" t="s">
        <v>880</v>
      </c>
      <c r="C108" s="23" t="s">
        <v>881</v>
      </c>
      <c r="D108" s="24">
        <v>140</v>
      </c>
      <c r="E108" s="25"/>
      <c r="F108" s="26"/>
      <c r="G108" s="23"/>
      <c r="H108" s="23" t="s">
        <v>882</v>
      </c>
    </row>
    <row r="109" spans="1:8">
      <c r="A109" s="17">
        <v>46044</v>
      </c>
      <c r="B109" s="18" t="s">
        <v>883</v>
      </c>
      <c r="C109" s="18" t="s">
        <v>735</v>
      </c>
      <c r="D109" s="27">
        <v>40</v>
      </c>
      <c r="E109" s="19"/>
      <c r="F109" s="21"/>
      <c r="G109" s="18"/>
    </row>
    <row r="110" spans="1:8">
      <c r="A110" s="22">
        <v>46045</v>
      </c>
      <c r="B110" s="23" t="s">
        <v>884</v>
      </c>
      <c r="C110" s="23" t="s">
        <v>726</v>
      </c>
      <c r="D110" s="24">
        <v>2160</v>
      </c>
      <c r="E110" s="25"/>
      <c r="F110" s="26"/>
      <c r="G110" s="23"/>
    </row>
    <row r="111" spans="1:8">
      <c r="A111" s="17">
        <v>46045</v>
      </c>
      <c r="B111" s="18" t="s">
        <v>885</v>
      </c>
      <c r="C111" s="18" t="s">
        <v>886</v>
      </c>
      <c r="D111" s="27">
        <v>140</v>
      </c>
      <c r="E111" s="19"/>
      <c r="F111" s="21"/>
      <c r="G111" s="18"/>
      <c r="H111" s="18" t="s">
        <v>887</v>
      </c>
    </row>
    <row r="112" spans="1:8">
      <c r="A112" s="22">
        <v>46045</v>
      </c>
      <c r="B112" s="23" t="s">
        <v>888</v>
      </c>
      <c r="C112" s="23" t="s">
        <v>726</v>
      </c>
      <c r="D112" s="24">
        <v>75</v>
      </c>
      <c r="E112" s="25"/>
      <c r="F112" s="26"/>
      <c r="G112" s="23"/>
    </row>
    <row r="113" spans="1:8">
      <c r="A113" s="17">
        <v>46045</v>
      </c>
      <c r="B113" s="18" t="s">
        <v>889</v>
      </c>
      <c r="C113" s="18" t="s">
        <v>735</v>
      </c>
      <c r="D113" s="27">
        <v>24</v>
      </c>
      <c r="E113" s="19"/>
      <c r="F113" s="21"/>
      <c r="G113" s="18"/>
    </row>
    <row r="114" spans="1:8">
      <c r="A114" s="22">
        <v>46046</v>
      </c>
      <c r="B114" s="23" t="s">
        <v>890</v>
      </c>
      <c r="C114" s="23" t="s">
        <v>735</v>
      </c>
      <c r="D114" s="24">
        <v>313</v>
      </c>
      <c r="E114" s="25"/>
      <c r="F114" s="26"/>
      <c r="G114" s="23"/>
    </row>
    <row r="115" spans="1:8">
      <c r="A115" s="17">
        <v>46048</v>
      </c>
      <c r="B115" s="18" t="s">
        <v>891</v>
      </c>
      <c r="C115" s="18" t="s">
        <v>892</v>
      </c>
      <c r="D115" s="27">
        <v>140</v>
      </c>
      <c r="E115" s="19"/>
      <c r="F115" s="21"/>
      <c r="G115" s="18"/>
    </row>
    <row r="116" spans="1:8">
      <c r="A116" s="22">
        <v>46048</v>
      </c>
      <c r="B116" s="23" t="s">
        <v>893</v>
      </c>
      <c r="C116" s="23" t="s">
        <v>857</v>
      </c>
      <c r="D116" s="25"/>
      <c r="E116" s="28">
        <v>1122.45</v>
      </c>
      <c r="F116" s="26" t="s">
        <v>102</v>
      </c>
      <c r="G116" s="23"/>
    </row>
    <row r="117" spans="1:8">
      <c r="A117" s="17">
        <v>46048</v>
      </c>
      <c r="B117" s="18" t="s">
        <v>894</v>
      </c>
      <c r="C117" s="18" t="s">
        <v>730</v>
      </c>
      <c r="D117" s="19"/>
      <c r="E117" s="20">
        <v>980.83</v>
      </c>
      <c r="F117" s="21" t="s">
        <v>99</v>
      </c>
      <c r="G117" s="18"/>
    </row>
    <row r="118" spans="1:8">
      <c r="A118" s="22">
        <v>46048</v>
      </c>
      <c r="B118" s="23" t="s">
        <v>895</v>
      </c>
      <c r="C118" s="23" t="s">
        <v>796</v>
      </c>
      <c r="D118" s="25"/>
      <c r="E118" s="28">
        <v>1405</v>
      </c>
      <c r="F118" s="26" t="s">
        <v>106</v>
      </c>
      <c r="G118" s="23"/>
    </row>
    <row r="119" spans="1:8">
      <c r="A119" s="17">
        <v>46048</v>
      </c>
      <c r="B119" s="18" t="s">
        <v>896</v>
      </c>
      <c r="C119" s="18" t="s">
        <v>829</v>
      </c>
      <c r="D119" s="19"/>
      <c r="E119" s="20">
        <v>420.82</v>
      </c>
      <c r="F119" s="21" t="s">
        <v>104</v>
      </c>
      <c r="G119" s="18"/>
    </row>
    <row r="120" spans="1:8">
      <c r="A120" s="22">
        <v>46048</v>
      </c>
      <c r="B120" s="23" t="s">
        <v>897</v>
      </c>
      <c r="C120" s="23" t="s">
        <v>730</v>
      </c>
      <c r="D120" s="25"/>
      <c r="E120" s="28">
        <v>878.92</v>
      </c>
      <c r="F120" s="26" t="s">
        <v>99</v>
      </c>
      <c r="G120" s="23"/>
    </row>
    <row r="121" spans="1:8">
      <c r="A121" s="17">
        <v>46049</v>
      </c>
      <c r="B121" s="18" t="s">
        <v>898</v>
      </c>
      <c r="C121" s="18" t="s">
        <v>735</v>
      </c>
      <c r="D121" s="27">
        <v>140</v>
      </c>
      <c r="E121" s="19"/>
      <c r="F121" s="21"/>
      <c r="G121" s="18"/>
    </row>
    <row r="122" spans="1:8">
      <c r="A122" s="22">
        <v>46049</v>
      </c>
      <c r="B122" s="23" t="s">
        <v>899</v>
      </c>
      <c r="C122" s="23" t="s">
        <v>900</v>
      </c>
      <c r="D122" s="24">
        <v>250</v>
      </c>
      <c r="E122" s="25"/>
      <c r="F122" s="26"/>
      <c r="G122" s="23"/>
    </row>
    <row r="123" spans="1:8">
      <c r="A123" s="17">
        <v>46050</v>
      </c>
      <c r="B123" s="18" t="s">
        <v>901</v>
      </c>
      <c r="C123" s="18" t="s">
        <v>902</v>
      </c>
      <c r="D123" s="27">
        <v>135</v>
      </c>
      <c r="E123" s="19"/>
      <c r="F123" s="21"/>
      <c r="G123" s="18"/>
      <c r="H123" s="18" t="s">
        <v>903</v>
      </c>
    </row>
    <row r="124" spans="1:8">
      <c r="A124" s="22">
        <v>46050</v>
      </c>
      <c r="B124" s="23" t="s">
        <v>904</v>
      </c>
      <c r="C124" s="23" t="s">
        <v>905</v>
      </c>
      <c r="D124" s="24">
        <v>560</v>
      </c>
      <c r="E124" s="25"/>
      <c r="F124" s="26"/>
      <c r="G124" s="23"/>
      <c r="H124" s="23" t="s">
        <v>906</v>
      </c>
    </row>
    <row r="125" spans="1:8">
      <c r="A125" s="17">
        <v>46051</v>
      </c>
      <c r="B125" s="18" t="s">
        <v>907</v>
      </c>
      <c r="C125" s="18" t="s">
        <v>908</v>
      </c>
      <c r="D125" s="27">
        <v>670</v>
      </c>
      <c r="E125" s="19"/>
      <c r="F125" s="21"/>
      <c r="G125" s="18"/>
      <c r="H125" s="18" t="s">
        <v>909</v>
      </c>
    </row>
    <row r="126" spans="1:8">
      <c r="A126" s="22">
        <v>46052</v>
      </c>
      <c r="B126" s="23" t="s">
        <v>910</v>
      </c>
      <c r="C126" s="23" t="s">
        <v>911</v>
      </c>
      <c r="D126" s="24">
        <v>290</v>
      </c>
      <c r="E126" s="25"/>
      <c r="F126" s="26"/>
      <c r="G126" s="23"/>
    </row>
    <row r="127" spans="1:8">
      <c r="A127" s="17">
        <v>46052</v>
      </c>
      <c r="B127" s="18" t="s">
        <v>912</v>
      </c>
      <c r="C127" s="18" t="s">
        <v>913</v>
      </c>
      <c r="D127" s="27">
        <v>135</v>
      </c>
      <c r="E127" s="19"/>
      <c r="F127" s="21"/>
      <c r="G127" s="18"/>
      <c r="H127" s="18" t="s">
        <v>914</v>
      </c>
    </row>
    <row r="128" spans="1:8">
      <c r="A128" s="22">
        <v>46052</v>
      </c>
      <c r="B128" s="23" t="s">
        <v>915</v>
      </c>
      <c r="C128" s="23" t="s">
        <v>916</v>
      </c>
      <c r="D128" s="24">
        <v>370</v>
      </c>
      <c r="E128" s="25"/>
      <c r="F128" s="26"/>
      <c r="G128" s="23"/>
      <c r="H128" s="23" t="s">
        <v>917</v>
      </c>
    </row>
    <row r="129" spans="1:8">
      <c r="A129" s="17">
        <v>46052</v>
      </c>
      <c r="B129" s="18" t="s">
        <v>918</v>
      </c>
      <c r="C129" s="18" t="s">
        <v>735</v>
      </c>
      <c r="D129" s="27">
        <v>135</v>
      </c>
      <c r="E129" s="19"/>
      <c r="F129" s="21"/>
      <c r="G129" s="18"/>
    </row>
    <row r="130" spans="1:8">
      <c r="A130" s="22">
        <v>46052</v>
      </c>
      <c r="B130" s="23" t="s">
        <v>919</v>
      </c>
      <c r="C130" s="23" t="s">
        <v>920</v>
      </c>
      <c r="D130" s="24">
        <v>80</v>
      </c>
      <c r="E130" s="25"/>
      <c r="F130" s="26"/>
      <c r="G130" s="23"/>
      <c r="H130" s="23" t="s">
        <v>921</v>
      </c>
    </row>
    <row r="131" spans="1:8">
      <c r="A131" s="17">
        <v>46053</v>
      </c>
      <c r="B131" s="18" t="s">
        <v>922</v>
      </c>
      <c r="C131" s="18" t="s">
        <v>923</v>
      </c>
      <c r="D131" s="19"/>
      <c r="E131" s="20">
        <v>973.25</v>
      </c>
      <c r="F131" s="21" t="s">
        <v>106</v>
      </c>
      <c r="G131" s="18"/>
    </row>
    <row r="132" spans="1:8">
      <c r="A132" s="22">
        <v>46053</v>
      </c>
      <c r="B132" s="23" t="s">
        <v>924</v>
      </c>
      <c r="C132" s="23" t="s">
        <v>796</v>
      </c>
      <c r="D132" s="25"/>
      <c r="E132" s="28">
        <v>1469.67</v>
      </c>
      <c r="F132" s="26" t="s">
        <v>106</v>
      </c>
      <c r="G132" s="23"/>
    </row>
    <row r="133" spans="1:8">
      <c r="A133" s="29"/>
      <c r="B133" s="227" t="s">
        <v>925</v>
      </c>
      <c r="C133" s="160"/>
      <c r="D133" s="8">
        <f>SUM(D5:D132)</f>
        <v>22694</v>
      </c>
      <c r="E133" s="8">
        <f>SUM(E5:E132)</f>
        <v>23137.059999999998</v>
      </c>
      <c r="F133" s="29"/>
      <c r="G133" s="29"/>
    </row>
    <row r="134" spans="1:8" ht="15.75" customHeight="1">
      <c r="A134" s="30"/>
      <c r="B134" s="226" t="s">
        <v>926</v>
      </c>
      <c r="C134" s="157"/>
      <c r="D134" s="225">
        <f>D133-J18</f>
        <v>-443.05999999999767</v>
      </c>
      <c r="E134" s="157"/>
      <c r="F134" s="30"/>
      <c r="G134" s="30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46C1"/>
  </sheetPr>
  <dimension ref="A1:Q147"/>
  <sheetViews>
    <sheetView showGridLines="0" zoomScale="85" zoomScaleNormal="85" workbookViewId="0">
      <pane ySplit="4" topLeftCell="A5" activePane="bottomLeft" state="frozen"/>
      <selection pane="bottomLeft" sqref="A1:G1"/>
    </sheetView>
  </sheetViews>
  <sheetFormatPr defaultColWidth="8.7109375" defaultRowHeight="15"/>
  <cols>
    <col min="1" max="1" width="12" style="147" customWidth="1"/>
    <col min="2" max="2" width="52" style="147" customWidth="1"/>
    <col min="3" max="3" width="32" style="147" customWidth="1"/>
    <col min="4" max="5" width="14" style="147" customWidth="1"/>
    <col min="6" max="6" width="26" style="147" customWidth="1"/>
    <col min="7" max="7" width="30" style="147" customWidth="1"/>
    <col min="8" max="8" width="11" style="147" customWidth="1"/>
    <col min="9" max="9" width="32" style="147" customWidth="1"/>
    <col min="10" max="10" width="14" style="147" customWidth="1"/>
    <col min="12" max="17" width="15" style="147" customWidth="1"/>
  </cols>
  <sheetData>
    <row r="1" spans="1:17" ht="25.5" customHeight="1">
      <c r="A1" s="223" t="s">
        <v>927</v>
      </c>
      <c r="B1" s="157"/>
      <c r="C1" s="157"/>
      <c r="D1" s="157"/>
      <c r="E1" s="157"/>
      <c r="F1" s="157"/>
      <c r="G1" s="157"/>
    </row>
    <row r="2" spans="1:17">
      <c r="A2" s="228" t="s">
        <v>697</v>
      </c>
      <c r="B2" s="157"/>
      <c r="C2" s="157"/>
      <c r="D2" s="157"/>
      <c r="E2" s="157"/>
      <c r="F2" s="157"/>
      <c r="G2" s="157"/>
    </row>
    <row r="3" spans="1:17">
      <c r="A3" s="127" t="s">
        <v>64</v>
      </c>
    </row>
    <row r="4" spans="1:17" ht="20.100000000000001" customHeight="1">
      <c r="A4" s="1" t="s">
        <v>445</v>
      </c>
      <c r="B4" s="1" t="s">
        <v>698</v>
      </c>
      <c r="C4" s="1" t="s">
        <v>699</v>
      </c>
      <c r="D4" s="1" t="s">
        <v>700</v>
      </c>
      <c r="E4" s="1" t="s">
        <v>701</v>
      </c>
      <c r="F4" s="1" t="s">
        <v>702</v>
      </c>
      <c r="G4" s="1" t="s">
        <v>189</v>
      </c>
      <c r="H4" s="1" t="s">
        <v>703</v>
      </c>
      <c r="I4" s="222" t="s">
        <v>704</v>
      </c>
      <c r="J4" s="157"/>
      <c r="L4" s="224" t="s">
        <v>532</v>
      </c>
      <c r="M4" s="157"/>
      <c r="N4" s="232" t="s">
        <v>705</v>
      </c>
      <c r="O4" s="157"/>
      <c r="P4" s="221" t="s">
        <v>706</v>
      </c>
      <c r="Q4" s="157"/>
    </row>
    <row r="5" spans="1:17" ht="14.1" customHeight="1">
      <c r="A5" s="17">
        <v>46054</v>
      </c>
      <c r="B5" s="18" t="s">
        <v>928</v>
      </c>
      <c r="C5" s="18" t="s">
        <v>708</v>
      </c>
      <c r="D5" s="19"/>
      <c r="E5" s="20">
        <v>870</v>
      </c>
      <c r="F5" s="21" t="s">
        <v>100</v>
      </c>
      <c r="G5" s="18"/>
      <c r="I5" s="10" t="s">
        <v>99</v>
      </c>
      <c r="J5" s="11">
        <f>SUMIF(F5:F145,I5,E5:E145)</f>
        <v>11165.720000000001</v>
      </c>
      <c r="L5" s="229">
        <f>D146</f>
        <v>24956.559999999998</v>
      </c>
      <c r="M5" s="157"/>
      <c r="N5" s="231">
        <f>J18</f>
        <v>20349.760000000002</v>
      </c>
      <c r="O5" s="157"/>
      <c r="P5" s="230">
        <f>D147</f>
        <v>4606.7999999999956</v>
      </c>
      <c r="Q5" s="157"/>
    </row>
    <row r="6" spans="1:17" ht="14.1" customHeight="1">
      <c r="A6" s="22">
        <v>46055</v>
      </c>
      <c r="B6" s="23" t="s">
        <v>929</v>
      </c>
      <c r="C6" s="23" t="s">
        <v>930</v>
      </c>
      <c r="D6" s="24">
        <v>190</v>
      </c>
      <c r="E6" s="25"/>
      <c r="F6" s="26"/>
      <c r="G6" s="23"/>
      <c r="H6" s="23" t="s">
        <v>931</v>
      </c>
      <c r="I6" s="13" t="s">
        <v>100</v>
      </c>
      <c r="J6" s="14">
        <f>SUMIF(F5:F145,I6,E5:E145)</f>
        <v>870</v>
      </c>
      <c r="L6" s="157"/>
      <c r="M6" s="157"/>
      <c r="N6" s="157"/>
      <c r="O6" s="157"/>
      <c r="P6" s="157"/>
      <c r="Q6" s="157"/>
    </row>
    <row r="7" spans="1:17">
      <c r="A7" s="17">
        <v>46055</v>
      </c>
      <c r="B7" s="18" t="s">
        <v>932</v>
      </c>
      <c r="C7" s="18" t="s">
        <v>735</v>
      </c>
      <c r="D7" s="27">
        <v>140</v>
      </c>
      <c r="E7" s="19"/>
      <c r="F7" s="21"/>
      <c r="G7" s="18"/>
      <c r="I7" s="10" t="s">
        <v>101</v>
      </c>
      <c r="J7" s="11">
        <f>SUMIF(F5:F145,I7,E5:E145)</f>
        <v>145.99</v>
      </c>
    </row>
    <row r="8" spans="1:17">
      <c r="A8" s="22">
        <v>46055</v>
      </c>
      <c r="B8" s="23" t="s">
        <v>933</v>
      </c>
      <c r="C8" s="23" t="s">
        <v>934</v>
      </c>
      <c r="D8" s="24">
        <v>135</v>
      </c>
      <c r="E8" s="25"/>
      <c r="F8" s="26"/>
      <c r="G8" s="23"/>
      <c r="H8" s="23" t="s">
        <v>935</v>
      </c>
      <c r="I8" s="13" t="s">
        <v>102</v>
      </c>
      <c r="J8" s="14">
        <f>SUMIF(F5:F145,I8,E5:E145)</f>
        <v>3816.09</v>
      </c>
    </row>
    <row r="9" spans="1:17">
      <c r="A9" s="17">
        <v>46055</v>
      </c>
      <c r="B9" s="18" t="s">
        <v>936</v>
      </c>
      <c r="C9" s="18" t="s">
        <v>937</v>
      </c>
      <c r="D9" s="27">
        <v>140</v>
      </c>
      <c r="E9" s="19"/>
      <c r="F9" s="21"/>
      <c r="G9" s="18"/>
      <c r="H9" s="18" t="s">
        <v>938</v>
      </c>
      <c r="I9" s="10" t="s">
        <v>103</v>
      </c>
      <c r="J9" s="11">
        <f>SUMIF(F5:F145,I9,E5:E145)</f>
        <v>0</v>
      </c>
    </row>
    <row r="10" spans="1:17">
      <c r="A10" s="22">
        <v>46055</v>
      </c>
      <c r="B10" s="23" t="s">
        <v>939</v>
      </c>
      <c r="C10" s="23" t="s">
        <v>940</v>
      </c>
      <c r="D10" s="24">
        <v>180</v>
      </c>
      <c r="E10" s="25"/>
      <c r="F10" s="26"/>
      <c r="G10" s="23"/>
      <c r="H10" s="23" t="s">
        <v>941</v>
      </c>
      <c r="I10" s="13" t="s">
        <v>104</v>
      </c>
      <c r="J10" s="14">
        <f>SUMIF(F5:F145,I10,E5:E145)</f>
        <v>477.32</v>
      </c>
    </row>
    <row r="11" spans="1:17">
      <c r="A11" s="17">
        <v>46055</v>
      </c>
      <c r="B11" s="18" t="s">
        <v>942</v>
      </c>
      <c r="C11" s="18" t="s">
        <v>735</v>
      </c>
      <c r="D11" s="27">
        <v>140</v>
      </c>
      <c r="E11" s="19"/>
      <c r="F11" s="21"/>
      <c r="G11" s="18"/>
      <c r="I11" s="10" t="s">
        <v>106</v>
      </c>
      <c r="J11" s="11">
        <f>SUMIF(F5:F145,I11,E5:E145)</f>
        <v>3088.3199999999997</v>
      </c>
    </row>
    <row r="12" spans="1:17">
      <c r="A12" s="22">
        <v>46055</v>
      </c>
      <c r="B12" s="23" t="s">
        <v>943</v>
      </c>
      <c r="C12" s="23" t="s">
        <v>944</v>
      </c>
      <c r="D12" s="24">
        <v>140</v>
      </c>
      <c r="E12" s="25"/>
      <c r="F12" s="26"/>
      <c r="G12" s="23"/>
      <c r="H12" s="23" t="s">
        <v>945</v>
      </c>
      <c r="I12" s="13" t="s">
        <v>107</v>
      </c>
      <c r="J12" s="14">
        <f>SUMIF(F5:F145,I12,E5:E145)</f>
        <v>486.32</v>
      </c>
    </row>
    <row r="13" spans="1:17">
      <c r="A13" s="17">
        <v>46055</v>
      </c>
      <c r="B13" s="18" t="s">
        <v>946</v>
      </c>
      <c r="C13" s="18" t="s">
        <v>947</v>
      </c>
      <c r="D13" s="27">
        <v>135</v>
      </c>
      <c r="E13" s="19"/>
      <c r="F13" s="21"/>
      <c r="G13" s="18"/>
      <c r="I13" s="10" t="s">
        <v>108</v>
      </c>
      <c r="J13" s="11">
        <f>SUMIF(F5:F145,I13,E5:E145)</f>
        <v>0</v>
      </c>
    </row>
    <row r="14" spans="1:17">
      <c r="A14" s="22">
        <v>46055</v>
      </c>
      <c r="B14" s="23" t="s">
        <v>948</v>
      </c>
      <c r="C14" s="23" t="s">
        <v>735</v>
      </c>
      <c r="D14" s="24">
        <v>140</v>
      </c>
      <c r="E14" s="25"/>
      <c r="F14" s="26"/>
      <c r="G14" s="23"/>
      <c r="I14" s="13" t="s">
        <v>109</v>
      </c>
      <c r="J14" s="14">
        <f>SUMIF(F5:F145,I14,E5:E145)</f>
        <v>0</v>
      </c>
    </row>
    <row r="15" spans="1:17">
      <c r="A15" s="17">
        <v>46055</v>
      </c>
      <c r="B15" s="18" t="s">
        <v>949</v>
      </c>
      <c r="C15" s="18" t="s">
        <v>726</v>
      </c>
      <c r="D15" s="27">
        <v>175</v>
      </c>
      <c r="E15" s="19"/>
      <c r="F15" s="21"/>
      <c r="G15" s="18"/>
      <c r="I15" s="10" t="s">
        <v>110</v>
      </c>
      <c r="J15" s="11">
        <f>SUMIF(F5:F145,I15,E5:E145)</f>
        <v>300</v>
      </c>
    </row>
    <row r="16" spans="1:17">
      <c r="A16" s="22">
        <v>46055</v>
      </c>
      <c r="B16" s="23" t="s">
        <v>950</v>
      </c>
      <c r="C16" s="23" t="s">
        <v>951</v>
      </c>
      <c r="D16" s="24">
        <v>170</v>
      </c>
      <c r="E16" s="25"/>
      <c r="F16" s="26"/>
      <c r="G16" s="23"/>
      <c r="I16" s="13" t="s">
        <v>111</v>
      </c>
      <c r="J16" s="14">
        <f>SUMIF(F5:F145,I16,E5:E145)</f>
        <v>0</v>
      </c>
    </row>
    <row r="17" spans="1:10">
      <c r="A17" s="17">
        <v>46055</v>
      </c>
      <c r="B17" s="18" t="s">
        <v>952</v>
      </c>
      <c r="C17" s="18" t="s">
        <v>953</v>
      </c>
      <c r="D17" s="27">
        <v>160</v>
      </c>
      <c r="E17" s="19"/>
      <c r="F17" s="21"/>
      <c r="G17" s="18"/>
      <c r="I17" s="42" t="s">
        <v>112</v>
      </c>
      <c r="J17" s="8">
        <f>SUMIF(F5:F145,I17,E5:E145)</f>
        <v>509.65999999999997</v>
      </c>
    </row>
    <row r="18" spans="1:10">
      <c r="A18" s="22">
        <v>46055</v>
      </c>
      <c r="B18" s="23" t="s">
        <v>954</v>
      </c>
      <c r="C18" s="23" t="s">
        <v>955</v>
      </c>
      <c r="D18" s="24">
        <v>140</v>
      </c>
      <c r="E18" s="25"/>
      <c r="F18" s="26"/>
      <c r="G18" s="23"/>
      <c r="I18" t="s">
        <v>113</v>
      </c>
      <c r="J18">
        <f>SUM(J5:J16)</f>
        <v>20349.760000000002</v>
      </c>
    </row>
    <row r="19" spans="1:10">
      <c r="A19" s="17">
        <v>46055</v>
      </c>
      <c r="B19" s="18" t="s">
        <v>956</v>
      </c>
      <c r="C19" s="18" t="s">
        <v>957</v>
      </c>
      <c r="D19" s="27">
        <v>140</v>
      </c>
      <c r="E19" s="19"/>
      <c r="F19" s="21"/>
      <c r="G19" s="18"/>
      <c r="H19" s="18" t="s">
        <v>958</v>
      </c>
    </row>
    <row r="20" spans="1:10">
      <c r="A20" s="22">
        <v>46055</v>
      </c>
      <c r="B20" s="23" t="s">
        <v>959</v>
      </c>
      <c r="C20" s="23" t="s">
        <v>735</v>
      </c>
      <c r="D20" s="24">
        <v>140</v>
      </c>
      <c r="E20" s="25"/>
      <c r="F20" s="26"/>
      <c r="G20" s="23"/>
    </row>
    <row r="21" spans="1:10">
      <c r="A21" s="17">
        <v>46055</v>
      </c>
      <c r="B21" s="18" t="s">
        <v>960</v>
      </c>
      <c r="C21" s="18" t="s">
        <v>961</v>
      </c>
      <c r="D21" s="27">
        <v>1398</v>
      </c>
      <c r="E21" s="19"/>
      <c r="F21" s="21"/>
      <c r="G21" s="18"/>
    </row>
    <row r="22" spans="1:10">
      <c r="A22" s="22">
        <v>46055</v>
      </c>
      <c r="B22" s="23" t="s">
        <v>962</v>
      </c>
      <c r="C22" s="23" t="s">
        <v>963</v>
      </c>
      <c r="D22" s="24">
        <v>180</v>
      </c>
      <c r="E22" s="25"/>
      <c r="F22" s="26"/>
      <c r="G22" s="23"/>
      <c r="H22" s="23" t="s">
        <v>964</v>
      </c>
    </row>
    <row r="23" spans="1:10">
      <c r="A23" s="17">
        <v>46055</v>
      </c>
      <c r="B23" s="18" t="s">
        <v>965</v>
      </c>
      <c r="C23" s="18" t="s">
        <v>726</v>
      </c>
      <c r="D23" s="27">
        <v>100</v>
      </c>
      <c r="E23" s="19"/>
      <c r="F23" s="21"/>
      <c r="G23" s="18"/>
    </row>
    <row r="24" spans="1:10">
      <c r="A24" s="22">
        <v>46055</v>
      </c>
      <c r="B24" s="23" t="s">
        <v>966</v>
      </c>
      <c r="C24" s="23" t="s">
        <v>967</v>
      </c>
      <c r="D24" s="24">
        <v>180</v>
      </c>
      <c r="E24" s="25"/>
      <c r="F24" s="26"/>
      <c r="G24" s="23"/>
      <c r="H24" s="23" t="s">
        <v>968</v>
      </c>
    </row>
    <row r="25" spans="1:10">
      <c r="A25" s="17">
        <v>46055</v>
      </c>
      <c r="B25" s="18" t="s">
        <v>969</v>
      </c>
      <c r="C25" s="18" t="s">
        <v>735</v>
      </c>
      <c r="D25" s="27">
        <v>140</v>
      </c>
      <c r="E25" s="19"/>
      <c r="F25" s="21"/>
      <c r="G25" s="18"/>
    </row>
    <row r="26" spans="1:10">
      <c r="A26" s="22">
        <v>46055</v>
      </c>
      <c r="B26" s="23" t="s">
        <v>970</v>
      </c>
      <c r="C26" s="23" t="s">
        <v>735</v>
      </c>
      <c r="D26" s="24">
        <v>140</v>
      </c>
      <c r="E26" s="25"/>
      <c r="F26" s="26"/>
      <c r="G26" s="23"/>
    </row>
    <row r="27" spans="1:10">
      <c r="A27" s="17">
        <v>46055</v>
      </c>
      <c r="B27" s="18" t="s">
        <v>971</v>
      </c>
      <c r="C27" s="18" t="s">
        <v>972</v>
      </c>
      <c r="D27" s="27">
        <v>190</v>
      </c>
      <c r="E27" s="19"/>
      <c r="F27" s="21"/>
      <c r="G27" s="18"/>
      <c r="H27" s="18" t="s">
        <v>973</v>
      </c>
    </row>
    <row r="28" spans="1:10">
      <c r="A28" s="22">
        <v>46055</v>
      </c>
      <c r="B28" s="23" t="s">
        <v>974</v>
      </c>
      <c r="C28" s="23" t="s">
        <v>726</v>
      </c>
      <c r="D28" s="24">
        <v>20</v>
      </c>
      <c r="E28" s="25"/>
      <c r="F28" s="26"/>
      <c r="G28" s="23"/>
    </row>
    <row r="29" spans="1:10">
      <c r="A29" s="17">
        <v>46055</v>
      </c>
      <c r="B29" s="18" t="s">
        <v>975</v>
      </c>
      <c r="C29" s="18" t="s">
        <v>726</v>
      </c>
      <c r="D29" s="27">
        <v>70</v>
      </c>
      <c r="E29" s="19"/>
      <c r="F29" s="21"/>
      <c r="G29" s="18"/>
    </row>
    <row r="30" spans="1:10">
      <c r="A30" s="22">
        <v>46056</v>
      </c>
      <c r="B30" s="23" t="s">
        <v>976</v>
      </c>
      <c r="C30" s="23" t="s">
        <v>726</v>
      </c>
      <c r="D30" s="24">
        <v>200</v>
      </c>
      <c r="E30" s="25"/>
      <c r="F30" s="26"/>
      <c r="G30" s="23"/>
    </row>
    <row r="31" spans="1:10">
      <c r="A31" s="17">
        <v>46056</v>
      </c>
      <c r="B31" s="18" t="s">
        <v>977</v>
      </c>
      <c r="C31" s="18" t="s">
        <v>726</v>
      </c>
      <c r="D31" s="27">
        <v>30</v>
      </c>
      <c r="E31" s="19"/>
      <c r="F31" s="21"/>
      <c r="G31" s="18"/>
    </row>
    <row r="32" spans="1:10">
      <c r="A32" s="22">
        <v>46056</v>
      </c>
      <c r="B32" s="23" t="s">
        <v>978</v>
      </c>
      <c r="C32" s="23" t="s">
        <v>726</v>
      </c>
      <c r="D32" s="25"/>
      <c r="E32" s="28">
        <v>30</v>
      </c>
      <c r="F32" s="26" t="s">
        <v>110</v>
      </c>
      <c r="G32" s="23"/>
    </row>
    <row r="33" spans="1:8">
      <c r="A33" s="17">
        <v>46056</v>
      </c>
      <c r="B33" s="18" t="s">
        <v>979</v>
      </c>
      <c r="C33" s="18" t="s">
        <v>726</v>
      </c>
      <c r="D33" s="27">
        <v>30</v>
      </c>
      <c r="E33" s="19"/>
      <c r="F33" s="21"/>
      <c r="G33" s="18"/>
    </row>
    <row r="34" spans="1:8">
      <c r="A34" s="22">
        <v>46056</v>
      </c>
      <c r="B34" s="23" t="s">
        <v>980</v>
      </c>
      <c r="C34" s="23" t="s">
        <v>726</v>
      </c>
      <c r="D34" s="24">
        <v>10</v>
      </c>
      <c r="E34" s="25"/>
      <c r="F34" s="26"/>
      <c r="G34" s="23"/>
    </row>
    <row r="35" spans="1:8">
      <c r="A35" s="17">
        <v>46056</v>
      </c>
      <c r="B35" s="18" t="s">
        <v>981</v>
      </c>
      <c r="C35" s="18" t="s">
        <v>726</v>
      </c>
      <c r="D35" s="27">
        <v>65</v>
      </c>
      <c r="E35" s="19"/>
      <c r="F35" s="21"/>
      <c r="G35" s="18"/>
    </row>
    <row r="36" spans="1:8">
      <c r="A36" s="22">
        <v>46056</v>
      </c>
      <c r="B36" s="23" t="s">
        <v>982</v>
      </c>
      <c r="C36" s="23" t="s">
        <v>983</v>
      </c>
      <c r="D36" s="24">
        <v>140</v>
      </c>
      <c r="E36" s="25"/>
      <c r="F36" s="26"/>
      <c r="G36" s="23"/>
    </row>
    <row r="37" spans="1:8">
      <c r="A37" s="17">
        <v>46056</v>
      </c>
      <c r="B37" s="18" t="s">
        <v>715</v>
      </c>
      <c r="C37" s="18" t="s">
        <v>716</v>
      </c>
      <c r="D37" s="19"/>
      <c r="E37" s="20">
        <v>597.74</v>
      </c>
      <c r="F37" s="21" t="s">
        <v>99</v>
      </c>
      <c r="G37" s="18"/>
    </row>
    <row r="38" spans="1:8">
      <c r="A38" s="22">
        <v>46056</v>
      </c>
      <c r="B38" s="23" t="s">
        <v>984</v>
      </c>
      <c r="C38" s="23" t="s">
        <v>985</v>
      </c>
      <c r="D38" s="25"/>
      <c r="E38" s="28">
        <v>74.27</v>
      </c>
      <c r="F38" s="26" t="s">
        <v>112</v>
      </c>
      <c r="G38" s="23"/>
    </row>
    <row r="39" spans="1:8">
      <c r="A39" s="17">
        <v>46056</v>
      </c>
      <c r="B39" s="18" t="s">
        <v>986</v>
      </c>
      <c r="C39" s="18" t="s">
        <v>985</v>
      </c>
      <c r="D39" s="19"/>
      <c r="E39" s="20">
        <v>435.39</v>
      </c>
      <c r="F39" s="21" t="s">
        <v>112</v>
      </c>
      <c r="G39" s="18"/>
    </row>
    <row r="40" spans="1:8">
      <c r="A40" s="22">
        <v>46056</v>
      </c>
      <c r="B40" s="23" t="s">
        <v>987</v>
      </c>
      <c r="C40" s="23" t="s">
        <v>726</v>
      </c>
      <c r="D40" s="24">
        <v>90</v>
      </c>
      <c r="E40" s="25"/>
      <c r="F40" s="26"/>
      <c r="G40" s="23"/>
    </row>
    <row r="41" spans="1:8">
      <c r="A41" s="17">
        <v>46056</v>
      </c>
      <c r="B41" s="18" t="s">
        <v>765</v>
      </c>
      <c r="C41" s="18" t="s">
        <v>718</v>
      </c>
      <c r="D41" s="19"/>
      <c r="E41" s="20">
        <v>426.73</v>
      </c>
      <c r="F41" s="21" t="s">
        <v>99</v>
      </c>
      <c r="G41" s="18"/>
    </row>
    <row r="42" spans="1:8">
      <c r="A42" s="22">
        <v>46056</v>
      </c>
      <c r="B42" s="23" t="s">
        <v>988</v>
      </c>
      <c r="C42" s="23" t="s">
        <v>767</v>
      </c>
      <c r="D42" s="25"/>
      <c r="E42" s="28">
        <v>145.99</v>
      </c>
      <c r="F42" s="26" t="s">
        <v>101</v>
      </c>
      <c r="G42" s="23"/>
    </row>
    <row r="43" spans="1:8">
      <c r="A43" s="17">
        <v>46057</v>
      </c>
      <c r="B43" s="18" t="s">
        <v>989</v>
      </c>
      <c r="C43" s="18" t="s">
        <v>990</v>
      </c>
      <c r="D43" s="27">
        <v>90</v>
      </c>
      <c r="E43" s="19"/>
      <c r="F43" s="21"/>
      <c r="G43" s="18"/>
      <c r="H43" s="18" t="s">
        <v>991</v>
      </c>
    </row>
    <row r="44" spans="1:8">
      <c r="A44" s="22">
        <v>46057</v>
      </c>
      <c r="B44" s="23" t="s">
        <v>992</v>
      </c>
      <c r="C44" s="23" t="s">
        <v>993</v>
      </c>
      <c r="D44" s="24">
        <v>130</v>
      </c>
      <c r="E44" s="25"/>
      <c r="F44" s="26"/>
      <c r="G44" s="23"/>
      <c r="H44" s="23" t="s">
        <v>994</v>
      </c>
    </row>
    <row r="45" spans="1:8">
      <c r="A45" s="17">
        <v>46057</v>
      </c>
      <c r="B45" s="18" t="s">
        <v>995</v>
      </c>
      <c r="C45" s="18" t="s">
        <v>996</v>
      </c>
      <c r="D45" s="27">
        <v>180</v>
      </c>
      <c r="E45" s="19"/>
      <c r="F45" s="21"/>
      <c r="G45" s="18"/>
      <c r="H45" s="18" t="s">
        <v>997</v>
      </c>
    </row>
    <row r="46" spans="1:8">
      <c r="A46" s="22">
        <v>46057</v>
      </c>
      <c r="B46" s="23" t="s">
        <v>998</v>
      </c>
      <c r="C46" s="23" t="s">
        <v>726</v>
      </c>
      <c r="D46" s="24">
        <v>80</v>
      </c>
      <c r="E46" s="25"/>
      <c r="F46" s="26"/>
      <c r="G46" s="23"/>
    </row>
    <row r="47" spans="1:8">
      <c r="A47" s="17">
        <v>46057</v>
      </c>
      <c r="B47" s="18" t="s">
        <v>999</v>
      </c>
      <c r="C47" s="18" t="s">
        <v>726</v>
      </c>
      <c r="D47" s="27">
        <v>140</v>
      </c>
      <c r="E47" s="19"/>
      <c r="F47" s="21"/>
      <c r="G47" s="18"/>
    </row>
    <row r="48" spans="1:8">
      <c r="A48" s="22">
        <v>46058</v>
      </c>
      <c r="B48" s="23" t="s">
        <v>1000</v>
      </c>
      <c r="C48" s="23" t="s">
        <v>1001</v>
      </c>
      <c r="D48" s="24">
        <v>190</v>
      </c>
      <c r="E48" s="25"/>
      <c r="F48" s="26"/>
      <c r="G48" s="23"/>
      <c r="H48" s="23" t="s">
        <v>903</v>
      </c>
    </row>
    <row r="49" spans="1:8">
      <c r="A49" s="17">
        <v>46058</v>
      </c>
      <c r="B49" s="18" t="s">
        <v>1002</v>
      </c>
      <c r="C49" s="18" t="s">
        <v>726</v>
      </c>
      <c r="D49" s="27">
        <v>100</v>
      </c>
      <c r="E49" s="19"/>
      <c r="F49" s="21"/>
      <c r="G49" s="18"/>
    </row>
    <row r="50" spans="1:8">
      <c r="A50" s="22">
        <v>46058</v>
      </c>
      <c r="B50" s="23" t="s">
        <v>1003</v>
      </c>
      <c r="C50" s="23" t="s">
        <v>1004</v>
      </c>
      <c r="D50" s="24">
        <v>140</v>
      </c>
      <c r="E50" s="25"/>
      <c r="F50" s="26"/>
      <c r="G50" s="23"/>
      <c r="H50" s="23" t="s">
        <v>1005</v>
      </c>
    </row>
    <row r="51" spans="1:8">
      <c r="A51" s="17">
        <v>46058</v>
      </c>
      <c r="B51" s="18" t="s">
        <v>1006</v>
      </c>
      <c r="C51" s="18" t="s">
        <v>1007</v>
      </c>
      <c r="D51" s="27">
        <v>2470</v>
      </c>
      <c r="E51" s="19"/>
      <c r="F51" s="21"/>
      <c r="G51" s="18"/>
    </row>
    <row r="52" spans="1:8">
      <c r="A52" s="22">
        <v>46058</v>
      </c>
      <c r="B52" s="23" t="s">
        <v>1008</v>
      </c>
      <c r="C52" s="23" t="s">
        <v>1009</v>
      </c>
      <c r="D52" s="24">
        <v>140</v>
      </c>
      <c r="E52" s="25"/>
      <c r="F52" s="26"/>
      <c r="G52" s="23"/>
      <c r="H52" s="23" t="s">
        <v>1010</v>
      </c>
    </row>
    <row r="53" spans="1:8">
      <c r="A53" s="17">
        <v>46058</v>
      </c>
      <c r="B53" s="18" t="s">
        <v>1011</v>
      </c>
      <c r="C53" s="18" t="s">
        <v>1012</v>
      </c>
      <c r="D53" s="27">
        <v>1501.56</v>
      </c>
      <c r="E53" s="19"/>
      <c r="F53" s="21"/>
      <c r="G53" s="18"/>
      <c r="H53" s="18" t="s">
        <v>1013</v>
      </c>
    </row>
    <row r="54" spans="1:8">
      <c r="A54" s="22">
        <v>46059</v>
      </c>
      <c r="B54" s="23" t="s">
        <v>1014</v>
      </c>
      <c r="C54" s="23" t="s">
        <v>735</v>
      </c>
      <c r="D54" s="24">
        <v>140</v>
      </c>
      <c r="E54" s="25"/>
      <c r="F54" s="26"/>
      <c r="G54" s="23"/>
    </row>
    <row r="55" spans="1:8">
      <c r="A55" s="17">
        <v>46059</v>
      </c>
      <c r="B55" s="18" t="s">
        <v>1015</v>
      </c>
      <c r="C55" s="18" t="s">
        <v>1016</v>
      </c>
      <c r="D55" s="27">
        <v>140</v>
      </c>
      <c r="E55" s="19"/>
      <c r="F55" s="21"/>
      <c r="G55" s="18"/>
      <c r="H55" s="18" t="s">
        <v>1017</v>
      </c>
    </row>
    <row r="56" spans="1:8">
      <c r="A56" s="22">
        <v>46059</v>
      </c>
      <c r="B56" s="23" t="s">
        <v>1018</v>
      </c>
      <c r="C56" s="23" t="s">
        <v>726</v>
      </c>
      <c r="D56" s="24">
        <v>140</v>
      </c>
      <c r="E56" s="25"/>
      <c r="F56" s="26"/>
      <c r="G56" s="23"/>
    </row>
    <row r="57" spans="1:8">
      <c r="A57" s="17">
        <v>46059</v>
      </c>
      <c r="B57" s="18" t="s">
        <v>1019</v>
      </c>
      <c r="C57" s="18" t="s">
        <v>1020</v>
      </c>
      <c r="D57" s="27">
        <v>140</v>
      </c>
      <c r="E57" s="19"/>
      <c r="F57" s="21"/>
      <c r="G57" s="18"/>
      <c r="H57" s="18" t="s">
        <v>1021</v>
      </c>
    </row>
    <row r="58" spans="1:8">
      <c r="A58" s="22">
        <v>46060</v>
      </c>
      <c r="B58" s="23" t="s">
        <v>1022</v>
      </c>
      <c r="C58" s="23" t="s">
        <v>735</v>
      </c>
      <c r="D58" s="24">
        <v>80</v>
      </c>
      <c r="E58" s="25"/>
      <c r="F58" s="26"/>
      <c r="G58" s="23"/>
    </row>
    <row r="59" spans="1:8">
      <c r="A59" s="17">
        <v>46060</v>
      </c>
      <c r="B59" s="18" t="s">
        <v>1023</v>
      </c>
      <c r="C59" s="18" t="s">
        <v>726</v>
      </c>
      <c r="D59" s="27">
        <v>35</v>
      </c>
      <c r="E59" s="19"/>
      <c r="F59" s="21"/>
      <c r="G59" s="18"/>
    </row>
    <row r="60" spans="1:8">
      <c r="A60" s="22">
        <v>46060</v>
      </c>
      <c r="B60" s="23" t="s">
        <v>1024</v>
      </c>
      <c r="C60" s="23" t="s">
        <v>726</v>
      </c>
      <c r="D60" s="24">
        <v>40</v>
      </c>
      <c r="E60" s="25"/>
      <c r="F60" s="26"/>
      <c r="G60" s="23"/>
    </row>
    <row r="61" spans="1:8">
      <c r="A61" s="17">
        <v>46060</v>
      </c>
      <c r="B61" s="18" t="s">
        <v>1025</v>
      </c>
      <c r="C61" s="18" t="s">
        <v>726</v>
      </c>
      <c r="D61" s="27">
        <v>140</v>
      </c>
      <c r="E61" s="19"/>
      <c r="F61" s="21"/>
      <c r="G61" s="18"/>
    </row>
    <row r="62" spans="1:8">
      <c r="A62" s="22">
        <v>46062</v>
      </c>
      <c r="B62" s="23" t="s">
        <v>1026</v>
      </c>
      <c r="C62" s="23" t="s">
        <v>735</v>
      </c>
      <c r="D62" s="24">
        <v>135</v>
      </c>
      <c r="E62" s="25"/>
      <c r="F62" s="26"/>
      <c r="G62" s="23"/>
    </row>
    <row r="63" spans="1:8">
      <c r="A63" s="17">
        <v>46062</v>
      </c>
      <c r="B63" s="18" t="s">
        <v>1027</v>
      </c>
      <c r="C63" s="18" t="s">
        <v>735</v>
      </c>
      <c r="D63" s="19"/>
      <c r="E63" s="20">
        <v>135</v>
      </c>
      <c r="F63" s="21" t="s">
        <v>110</v>
      </c>
      <c r="G63" s="18"/>
    </row>
    <row r="64" spans="1:8">
      <c r="A64" s="22">
        <v>46062</v>
      </c>
      <c r="B64" s="23" t="s">
        <v>1028</v>
      </c>
      <c r="C64" s="23" t="s">
        <v>735</v>
      </c>
      <c r="D64" s="24">
        <v>135</v>
      </c>
      <c r="E64" s="25"/>
      <c r="F64" s="26"/>
      <c r="G64" s="23"/>
    </row>
    <row r="65" spans="1:8">
      <c r="A65" s="17">
        <v>46062</v>
      </c>
      <c r="B65" s="18" t="s">
        <v>1029</v>
      </c>
      <c r="C65" s="18" t="s">
        <v>1030</v>
      </c>
      <c r="D65" s="27">
        <v>130</v>
      </c>
      <c r="E65" s="19"/>
      <c r="F65" s="21"/>
      <c r="G65" s="18"/>
      <c r="H65" s="18" t="s">
        <v>1031</v>
      </c>
    </row>
    <row r="66" spans="1:8">
      <c r="A66" s="22">
        <v>46062</v>
      </c>
      <c r="B66" s="23" t="s">
        <v>1032</v>
      </c>
      <c r="C66" s="23" t="s">
        <v>1033</v>
      </c>
      <c r="D66" s="24">
        <v>140</v>
      </c>
      <c r="E66" s="25"/>
      <c r="F66" s="26"/>
      <c r="G66" s="23"/>
      <c r="H66" s="23" t="s">
        <v>1034</v>
      </c>
    </row>
    <row r="67" spans="1:8">
      <c r="A67" s="17">
        <v>46063</v>
      </c>
      <c r="B67" s="18" t="s">
        <v>1035</v>
      </c>
      <c r="C67" s="18" t="s">
        <v>1036</v>
      </c>
      <c r="D67" s="27">
        <v>140</v>
      </c>
      <c r="E67" s="19"/>
      <c r="F67" s="21"/>
      <c r="G67" s="18"/>
      <c r="H67" s="18" t="s">
        <v>1037</v>
      </c>
    </row>
    <row r="68" spans="1:8">
      <c r="A68" s="22">
        <v>46063</v>
      </c>
      <c r="B68" s="23" t="s">
        <v>1038</v>
      </c>
      <c r="C68" s="23" t="s">
        <v>1039</v>
      </c>
      <c r="D68" s="24">
        <v>185</v>
      </c>
      <c r="E68" s="25"/>
      <c r="F68" s="26"/>
      <c r="G68" s="23"/>
      <c r="H68" s="23" t="s">
        <v>1040</v>
      </c>
    </row>
    <row r="69" spans="1:8">
      <c r="A69" s="17">
        <v>46063</v>
      </c>
      <c r="B69" s="18" t="s">
        <v>1041</v>
      </c>
      <c r="C69" s="18" t="s">
        <v>1042</v>
      </c>
      <c r="D69" s="27">
        <v>135</v>
      </c>
      <c r="E69" s="19"/>
      <c r="F69" s="21"/>
      <c r="G69" s="18"/>
      <c r="H69" s="18" t="s">
        <v>1043</v>
      </c>
    </row>
    <row r="70" spans="1:8">
      <c r="A70" s="22">
        <v>46063</v>
      </c>
      <c r="B70" s="23" t="s">
        <v>1027</v>
      </c>
      <c r="C70" s="23" t="s">
        <v>1042</v>
      </c>
      <c r="D70" s="25"/>
      <c r="E70" s="28">
        <v>135</v>
      </c>
      <c r="F70" s="26" t="s">
        <v>110</v>
      </c>
      <c r="G70" s="23"/>
    </row>
    <row r="71" spans="1:8">
      <c r="A71" s="17">
        <v>46063</v>
      </c>
      <c r="B71" s="18" t="s">
        <v>1044</v>
      </c>
      <c r="C71" s="18" t="s">
        <v>1045</v>
      </c>
      <c r="D71" s="27">
        <v>135</v>
      </c>
      <c r="E71" s="19"/>
      <c r="F71" s="21"/>
      <c r="G71" s="18"/>
    </row>
    <row r="72" spans="1:8">
      <c r="A72" s="22">
        <v>46063</v>
      </c>
      <c r="B72" s="23" t="s">
        <v>1046</v>
      </c>
      <c r="C72" s="23" t="s">
        <v>735</v>
      </c>
      <c r="D72" s="24">
        <v>40</v>
      </c>
      <c r="E72" s="25"/>
      <c r="F72" s="26"/>
      <c r="G72" s="23"/>
    </row>
    <row r="73" spans="1:8">
      <c r="A73" s="17">
        <v>46063</v>
      </c>
      <c r="B73" s="18" t="s">
        <v>1047</v>
      </c>
      <c r="C73" s="18" t="s">
        <v>735</v>
      </c>
      <c r="D73" s="27">
        <v>200</v>
      </c>
      <c r="E73" s="19"/>
      <c r="F73" s="21"/>
      <c r="G73" s="18"/>
    </row>
    <row r="74" spans="1:8">
      <c r="A74" s="22">
        <v>46063</v>
      </c>
      <c r="B74" s="23" t="s">
        <v>1048</v>
      </c>
      <c r="C74" s="23" t="s">
        <v>1049</v>
      </c>
      <c r="D74" s="24">
        <v>140</v>
      </c>
      <c r="E74" s="25"/>
      <c r="F74" s="26"/>
      <c r="G74" s="23"/>
      <c r="H74" s="23" t="s">
        <v>1050</v>
      </c>
    </row>
    <row r="75" spans="1:8">
      <c r="A75" s="17">
        <v>46063</v>
      </c>
      <c r="B75" s="18" t="s">
        <v>1051</v>
      </c>
      <c r="C75" s="18" t="s">
        <v>726</v>
      </c>
      <c r="D75" s="27">
        <v>10</v>
      </c>
      <c r="E75" s="19"/>
      <c r="F75" s="21"/>
      <c r="G75" s="18"/>
    </row>
    <row r="76" spans="1:8">
      <c r="A76" s="22">
        <v>46063</v>
      </c>
      <c r="B76" s="23" t="s">
        <v>1052</v>
      </c>
      <c r="C76" s="23" t="s">
        <v>1042</v>
      </c>
      <c r="D76" s="24">
        <v>270</v>
      </c>
      <c r="E76" s="25"/>
      <c r="F76" s="26"/>
      <c r="G76" s="23"/>
      <c r="H76" s="23" t="s">
        <v>1043</v>
      </c>
    </row>
    <row r="77" spans="1:8">
      <c r="A77" s="17">
        <v>46064</v>
      </c>
      <c r="B77" s="18" t="s">
        <v>1053</v>
      </c>
      <c r="C77" s="18" t="s">
        <v>1054</v>
      </c>
      <c r="D77" s="27">
        <v>190</v>
      </c>
      <c r="E77" s="19"/>
      <c r="F77" s="21"/>
      <c r="G77" s="18"/>
    </row>
    <row r="78" spans="1:8">
      <c r="A78" s="22">
        <v>46064</v>
      </c>
      <c r="B78" s="23" t="s">
        <v>1055</v>
      </c>
      <c r="C78" s="23" t="s">
        <v>735</v>
      </c>
      <c r="D78" s="24">
        <v>140</v>
      </c>
      <c r="E78" s="25"/>
      <c r="F78" s="26"/>
      <c r="G78" s="23"/>
    </row>
    <row r="79" spans="1:8">
      <c r="A79" s="17">
        <v>46064</v>
      </c>
      <c r="B79" s="18" t="s">
        <v>1056</v>
      </c>
      <c r="C79" s="18" t="s">
        <v>1057</v>
      </c>
      <c r="D79" s="27">
        <v>340</v>
      </c>
      <c r="E79" s="19"/>
      <c r="F79" s="21"/>
      <c r="G79" s="18"/>
      <c r="H79" s="18" t="s">
        <v>1058</v>
      </c>
    </row>
    <row r="80" spans="1:8">
      <c r="A80" s="22">
        <v>46064</v>
      </c>
      <c r="B80" s="23" t="s">
        <v>1059</v>
      </c>
      <c r="C80" s="23" t="s">
        <v>735</v>
      </c>
      <c r="D80" s="24">
        <v>20</v>
      </c>
      <c r="E80" s="25"/>
      <c r="F80" s="26"/>
      <c r="G80" s="23"/>
    </row>
    <row r="81" spans="1:8">
      <c r="A81" s="17">
        <v>46064</v>
      </c>
      <c r="B81" s="18" t="s">
        <v>1060</v>
      </c>
      <c r="C81" s="18" t="s">
        <v>1061</v>
      </c>
      <c r="D81" s="27">
        <v>500</v>
      </c>
      <c r="E81" s="19"/>
      <c r="F81" s="21"/>
      <c r="G81" s="18"/>
      <c r="H81" s="18" t="s">
        <v>1062</v>
      </c>
    </row>
    <row r="82" spans="1:8">
      <c r="A82" s="22">
        <v>46064</v>
      </c>
      <c r="B82" s="23" t="s">
        <v>1063</v>
      </c>
      <c r="C82" s="23" t="s">
        <v>735</v>
      </c>
      <c r="D82" s="24">
        <v>140</v>
      </c>
      <c r="E82" s="25"/>
      <c r="F82" s="26"/>
      <c r="G82" s="23"/>
    </row>
    <row r="83" spans="1:8">
      <c r="A83" s="17">
        <v>46065</v>
      </c>
      <c r="B83" s="18" t="s">
        <v>1064</v>
      </c>
      <c r="C83" s="18" t="s">
        <v>1065</v>
      </c>
      <c r="D83" s="27">
        <v>1448</v>
      </c>
      <c r="E83" s="19"/>
      <c r="F83" s="21"/>
      <c r="G83" s="18"/>
      <c r="H83" s="18" t="s">
        <v>1066</v>
      </c>
    </row>
    <row r="84" spans="1:8">
      <c r="A84" s="22">
        <v>46065</v>
      </c>
      <c r="B84" s="23" t="s">
        <v>1067</v>
      </c>
      <c r="C84" s="23" t="s">
        <v>1068</v>
      </c>
      <c r="D84" s="24">
        <v>135</v>
      </c>
      <c r="E84" s="25"/>
      <c r="F84" s="26"/>
      <c r="G84" s="23"/>
      <c r="H84" s="23" t="s">
        <v>1069</v>
      </c>
    </row>
    <row r="85" spans="1:8">
      <c r="A85" s="17">
        <v>46065</v>
      </c>
      <c r="B85" s="18" t="s">
        <v>1070</v>
      </c>
      <c r="C85" s="18" t="s">
        <v>735</v>
      </c>
      <c r="D85" s="27">
        <v>200</v>
      </c>
      <c r="E85" s="19"/>
      <c r="F85" s="21"/>
      <c r="G85" s="18"/>
    </row>
    <row r="86" spans="1:8">
      <c r="A86" s="22">
        <v>46066</v>
      </c>
      <c r="B86" s="23" t="s">
        <v>1071</v>
      </c>
      <c r="C86" s="23" t="s">
        <v>1072</v>
      </c>
      <c r="D86" s="24">
        <v>130</v>
      </c>
      <c r="E86" s="25"/>
      <c r="F86" s="26"/>
      <c r="G86" s="23"/>
      <c r="H86" s="23" t="s">
        <v>1073</v>
      </c>
    </row>
    <row r="87" spans="1:8">
      <c r="A87" s="17">
        <v>46066</v>
      </c>
      <c r="B87" s="18" t="s">
        <v>1074</v>
      </c>
      <c r="C87" s="18" t="s">
        <v>1075</v>
      </c>
      <c r="D87" s="27">
        <v>140</v>
      </c>
      <c r="E87" s="19"/>
      <c r="F87" s="21"/>
      <c r="G87" s="18"/>
      <c r="H87" s="18" t="s">
        <v>1076</v>
      </c>
    </row>
    <row r="88" spans="1:8">
      <c r="A88" s="22">
        <v>46066</v>
      </c>
      <c r="B88" s="23" t="s">
        <v>1077</v>
      </c>
      <c r="C88" s="23" t="s">
        <v>1078</v>
      </c>
      <c r="D88" s="24">
        <v>140</v>
      </c>
      <c r="E88" s="25"/>
      <c r="F88" s="26"/>
      <c r="G88" s="23"/>
      <c r="H88" s="23" t="s">
        <v>1079</v>
      </c>
    </row>
    <row r="89" spans="1:8">
      <c r="A89" s="17">
        <v>46066</v>
      </c>
      <c r="B89" s="18" t="s">
        <v>1080</v>
      </c>
      <c r="C89" s="18" t="s">
        <v>1081</v>
      </c>
      <c r="D89" s="27">
        <v>140</v>
      </c>
      <c r="E89" s="19"/>
      <c r="F89" s="21"/>
      <c r="G89" s="18"/>
      <c r="H89" s="18" t="s">
        <v>1082</v>
      </c>
    </row>
    <row r="90" spans="1:8">
      <c r="A90" s="22">
        <v>46066</v>
      </c>
      <c r="B90" s="23" t="s">
        <v>776</v>
      </c>
      <c r="C90" s="23" t="s">
        <v>716</v>
      </c>
      <c r="D90" s="25"/>
      <c r="E90" s="28">
        <v>781.4</v>
      </c>
      <c r="F90" s="26" t="s">
        <v>99</v>
      </c>
      <c r="G90" s="23"/>
    </row>
    <row r="91" spans="1:8">
      <c r="A91" s="17">
        <v>46066</v>
      </c>
      <c r="B91" s="18" t="s">
        <v>1083</v>
      </c>
      <c r="C91" s="18" t="s">
        <v>716</v>
      </c>
      <c r="D91" s="19"/>
      <c r="E91" s="20">
        <v>810.99</v>
      </c>
      <c r="F91" s="21" t="s">
        <v>99</v>
      </c>
      <c r="G91" s="18"/>
    </row>
    <row r="92" spans="1:8">
      <c r="A92" s="22">
        <v>46066</v>
      </c>
      <c r="B92" s="23" t="s">
        <v>793</v>
      </c>
      <c r="C92" s="23" t="s">
        <v>716</v>
      </c>
      <c r="D92" s="25"/>
      <c r="E92" s="28">
        <v>841.06</v>
      </c>
      <c r="F92" s="26" t="s">
        <v>99</v>
      </c>
      <c r="G92" s="23"/>
    </row>
    <row r="93" spans="1:8">
      <c r="A93" s="17">
        <v>46066</v>
      </c>
      <c r="B93" s="18" t="s">
        <v>1084</v>
      </c>
      <c r="C93" s="18" t="s">
        <v>829</v>
      </c>
      <c r="D93" s="19"/>
      <c r="E93" s="20">
        <v>477.32</v>
      </c>
      <c r="F93" s="21" t="s">
        <v>104</v>
      </c>
      <c r="G93" s="18"/>
    </row>
    <row r="94" spans="1:8">
      <c r="A94" s="22">
        <v>46066</v>
      </c>
      <c r="B94" s="23" t="s">
        <v>1085</v>
      </c>
      <c r="C94" s="23" t="s">
        <v>716</v>
      </c>
      <c r="D94" s="25"/>
      <c r="E94" s="28">
        <v>865.5</v>
      </c>
      <c r="F94" s="26" t="s">
        <v>99</v>
      </c>
      <c r="G94" s="23"/>
    </row>
    <row r="95" spans="1:8">
      <c r="A95" s="17">
        <v>46066</v>
      </c>
      <c r="B95" s="18" t="s">
        <v>1086</v>
      </c>
      <c r="C95" s="18" t="s">
        <v>1087</v>
      </c>
      <c r="D95" s="27">
        <v>540</v>
      </c>
      <c r="E95" s="19"/>
      <c r="F95" s="21"/>
      <c r="G95" s="18"/>
      <c r="H95" s="18" t="s">
        <v>1088</v>
      </c>
    </row>
    <row r="96" spans="1:8">
      <c r="A96" s="22">
        <v>46067</v>
      </c>
      <c r="B96" s="23" t="s">
        <v>1089</v>
      </c>
      <c r="C96" s="23" t="s">
        <v>1090</v>
      </c>
      <c r="D96" s="24">
        <v>140</v>
      </c>
      <c r="E96" s="25"/>
      <c r="F96" s="26"/>
      <c r="G96" s="23"/>
      <c r="H96" s="23" t="s">
        <v>1091</v>
      </c>
    </row>
    <row r="97" spans="1:8">
      <c r="A97" s="17">
        <v>46067</v>
      </c>
      <c r="B97" s="18" t="s">
        <v>1092</v>
      </c>
      <c r="C97" s="18" t="s">
        <v>726</v>
      </c>
      <c r="D97" s="27">
        <v>175</v>
      </c>
      <c r="E97" s="19"/>
      <c r="F97" s="21"/>
      <c r="G97" s="18"/>
    </row>
    <row r="98" spans="1:8">
      <c r="A98" s="22">
        <v>46067</v>
      </c>
      <c r="B98" s="23" t="s">
        <v>1093</v>
      </c>
      <c r="C98" s="23" t="s">
        <v>726</v>
      </c>
      <c r="D98" s="24">
        <v>150</v>
      </c>
      <c r="E98" s="25"/>
      <c r="F98" s="26"/>
      <c r="G98" s="23"/>
    </row>
    <row r="99" spans="1:8">
      <c r="A99" s="17">
        <v>46067</v>
      </c>
      <c r="B99" s="18" t="s">
        <v>1094</v>
      </c>
      <c r="C99" s="18" t="s">
        <v>735</v>
      </c>
      <c r="D99" s="27">
        <v>37</v>
      </c>
      <c r="E99" s="19"/>
      <c r="F99" s="21"/>
      <c r="G99" s="18"/>
    </row>
    <row r="100" spans="1:8">
      <c r="A100" s="22">
        <v>46067</v>
      </c>
      <c r="B100" s="23" t="s">
        <v>1095</v>
      </c>
      <c r="C100" s="23" t="s">
        <v>1096</v>
      </c>
      <c r="D100" s="24">
        <v>180</v>
      </c>
      <c r="E100" s="25"/>
      <c r="F100" s="26"/>
      <c r="G100" s="23"/>
    </row>
    <row r="101" spans="1:8">
      <c r="A101" s="17">
        <v>46071</v>
      </c>
      <c r="B101" s="18" t="s">
        <v>1097</v>
      </c>
      <c r="C101" s="18" t="s">
        <v>1098</v>
      </c>
      <c r="D101" s="27">
        <v>140</v>
      </c>
      <c r="E101" s="19"/>
      <c r="F101" s="21"/>
      <c r="G101" s="18"/>
      <c r="H101" s="18" t="s">
        <v>1099</v>
      </c>
    </row>
    <row r="102" spans="1:8">
      <c r="A102" s="22">
        <v>46071</v>
      </c>
      <c r="B102" s="23" t="s">
        <v>1100</v>
      </c>
      <c r="C102" s="23" t="s">
        <v>726</v>
      </c>
      <c r="D102" s="24">
        <v>130</v>
      </c>
      <c r="E102" s="25"/>
      <c r="F102" s="26"/>
      <c r="G102" s="23"/>
    </row>
    <row r="103" spans="1:8">
      <c r="A103" s="17">
        <v>46071</v>
      </c>
      <c r="B103" s="18" t="s">
        <v>1101</v>
      </c>
      <c r="C103" s="18" t="s">
        <v>735</v>
      </c>
      <c r="D103" s="27">
        <v>140</v>
      </c>
      <c r="E103" s="19"/>
      <c r="F103" s="21"/>
      <c r="G103" s="18"/>
    </row>
    <row r="104" spans="1:8">
      <c r="A104" s="22">
        <v>46071</v>
      </c>
      <c r="B104" s="23" t="s">
        <v>1102</v>
      </c>
      <c r="C104" s="23" t="s">
        <v>1103</v>
      </c>
      <c r="D104" s="24">
        <v>140</v>
      </c>
      <c r="E104" s="25"/>
      <c r="F104" s="26"/>
      <c r="G104" s="23"/>
    </row>
    <row r="105" spans="1:8">
      <c r="A105" s="17">
        <v>46071</v>
      </c>
      <c r="B105" s="18" t="s">
        <v>1104</v>
      </c>
      <c r="C105" s="18" t="s">
        <v>735</v>
      </c>
      <c r="D105" s="27">
        <v>40</v>
      </c>
      <c r="E105" s="19"/>
      <c r="F105" s="21"/>
      <c r="G105" s="18"/>
    </row>
    <row r="106" spans="1:8">
      <c r="A106" s="22">
        <v>46071</v>
      </c>
      <c r="B106" s="23" t="s">
        <v>1105</v>
      </c>
      <c r="C106" s="23" t="s">
        <v>1106</v>
      </c>
      <c r="D106" s="25"/>
      <c r="E106" s="28">
        <v>486.32</v>
      </c>
      <c r="F106" s="26" t="s">
        <v>107</v>
      </c>
      <c r="G106" s="23"/>
    </row>
    <row r="107" spans="1:8">
      <c r="A107" s="17">
        <v>46071</v>
      </c>
      <c r="B107" s="18" t="s">
        <v>839</v>
      </c>
      <c r="C107" s="18" t="s">
        <v>730</v>
      </c>
      <c r="D107" s="19"/>
      <c r="E107" s="20">
        <v>878.93</v>
      </c>
      <c r="F107" s="21" t="s">
        <v>99</v>
      </c>
      <c r="G107" s="18"/>
    </row>
    <row r="108" spans="1:8">
      <c r="A108" s="22">
        <v>46071</v>
      </c>
      <c r="B108" s="23" t="s">
        <v>1107</v>
      </c>
      <c r="C108" s="23" t="s">
        <v>718</v>
      </c>
      <c r="D108" s="25"/>
      <c r="E108" s="28">
        <v>508.43</v>
      </c>
      <c r="F108" s="26" t="s">
        <v>99</v>
      </c>
      <c r="G108" s="23"/>
    </row>
    <row r="109" spans="1:8">
      <c r="A109" s="17">
        <v>46071</v>
      </c>
      <c r="B109" s="18" t="s">
        <v>765</v>
      </c>
      <c r="C109" s="18" t="s">
        <v>718</v>
      </c>
      <c r="D109" s="19"/>
      <c r="E109" s="20">
        <v>426.73</v>
      </c>
      <c r="F109" s="21" t="s">
        <v>99</v>
      </c>
      <c r="G109" s="18"/>
    </row>
    <row r="110" spans="1:8">
      <c r="A110" s="22">
        <v>46071</v>
      </c>
      <c r="B110" s="23" t="s">
        <v>855</v>
      </c>
      <c r="C110" s="23" t="s">
        <v>716</v>
      </c>
      <c r="D110" s="25"/>
      <c r="E110" s="28">
        <v>800.65</v>
      </c>
      <c r="F110" s="26" t="s">
        <v>99</v>
      </c>
      <c r="G110" s="23"/>
    </row>
    <row r="111" spans="1:8">
      <c r="A111" s="17">
        <v>46072</v>
      </c>
      <c r="B111" s="18" t="s">
        <v>1108</v>
      </c>
      <c r="C111" s="18" t="s">
        <v>735</v>
      </c>
      <c r="D111" s="27">
        <v>90</v>
      </c>
      <c r="E111" s="19"/>
      <c r="F111" s="21"/>
      <c r="G111" s="18"/>
    </row>
    <row r="112" spans="1:8">
      <c r="A112" s="22">
        <v>46072</v>
      </c>
      <c r="B112" s="23" t="s">
        <v>1109</v>
      </c>
      <c r="C112" s="23" t="s">
        <v>1110</v>
      </c>
      <c r="D112" s="24">
        <v>140</v>
      </c>
      <c r="E112" s="25"/>
      <c r="F112" s="26"/>
      <c r="G112" s="23"/>
      <c r="H112" s="23" t="s">
        <v>1111</v>
      </c>
    </row>
    <row r="113" spans="1:8">
      <c r="A113" s="17">
        <v>46073</v>
      </c>
      <c r="B113" s="18" t="s">
        <v>1112</v>
      </c>
      <c r="C113" s="18" t="s">
        <v>735</v>
      </c>
      <c r="D113" s="27">
        <v>140</v>
      </c>
      <c r="E113" s="19"/>
      <c r="F113" s="21"/>
      <c r="G113" s="18"/>
    </row>
    <row r="114" spans="1:8">
      <c r="A114" s="22">
        <v>46073</v>
      </c>
      <c r="B114" s="23" t="s">
        <v>1113</v>
      </c>
      <c r="C114" s="23" t="s">
        <v>1114</v>
      </c>
      <c r="D114" s="24">
        <v>1448</v>
      </c>
      <c r="E114" s="25"/>
      <c r="F114" s="26"/>
      <c r="G114" s="23"/>
    </row>
    <row r="115" spans="1:8">
      <c r="A115" s="17">
        <v>46073</v>
      </c>
      <c r="B115" s="18" t="s">
        <v>1115</v>
      </c>
      <c r="C115" s="18" t="s">
        <v>735</v>
      </c>
      <c r="D115" s="27">
        <v>75</v>
      </c>
      <c r="E115" s="19"/>
      <c r="F115" s="21"/>
      <c r="G115" s="18"/>
    </row>
    <row r="116" spans="1:8">
      <c r="A116" s="22">
        <v>46073</v>
      </c>
      <c r="B116" s="23" t="s">
        <v>1116</v>
      </c>
      <c r="C116" s="23" t="s">
        <v>857</v>
      </c>
      <c r="D116" s="25"/>
      <c r="E116" s="28">
        <v>478.17</v>
      </c>
      <c r="F116" s="26" t="s">
        <v>102</v>
      </c>
      <c r="G116" s="23"/>
    </row>
    <row r="117" spans="1:8">
      <c r="A117" s="17">
        <v>46073</v>
      </c>
      <c r="B117" s="18" t="s">
        <v>1117</v>
      </c>
      <c r="C117" s="18" t="s">
        <v>857</v>
      </c>
      <c r="D117" s="19"/>
      <c r="E117" s="20">
        <v>309.77999999999997</v>
      </c>
      <c r="F117" s="21" t="s">
        <v>102</v>
      </c>
      <c r="G117" s="18"/>
    </row>
    <row r="118" spans="1:8">
      <c r="A118" s="22">
        <v>46073</v>
      </c>
      <c r="B118" s="23" t="s">
        <v>1118</v>
      </c>
      <c r="C118" s="23" t="s">
        <v>857</v>
      </c>
      <c r="D118" s="25"/>
      <c r="E118" s="28">
        <v>1219.79</v>
      </c>
      <c r="F118" s="26" t="s">
        <v>102</v>
      </c>
      <c r="G118" s="23"/>
    </row>
    <row r="119" spans="1:8">
      <c r="A119" s="17">
        <v>46076</v>
      </c>
      <c r="B119" s="18" t="s">
        <v>1119</v>
      </c>
      <c r="C119" s="18" t="s">
        <v>1120</v>
      </c>
      <c r="D119" s="27">
        <v>140</v>
      </c>
      <c r="E119" s="19"/>
      <c r="F119" s="21"/>
      <c r="G119" s="18"/>
      <c r="H119" s="18" t="s">
        <v>1121</v>
      </c>
    </row>
    <row r="120" spans="1:8">
      <c r="A120" s="22">
        <v>46076</v>
      </c>
      <c r="B120" s="23" t="s">
        <v>1122</v>
      </c>
      <c r="C120" s="23" t="s">
        <v>1123</v>
      </c>
      <c r="D120" s="24">
        <v>135</v>
      </c>
      <c r="E120" s="25"/>
      <c r="F120" s="26"/>
      <c r="G120" s="23"/>
      <c r="H120" s="23" t="s">
        <v>1124</v>
      </c>
    </row>
    <row r="121" spans="1:8">
      <c r="A121" s="17">
        <v>46076</v>
      </c>
      <c r="B121" s="18" t="s">
        <v>1125</v>
      </c>
      <c r="C121" s="18" t="s">
        <v>1126</v>
      </c>
      <c r="D121" s="27">
        <v>510</v>
      </c>
      <c r="E121" s="19"/>
      <c r="F121" s="21"/>
      <c r="G121" s="18"/>
      <c r="H121" s="18" t="s">
        <v>1127</v>
      </c>
    </row>
    <row r="122" spans="1:8">
      <c r="A122" s="22">
        <v>46076</v>
      </c>
      <c r="B122" s="23" t="s">
        <v>1128</v>
      </c>
      <c r="C122" s="23" t="s">
        <v>735</v>
      </c>
      <c r="D122" s="24">
        <v>140</v>
      </c>
      <c r="E122" s="25"/>
      <c r="F122" s="26"/>
      <c r="G122" s="23"/>
    </row>
    <row r="123" spans="1:8">
      <c r="A123" s="17">
        <v>46077</v>
      </c>
      <c r="B123" s="18" t="s">
        <v>1129</v>
      </c>
      <c r="C123" s="18" t="s">
        <v>1130</v>
      </c>
      <c r="D123" s="27">
        <v>140</v>
      </c>
      <c r="E123" s="19"/>
      <c r="F123" s="21"/>
      <c r="G123" s="18"/>
      <c r="H123" s="18" t="s">
        <v>1131</v>
      </c>
    </row>
    <row r="124" spans="1:8">
      <c r="A124" s="22">
        <v>46077</v>
      </c>
      <c r="B124" s="23" t="s">
        <v>1132</v>
      </c>
      <c r="C124" s="23" t="s">
        <v>1133</v>
      </c>
      <c r="D124" s="24">
        <v>140</v>
      </c>
      <c r="E124" s="25"/>
      <c r="F124" s="26"/>
      <c r="G124" s="23"/>
      <c r="H124" s="23" t="s">
        <v>1134</v>
      </c>
    </row>
    <row r="125" spans="1:8">
      <c r="A125" s="17">
        <v>46077</v>
      </c>
      <c r="B125" s="18" t="s">
        <v>1135</v>
      </c>
      <c r="C125" s="18" t="s">
        <v>1123</v>
      </c>
      <c r="D125" s="27">
        <v>1498</v>
      </c>
      <c r="E125" s="19"/>
      <c r="F125" s="21"/>
      <c r="G125" s="18"/>
      <c r="H125" s="18" t="s">
        <v>1124</v>
      </c>
    </row>
    <row r="126" spans="1:8">
      <c r="A126" s="22">
        <v>46077</v>
      </c>
      <c r="B126" s="23" t="s">
        <v>1136</v>
      </c>
      <c r="C126" s="23" t="s">
        <v>726</v>
      </c>
      <c r="D126" s="24">
        <v>24</v>
      </c>
      <c r="E126" s="25"/>
      <c r="F126" s="26"/>
      <c r="G126" s="23"/>
    </row>
    <row r="127" spans="1:8">
      <c r="A127" s="17">
        <v>46078</v>
      </c>
      <c r="B127" s="18" t="s">
        <v>1137</v>
      </c>
      <c r="C127" s="18" t="s">
        <v>1138</v>
      </c>
      <c r="D127" s="27">
        <v>140</v>
      </c>
      <c r="E127" s="19"/>
      <c r="F127" s="21"/>
      <c r="G127" s="18"/>
    </row>
    <row r="128" spans="1:8">
      <c r="A128" s="22">
        <v>46078</v>
      </c>
      <c r="B128" s="23" t="s">
        <v>1139</v>
      </c>
      <c r="C128" s="23" t="s">
        <v>1140</v>
      </c>
      <c r="D128" s="24">
        <v>140</v>
      </c>
      <c r="E128" s="25"/>
      <c r="F128" s="26"/>
      <c r="G128" s="23"/>
      <c r="H128" s="23" t="s">
        <v>1141</v>
      </c>
    </row>
    <row r="129" spans="1:8">
      <c r="A129" s="17">
        <v>46079</v>
      </c>
      <c r="B129" s="18" t="s">
        <v>1142</v>
      </c>
      <c r="C129" s="18" t="s">
        <v>735</v>
      </c>
      <c r="D129" s="27">
        <v>140</v>
      </c>
      <c r="E129" s="19"/>
      <c r="F129" s="21"/>
      <c r="G129" s="18"/>
    </row>
    <row r="130" spans="1:8">
      <c r="A130" s="22">
        <v>46079</v>
      </c>
      <c r="B130" s="23" t="s">
        <v>1143</v>
      </c>
      <c r="C130" s="23" t="s">
        <v>1144</v>
      </c>
      <c r="D130" s="24">
        <v>130</v>
      </c>
      <c r="E130" s="25"/>
      <c r="F130" s="26"/>
      <c r="G130" s="23"/>
    </row>
    <row r="131" spans="1:8">
      <c r="A131" s="17">
        <v>46079</v>
      </c>
      <c r="B131" s="18" t="s">
        <v>1145</v>
      </c>
      <c r="C131" s="18" t="s">
        <v>735</v>
      </c>
      <c r="D131" s="27">
        <v>140</v>
      </c>
      <c r="E131" s="19"/>
      <c r="F131" s="21"/>
      <c r="G131" s="18"/>
    </row>
    <row r="132" spans="1:8">
      <c r="A132" s="22">
        <v>46080</v>
      </c>
      <c r="B132" s="23" t="s">
        <v>1146</v>
      </c>
      <c r="C132" s="23" t="s">
        <v>1147</v>
      </c>
      <c r="D132" s="24">
        <v>140</v>
      </c>
      <c r="E132" s="25"/>
      <c r="F132" s="26"/>
      <c r="G132" s="23"/>
      <c r="H132" s="23" t="s">
        <v>1148</v>
      </c>
    </row>
    <row r="133" spans="1:8">
      <c r="A133" s="17">
        <v>46080</v>
      </c>
      <c r="B133" s="18" t="s">
        <v>1149</v>
      </c>
      <c r="C133" s="18" t="s">
        <v>1150</v>
      </c>
      <c r="D133" s="27">
        <v>130</v>
      </c>
      <c r="E133" s="19"/>
      <c r="F133" s="21"/>
      <c r="G133" s="18"/>
      <c r="H133" s="18" t="s">
        <v>1151</v>
      </c>
    </row>
    <row r="134" spans="1:8">
      <c r="A134" s="22">
        <v>46080</v>
      </c>
      <c r="B134" s="23" t="s">
        <v>1152</v>
      </c>
      <c r="C134" s="23" t="s">
        <v>1153</v>
      </c>
      <c r="D134" s="24">
        <v>130</v>
      </c>
      <c r="E134" s="25"/>
      <c r="F134" s="26"/>
      <c r="G134" s="23"/>
      <c r="H134" s="23" t="s">
        <v>1154</v>
      </c>
    </row>
    <row r="135" spans="1:8">
      <c r="A135" s="17">
        <v>46080</v>
      </c>
      <c r="B135" s="18" t="s">
        <v>1155</v>
      </c>
      <c r="C135" s="18" t="s">
        <v>730</v>
      </c>
      <c r="D135" s="19"/>
      <c r="E135" s="20">
        <v>878.92</v>
      </c>
      <c r="F135" s="21" t="s">
        <v>99</v>
      </c>
      <c r="G135" s="18"/>
    </row>
    <row r="136" spans="1:8">
      <c r="A136" s="22">
        <v>46080</v>
      </c>
      <c r="B136" s="23" t="s">
        <v>1156</v>
      </c>
      <c r="C136" s="23" t="s">
        <v>716</v>
      </c>
      <c r="D136" s="25"/>
      <c r="E136" s="28">
        <v>546.78</v>
      </c>
      <c r="F136" s="26" t="s">
        <v>99</v>
      </c>
      <c r="G136" s="23"/>
    </row>
    <row r="137" spans="1:8">
      <c r="A137" s="17">
        <v>46080</v>
      </c>
      <c r="B137" s="18" t="s">
        <v>1157</v>
      </c>
      <c r="C137" s="18" t="s">
        <v>730</v>
      </c>
      <c r="D137" s="19"/>
      <c r="E137" s="20">
        <v>541.37</v>
      </c>
      <c r="F137" s="21" t="s">
        <v>99</v>
      </c>
      <c r="G137" s="18"/>
    </row>
    <row r="138" spans="1:8">
      <c r="A138" s="22">
        <v>46080</v>
      </c>
      <c r="B138" s="23" t="s">
        <v>894</v>
      </c>
      <c r="C138" s="23" t="s">
        <v>730</v>
      </c>
      <c r="D138" s="25"/>
      <c r="E138" s="28">
        <v>980.83</v>
      </c>
      <c r="F138" s="26" t="s">
        <v>99</v>
      </c>
      <c r="G138" s="23"/>
    </row>
    <row r="139" spans="1:8">
      <c r="A139" s="17">
        <v>46080</v>
      </c>
      <c r="B139" s="18" t="s">
        <v>1158</v>
      </c>
      <c r="C139" s="18" t="s">
        <v>857</v>
      </c>
      <c r="D139" s="19"/>
      <c r="E139" s="20">
        <v>1808.35</v>
      </c>
      <c r="F139" s="21" t="s">
        <v>102</v>
      </c>
      <c r="G139" s="18"/>
    </row>
    <row r="140" spans="1:8">
      <c r="A140" s="22">
        <v>46080</v>
      </c>
      <c r="B140" s="23" t="s">
        <v>1159</v>
      </c>
      <c r="C140" s="23" t="s">
        <v>716</v>
      </c>
      <c r="D140" s="25"/>
      <c r="E140" s="28">
        <v>1279.6600000000001</v>
      </c>
      <c r="F140" s="26" t="s">
        <v>99</v>
      </c>
      <c r="G140" s="23"/>
    </row>
    <row r="141" spans="1:8">
      <c r="A141" s="17">
        <v>46080</v>
      </c>
      <c r="B141" s="18" t="s">
        <v>1160</v>
      </c>
      <c r="C141" s="18" t="s">
        <v>1161</v>
      </c>
      <c r="D141" s="27">
        <v>360</v>
      </c>
      <c r="E141" s="19"/>
      <c r="F141" s="21"/>
      <c r="G141" s="18"/>
      <c r="H141" s="18" t="s">
        <v>1162</v>
      </c>
    </row>
    <row r="142" spans="1:8">
      <c r="A142" s="22">
        <v>46081</v>
      </c>
      <c r="B142" s="23" t="s">
        <v>1163</v>
      </c>
      <c r="C142" s="23" t="s">
        <v>735</v>
      </c>
      <c r="D142" s="24">
        <v>212</v>
      </c>
      <c r="E142" s="25"/>
      <c r="F142" s="26"/>
      <c r="G142" s="23"/>
    </row>
    <row r="143" spans="1:8">
      <c r="A143" s="17">
        <v>46081</v>
      </c>
      <c r="B143" s="18" t="s">
        <v>1164</v>
      </c>
      <c r="C143" s="18" t="s">
        <v>1165</v>
      </c>
      <c r="D143" s="27">
        <v>140</v>
      </c>
      <c r="E143" s="19"/>
      <c r="F143" s="21"/>
      <c r="G143" s="18"/>
    </row>
    <row r="144" spans="1:8">
      <c r="A144" s="22">
        <v>46081</v>
      </c>
      <c r="B144" s="23" t="s">
        <v>1166</v>
      </c>
      <c r="C144" s="23" t="s">
        <v>796</v>
      </c>
      <c r="D144" s="25"/>
      <c r="E144" s="28">
        <v>1571.32</v>
      </c>
      <c r="F144" s="26" t="s">
        <v>106</v>
      </c>
      <c r="G144" s="23"/>
    </row>
    <row r="145" spans="1:7">
      <c r="A145" s="17">
        <v>46081</v>
      </c>
      <c r="B145" s="18" t="s">
        <v>1167</v>
      </c>
      <c r="C145" s="18" t="s">
        <v>923</v>
      </c>
      <c r="D145" s="19"/>
      <c r="E145" s="20">
        <v>1517</v>
      </c>
      <c r="F145" s="21" t="s">
        <v>106</v>
      </c>
      <c r="G145" s="18"/>
    </row>
    <row r="146" spans="1:7">
      <c r="A146" s="29"/>
      <c r="B146" s="227" t="s">
        <v>925</v>
      </c>
      <c r="C146" s="160"/>
      <c r="D146" s="8">
        <f>SUM(D5:D145)</f>
        <v>24956.559999999998</v>
      </c>
      <c r="E146" s="8">
        <f>SUM(E5:E145)</f>
        <v>20859.419999999998</v>
      </c>
      <c r="F146" s="29"/>
      <c r="G146" s="29"/>
    </row>
    <row r="147" spans="1:7" ht="15.75" customHeight="1">
      <c r="A147" s="30"/>
      <c r="B147" s="226" t="s">
        <v>926</v>
      </c>
      <c r="C147" s="157"/>
      <c r="D147" s="225">
        <f>D146-J18</f>
        <v>4606.7999999999956</v>
      </c>
      <c r="E147" s="157"/>
      <c r="F147" s="30"/>
      <c r="G147" s="30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46C1"/>
  </sheetPr>
  <dimension ref="A1:Q123"/>
  <sheetViews>
    <sheetView showGridLines="0" zoomScale="85" zoomScaleNormal="85" workbookViewId="0">
      <pane ySplit="4" topLeftCell="A5" activePane="bottomLeft" state="frozen"/>
      <selection pane="bottomLeft" sqref="A1:G1"/>
    </sheetView>
  </sheetViews>
  <sheetFormatPr defaultColWidth="8.7109375" defaultRowHeight="15"/>
  <cols>
    <col min="1" max="1" width="12" style="147" customWidth="1"/>
    <col min="2" max="2" width="52" style="147" customWidth="1"/>
    <col min="3" max="3" width="32" style="147" customWidth="1"/>
    <col min="4" max="5" width="14" style="147" customWidth="1"/>
    <col min="6" max="6" width="26" style="147" customWidth="1"/>
    <col min="7" max="7" width="30" style="147" customWidth="1"/>
    <col min="8" max="8" width="11" style="147" customWidth="1"/>
    <col min="9" max="9" width="32" style="147" customWidth="1"/>
    <col min="10" max="10" width="14" style="147" customWidth="1"/>
    <col min="12" max="17" width="15" style="147" customWidth="1"/>
  </cols>
  <sheetData>
    <row r="1" spans="1:17" ht="25.5" customHeight="1">
      <c r="A1" s="223" t="s">
        <v>1168</v>
      </c>
      <c r="B1" s="157"/>
      <c r="C1" s="157"/>
      <c r="D1" s="157"/>
      <c r="E1" s="157"/>
      <c r="F1" s="157"/>
      <c r="G1" s="157"/>
    </row>
    <row r="2" spans="1:17">
      <c r="A2" s="228" t="s">
        <v>697</v>
      </c>
      <c r="B2" s="157"/>
      <c r="C2" s="157"/>
      <c r="D2" s="157"/>
      <c r="E2" s="157"/>
      <c r="F2" s="157"/>
      <c r="G2" s="157"/>
    </row>
    <row r="3" spans="1:17">
      <c r="A3" s="127" t="s">
        <v>64</v>
      </c>
    </row>
    <row r="4" spans="1:17" ht="20.100000000000001" customHeight="1">
      <c r="A4" s="1" t="s">
        <v>445</v>
      </c>
      <c r="B4" s="1" t="s">
        <v>698</v>
      </c>
      <c r="C4" s="1" t="s">
        <v>699</v>
      </c>
      <c r="D4" s="1" t="s">
        <v>700</v>
      </c>
      <c r="E4" s="1" t="s">
        <v>701</v>
      </c>
      <c r="F4" s="1" t="s">
        <v>702</v>
      </c>
      <c r="G4" s="1" t="s">
        <v>189</v>
      </c>
      <c r="H4" s="1" t="s">
        <v>703</v>
      </c>
      <c r="I4" s="222" t="s">
        <v>704</v>
      </c>
      <c r="J4" s="157"/>
      <c r="L4" s="224" t="s">
        <v>532</v>
      </c>
      <c r="M4" s="157"/>
      <c r="N4" s="232" t="s">
        <v>705</v>
      </c>
      <c r="O4" s="157"/>
      <c r="P4" s="221" t="s">
        <v>706</v>
      </c>
      <c r="Q4" s="157"/>
    </row>
    <row r="5" spans="1:17" ht="14.1" customHeight="1">
      <c r="A5" s="17">
        <v>46082</v>
      </c>
      <c r="B5" s="18" t="s">
        <v>1169</v>
      </c>
      <c r="C5" s="18" t="s">
        <v>708</v>
      </c>
      <c r="D5" s="19"/>
      <c r="E5" s="20">
        <v>870</v>
      </c>
      <c r="F5" s="21" t="s">
        <v>100</v>
      </c>
      <c r="G5" s="18"/>
      <c r="I5" s="10" t="s">
        <v>99</v>
      </c>
      <c r="J5" s="11">
        <f>SUMIF(F5:F121,I5,E5:E121)</f>
        <v>12448.11</v>
      </c>
      <c r="L5" s="229">
        <f>D122</f>
        <v>27360</v>
      </c>
      <c r="M5" s="157"/>
      <c r="N5" s="231">
        <f>J18</f>
        <v>21729.300000000003</v>
      </c>
      <c r="O5" s="157"/>
      <c r="P5" s="230">
        <f>D123</f>
        <v>5630.6999999999971</v>
      </c>
      <c r="Q5" s="157"/>
    </row>
    <row r="6" spans="1:17" ht="14.1" customHeight="1">
      <c r="A6" s="22">
        <v>46083</v>
      </c>
      <c r="B6" s="23" t="s">
        <v>1170</v>
      </c>
      <c r="C6" s="23" t="s">
        <v>726</v>
      </c>
      <c r="D6" s="24">
        <v>10</v>
      </c>
      <c r="E6" s="25"/>
      <c r="F6" s="26"/>
      <c r="G6" s="23"/>
      <c r="I6" s="13" t="s">
        <v>100</v>
      </c>
      <c r="J6" s="14">
        <f>SUMIF(F5:F121,I6,E5:E121)</f>
        <v>870</v>
      </c>
      <c r="L6" s="157"/>
      <c r="M6" s="157"/>
      <c r="N6" s="157"/>
      <c r="O6" s="157"/>
      <c r="P6" s="157"/>
      <c r="Q6" s="157"/>
    </row>
    <row r="7" spans="1:17">
      <c r="A7" s="17">
        <v>46083</v>
      </c>
      <c r="B7" s="18" t="s">
        <v>1171</v>
      </c>
      <c r="C7" s="18" t="s">
        <v>726</v>
      </c>
      <c r="D7" s="27">
        <v>7</v>
      </c>
      <c r="E7" s="19"/>
      <c r="F7" s="21"/>
      <c r="G7" s="18"/>
      <c r="I7" s="10" t="s">
        <v>101</v>
      </c>
      <c r="J7" s="11">
        <f>SUMIF(F5:F121,I7,E5:E121)</f>
        <v>139.91999999999999</v>
      </c>
    </row>
    <row r="8" spans="1:17">
      <c r="A8" s="22">
        <v>46084</v>
      </c>
      <c r="B8" s="23" t="s">
        <v>1172</v>
      </c>
      <c r="C8" s="23" t="s">
        <v>1173</v>
      </c>
      <c r="D8" s="24">
        <v>140</v>
      </c>
      <c r="E8" s="25"/>
      <c r="F8" s="26"/>
      <c r="G8" s="23"/>
      <c r="H8" s="23" t="s">
        <v>1174</v>
      </c>
      <c r="I8" s="13" t="s">
        <v>102</v>
      </c>
      <c r="J8" s="14">
        <f>SUMIF(F5:F121,I8,E5:E121)</f>
        <v>4045.07</v>
      </c>
    </row>
    <row r="9" spans="1:17">
      <c r="A9" s="17">
        <v>46085</v>
      </c>
      <c r="B9" s="18" t="s">
        <v>1175</v>
      </c>
      <c r="C9" s="18" t="s">
        <v>1176</v>
      </c>
      <c r="D9" s="27">
        <v>1200</v>
      </c>
      <c r="E9" s="19"/>
      <c r="F9" s="21"/>
      <c r="G9" s="18"/>
      <c r="H9" s="18" t="s">
        <v>1177</v>
      </c>
      <c r="I9" s="10" t="s">
        <v>103</v>
      </c>
      <c r="J9" s="11">
        <f>SUMIF(F5:F121,I9,E5:E121)</f>
        <v>0</v>
      </c>
    </row>
    <row r="10" spans="1:17">
      <c r="A10" s="22">
        <v>46085</v>
      </c>
      <c r="B10" s="23" t="s">
        <v>1178</v>
      </c>
      <c r="C10" s="23" t="s">
        <v>726</v>
      </c>
      <c r="D10" s="24">
        <v>50</v>
      </c>
      <c r="E10" s="25"/>
      <c r="F10" s="26"/>
      <c r="G10" s="23"/>
      <c r="I10" s="13" t="s">
        <v>104</v>
      </c>
      <c r="J10" s="14">
        <f>SUMIF(F5:F121,I10,E5:E121)</f>
        <v>1160.8600000000001</v>
      </c>
    </row>
    <row r="11" spans="1:17">
      <c r="A11" s="17">
        <v>46085</v>
      </c>
      <c r="B11" s="18" t="s">
        <v>1179</v>
      </c>
      <c r="C11" s="18" t="s">
        <v>728</v>
      </c>
      <c r="D11" s="27">
        <v>60</v>
      </c>
      <c r="E11" s="19"/>
      <c r="F11" s="21"/>
      <c r="G11" s="18"/>
      <c r="I11" s="10" t="s">
        <v>106</v>
      </c>
      <c r="J11" s="11">
        <f>SUMIF(F5:F121,I11,E5:E121)</f>
        <v>2379.02</v>
      </c>
    </row>
    <row r="12" spans="1:17">
      <c r="A12" s="22">
        <v>46085</v>
      </c>
      <c r="B12" s="23" t="s">
        <v>1180</v>
      </c>
      <c r="C12" s="23" t="s">
        <v>1181</v>
      </c>
      <c r="D12" s="24">
        <v>140</v>
      </c>
      <c r="E12" s="25"/>
      <c r="F12" s="26"/>
      <c r="G12" s="23"/>
      <c r="H12" s="23" t="s">
        <v>1182</v>
      </c>
      <c r="I12" s="13" t="s">
        <v>107</v>
      </c>
      <c r="J12" s="14">
        <f>SUMIF(F5:F121,I12,E5:E121)</f>
        <v>486.32</v>
      </c>
    </row>
    <row r="13" spans="1:17">
      <c r="A13" s="17">
        <v>46085</v>
      </c>
      <c r="B13" s="18" t="s">
        <v>1183</v>
      </c>
      <c r="C13" s="18" t="s">
        <v>875</v>
      </c>
      <c r="D13" s="19"/>
      <c r="E13" s="20">
        <v>200</v>
      </c>
      <c r="F13" s="21" t="s">
        <v>111</v>
      </c>
      <c r="G13" s="18"/>
      <c r="I13" s="10" t="s">
        <v>108</v>
      </c>
      <c r="J13" s="11">
        <f>SUMIF(F5:F121,I13,E5:E121)</f>
        <v>0</v>
      </c>
    </row>
    <row r="14" spans="1:17">
      <c r="A14" s="22">
        <v>46085</v>
      </c>
      <c r="B14" s="23" t="s">
        <v>1184</v>
      </c>
      <c r="C14" s="23" t="s">
        <v>875</v>
      </c>
      <c r="D14" s="24">
        <v>200</v>
      </c>
      <c r="E14" s="25"/>
      <c r="F14" s="26"/>
      <c r="G14" s="23"/>
      <c r="H14" s="23" t="s">
        <v>876</v>
      </c>
      <c r="I14" s="13" t="s">
        <v>109</v>
      </c>
      <c r="J14" s="14">
        <f>SUMIF(F5:F121,I14,E5:E121)</f>
        <v>0</v>
      </c>
    </row>
    <row r="15" spans="1:17">
      <c r="A15" s="17">
        <v>46085</v>
      </c>
      <c r="B15" s="18" t="s">
        <v>1185</v>
      </c>
      <c r="C15" s="18" t="s">
        <v>1186</v>
      </c>
      <c r="D15" s="27">
        <v>120</v>
      </c>
      <c r="E15" s="19"/>
      <c r="F15" s="21"/>
      <c r="G15" s="18"/>
      <c r="H15" s="18" t="s">
        <v>1187</v>
      </c>
      <c r="I15" s="10" t="s">
        <v>110</v>
      </c>
      <c r="J15" s="11">
        <f>SUMIF(F5:F121,I15,E5:E121)</f>
        <v>0</v>
      </c>
    </row>
    <row r="16" spans="1:17">
      <c r="A16" s="22">
        <v>46086</v>
      </c>
      <c r="B16" s="23" t="s">
        <v>1188</v>
      </c>
      <c r="C16" s="23" t="s">
        <v>735</v>
      </c>
      <c r="D16" s="24">
        <v>140</v>
      </c>
      <c r="E16" s="25"/>
      <c r="F16" s="26"/>
      <c r="G16" s="23"/>
      <c r="I16" s="13" t="s">
        <v>111</v>
      </c>
      <c r="J16" s="14">
        <f>SUMIF(F5:F121,I16,E5:E121)</f>
        <v>200</v>
      </c>
    </row>
    <row r="17" spans="1:10">
      <c r="A17" s="17">
        <v>46087</v>
      </c>
      <c r="B17" s="18" t="s">
        <v>1189</v>
      </c>
      <c r="C17" s="18" t="s">
        <v>1190</v>
      </c>
      <c r="D17" s="27">
        <v>478</v>
      </c>
      <c r="E17" s="19"/>
      <c r="F17" s="21"/>
      <c r="G17" s="18"/>
      <c r="H17" s="18" t="s">
        <v>1191</v>
      </c>
      <c r="I17" s="42" t="s">
        <v>112</v>
      </c>
      <c r="J17" s="8">
        <f>SUMIF(F5:F121,I17,E5:E121)</f>
        <v>0</v>
      </c>
    </row>
    <row r="18" spans="1:10">
      <c r="A18" s="22">
        <v>46088</v>
      </c>
      <c r="B18" s="23" t="s">
        <v>1192</v>
      </c>
      <c r="C18" s="23" t="s">
        <v>1193</v>
      </c>
      <c r="D18" s="24">
        <v>1348</v>
      </c>
      <c r="E18" s="25"/>
      <c r="F18" s="26"/>
      <c r="G18" s="23"/>
      <c r="H18" s="23" t="s">
        <v>1194</v>
      </c>
      <c r="I18" t="s">
        <v>113</v>
      </c>
      <c r="J18">
        <f>SUM(J5:J16)</f>
        <v>21729.300000000003</v>
      </c>
    </row>
    <row r="19" spans="1:10">
      <c r="A19" s="17">
        <v>46088</v>
      </c>
      <c r="B19" s="18" t="s">
        <v>1195</v>
      </c>
      <c r="C19" s="18" t="s">
        <v>1196</v>
      </c>
      <c r="D19" s="27">
        <v>70</v>
      </c>
      <c r="E19" s="19"/>
      <c r="F19" s="21"/>
      <c r="G19" s="18"/>
      <c r="H19" s="18" t="s">
        <v>1197</v>
      </c>
    </row>
    <row r="20" spans="1:10">
      <c r="A20" s="22">
        <v>46090</v>
      </c>
      <c r="B20" s="23" t="s">
        <v>1198</v>
      </c>
      <c r="C20" s="23" t="s">
        <v>1199</v>
      </c>
      <c r="D20" s="24">
        <v>140</v>
      </c>
      <c r="E20" s="25"/>
      <c r="F20" s="26"/>
      <c r="G20" s="23"/>
      <c r="H20" s="23" t="s">
        <v>1200</v>
      </c>
    </row>
    <row r="21" spans="1:10">
      <c r="A21" s="17">
        <v>46090</v>
      </c>
      <c r="B21" s="18" t="s">
        <v>1201</v>
      </c>
      <c r="C21" s="18" t="s">
        <v>1202</v>
      </c>
      <c r="D21" s="27">
        <v>140</v>
      </c>
      <c r="E21" s="19"/>
      <c r="F21" s="21"/>
      <c r="G21" s="18"/>
      <c r="H21" s="18" t="s">
        <v>1203</v>
      </c>
    </row>
    <row r="22" spans="1:10">
      <c r="A22" s="22">
        <v>46090</v>
      </c>
      <c r="B22" s="23" t="s">
        <v>1204</v>
      </c>
      <c r="C22" s="23" t="s">
        <v>1205</v>
      </c>
      <c r="D22" s="24">
        <v>140</v>
      </c>
      <c r="E22" s="25"/>
      <c r="F22" s="26"/>
      <c r="G22" s="23"/>
      <c r="H22" s="23" t="s">
        <v>1206</v>
      </c>
    </row>
    <row r="23" spans="1:10">
      <c r="A23" s="17">
        <v>46090</v>
      </c>
      <c r="B23" s="18" t="s">
        <v>1207</v>
      </c>
      <c r="C23" s="18" t="s">
        <v>726</v>
      </c>
      <c r="D23" s="27">
        <v>80</v>
      </c>
      <c r="E23" s="19"/>
      <c r="F23" s="21"/>
      <c r="G23" s="18"/>
    </row>
    <row r="24" spans="1:10">
      <c r="A24" s="22">
        <v>46090</v>
      </c>
      <c r="B24" s="23" t="s">
        <v>1208</v>
      </c>
      <c r="C24" s="23" t="s">
        <v>735</v>
      </c>
      <c r="D24" s="24">
        <v>200</v>
      </c>
      <c r="E24" s="25"/>
      <c r="F24" s="26"/>
      <c r="G24" s="23"/>
    </row>
    <row r="25" spans="1:10">
      <c r="A25" s="17">
        <v>46090</v>
      </c>
      <c r="B25" s="18" t="s">
        <v>1209</v>
      </c>
      <c r="C25" s="18" t="s">
        <v>726</v>
      </c>
      <c r="D25" s="27">
        <v>18</v>
      </c>
      <c r="E25" s="19"/>
      <c r="F25" s="21"/>
      <c r="G25" s="18"/>
    </row>
    <row r="26" spans="1:10">
      <c r="A26" s="22">
        <v>46090</v>
      </c>
      <c r="B26" s="23" t="s">
        <v>1210</v>
      </c>
      <c r="C26" s="23" t="s">
        <v>1211</v>
      </c>
      <c r="D26" s="24">
        <v>140</v>
      </c>
      <c r="E26" s="25"/>
      <c r="F26" s="26"/>
      <c r="G26" s="23"/>
      <c r="H26" s="23" t="s">
        <v>1212</v>
      </c>
    </row>
    <row r="27" spans="1:10">
      <c r="A27" s="17">
        <v>46090</v>
      </c>
      <c r="B27" s="18" t="s">
        <v>1213</v>
      </c>
      <c r="C27" s="18" t="s">
        <v>1161</v>
      </c>
      <c r="D27" s="27">
        <v>180</v>
      </c>
      <c r="E27" s="19"/>
      <c r="F27" s="21"/>
      <c r="G27" s="18"/>
      <c r="H27" s="18" t="s">
        <v>1162</v>
      </c>
    </row>
    <row r="28" spans="1:10">
      <c r="A28" s="22">
        <v>46091</v>
      </c>
      <c r="B28" s="23" t="s">
        <v>1214</v>
      </c>
      <c r="C28" s="23" t="s">
        <v>735</v>
      </c>
      <c r="D28" s="24">
        <v>140</v>
      </c>
      <c r="E28" s="25"/>
      <c r="F28" s="26"/>
      <c r="G28" s="23"/>
    </row>
    <row r="29" spans="1:10">
      <c r="A29" s="17">
        <v>46091</v>
      </c>
      <c r="B29" s="18" t="s">
        <v>1215</v>
      </c>
      <c r="C29" s="18" t="s">
        <v>735</v>
      </c>
      <c r="D29" s="27">
        <v>140</v>
      </c>
      <c r="E29" s="19"/>
      <c r="F29" s="21"/>
      <c r="G29" s="18"/>
    </row>
    <row r="30" spans="1:10">
      <c r="A30" s="22">
        <v>46091</v>
      </c>
      <c r="B30" s="23" t="s">
        <v>1216</v>
      </c>
      <c r="C30" s="23" t="s">
        <v>1217</v>
      </c>
      <c r="D30" s="24">
        <v>140</v>
      </c>
      <c r="E30" s="25"/>
      <c r="F30" s="26"/>
      <c r="G30" s="23"/>
      <c r="H30" s="23" t="s">
        <v>1218</v>
      </c>
    </row>
    <row r="31" spans="1:10">
      <c r="A31" s="17">
        <v>46091</v>
      </c>
      <c r="B31" s="18" t="s">
        <v>1219</v>
      </c>
      <c r="C31" s="18" t="s">
        <v>1220</v>
      </c>
      <c r="D31" s="27">
        <v>380</v>
      </c>
      <c r="E31" s="19"/>
      <c r="F31" s="21"/>
      <c r="G31" s="18"/>
      <c r="H31" s="18" t="s">
        <v>1221</v>
      </c>
    </row>
    <row r="32" spans="1:10">
      <c r="A32" s="22">
        <v>46092</v>
      </c>
      <c r="B32" s="23" t="s">
        <v>1222</v>
      </c>
      <c r="C32" s="23" t="s">
        <v>1223</v>
      </c>
      <c r="D32" s="24">
        <v>280</v>
      </c>
      <c r="E32" s="25"/>
      <c r="F32" s="26"/>
      <c r="G32" s="23"/>
      <c r="H32" s="23" t="s">
        <v>1224</v>
      </c>
    </row>
    <row r="33" spans="1:8">
      <c r="A33" s="17">
        <v>46092</v>
      </c>
      <c r="B33" s="18" t="s">
        <v>1225</v>
      </c>
      <c r="C33" s="18" t="s">
        <v>1226</v>
      </c>
      <c r="D33" s="27">
        <v>140</v>
      </c>
      <c r="E33" s="19"/>
      <c r="F33" s="21"/>
      <c r="G33" s="18"/>
      <c r="H33" s="18" t="s">
        <v>1227</v>
      </c>
    </row>
    <row r="34" spans="1:8">
      <c r="A34" s="22">
        <v>46093</v>
      </c>
      <c r="B34" s="23" t="s">
        <v>1228</v>
      </c>
      <c r="C34" s="23" t="s">
        <v>726</v>
      </c>
      <c r="D34" s="24">
        <v>60</v>
      </c>
      <c r="E34" s="25"/>
      <c r="F34" s="26"/>
      <c r="G34" s="23"/>
    </row>
    <row r="35" spans="1:8">
      <c r="A35" s="17">
        <v>46093</v>
      </c>
      <c r="B35" s="18" t="s">
        <v>1229</v>
      </c>
      <c r="C35" s="18" t="s">
        <v>735</v>
      </c>
      <c r="D35" s="27">
        <v>85</v>
      </c>
      <c r="E35" s="19"/>
      <c r="F35" s="21"/>
      <c r="G35" s="18"/>
    </row>
    <row r="36" spans="1:8">
      <c r="A36" s="22">
        <v>46093</v>
      </c>
      <c r="B36" s="23" t="s">
        <v>1230</v>
      </c>
      <c r="C36" s="23" t="s">
        <v>735</v>
      </c>
      <c r="D36" s="24">
        <v>24</v>
      </c>
      <c r="E36" s="25"/>
      <c r="F36" s="26"/>
      <c r="G36" s="23"/>
    </row>
    <row r="37" spans="1:8">
      <c r="A37" s="17">
        <v>46093</v>
      </c>
      <c r="B37" s="18" t="s">
        <v>1231</v>
      </c>
      <c r="C37" s="18" t="s">
        <v>735</v>
      </c>
      <c r="D37" s="27">
        <v>90</v>
      </c>
      <c r="E37" s="19"/>
      <c r="F37" s="21"/>
      <c r="G37" s="18"/>
    </row>
    <row r="38" spans="1:8">
      <c r="A38" s="22">
        <v>46093</v>
      </c>
      <c r="B38" s="23" t="s">
        <v>776</v>
      </c>
      <c r="C38" s="23" t="s">
        <v>716</v>
      </c>
      <c r="D38" s="25"/>
      <c r="E38" s="28">
        <v>781.39</v>
      </c>
      <c r="F38" s="26" t="s">
        <v>99</v>
      </c>
      <c r="G38" s="23"/>
    </row>
    <row r="39" spans="1:8">
      <c r="A39" s="17">
        <v>46093</v>
      </c>
      <c r="B39" s="18" t="s">
        <v>1083</v>
      </c>
      <c r="C39" s="18" t="s">
        <v>716</v>
      </c>
      <c r="D39" s="19"/>
      <c r="E39" s="20">
        <v>810.99</v>
      </c>
      <c r="F39" s="21" t="s">
        <v>99</v>
      </c>
      <c r="G39" s="18"/>
    </row>
    <row r="40" spans="1:8">
      <c r="A40" s="22">
        <v>46093</v>
      </c>
      <c r="B40" s="23" t="s">
        <v>793</v>
      </c>
      <c r="C40" s="23" t="s">
        <v>716</v>
      </c>
      <c r="D40" s="25"/>
      <c r="E40" s="28">
        <v>841.06</v>
      </c>
      <c r="F40" s="26" t="s">
        <v>99</v>
      </c>
      <c r="G40" s="23"/>
    </row>
    <row r="41" spans="1:8">
      <c r="A41" s="17">
        <v>46093</v>
      </c>
      <c r="B41" s="18" t="s">
        <v>1232</v>
      </c>
      <c r="C41" s="18" t="s">
        <v>829</v>
      </c>
      <c r="D41" s="19"/>
      <c r="E41" s="20">
        <v>708.72</v>
      </c>
      <c r="F41" s="21" t="s">
        <v>104</v>
      </c>
      <c r="G41" s="18"/>
    </row>
    <row r="42" spans="1:8">
      <c r="A42" s="22">
        <v>46093</v>
      </c>
      <c r="B42" s="23" t="s">
        <v>1233</v>
      </c>
      <c r="C42" s="23" t="s">
        <v>1234</v>
      </c>
      <c r="D42" s="25"/>
      <c r="E42" s="28">
        <v>1391.96</v>
      </c>
      <c r="F42" s="26" t="s">
        <v>99</v>
      </c>
      <c r="G42" s="23"/>
    </row>
    <row r="43" spans="1:8">
      <c r="A43" s="17">
        <v>46093</v>
      </c>
      <c r="B43" s="18" t="s">
        <v>1235</v>
      </c>
      <c r="C43" s="18" t="s">
        <v>767</v>
      </c>
      <c r="D43" s="19"/>
      <c r="E43" s="20">
        <v>139.91999999999999</v>
      </c>
      <c r="F43" s="21" t="s">
        <v>101</v>
      </c>
      <c r="G43" s="18"/>
    </row>
    <row r="44" spans="1:8">
      <c r="A44" s="22">
        <v>46094</v>
      </c>
      <c r="B44" s="23" t="s">
        <v>1236</v>
      </c>
      <c r="C44" s="23" t="s">
        <v>735</v>
      </c>
      <c r="D44" s="24">
        <v>145</v>
      </c>
      <c r="E44" s="25"/>
      <c r="F44" s="26"/>
      <c r="G44" s="23"/>
    </row>
    <row r="45" spans="1:8">
      <c r="A45" s="17">
        <v>46094</v>
      </c>
      <c r="B45" s="18" t="s">
        <v>1237</v>
      </c>
      <c r="C45" s="18" t="s">
        <v>1238</v>
      </c>
      <c r="D45" s="27">
        <v>200</v>
      </c>
      <c r="E45" s="19"/>
      <c r="F45" s="21"/>
      <c r="G45" s="18"/>
      <c r="H45" s="18" t="s">
        <v>1239</v>
      </c>
    </row>
    <row r="46" spans="1:8">
      <c r="A46" s="22">
        <v>46095</v>
      </c>
      <c r="B46" s="23" t="s">
        <v>1240</v>
      </c>
      <c r="C46" s="23" t="s">
        <v>1241</v>
      </c>
      <c r="D46" s="24">
        <v>1398</v>
      </c>
      <c r="E46" s="25"/>
      <c r="F46" s="26"/>
      <c r="G46" s="23"/>
      <c r="H46" s="23" t="s">
        <v>1242</v>
      </c>
    </row>
    <row r="47" spans="1:8">
      <c r="A47" s="17">
        <v>46095</v>
      </c>
      <c r="B47" s="18" t="s">
        <v>1243</v>
      </c>
      <c r="C47" s="18" t="s">
        <v>720</v>
      </c>
      <c r="D47" s="27">
        <v>370</v>
      </c>
      <c r="E47" s="19"/>
      <c r="F47" s="21"/>
      <c r="G47" s="18"/>
      <c r="H47" s="18" t="s">
        <v>721</v>
      </c>
    </row>
    <row r="48" spans="1:8">
      <c r="A48" s="22">
        <v>46095</v>
      </c>
      <c r="B48" s="23" t="s">
        <v>1244</v>
      </c>
      <c r="C48" s="23" t="s">
        <v>720</v>
      </c>
      <c r="D48" s="24">
        <v>420</v>
      </c>
      <c r="E48" s="25"/>
      <c r="F48" s="26"/>
      <c r="G48" s="23"/>
      <c r="H48" s="23" t="s">
        <v>721</v>
      </c>
    </row>
    <row r="49" spans="1:8">
      <c r="A49" s="17">
        <v>46097</v>
      </c>
      <c r="B49" s="18" t="s">
        <v>1245</v>
      </c>
      <c r="C49" s="18" t="s">
        <v>1246</v>
      </c>
      <c r="D49" s="27">
        <v>2500</v>
      </c>
      <c r="E49" s="19"/>
      <c r="F49" s="21"/>
      <c r="G49" s="18"/>
    </row>
    <row r="50" spans="1:8">
      <c r="A50" s="22">
        <v>46097</v>
      </c>
      <c r="B50" s="23" t="s">
        <v>1247</v>
      </c>
      <c r="C50" s="23" t="s">
        <v>726</v>
      </c>
      <c r="D50" s="24">
        <v>165</v>
      </c>
      <c r="E50" s="25"/>
      <c r="F50" s="26"/>
      <c r="G50" s="23"/>
    </row>
    <row r="51" spans="1:8">
      <c r="A51" s="17">
        <v>46098</v>
      </c>
      <c r="B51" s="18" t="s">
        <v>1248</v>
      </c>
      <c r="C51" s="18" t="s">
        <v>1249</v>
      </c>
      <c r="D51" s="27">
        <v>140</v>
      </c>
      <c r="E51" s="19"/>
      <c r="F51" s="21"/>
      <c r="G51" s="18"/>
      <c r="H51" s="18" t="s">
        <v>1250</v>
      </c>
    </row>
    <row r="52" spans="1:8">
      <c r="A52" s="22">
        <v>46098</v>
      </c>
      <c r="B52" s="23" t="s">
        <v>1251</v>
      </c>
      <c r="C52" s="23" t="s">
        <v>1252</v>
      </c>
      <c r="D52" s="24">
        <v>135</v>
      </c>
      <c r="E52" s="25"/>
      <c r="F52" s="26"/>
      <c r="G52" s="23"/>
      <c r="H52" s="23" t="s">
        <v>1253</v>
      </c>
    </row>
    <row r="53" spans="1:8">
      <c r="A53" s="17">
        <v>46098</v>
      </c>
      <c r="B53" s="18" t="s">
        <v>1254</v>
      </c>
      <c r="C53" s="18" t="s">
        <v>726</v>
      </c>
      <c r="D53" s="27">
        <v>150</v>
      </c>
      <c r="E53" s="19"/>
      <c r="F53" s="21"/>
      <c r="G53" s="18"/>
    </row>
    <row r="54" spans="1:8">
      <c r="A54" s="22">
        <v>46098</v>
      </c>
      <c r="B54" s="23" t="s">
        <v>1255</v>
      </c>
      <c r="C54" s="23" t="s">
        <v>726</v>
      </c>
      <c r="D54" s="24">
        <v>140</v>
      </c>
      <c r="E54" s="25"/>
      <c r="F54" s="26"/>
      <c r="G54" s="23"/>
    </row>
    <row r="55" spans="1:8">
      <c r="A55" s="17">
        <v>46098</v>
      </c>
      <c r="B55" s="18" t="s">
        <v>1256</v>
      </c>
      <c r="C55" s="18" t="s">
        <v>1257</v>
      </c>
      <c r="D55" s="27">
        <v>140</v>
      </c>
      <c r="E55" s="19"/>
      <c r="F55" s="21"/>
      <c r="G55" s="18"/>
      <c r="H55" s="18" t="s">
        <v>1258</v>
      </c>
    </row>
    <row r="56" spans="1:8">
      <c r="A56" s="22">
        <v>46098</v>
      </c>
      <c r="B56" s="23" t="s">
        <v>1259</v>
      </c>
      <c r="C56" s="23" t="s">
        <v>726</v>
      </c>
      <c r="D56" s="24">
        <v>10</v>
      </c>
      <c r="E56" s="25"/>
      <c r="F56" s="26"/>
      <c r="G56" s="23"/>
    </row>
    <row r="57" spans="1:8">
      <c r="A57" s="17">
        <v>46098</v>
      </c>
      <c r="B57" s="18" t="s">
        <v>1260</v>
      </c>
      <c r="C57" s="18" t="s">
        <v>735</v>
      </c>
      <c r="D57" s="27">
        <v>95</v>
      </c>
      <c r="E57" s="19"/>
      <c r="F57" s="21"/>
      <c r="G57" s="18"/>
    </row>
    <row r="58" spans="1:8">
      <c r="A58" s="22">
        <v>46098</v>
      </c>
      <c r="B58" s="23" t="s">
        <v>1261</v>
      </c>
      <c r="C58" s="23" t="s">
        <v>1262</v>
      </c>
      <c r="D58" s="24">
        <v>140</v>
      </c>
      <c r="E58" s="25"/>
      <c r="F58" s="26"/>
      <c r="G58" s="23"/>
      <c r="H58" s="23" t="s">
        <v>1263</v>
      </c>
    </row>
    <row r="59" spans="1:8">
      <c r="A59" s="17">
        <v>46098</v>
      </c>
      <c r="B59" s="18" t="s">
        <v>1264</v>
      </c>
      <c r="C59" s="18" t="s">
        <v>1265</v>
      </c>
      <c r="D59" s="27">
        <v>1300</v>
      </c>
      <c r="E59" s="19"/>
      <c r="F59" s="21"/>
      <c r="G59" s="18"/>
      <c r="H59" s="18" t="s">
        <v>1266</v>
      </c>
    </row>
    <row r="60" spans="1:8">
      <c r="A60" s="22">
        <v>46099</v>
      </c>
      <c r="B60" s="23" t="s">
        <v>1267</v>
      </c>
      <c r="C60" s="23" t="s">
        <v>1268</v>
      </c>
      <c r="D60" s="24">
        <v>3000</v>
      </c>
      <c r="E60" s="25"/>
      <c r="F60" s="26"/>
      <c r="G60" s="23"/>
    </row>
    <row r="61" spans="1:8">
      <c r="A61" s="17">
        <v>46099</v>
      </c>
      <c r="B61" s="18" t="s">
        <v>1269</v>
      </c>
      <c r="C61" s="18" t="s">
        <v>735</v>
      </c>
      <c r="D61" s="27">
        <v>210</v>
      </c>
      <c r="E61" s="19"/>
      <c r="F61" s="21"/>
      <c r="G61" s="18"/>
    </row>
    <row r="62" spans="1:8">
      <c r="A62" s="22">
        <v>46099</v>
      </c>
      <c r="B62" s="23" t="s">
        <v>1270</v>
      </c>
      <c r="C62" s="23" t="s">
        <v>726</v>
      </c>
      <c r="D62" s="24">
        <v>140</v>
      </c>
      <c r="E62" s="25"/>
      <c r="F62" s="26"/>
      <c r="G62" s="23"/>
    </row>
    <row r="63" spans="1:8">
      <c r="A63" s="17">
        <v>46099</v>
      </c>
      <c r="B63" s="18" t="s">
        <v>1271</v>
      </c>
      <c r="C63" s="18" t="s">
        <v>735</v>
      </c>
      <c r="D63" s="27">
        <v>140</v>
      </c>
      <c r="E63" s="19"/>
      <c r="F63" s="21"/>
      <c r="G63" s="18"/>
    </row>
    <row r="64" spans="1:8">
      <c r="A64" s="22">
        <v>46099</v>
      </c>
      <c r="B64" s="23" t="s">
        <v>1272</v>
      </c>
      <c r="C64" s="23" t="s">
        <v>726</v>
      </c>
      <c r="D64" s="24">
        <v>80</v>
      </c>
      <c r="E64" s="25"/>
      <c r="F64" s="26"/>
      <c r="G64" s="23"/>
    </row>
    <row r="65" spans="1:8">
      <c r="A65" s="17">
        <v>46099</v>
      </c>
      <c r="B65" s="18" t="s">
        <v>1273</v>
      </c>
      <c r="C65" s="18" t="s">
        <v>726</v>
      </c>
      <c r="D65" s="27">
        <v>25</v>
      </c>
      <c r="E65" s="19"/>
      <c r="F65" s="21"/>
      <c r="G65" s="18"/>
    </row>
    <row r="66" spans="1:8">
      <c r="A66" s="22">
        <v>46100</v>
      </c>
      <c r="B66" s="23" t="s">
        <v>1274</v>
      </c>
      <c r="C66" s="23" t="s">
        <v>735</v>
      </c>
      <c r="D66" s="24">
        <v>95</v>
      </c>
      <c r="E66" s="25"/>
      <c r="F66" s="26"/>
      <c r="G66" s="23"/>
    </row>
    <row r="67" spans="1:8">
      <c r="A67" s="17">
        <v>46100</v>
      </c>
      <c r="B67" s="18" t="s">
        <v>1275</v>
      </c>
      <c r="C67" s="18" t="s">
        <v>726</v>
      </c>
      <c r="D67" s="27">
        <v>85</v>
      </c>
      <c r="E67" s="19"/>
      <c r="F67" s="21"/>
      <c r="G67" s="18"/>
    </row>
    <row r="68" spans="1:8">
      <c r="A68" s="22">
        <v>46101</v>
      </c>
      <c r="B68" s="23" t="s">
        <v>1276</v>
      </c>
      <c r="C68" s="23" t="s">
        <v>1277</v>
      </c>
      <c r="D68" s="24">
        <v>140</v>
      </c>
      <c r="E68" s="25"/>
      <c r="F68" s="26"/>
      <c r="G68" s="23"/>
      <c r="H68" s="23" t="s">
        <v>1278</v>
      </c>
    </row>
    <row r="69" spans="1:8">
      <c r="A69" s="17">
        <v>46101</v>
      </c>
      <c r="B69" s="18" t="s">
        <v>1279</v>
      </c>
      <c r="C69" s="18" t="s">
        <v>1280</v>
      </c>
      <c r="D69" s="27">
        <v>280</v>
      </c>
      <c r="E69" s="19"/>
      <c r="F69" s="21"/>
      <c r="G69" s="18"/>
    </row>
    <row r="70" spans="1:8">
      <c r="A70" s="22">
        <v>46101</v>
      </c>
      <c r="B70" s="23" t="s">
        <v>1281</v>
      </c>
      <c r="C70" s="23" t="s">
        <v>1282</v>
      </c>
      <c r="D70" s="24">
        <v>140</v>
      </c>
      <c r="E70" s="25"/>
      <c r="F70" s="26"/>
      <c r="G70" s="23"/>
    </row>
    <row r="71" spans="1:8">
      <c r="A71" s="17">
        <v>46101</v>
      </c>
      <c r="B71" s="18" t="s">
        <v>1283</v>
      </c>
      <c r="C71" s="18" t="s">
        <v>735</v>
      </c>
      <c r="D71" s="27">
        <v>140</v>
      </c>
      <c r="E71" s="19"/>
      <c r="F71" s="21"/>
      <c r="G71" s="18"/>
    </row>
    <row r="72" spans="1:8">
      <c r="A72" s="22">
        <v>46101</v>
      </c>
      <c r="B72" s="23" t="s">
        <v>1284</v>
      </c>
      <c r="C72" s="23" t="s">
        <v>1285</v>
      </c>
      <c r="D72" s="24">
        <v>200</v>
      </c>
      <c r="E72" s="25"/>
      <c r="F72" s="26"/>
      <c r="G72" s="23"/>
      <c r="H72" s="23" t="s">
        <v>1286</v>
      </c>
    </row>
    <row r="73" spans="1:8">
      <c r="A73" s="17">
        <v>46101</v>
      </c>
      <c r="B73" s="18" t="s">
        <v>1287</v>
      </c>
      <c r="C73" s="18" t="s">
        <v>1288</v>
      </c>
      <c r="D73" s="27">
        <v>130</v>
      </c>
      <c r="E73" s="19"/>
      <c r="F73" s="21"/>
      <c r="G73" s="18"/>
      <c r="H73" s="18" t="s">
        <v>1289</v>
      </c>
    </row>
    <row r="74" spans="1:8">
      <c r="A74" s="22">
        <v>46101</v>
      </c>
      <c r="B74" s="23" t="s">
        <v>1290</v>
      </c>
      <c r="C74" s="23" t="s">
        <v>1291</v>
      </c>
      <c r="D74" s="24">
        <v>95</v>
      </c>
      <c r="E74" s="25"/>
      <c r="F74" s="26"/>
      <c r="G74" s="23"/>
    </row>
    <row r="75" spans="1:8">
      <c r="A75" s="17">
        <v>46101</v>
      </c>
      <c r="B75" s="18" t="s">
        <v>1085</v>
      </c>
      <c r="C75" s="18" t="s">
        <v>716</v>
      </c>
      <c r="D75" s="19"/>
      <c r="E75" s="20">
        <v>865.5</v>
      </c>
      <c r="F75" s="21" t="s">
        <v>99</v>
      </c>
      <c r="G75" s="18"/>
    </row>
    <row r="76" spans="1:8">
      <c r="A76" s="22">
        <v>46101</v>
      </c>
      <c r="B76" s="23" t="s">
        <v>1292</v>
      </c>
      <c r="C76" s="23" t="s">
        <v>1106</v>
      </c>
      <c r="D76" s="25"/>
      <c r="E76" s="28">
        <v>486.32</v>
      </c>
      <c r="F76" s="26" t="s">
        <v>107</v>
      </c>
      <c r="G76" s="23"/>
    </row>
    <row r="77" spans="1:8">
      <c r="A77" s="17">
        <v>46101</v>
      </c>
      <c r="B77" s="18" t="s">
        <v>1107</v>
      </c>
      <c r="C77" s="18" t="s">
        <v>718</v>
      </c>
      <c r="D77" s="19"/>
      <c r="E77" s="20">
        <v>420.87</v>
      </c>
      <c r="F77" s="21" t="s">
        <v>99</v>
      </c>
      <c r="G77" s="18"/>
    </row>
    <row r="78" spans="1:8">
      <c r="A78" s="22">
        <v>46101</v>
      </c>
      <c r="B78" s="23" t="s">
        <v>1293</v>
      </c>
      <c r="C78" s="23" t="s">
        <v>857</v>
      </c>
      <c r="D78" s="25"/>
      <c r="E78" s="28">
        <v>267.2</v>
      </c>
      <c r="F78" s="26" t="s">
        <v>102</v>
      </c>
      <c r="G78" s="23"/>
    </row>
    <row r="79" spans="1:8">
      <c r="A79" s="17">
        <v>46101</v>
      </c>
      <c r="B79" s="18" t="s">
        <v>1294</v>
      </c>
      <c r="C79" s="18" t="s">
        <v>857</v>
      </c>
      <c r="D79" s="19"/>
      <c r="E79" s="20">
        <v>430.27</v>
      </c>
      <c r="F79" s="21" t="s">
        <v>102</v>
      </c>
      <c r="G79" s="18"/>
    </row>
    <row r="80" spans="1:8">
      <c r="A80" s="22">
        <v>46101</v>
      </c>
      <c r="B80" s="23" t="s">
        <v>1295</v>
      </c>
      <c r="C80" s="23" t="s">
        <v>857</v>
      </c>
      <c r="D80" s="25"/>
      <c r="E80" s="28">
        <v>1829.8</v>
      </c>
      <c r="F80" s="26" t="s">
        <v>102</v>
      </c>
      <c r="G80" s="23"/>
    </row>
    <row r="81" spans="1:8">
      <c r="A81" s="17">
        <v>46104</v>
      </c>
      <c r="B81" s="18" t="s">
        <v>1296</v>
      </c>
      <c r="C81" s="18" t="s">
        <v>1297</v>
      </c>
      <c r="D81" s="27">
        <v>130</v>
      </c>
      <c r="E81" s="19"/>
      <c r="F81" s="21"/>
      <c r="G81" s="18"/>
      <c r="H81" s="18" t="s">
        <v>1298</v>
      </c>
    </row>
    <row r="82" spans="1:8">
      <c r="A82" s="22">
        <v>46104</v>
      </c>
      <c r="B82" s="23" t="s">
        <v>1299</v>
      </c>
      <c r="C82" s="23" t="s">
        <v>881</v>
      </c>
      <c r="D82" s="24">
        <v>140</v>
      </c>
      <c r="E82" s="25"/>
      <c r="F82" s="26"/>
      <c r="G82" s="23"/>
      <c r="H82" s="23" t="s">
        <v>882</v>
      </c>
    </row>
    <row r="83" spans="1:8">
      <c r="A83" s="17">
        <v>46104</v>
      </c>
      <c r="B83" s="18" t="s">
        <v>1300</v>
      </c>
      <c r="C83" s="18" t="s">
        <v>735</v>
      </c>
      <c r="D83" s="27">
        <v>140</v>
      </c>
      <c r="E83" s="19"/>
      <c r="F83" s="21"/>
      <c r="G83" s="18"/>
    </row>
    <row r="84" spans="1:8">
      <c r="A84" s="22">
        <v>46104</v>
      </c>
      <c r="B84" s="23" t="s">
        <v>1301</v>
      </c>
      <c r="C84" s="23" t="s">
        <v>735</v>
      </c>
      <c r="D84" s="24">
        <v>190</v>
      </c>
      <c r="E84" s="25"/>
      <c r="F84" s="26"/>
      <c r="G84" s="23"/>
    </row>
    <row r="85" spans="1:8">
      <c r="A85" s="17">
        <v>46104</v>
      </c>
      <c r="B85" s="18" t="s">
        <v>1302</v>
      </c>
      <c r="C85" s="18" t="s">
        <v>1303</v>
      </c>
      <c r="D85" s="27">
        <v>90</v>
      </c>
      <c r="E85" s="19"/>
      <c r="F85" s="21"/>
      <c r="G85" s="18"/>
      <c r="H85" s="18" t="s">
        <v>1304</v>
      </c>
    </row>
    <row r="86" spans="1:8">
      <c r="A86" s="22">
        <v>46104</v>
      </c>
      <c r="B86" s="23" t="s">
        <v>1305</v>
      </c>
      <c r="C86" s="23" t="s">
        <v>735</v>
      </c>
      <c r="D86" s="24">
        <v>200</v>
      </c>
      <c r="E86" s="25"/>
      <c r="F86" s="26"/>
      <c r="G86" s="23"/>
    </row>
    <row r="87" spans="1:8">
      <c r="A87" s="17">
        <v>46106</v>
      </c>
      <c r="B87" s="18" t="s">
        <v>1306</v>
      </c>
      <c r="C87" s="18" t="s">
        <v>1307</v>
      </c>
      <c r="D87" s="27">
        <v>280</v>
      </c>
      <c r="E87" s="19"/>
      <c r="F87" s="21"/>
      <c r="G87" s="18"/>
    </row>
    <row r="88" spans="1:8">
      <c r="A88" s="22">
        <v>46106</v>
      </c>
      <c r="B88" s="23" t="s">
        <v>1308</v>
      </c>
      <c r="C88" s="23" t="s">
        <v>1309</v>
      </c>
      <c r="D88" s="24">
        <v>420</v>
      </c>
      <c r="E88" s="25"/>
      <c r="F88" s="26"/>
      <c r="G88" s="23"/>
      <c r="H88" s="23" t="s">
        <v>1310</v>
      </c>
    </row>
    <row r="89" spans="1:8">
      <c r="A89" s="17">
        <v>46106</v>
      </c>
      <c r="B89" s="18" t="s">
        <v>1311</v>
      </c>
      <c r="C89" s="18" t="s">
        <v>1312</v>
      </c>
      <c r="D89" s="27">
        <v>160</v>
      </c>
      <c r="E89" s="19"/>
      <c r="F89" s="21"/>
      <c r="G89" s="18"/>
      <c r="H89" s="18" t="s">
        <v>1313</v>
      </c>
    </row>
    <row r="90" spans="1:8">
      <c r="A90" s="22">
        <v>46106</v>
      </c>
      <c r="B90" s="23" t="s">
        <v>1314</v>
      </c>
      <c r="C90" s="23" t="s">
        <v>726</v>
      </c>
      <c r="D90" s="24">
        <v>30</v>
      </c>
      <c r="E90" s="25"/>
      <c r="F90" s="26"/>
      <c r="G90" s="23"/>
    </row>
    <row r="91" spans="1:8">
      <c r="A91" s="17">
        <v>46106</v>
      </c>
      <c r="B91" s="18" t="s">
        <v>1315</v>
      </c>
      <c r="C91" s="18" t="s">
        <v>735</v>
      </c>
      <c r="D91" s="27">
        <v>26</v>
      </c>
      <c r="E91" s="19"/>
      <c r="F91" s="21"/>
      <c r="G91" s="18"/>
    </row>
    <row r="92" spans="1:8">
      <c r="A92" s="22">
        <v>46106</v>
      </c>
      <c r="B92" s="23" t="s">
        <v>1316</v>
      </c>
      <c r="C92" s="23" t="s">
        <v>1317</v>
      </c>
      <c r="D92" s="24">
        <v>1500</v>
      </c>
      <c r="E92" s="25"/>
      <c r="F92" s="26"/>
      <c r="G92" s="23"/>
      <c r="H92" s="23" t="s">
        <v>1318</v>
      </c>
    </row>
    <row r="93" spans="1:8">
      <c r="A93" s="17">
        <v>46106</v>
      </c>
      <c r="B93" s="18" t="s">
        <v>1319</v>
      </c>
      <c r="C93" s="18" t="s">
        <v>1320</v>
      </c>
      <c r="D93" s="27">
        <v>1298</v>
      </c>
      <c r="E93" s="19"/>
      <c r="F93" s="21"/>
      <c r="G93" s="18"/>
      <c r="H93" s="18" t="s">
        <v>1321</v>
      </c>
    </row>
    <row r="94" spans="1:8">
      <c r="A94" s="22">
        <v>46107</v>
      </c>
      <c r="B94" s="23" t="s">
        <v>1322</v>
      </c>
      <c r="C94" s="23" t="s">
        <v>1323</v>
      </c>
      <c r="D94" s="24">
        <v>200</v>
      </c>
      <c r="E94" s="25"/>
      <c r="F94" s="26"/>
      <c r="G94" s="23"/>
    </row>
    <row r="95" spans="1:8">
      <c r="A95" s="17">
        <v>46107</v>
      </c>
      <c r="B95" s="18" t="s">
        <v>1324</v>
      </c>
      <c r="C95" s="18" t="s">
        <v>1325</v>
      </c>
      <c r="D95" s="27">
        <v>135</v>
      </c>
      <c r="E95" s="19"/>
      <c r="F95" s="21"/>
      <c r="G95" s="18"/>
    </row>
    <row r="96" spans="1:8">
      <c r="A96" s="22">
        <v>46107</v>
      </c>
      <c r="B96" s="23" t="s">
        <v>1326</v>
      </c>
      <c r="C96" s="23" t="s">
        <v>1327</v>
      </c>
      <c r="D96" s="24">
        <v>580</v>
      </c>
      <c r="E96" s="25"/>
      <c r="F96" s="26"/>
      <c r="G96" s="23"/>
      <c r="H96" s="23" t="s">
        <v>1328</v>
      </c>
    </row>
    <row r="97" spans="1:8">
      <c r="A97" s="17">
        <v>46107</v>
      </c>
      <c r="B97" s="18" t="s">
        <v>855</v>
      </c>
      <c r="C97" s="18" t="s">
        <v>716</v>
      </c>
      <c r="D97" s="19"/>
      <c r="E97" s="20">
        <v>800.64</v>
      </c>
      <c r="F97" s="21" t="s">
        <v>99</v>
      </c>
      <c r="G97" s="18"/>
    </row>
    <row r="98" spans="1:8">
      <c r="A98" s="22">
        <v>46107</v>
      </c>
      <c r="B98" s="23" t="s">
        <v>1155</v>
      </c>
      <c r="C98" s="23" t="s">
        <v>730</v>
      </c>
      <c r="D98" s="25"/>
      <c r="E98" s="28">
        <v>878.93</v>
      </c>
      <c r="F98" s="26" t="s">
        <v>99</v>
      </c>
      <c r="G98" s="23"/>
    </row>
    <row r="99" spans="1:8">
      <c r="A99" s="17">
        <v>46107</v>
      </c>
      <c r="B99" s="18" t="s">
        <v>1157</v>
      </c>
      <c r="C99" s="18" t="s">
        <v>730</v>
      </c>
      <c r="D99" s="19"/>
      <c r="E99" s="20">
        <v>541.37</v>
      </c>
      <c r="F99" s="21" t="s">
        <v>99</v>
      </c>
      <c r="G99" s="18"/>
    </row>
    <row r="100" spans="1:8">
      <c r="A100" s="22">
        <v>46107</v>
      </c>
      <c r="B100" s="23" t="s">
        <v>1329</v>
      </c>
      <c r="C100" s="23" t="s">
        <v>730</v>
      </c>
      <c r="D100" s="25"/>
      <c r="E100" s="28">
        <v>878.92</v>
      </c>
      <c r="F100" s="26" t="s">
        <v>99</v>
      </c>
      <c r="G100" s="23"/>
    </row>
    <row r="101" spans="1:8">
      <c r="A101" s="17">
        <v>46107</v>
      </c>
      <c r="B101" s="18" t="s">
        <v>1330</v>
      </c>
      <c r="C101" s="18" t="s">
        <v>857</v>
      </c>
      <c r="D101" s="19"/>
      <c r="E101" s="20">
        <v>1291.02</v>
      </c>
      <c r="F101" s="21" t="s">
        <v>102</v>
      </c>
      <c r="G101" s="18"/>
    </row>
    <row r="102" spans="1:8">
      <c r="A102" s="22">
        <v>46107</v>
      </c>
      <c r="B102" s="23" t="s">
        <v>1331</v>
      </c>
      <c r="C102" s="23" t="s">
        <v>829</v>
      </c>
      <c r="D102" s="25"/>
      <c r="E102" s="28">
        <v>452.14</v>
      </c>
      <c r="F102" s="26" t="s">
        <v>104</v>
      </c>
      <c r="G102" s="23"/>
    </row>
    <row r="103" spans="1:8">
      <c r="A103" s="17">
        <v>46107</v>
      </c>
      <c r="B103" s="18" t="s">
        <v>1332</v>
      </c>
      <c r="C103" s="18" t="s">
        <v>716</v>
      </c>
      <c r="D103" s="19"/>
      <c r="E103" s="20">
        <v>676.59</v>
      </c>
      <c r="F103" s="21" t="s">
        <v>99</v>
      </c>
      <c r="G103" s="18"/>
    </row>
    <row r="104" spans="1:8">
      <c r="A104" s="22">
        <v>46108</v>
      </c>
      <c r="B104" s="23" t="s">
        <v>1333</v>
      </c>
      <c r="C104" s="23" t="s">
        <v>735</v>
      </c>
      <c r="D104" s="24">
        <v>20</v>
      </c>
      <c r="E104" s="25"/>
      <c r="F104" s="26"/>
      <c r="G104" s="23"/>
    </row>
    <row r="105" spans="1:8">
      <c r="A105" s="17">
        <v>46108</v>
      </c>
      <c r="B105" s="18" t="s">
        <v>894</v>
      </c>
      <c r="C105" s="18" t="s">
        <v>730</v>
      </c>
      <c r="D105" s="19"/>
      <c r="E105" s="20">
        <v>980.83</v>
      </c>
      <c r="F105" s="21" t="s">
        <v>99</v>
      </c>
      <c r="G105" s="18"/>
    </row>
    <row r="106" spans="1:8">
      <c r="A106" s="22">
        <v>46109</v>
      </c>
      <c r="B106" s="23" t="s">
        <v>1334</v>
      </c>
      <c r="C106" s="23" t="s">
        <v>1335</v>
      </c>
      <c r="D106" s="24">
        <v>140</v>
      </c>
      <c r="E106" s="25"/>
      <c r="F106" s="26"/>
      <c r="G106" s="23"/>
      <c r="H106" s="23" t="s">
        <v>1336</v>
      </c>
    </row>
    <row r="107" spans="1:8">
      <c r="A107" s="17">
        <v>46109</v>
      </c>
      <c r="B107" s="18" t="s">
        <v>1337</v>
      </c>
      <c r="C107" s="18" t="s">
        <v>1338</v>
      </c>
      <c r="D107" s="27">
        <v>1448</v>
      </c>
      <c r="E107" s="19"/>
      <c r="F107" s="21"/>
      <c r="G107" s="18"/>
      <c r="H107" s="18" t="s">
        <v>1339</v>
      </c>
    </row>
    <row r="108" spans="1:8">
      <c r="A108" s="22">
        <v>46111</v>
      </c>
      <c r="B108" s="23" t="s">
        <v>1340</v>
      </c>
      <c r="C108" s="23" t="s">
        <v>1341</v>
      </c>
      <c r="D108" s="24">
        <v>140</v>
      </c>
      <c r="E108" s="25"/>
      <c r="F108" s="26"/>
      <c r="G108" s="23"/>
    </row>
    <row r="109" spans="1:8">
      <c r="A109" s="17">
        <v>46111</v>
      </c>
      <c r="B109" s="18" t="s">
        <v>1342</v>
      </c>
      <c r="C109" s="18" t="s">
        <v>881</v>
      </c>
      <c r="D109" s="27">
        <v>60</v>
      </c>
      <c r="E109" s="19"/>
      <c r="F109" s="21"/>
      <c r="G109" s="18"/>
      <c r="H109" s="18" t="s">
        <v>882</v>
      </c>
    </row>
    <row r="110" spans="1:8">
      <c r="A110" s="22">
        <v>46111</v>
      </c>
      <c r="B110" s="23" t="s">
        <v>1343</v>
      </c>
      <c r="C110" s="23" t="s">
        <v>1344</v>
      </c>
      <c r="D110" s="24">
        <v>260</v>
      </c>
      <c r="E110" s="25"/>
      <c r="F110" s="26"/>
      <c r="G110" s="23"/>
    </row>
    <row r="111" spans="1:8">
      <c r="A111" s="17">
        <v>46111</v>
      </c>
      <c r="B111" s="18" t="s">
        <v>1345</v>
      </c>
      <c r="C111" s="18" t="s">
        <v>1346</v>
      </c>
      <c r="D111" s="27">
        <v>135</v>
      </c>
      <c r="E111" s="19"/>
      <c r="F111" s="21"/>
      <c r="G111" s="18"/>
      <c r="H111" s="18" t="s">
        <v>1347</v>
      </c>
    </row>
    <row r="112" spans="1:8">
      <c r="A112" s="22">
        <v>46111</v>
      </c>
      <c r="B112" s="23" t="s">
        <v>1159</v>
      </c>
      <c r="C112" s="23" t="s">
        <v>716</v>
      </c>
      <c r="D112" s="25"/>
      <c r="E112" s="28">
        <v>1279.27</v>
      </c>
      <c r="F112" s="26" t="s">
        <v>99</v>
      </c>
      <c r="G112" s="23"/>
    </row>
    <row r="113" spans="1:7">
      <c r="A113" s="17">
        <v>46111</v>
      </c>
      <c r="B113" s="18" t="s">
        <v>897</v>
      </c>
      <c r="C113" s="18" t="s">
        <v>730</v>
      </c>
      <c r="D113" s="19"/>
      <c r="E113" s="20">
        <v>878.92</v>
      </c>
      <c r="F113" s="21" t="s">
        <v>99</v>
      </c>
      <c r="G113" s="18"/>
    </row>
    <row r="114" spans="1:7">
      <c r="A114" s="22">
        <v>46112</v>
      </c>
      <c r="B114" s="23" t="s">
        <v>1348</v>
      </c>
      <c r="C114" s="23" t="s">
        <v>726</v>
      </c>
      <c r="D114" s="24">
        <v>100</v>
      </c>
      <c r="E114" s="25"/>
      <c r="F114" s="26"/>
      <c r="G114" s="23"/>
    </row>
    <row r="115" spans="1:7">
      <c r="A115" s="17">
        <v>46112</v>
      </c>
      <c r="B115" s="18" t="s">
        <v>1349</v>
      </c>
      <c r="C115" s="18" t="s">
        <v>1350</v>
      </c>
      <c r="D115" s="27">
        <v>140</v>
      </c>
      <c r="E115" s="19"/>
      <c r="F115" s="21"/>
      <c r="G115" s="18"/>
    </row>
    <row r="116" spans="1:7">
      <c r="A116" s="22">
        <v>46112</v>
      </c>
      <c r="B116" s="23" t="s">
        <v>1351</v>
      </c>
      <c r="C116" s="23" t="s">
        <v>1352</v>
      </c>
      <c r="D116" s="24">
        <v>420</v>
      </c>
      <c r="E116" s="25"/>
      <c r="F116" s="26"/>
      <c r="G116" s="23"/>
    </row>
    <row r="117" spans="1:7">
      <c r="A117" s="17">
        <v>46112</v>
      </c>
      <c r="B117" s="18" t="s">
        <v>1353</v>
      </c>
      <c r="C117" s="18" t="s">
        <v>735</v>
      </c>
      <c r="D117" s="27">
        <v>150</v>
      </c>
      <c r="E117" s="19"/>
      <c r="F117" s="21"/>
      <c r="G117" s="18"/>
    </row>
    <row r="118" spans="1:7">
      <c r="A118" s="22">
        <v>46112</v>
      </c>
      <c r="B118" s="23" t="s">
        <v>1107</v>
      </c>
      <c r="C118" s="23" t="s">
        <v>718</v>
      </c>
      <c r="D118" s="25"/>
      <c r="E118" s="28">
        <v>420.87</v>
      </c>
      <c r="F118" s="26" t="s">
        <v>99</v>
      </c>
      <c r="G118" s="23"/>
    </row>
    <row r="119" spans="1:7">
      <c r="A119" s="17">
        <v>46112</v>
      </c>
      <c r="B119" s="18" t="s">
        <v>1354</v>
      </c>
      <c r="C119" s="18" t="s">
        <v>1355</v>
      </c>
      <c r="D119" s="19"/>
      <c r="E119" s="20">
        <v>226.78</v>
      </c>
      <c r="F119" s="21" t="s">
        <v>102</v>
      </c>
      <c r="G119" s="18"/>
    </row>
    <row r="120" spans="1:7">
      <c r="A120" s="22">
        <v>46112</v>
      </c>
      <c r="B120" s="23" t="s">
        <v>1356</v>
      </c>
      <c r="C120" s="23" t="s">
        <v>796</v>
      </c>
      <c r="D120" s="25"/>
      <c r="E120" s="28">
        <v>1571.32</v>
      </c>
      <c r="F120" s="26" t="s">
        <v>106</v>
      </c>
      <c r="G120" s="23"/>
    </row>
    <row r="121" spans="1:7">
      <c r="A121" s="17">
        <v>46112</v>
      </c>
      <c r="B121" s="18" t="s">
        <v>1357</v>
      </c>
      <c r="C121" s="18" t="s">
        <v>923</v>
      </c>
      <c r="D121" s="19"/>
      <c r="E121" s="20">
        <v>807.7</v>
      </c>
      <c r="F121" s="21" t="s">
        <v>106</v>
      </c>
      <c r="G121" s="18"/>
    </row>
    <row r="122" spans="1:7">
      <c r="A122" s="29"/>
      <c r="B122" s="227" t="s">
        <v>925</v>
      </c>
      <c r="C122" s="160"/>
      <c r="D122" s="8">
        <f>SUM(D5:D121)</f>
        <v>27360</v>
      </c>
      <c r="E122" s="8">
        <f>SUM(E5:E121)</f>
        <v>21729.299999999996</v>
      </c>
      <c r="F122" s="29"/>
      <c r="G122" s="29"/>
    </row>
    <row r="123" spans="1:7" ht="15.75" customHeight="1">
      <c r="A123" s="30"/>
      <c r="B123" s="226" t="s">
        <v>926</v>
      </c>
      <c r="C123" s="157"/>
      <c r="D123" s="225">
        <f>D122-J18</f>
        <v>5630.6999999999971</v>
      </c>
      <c r="E123" s="157"/>
      <c r="F123" s="30"/>
      <c r="G123" s="30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46C1"/>
  </sheetPr>
  <dimension ref="A1:Q125"/>
  <sheetViews>
    <sheetView showGridLines="0" zoomScale="85" zoomScaleNormal="85" workbookViewId="0">
      <pane ySplit="4" topLeftCell="A5" activePane="bottomLeft" state="frozen"/>
      <selection pane="bottomLeft" sqref="A1:G1"/>
    </sheetView>
  </sheetViews>
  <sheetFormatPr defaultColWidth="8.7109375" defaultRowHeight="15"/>
  <cols>
    <col min="1" max="1" width="12" style="147" customWidth="1"/>
    <col min="2" max="2" width="52" style="147" customWidth="1"/>
    <col min="3" max="3" width="32" style="147" customWidth="1"/>
    <col min="4" max="5" width="14" style="147" customWidth="1"/>
    <col min="6" max="6" width="26" style="147" customWidth="1"/>
    <col min="7" max="7" width="30" style="147" customWidth="1"/>
    <col min="8" max="8" width="11" style="147" customWidth="1"/>
    <col min="9" max="9" width="32" style="147" customWidth="1"/>
    <col min="10" max="10" width="14" style="147" customWidth="1"/>
    <col min="12" max="17" width="15" style="147" customWidth="1"/>
  </cols>
  <sheetData>
    <row r="1" spans="1:17" ht="25.5" customHeight="1">
      <c r="A1" s="223" t="s">
        <v>1358</v>
      </c>
      <c r="B1" s="157"/>
      <c r="C1" s="157"/>
      <c r="D1" s="157"/>
      <c r="E1" s="157"/>
      <c r="F1" s="157"/>
      <c r="G1" s="157"/>
    </row>
    <row r="2" spans="1:17">
      <c r="A2" s="228" t="s">
        <v>697</v>
      </c>
      <c r="B2" s="157"/>
      <c r="C2" s="157"/>
      <c r="D2" s="157"/>
      <c r="E2" s="157"/>
      <c r="F2" s="157"/>
      <c r="G2" s="157"/>
    </row>
    <row r="3" spans="1:17">
      <c r="A3" s="127" t="s">
        <v>64</v>
      </c>
    </row>
    <row r="4" spans="1:17" ht="20.100000000000001" customHeight="1">
      <c r="A4" s="1" t="s">
        <v>445</v>
      </c>
      <c r="B4" s="1" t="s">
        <v>698</v>
      </c>
      <c r="C4" s="1" t="s">
        <v>699</v>
      </c>
      <c r="D4" s="1" t="s">
        <v>700</v>
      </c>
      <c r="E4" s="1" t="s">
        <v>701</v>
      </c>
      <c r="F4" s="1" t="s">
        <v>702</v>
      </c>
      <c r="G4" s="1" t="s">
        <v>189</v>
      </c>
      <c r="H4" s="1" t="s">
        <v>703</v>
      </c>
      <c r="I4" s="222" t="s">
        <v>704</v>
      </c>
      <c r="J4" s="157"/>
      <c r="L4" s="224" t="s">
        <v>532</v>
      </c>
      <c r="M4" s="157"/>
      <c r="N4" s="232" t="s">
        <v>705</v>
      </c>
      <c r="O4" s="157"/>
      <c r="P4" s="221" t="s">
        <v>706</v>
      </c>
      <c r="Q4" s="157"/>
    </row>
    <row r="5" spans="1:17" ht="14.1" customHeight="1">
      <c r="A5" s="17">
        <v>46113</v>
      </c>
      <c r="B5" s="18" t="s">
        <v>1359</v>
      </c>
      <c r="C5" s="18" t="s">
        <v>1360</v>
      </c>
      <c r="D5" s="19"/>
      <c r="E5" s="20">
        <v>51.61</v>
      </c>
      <c r="F5" s="21" t="s">
        <v>112</v>
      </c>
      <c r="G5" s="18"/>
      <c r="I5" s="10" t="s">
        <v>99</v>
      </c>
      <c r="J5" s="11">
        <f>SUMIF(F5:F123,I5,E5:E123)</f>
        <v>8747.66</v>
      </c>
      <c r="L5" s="229">
        <f>D124</f>
        <v>22291.989999999998</v>
      </c>
      <c r="M5" s="157"/>
      <c r="N5" s="231">
        <f>J18</f>
        <v>16900.55</v>
      </c>
      <c r="O5" s="157"/>
      <c r="P5" s="230">
        <f>D125</f>
        <v>5391.4399999999987</v>
      </c>
      <c r="Q5" s="157"/>
    </row>
    <row r="6" spans="1:17" ht="14.1" customHeight="1">
      <c r="A6" s="22">
        <v>46113</v>
      </c>
      <c r="B6" s="23" t="s">
        <v>1361</v>
      </c>
      <c r="C6" s="23" t="s">
        <v>902</v>
      </c>
      <c r="D6" s="24">
        <v>150</v>
      </c>
      <c r="E6" s="25"/>
      <c r="F6" s="26"/>
      <c r="G6" s="23"/>
      <c r="H6" s="23" t="s">
        <v>903</v>
      </c>
      <c r="I6" s="13" t="s">
        <v>100</v>
      </c>
      <c r="J6" s="14">
        <f>SUMIF(F5:F123,I6,E5:E123)</f>
        <v>870</v>
      </c>
      <c r="L6" s="157"/>
      <c r="M6" s="157"/>
      <c r="N6" s="157"/>
      <c r="O6" s="157"/>
      <c r="P6" s="157"/>
      <c r="Q6" s="157"/>
    </row>
    <row r="7" spans="1:17">
      <c r="A7" s="17">
        <v>46113</v>
      </c>
      <c r="B7" s="18" t="s">
        <v>1362</v>
      </c>
      <c r="C7" s="18" t="s">
        <v>726</v>
      </c>
      <c r="D7" s="27">
        <v>130</v>
      </c>
      <c r="E7" s="19"/>
      <c r="F7" s="21"/>
      <c r="G7" s="18"/>
      <c r="I7" s="10" t="s">
        <v>101</v>
      </c>
      <c r="J7" s="11">
        <f>SUMIF(F5:F123,I7,E5:E123)</f>
        <v>0</v>
      </c>
    </row>
    <row r="8" spans="1:17">
      <c r="A8" s="22">
        <v>46113</v>
      </c>
      <c r="B8" s="23" t="s">
        <v>1363</v>
      </c>
      <c r="C8" s="23" t="s">
        <v>1364</v>
      </c>
      <c r="D8" s="24">
        <v>1348</v>
      </c>
      <c r="E8" s="25"/>
      <c r="F8" s="26"/>
      <c r="G8" s="23"/>
      <c r="H8" s="23" t="s">
        <v>1365</v>
      </c>
      <c r="I8" s="13" t="s">
        <v>102</v>
      </c>
      <c r="J8" s="14">
        <f>SUMIF(F5:F123,I8,E5:E123)</f>
        <v>3188.09</v>
      </c>
    </row>
    <row r="9" spans="1:17">
      <c r="A9" s="17">
        <v>46113</v>
      </c>
      <c r="B9" s="18" t="s">
        <v>1366</v>
      </c>
      <c r="C9" s="18" t="s">
        <v>708</v>
      </c>
      <c r="D9" s="19"/>
      <c r="E9" s="20">
        <v>870</v>
      </c>
      <c r="F9" s="21" t="s">
        <v>100</v>
      </c>
      <c r="G9" s="18"/>
      <c r="I9" s="10" t="s">
        <v>103</v>
      </c>
      <c r="J9" s="11">
        <f>SUMIF(F5:F123,I9,E5:E123)</f>
        <v>0</v>
      </c>
    </row>
    <row r="10" spans="1:17">
      <c r="A10" s="22">
        <v>46114</v>
      </c>
      <c r="B10" s="23" t="s">
        <v>1367</v>
      </c>
      <c r="C10" s="23" t="s">
        <v>726</v>
      </c>
      <c r="D10" s="24">
        <v>40</v>
      </c>
      <c r="E10" s="25"/>
      <c r="F10" s="26"/>
      <c r="G10" s="23"/>
      <c r="I10" s="13" t="s">
        <v>104</v>
      </c>
      <c r="J10" s="14">
        <f>SUMIF(F5:F123,I10,E5:E123)</f>
        <v>403.56</v>
      </c>
    </row>
    <row r="11" spans="1:17">
      <c r="A11" s="17">
        <v>46114</v>
      </c>
      <c r="B11" s="18" t="s">
        <v>1368</v>
      </c>
      <c r="C11" s="18" t="s">
        <v>735</v>
      </c>
      <c r="D11" s="27">
        <v>125</v>
      </c>
      <c r="E11" s="19"/>
      <c r="F11" s="21"/>
      <c r="G11" s="18"/>
      <c r="I11" s="10" t="s">
        <v>106</v>
      </c>
      <c r="J11" s="11">
        <f>SUMIF(F5:F123,I11,E5:E123)</f>
        <v>2784.92</v>
      </c>
    </row>
    <row r="12" spans="1:17">
      <c r="A12" s="22">
        <v>46114</v>
      </c>
      <c r="B12" s="23" t="s">
        <v>1369</v>
      </c>
      <c r="C12" s="23" t="s">
        <v>1320</v>
      </c>
      <c r="D12" s="24">
        <v>140</v>
      </c>
      <c r="E12" s="25"/>
      <c r="F12" s="26"/>
      <c r="G12" s="23"/>
      <c r="H12" s="23" t="s">
        <v>1321</v>
      </c>
      <c r="I12" s="13" t="s">
        <v>107</v>
      </c>
      <c r="J12" s="14">
        <f>SUMIF(F5:F123,I12,E5:E123)</f>
        <v>486.32</v>
      </c>
    </row>
    <row r="13" spans="1:17">
      <c r="A13" s="17">
        <v>46118</v>
      </c>
      <c r="B13" s="18" t="s">
        <v>1370</v>
      </c>
      <c r="C13" s="18" t="s">
        <v>735</v>
      </c>
      <c r="D13" s="27">
        <v>150</v>
      </c>
      <c r="E13" s="19"/>
      <c r="F13" s="21"/>
      <c r="G13" s="18"/>
      <c r="I13" s="10" t="s">
        <v>108</v>
      </c>
      <c r="J13" s="11">
        <f>SUMIF(F5:F123,I13,E5:E123)</f>
        <v>0</v>
      </c>
    </row>
    <row r="14" spans="1:17">
      <c r="A14" s="22">
        <v>46118</v>
      </c>
      <c r="B14" s="23" t="s">
        <v>1371</v>
      </c>
      <c r="C14" s="23" t="s">
        <v>726</v>
      </c>
      <c r="D14" s="24">
        <v>140</v>
      </c>
      <c r="E14" s="25"/>
      <c r="F14" s="26"/>
      <c r="G14" s="23"/>
      <c r="I14" s="13" t="s">
        <v>109</v>
      </c>
      <c r="J14" s="14">
        <f>SUMIF(F5:F123,I14,E5:E123)</f>
        <v>0</v>
      </c>
    </row>
    <row r="15" spans="1:17">
      <c r="A15" s="17">
        <v>46118</v>
      </c>
      <c r="B15" s="18" t="s">
        <v>1372</v>
      </c>
      <c r="C15" s="18" t="s">
        <v>1373</v>
      </c>
      <c r="D15" s="27">
        <v>140</v>
      </c>
      <c r="E15" s="19"/>
      <c r="F15" s="21"/>
      <c r="G15" s="18"/>
      <c r="H15" s="18" t="s">
        <v>1374</v>
      </c>
      <c r="I15" s="10" t="s">
        <v>110</v>
      </c>
      <c r="J15" s="11">
        <f>SUMIF(F5:F123,I15,E5:E123)</f>
        <v>420</v>
      </c>
    </row>
    <row r="16" spans="1:17">
      <c r="A16" s="22">
        <v>46118</v>
      </c>
      <c r="B16" s="23" t="s">
        <v>1375</v>
      </c>
      <c r="C16" s="23" t="s">
        <v>1376</v>
      </c>
      <c r="D16" s="24">
        <v>140</v>
      </c>
      <c r="E16" s="25"/>
      <c r="F16" s="26"/>
      <c r="G16" s="23"/>
      <c r="H16" s="23" t="s">
        <v>1377</v>
      </c>
      <c r="I16" s="13" t="s">
        <v>111</v>
      </c>
      <c r="J16" s="14">
        <f>SUMIF(F5:F123,I16,E5:E123)</f>
        <v>0</v>
      </c>
    </row>
    <row r="17" spans="1:10">
      <c r="A17" s="17">
        <v>46118</v>
      </c>
      <c r="B17" s="18" t="s">
        <v>1378</v>
      </c>
      <c r="C17" s="18" t="s">
        <v>1379</v>
      </c>
      <c r="D17" s="27">
        <v>130</v>
      </c>
      <c r="E17" s="19"/>
      <c r="F17" s="21"/>
      <c r="G17" s="18"/>
      <c r="H17" s="18" t="s">
        <v>1380</v>
      </c>
      <c r="I17" s="42" t="s">
        <v>112</v>
      </c>
      <c r="J17" s="8">
        <f>SUMIF(F5:F123,I17,E5:E123)</f>
        <v>51.61</v>
      </c>
    </row>
    <row r="18" spans="1:10">
      <c r="A18" s="22">
        <v>46118</v>
      </c>
      <c r="B18" s="23" t="s">
        <v>1381</v>
      </c>
      <c r="C18" s="23" t="s">
        <v>1382</v>
      </c>
      <c r="D18" s="24">
        <v>140</v>
      </c>
      <c r="E18" s="25"/>
      <c r="F18" s="26"/>
      <c r="G18" s="23"/>
      <c r="H18" s="23" t="s">
        <v>1383</v>
      </c>
      <c r="I18" t="s">
        <v>113</v>
      </c>
      <c r="J18">
        <f>SUM(J5:J16)</f>
        <v>16900.55</v>
      </c>
    </row>
    <row r="19" spans="1:10">
      <c r="A19" s="17">
        <v>46118</v>
      </c>
      <c r="B19" s="18" t="s">
        <v>1384</v>
      </c>
      <c r="C19" s="18" t="s">
        <v>735</v>
      </c>
      <c r="D19" s="27">
        <v>140</v>
      </c>
      <c r="E19" s="19"/>
      <c r="F19" s="21"/>
      <c r="G19" s="18"/>
    </row>
    <row r="20" spans="1:10">
      <c r="A20" s="22">
        <v>46119</v>
      </c>
      <c r="B20" s="23" t="s">
        <v>1385</v>
      </c>
      <c r="C20" s="23" t="s">
        <v>735</v>
      </c>
      <c r="D20" s="24">
        <v>630</v>
      </c>
      <c r="E20" s="25"/>
      <c r="F20" s="26"/>
      <c r="G20" s="23"/>
    </row>
    <row r="21" spans="1:10">
      <c r="A21" s="17">
        <v>46119</v>
      </c>
      <c r="B21" s="18" t="s">
        <v>1386</v>
      </c>
      <c r="C21" s="18" t="s">
        <v>1387</v>
      </c>
      <c r="D21" s="27">
        <v>140</v>
      </c>
      <c r="E21" s="19"/>
      <c r="F21" s="21"/>
      <c r="G21" s="18"/>
      <c r="H21" s="18" t="s">
        <v>1388</v>
      </c>
    </row>
    <row r="22" spans="1:10">
      <c r="A22" s="22">
        <v>46119</v>
      </c>
      <c r="B22" s="23" t="s">
        <v>1389</v>
      </c>
      <c r="C22" s="23" t="s">
        <v>1390</v>
      </c>
      <c r="D22" s="24">
        <v>70</v>
      </c>
      <c r="E22" s="25"/>
      <c r="F22" s="26"/>
      <c r="G22" s="23"/>
      <c r="H22" s="23" t="s">
        <v>1391</v>
      </c>
    </row>
    <row r="23" spans="1:10">
      <c r="A23" s="17">
        <v>46119</v>
      </c>
      <c r="B23" s="18" t="s">
        <v>1392</v>
      </c>
      <c r="C23" s="18" t="s">
        <v>1393</v>
      </c>
      <c r="D23" s="27">
        <v>200</v>
      </c>
      <c r="E23" s="19"/>
      <c r="F23" s="21"/>
      <c r="G23" s="18"/>
      <c r="H23" s="18" t="s">
        <v>1394</v>
      </c>
    </row>
    <row r="24" spans="1:10">
      <c r="A24" s="22">
        <v>46120</v>
      </c>
      <c r="B24" s="23" t="s">
        <v>1395</v>
      </c>
      <c r="C24" s="23" t="s">
        <v>1396</v>
      </c>
      <c r="D24" s="24">
        <v>1448</v>
      </c>
      <c r="E24" s="25"/>
      <c r="F24" s="26"/>
      <c r="G24" s="23"/>
      <c r="H24" s="23" t="s">
        <v>1397</v>
      </c>
    </row>
    <row r="25" spans="1:10">
      <c r="A25" s="17">
        <v>46120</v>
      </c>
      <c r="B25" s="18" t="s">
        <v>1398</v>
      </c>
      <c r="C25" s="18" t="s">
        <v>1399</v>
      </c>
      <c r="D25" s="27">
        <v>320</v>
      </c>
      <c r="E25" s="19"/>
      <c r="F25" s="21"/>
      <c r="G25" s="18"/>
      <c r="H25" s="18" t="s">
        <v>1400</v>
      </c>
    </row>
    <row r="26" spans="1:10">
      <c r="A26" s="22">
        <v>46120</v>
      </c>
      <c r="B26" s="23" t="s">
        <v>1401</v>
      </c>
      <c r="C26" s="23" t="s">
        <v>1402</v>
      </c>
      <c r="D26" s="24">
        <v>140</v>
      </c>
      <c r="E26" s="25"/>
      <c r="F26" s="26"/>
      <c r="G26" s="23"/>
      <c r="H26" s="23" t="s">
        <v>1403</v>
      </c>
    </row>
    <row r="27" spans="1:10">
      <c r="A27" s="17">
        <v>46121</v>
      </c>
      <c r="B27" s="18" t="s">
        <v>1404</v>
      </c>
      <c r="C27" s="18" t="s">
        <v>1405</v>
      </c>
      <c r="D27" s="27">
        <v>140</v>
      </c>
      <c r="E27" s="19"/>
      <c r="F27" s="21"/>
      <c r="G27" s="18"/>
      <c r="H27" s="18" t="s">
        <v>1406</v>
      </c>
    </row>
    <row r="28" spans="1:10">
      <c r="A28" s="22">
        <v>46121</v>
      </c>
      <c r="B28" s="23" t="s">
        <v>1407</v>
      </c>
      <c r="C28" s="23" t="s">
        <v>726</v>
      </c>
      <c r="D28" s="24">
        <v>65</v>
      </c>
      <c r="E28" s="25"/>
      <c r="F28" s="26"/>
      <c r="G28" s="23"/>
    </row>
    <row r="29" spans="1:10">
      <c r="A29" s="17">
        <v>46121</v>
      </c>
      <c r="B29" s="18" t="s">
        <v>1408</v>
      </c>
      <c r="C29" s="18" t="s">
        <v>735</v>
      </c>
      <c r="D29" s="27">
        <v>12</v>
      </c>
      <c r="E29" s="19"/>
      <c r="F29" s="21"/>
      <c r="G29" s="18"/>
    </row>
    <row r="30" spans="1:10">
      <c r="A30" s="22">
        <v>46121</v>
      </c>
      <c r="B30" s="23" t="s">
        <v>1409</v>
      </c>
      <c r="C30" s="23" t="s">
        <v>735</v>
      </c>
      <c r="D30" s="24">
        <v>20</v>
      </c>
      <c r="E30" s="25"/>
      <c r="F30" s="26"/>
      <c r="G30" s="23"/>
    </row>
    <row r="31" spans="1:10">
      <c r="A31" s="17">
        <v>46122</v>
      </c>
      <c r="B31" s="18" t="s">
        <v>1410</v>
      </c>
      <c r="C31" s="18" t="s">
        <v>726</v>
      </c>
      <c r="D31" s="27">
        <v>140</v>
      </c>
      <c r="E31" s="19"/>
      <c r="F31" s="21"/>
      <c r="G31" s="18"/>
    </row>
    <row r="32" spans="1:10">
      <c r="A32" s="22">
        <v>46122</v>
      </c>
      <c r="B32" s="23" t="s">
        <v>1411</v>
      </c>
      <c r="C32" s="23" t="s">
        <v>726</v>
      </c>
      <c r="D32" s="24">
        <v>10</v>
      </c>
      <c r="E32" s="25"/>
      <c r="F32" s="26"/>
      <c r="G32" s="23"/>
    </row>
    <row r="33" spans="1:8">
      <c r="A33" s="17">
        <v>46123</v>
      </c>
      <c r="B33" s="18" t="s">
        <v>1412</v>
      </c>
      <c r="C33" s="18" t="s">
        <v>1413</v>
      </c>
      <c r="D33" s="27">
        <v>170</v>
      </c>
      <c r="E33" s="19"/>
      <c r="F33" s="21"/>
      <c r="G33" s="18"/>
      <c r="H33" s="18" t="s">
        <v>1414</v>
      </c>
    </row>
    <row r="34" spans="1:8">
      <c r="A34" s="22">
        <v>46125</v>
      </c>
      <c r="B34" s="23" t="s">
        <v>1415</v>
      </c>
      <c r="C34" s="23" t="s">
        <v>735</v>
      </c>
      <c r="D34" s="24">
        <v>140</v>
      </c>
      <c r="E34" s="25"/>
      <c r="F34" s="26"/>
      <c r="G34" s="23"/>
    </row>
    <row r="35" spans="1:8">
      <c r="A35" s="17">
        <v>46125</v>
      </c>
      <c r="B35" s="18" t="s">
        <v>1416</v>
      </c>
      <c r="C35" s="18" t="s">
        <v>1417</v>
      </c>
      <c r="D35" s="27">
        <v>140</v>
      </c>
      <c r="E35" s="19"/>
      <c r="F35" s="21"/>
      <c r="G35" s="18"/>
      <c r="H35" s="18" t="s">
        <v>1418</v>
      </c>
    </row>
    <row r="36" spans="1:8">
      <c r="A36" s="22">
        <v>46125</v>
      </c>
      <c r="B36" s="23" t="s">
        <v>1419</v>
      </c>
      <c r="C36" s="23" t="s">
        <v>1420</v>
      </c>
      <c r="D36" s="24">
        <v>195</v>
      </c>
      <c r="E36" s="25"/>
      <c r="F36" s="26"/>
      <c r="G36" s="23"/>
      <c r="H36" s="23" t="s">
        <v>1421</v>
      </c>
    </row>
    <row r="37" spans="1:8">
      <c r="A37" s="17">
        <v>46125</v>
      </c>
      <c r="B37" s="18" t="s">
        <v>1422</v>
      </c>
      <c r="C37" s="18" t="s">
        <v>1423</v>
      </c>
      <c r="D37" s="27">
        <v>1498</v>
      </c>
      <c r="E37" s="19"/>
      <c r="F37" s="21"/>
      <c r="G37" s="18"/>
    </row>
    <row r="38" spans="1:8">
      <c r="A38" s="22">
        <v>46125</v>
      </c>
      <c r="B38" s="23" t="s">
        <v>1233</v>
      </c>
      <c r="C38" s="23" t="s">
        <v>1234</v>
      </c>
      <c r="D38" s="25"/>
      <c r="E38" s="28">
        <v>1391.96</v>
      </c>
      <c r="F38" s="26" t="s">
        <v>99</v>
      </c>
      <c r="G38" s="23"/>
    </row>
    <row r="39" spans="1:8">
      <c r="A39" s="17">
        <v>46126</v>
      </c>
      <c r="B39" s="18" t="s">
        <v>1424</v>
      </c>
      <c r="C39" s="18" t="s">
        <v>735</v>
      </c>
      <c r="D39" s="27">
        <v>140</v>
      </c>
      <c r="E39" s="19"/>
      <c r="F39" s="21"/>
      <c r="G39" s="18"/>
    </row>
    <row r="40" spans="1:8">
      <c r="A40" s="22">
        <v>46126</v>
      </c>
      <c r="B40" s="23" t="s">
        <v>1425</v>
      </c>
      <c r="C40" s="23" t="s">
        <v>735</v>
      </c>
      <c r="D40" s="24">
        <v>210</v>
      </c>
      <c r="E40" s="25"/>
      <c r="F40" s="26"/>
      <c r="G40" s="23"/>
    </row>
    <row r="41" spans="1:8">
      <c r="A41" s="17">
        <v>46126</v>
      </c>
      <c r="B41" s="18" t="s">
        <v>1426</v>
      </c>
      <c r="C41" s="18" t="s">
        <v>735</v>
      </c>
      <c r="D41" s="27">
        <v>140</v>
      </c>
      <c r="E41" s="19"/>
      <c r="F41" s="21"/>
      <c r="G41" s="18"/>
    </row>
    <row r="42" spans="1:8">
      <c r="A42" s="22">
        <v>46126</v>
      </c>
      <c r="B42" s="23" t="s">
        <v>1427</v>
      </c>
      <c r="C42" s="23" t="s">
        <v>735</v>
      </c>
      <c r="D42" s="24">
        <v>140</v>
      </c>
      <c r="E42" s="25"/>
      <c r="F42" s="26"/>
      <c r="G42" s="23"/>
    </row>
    <row r="43" spans="1:8">
      <c r="A43" s="17">
        <v>46126</v>
      </c>
      <c r="B43" s="18" t="s">
        <v>1428</v>
      </c>
      <c r="C43" s="18" t="s">
        <v>726</v>
      </c>
      <c r="D43" s="27">
        <v>80</v>
      </c>
      <c r="E43" s="19"/>
      <c r="F43" s="21"/>
      <c r="G43" s="18"/>
    </row>
    <row r="44" spans="1:8">
      <c r="A44" s="22">
        <v>46127</v>
      </c>
      <c r="B44" s="23" t="s">
        <v>1429</v>
      </c>
      <c r="C44" s="23" t="s">
        <v>720</v>
      </c>
      <c r="D44" s="24">
        <v>420</v>
      </c>
      <c r="E44" s="25"/>
      <c r="F44" s="26"/>
      <c r="G44" s="23"/>
      <c r="H44" s="23" t="s">
        <v>721</v>
      </c>
    </row>
    <row r="45" spans="1:8">
      <c r="A45" s="17">
        <v>46127</v>
      </c>
      <c r="B45" s="18" t="s">
        <v>1430</v>
      </c>
      <c r="C45" s="18" t="s">
        <v>1431</v>
      </c>
      <c r="D45" s="27">
        <v>420</v>
      </c>
      <c r="E45" s="19"/>
      <c r="F45" s="21"/>
      <c r="G45" s="18"/>
    </row>
    <row r="46" spans="1:8">
      <c r="A46" s="22">
        <v>46127</v>
      </c>
      <c r="B46" s="23" t="s">
        <v>1432</v>
      </c>
      <c r="C46" s="23" t="s">
        <v>1433</v>
      </c>
      <c r="D46" s="24">
        <v>140</v>
      </c>
      <c r="E46" s="25"/>
      <c r="F46" s="26"/>
      <c r="G46" s="23"/>
      <c r="H46" s="23" t="s">
        <v>1434</v>
      </c>
    </row>
    <row r="47" spans="1:8">
      <c r="A47" s="17">
        <v>46127</v>
      </c>
      <c r="B47" s="18" t="s">
        <v>1435</v>
      </c>
      <c r="C47" s="18" t="s">
        <v>1436</v>
      </c>
      <c r="D47" s="27">
        <v>140</v>
      </c>
      <c r="E47" s="19"/>
      <c r="F47" s="21"/>
      <c r="G47" s="18"/>
      <c r="H47" s="18" t="s">
        <v>1437</v>
      </c>
    </row>
    <row r="48" spans="1:8">
      <c r="A48" s="22">
        <v>46127</v>
      </c>
      <c r="B48" s="23" t="s">
        <v>1438</v>
      </c>
      <c r="C48" s="23" t="s">
        <v>1439</v>
      </c>
      <c r="D48" s="24">
        <v>140</v>
      </c>
      <c r="E48" s="25"/>
      <c r="F48" s="26"/>
      <c r="G48" s="23"/>
      <c r="H48" s="23" t="s">
        <v>1440</v>
      </c>
    </row>
    <row r="49" spans="1:8">
      <c r="A49" s="17">
        <v>46127</v>
      </c>
      <c r="B49" s="18" t="s">
        <v>1441</v>
      </c>
      <c r="C49" s="18" t="s">
        <v>1442</v>
      </c>
      <c r="D49" s="27">
        <v>399.99</v>
      </c>
      <c r="E49" s="19"/>
      <c r="F49" s="21"/>
      <c r="G49" s="18"/>
    </row>
    <row r="50" spans="1:8">
      <c r="A50" s="22">
        <v>46127</v>
      </c>
      <c r="B50" s="23" t="s">
        <v>1443</v>
      </c>
      <c r="C50" s="23" t="s">
        <v>1444</v>
      </c>
      <c r="D50" s="24">
        <v>140</v>
      </c>
      <c r="E50" s="25"/>
      <c r="F50" s="26"/>
      <c r="G50" s="23"/>
      <c r="H50" s="23" t="s">
        <v>1445</v>
      </c>
    </row>
    <row r="51" spans="1:8">
      <c r="A51" s="17">
        <v>46127</v>
      </c>
      <c r="B51" s="18" t="s">
        <v>1446</v>
      </c>
      <c r="C51" s="18" t="s">
        <v>1106</v>
      </c>
      <c r="D51" s="19"/>
      <c r="E51" s="20">
        <v>486.32</v>
      </c>
      <c r="F51" s="21" t="s">
        <v>107</v>
      </c>
      <c r="G51" s="18"/>
    </row>
    <row r="52" spans="1:8">
      <c r="A52" s="22">
        <v>46127</v>
      </c>
      <c r="B52" s="23" t="s">
        <v>1447</v>
      </c>
      <c r="C52" s="23" t="s">
        <v>829</v>
      </c>
      <c r="D52" s="25"/>
      <c r="E52" s="28">
        <v>403.56</v>
      </c>
      <c r="F52" s="26" t="s">
        <v>104</v>
      </c>
      <c r="G52" s="23"/>
    </row>
    <row r="53" spans="1:8">
      <c r="A53" s="17">
        <v>46127</v>
      </c>
      <c r="B53" s="18" t="s">
        <v>1085</v>
      </c>
      <c r="C53" s="18" t="s">
        <v>716</v>
      </c>
      <c r="D53" s="19"/>
      <c r="E53" s="20">
        <v>883.1</v>
      </c>
      <c r="F53" s="21" t="s">
        <v>99</v>
      </c>
      <c r="G53" s="18"/>
    </row>
    <row r="54" spans="1:8">
      <c r="A54" s="22">
        <v>46128</v>
      </c>
      <c r="B54" s="23" t="s">
        <v>1448</v>
      </c>
      <c r="C54" s="23" t="s">
        <v>1431</v>
      </c>
      <c r="D54" s="25"/>
      <c r="E54" s="28">
        <v>420</v>
      </c>
      <c r="F54" s="26" t="s">
        <v>110</v>
      </c>
      <c r="G54" s="23"/>
    </row>
    <row r="55" spans="1:8">
      <c r="A55" s="17">
        <v>46128</v>
      </c>
      <c r="B55" s="18" t="s">
        <v>1449</v>
      </c>
      <c r="C55" s="18" t="s">
        <v>1431</v>
      </c>
      <c r="D55" s="27">
        <v>280</v>
      </c>
      <c r="E55" s="19"/>
      <c r="F55" s="21"/>
      <c r="G55" s="18"/>
    </row>
    <row r="56" spans="1:8">
      <c r="A56" s="22">
        <v>46128</v>
      </c>
      <c r="B56" s="23" t="s">
        <v>1450</v>
      </c>
      <c r="C56" s="23" t="s">
        <v>735</v>
      </c>
      <c r="D56" s="24">
        <v>140</v>
      </c>
      <c r="E56" s="25"/>
      <c r="F56" s="26"/>
      <c r="G56" s="23"/>
    </row>
    <row r="57" spans="1:8">
      <c r="A57" s="17">
        <v>46128</v>
      </c>
      <c r="B57" s="18" t="s">
        <v>1451</v>
      </c>
      <c r="C57" s="18" t="s">
        <v>1452</v>
      </c>
      <c r="D57" s="27">
        <v>150</v>
      </c>
      <c r="E57" s="19"/>
      <c r="F57" s="21"/>
      <c r="G57" s="18"/>
      <c r="H57" s="18" t="s">
        <v>1453</v>
      </c>
    </row>
    <row r="58" spans="1:8">
      <c r="A58" s="22">
        <v>46128</v>
      </c>
      <c r="B58" s="23" t="s">
        <v>1454</v>
      </c>
      <c r="C58" s="23" t="s">
        <v>886</v>
      </c>
      <c r="D58" s="24">
        <v>110</v>
      </c>
      <c r="E58" s="25"/>
      <c r="F58" s="26"/>
      <c r="G58" s="23"/>
      <c r="H58" s="23" t="s">
        <v>887</v>
      </c>
    </row>
    <row r="59" spans="1:8">
      <c r="A59" s="17">
        <v>46128</v>
      </c>
      <c r="B59" s="18" t="s">
        <v>1455</v>
      </c>
      <c r="C59" s="18" t="s">
        <v>1444</v>
      </c>
      <c r="D59" s="27">
        <v>130</v>
      </c>
      <c r="E59" s="19"/>
      <c r="F59" s="21"/>
      <c r="G59" s="18"/>
      <c r="H59" s="18" t="s">
        <v>1445</v>
      </c>
    </row>
    <row r="60" spans="1:8">
      <c r="A60" s="22">
        <v>46128</v>
      </c>
      <c r="B60" s="23" t="s">
        <v>1456</v>
      </c>
      <c r="C60" s="23" t="s">
        <v>735</v>
      </c>
      <c r="D60" s="24">
        <v>140</v>
      </c>
      <c r="E60" s="25"/>
      <c r="F60" s="26"/>
      <c r="G60" s="23"/>
    </row>
    <row r="61" spans="1:8">
      <c r="A61" s="17">
        <v>46128</v>
      </c>
      <c r="B61" s="18" t="s">
        <v>1457</v>
      </c>
      <c r="C61" s="18" t="s">
        <v>735</v>
      </c>
      <c r="D61" s="27">
        <v>140</v>
      </c>
      <c r="E61" s="19"/>
      <c r="F61" s="21"/>
      <c r="G61" s="18"/>
    </row>
    <row r="62" spans="1:8">
      <c r="A62" s="22">
        <v>46128</v>
      </c>
      <c r="B62" s="23" t="s">
        <v>1458</v>
      </c>
      <c r="C62" s="23" t="s">
        <v>726</v>
      </c>
      <c r="D62" s="24">
        <v>30</v>
      </c>
      <c r="E62" s="25"/>
      <c r="F62" s="26"/>
      <c r="G62" s="23"/>
    </row>
    <row r="63" spans="1:8">
      <c r="A63" s="17">
        <v>46128</v>
      </c>
      <c r="B63" s="18" t="s">
        <v>1459</v>
      </c>
      <c r="C63" s="18" t="s">
        <v>1460</v>
      </c>
      <c r="D63" s="27">
        <v>200</v>
      </c>
      <c r="E63" s="19"/>
      <c r="F63" s="21"/>
      <c r="G63" s="18"/>
      <c r="H63" s="18" t="s">
        <v>1461</v>
      </c>
    </row>
    <row r="64" spans="1:8">
      <c r="A64" s="22">
        <v>46128</v>
      </c>
      <c r="B64" s="23" t="s">
        <v>1462</v>
      </c>
      <c r="C64" s="23" t="s">
        <v>726</v>
      </c>
      <c r="D64" s="24">
        <v>85</v>
      </c>
      <c r="E64" s="25"/>
      <c r="F64" s="26"/>
      <c r="G64" s="23"/>
    </row>
    <row r="65" spans="1:8">
      <c r="A65" s="17">
        <v>46128</v>
      </c>
      <c r="B65" s="18" t="s">
        <v>1463</v>
      </c>
      <c r="C65" s="18" t="s">
        <v>726</v>
      </c>
      <c r="D65" s="27">
        <v>65</v>
      </c>
      <c r="E65" s="19"/>
      <c r="F65" s="21"/>
      <c r="G65" s="18"/>
    </row>
    <row r="66" spans="1:8">
      <c r="A66" s="22">
        <v>46128</v>
      </c>
      <c r="B66" s="23" t="s">
        <v>1464</v>
      </c>
      <c r="C66" s="23" t="s">
        <v>908</v>
      </c>
      <c r="D66" s="24">
        <v>140</v>
      </c>
      <c r="E66" s="25"/>
      <c r="F66" s="26"/>
      <c r="G66" s="23"/>
      <c r="H66" s="23" t="s">
        <v>909</v>
      </c>
    </row>
    <row r="67" spans="1:8">
      <c r="A67" s="17">
        <v>46129</v>
      </c>
      <c r="B67" s="18" t="s">
        <v>1465</v>
      </c>
      <c r="C67" s="18" t="s">
        <v>1466</v>
      </c>
      <c r="D67" s="27">
        <v>190</v>
      </c>
      <c r="E67" s="19"/>
      <c r="F67" s="21"/>
      <c r="G67" s="18"/>
      <c r="H67" s="18" t="s">
        <v>1467</v>
      </c>
    </row>
    <row r="68" spans="1:8">
      <c r="A68" s="22">
        <v>46129</v>
      </c>
      <c r="B68" s="23" t="s">
        <v>1468</v>
      </c>
      <c r="C68" s="23" t="s">
        <v>735</v>
      </c>
      <c r="D68" s="24">
        <v>35</v>
      </c>
      <c r="E68" s="25"/>
      <c r="F68" s="26"/>
      <c r="G68" s="23"/>
    </row>
    <row r="69" spans="1:8">
      <c r="A69" s="17">
        <v>46129</v>
      </c>
      <c r="B69" s="18" t="s">
        <v>1469</v>
      </c>
      <c r="C69" s="18" t="s">
        <v>726</v>
      </c>
      <c r="D69" s="27">
        <v>70</v>
      </c>
      <c r="E69" s="19"/>
      <c r="F69" s="21"/>
      <c r="G69" s="18"/>
    </row>
    <row r="70" spans="1:8">
      <c r="A70" s="22">
        <v>46130</v>
      </c>
      <c r="B70" s="23" t="s">
        <v>1470</v>
      </c>
      <c r="C70" s="23" t="s">
        <v>735</v>
      </c>
      <c r="D70" s="24">
        <v>140</v>
      </c>
      <c r="E70" s="25"/>
      <c r="F70" s="26"/>
      <c r="G70" s="23"/>
    </row>
    <row r="71" spans="1:8">
      <c r="A71" s="17">
        <v>46130</v>
      </c>
      <c r="B71" s="18" t="s">
        <v>1471</v>
      </c>
      <c r="C71" s="18" t="s">
        <v>1472</v>
      </c>
      <c r="D71" s="27">
        <v>1348</v>
      </c>
      <c r="E71" s="19"/>
      <c r="F71" s="21"/>
      <c r="G71" s="18"/>
      <c r="H71" s="18" t="s">
        <v>1473</v>
      </c>
    </row>
    <row r="72" spans="1:8">
      <c r="A72" s="22">
        <v>46130</v>
      </c>
      <c r="B72" s="23" t="s">
        <v>1474</v>
      </c>
      <c r="C72" s="23" t="s">
        <v>735</v>
      </c>
      <c r="D72" s="24">
        <v>90</v>
      </c>
      <c r="E72" s="25"/>
      <c r="F72" s="26"/>
      <c r="G72" s="23"/>
    </row>
    <row r="73" spans="1:8">
      <c r="A73" s="17">
        <v>46132</v>
      </c>
      <c r="B73" s="18" t="s">
        <v>1475</v>
      </c>
      <c r="C73" s="18" t="s">
        <v>726</v>
      </c>
      <c r="D73" s="27">
        <v>400</v>
      </c>
      <c r="E73" s="19"/>
      <c r="F73" s="21"/>
      <c r="G73" s="18"/>
    </row>
    <row r="74" spans="1:8">
      <c r="A74" s="22">
        <v>46132</v>
      </c>
      <c r="B74" s="23" t="s">
        <v>1476</v>
      </c>
      <c r="C74" s="23" t="s">
        <v>1477</v>
      </c>
      <c r="D74" s="24">
        <v>1448</v>
      </c>
      <c r="E74" s="25"/>
      <c r="F74" s="26"/>
      <c r="G74" s="23"/>
    </row>
    <row r="75" spans="1:8">
      <c r="A75" s="17">
        <v>46132</v>
      </c>
      <c r="B75" s="18" t="s">
        <v>1478</v>
      </c>
      <c r="C75" s="18" t="s">
        <v>857</v>
      </c>
      <c r="D75" s="19"/>
      <c r="E75" s="20">
        <v>149.12</v>
      </c>
      <c r="F75" s="21" t="s">
        <v>102</v>
      </c>
      <c r="G75" s="18"/>
    </row>
    <row r="76" spans="1:8">
      <c r="A76" s="22">
        <v>46132</v>
      </c>
      <c r="B76" s="23" t="s">
        <v>858</v>
      </c>
      <c r="C76" s="23" t="s">
        <v>857</v>
      </c>
      <c r="D76" s="25"/>
      <c r="E76" s="28">
        <v>319.29000000000002</v>
      </c>
      <c r="F76" s="26" t="s">
        <v>102</v>
      </c>
      <c r="G76" s="23"/>
    </row>
    <row r="77" spans="1:8">
      <c r="A77" s="17">
        <v>46132</v>
      </c>
      <c r="B77" s="18" t="s">
        <v>1479</v>
      </c>
      <c r="C77" s="18" t="s">
        <v>718</v>
      </c>
      <c r="D77" s="19"/>
      <c r="E77" s="20">
        <v>600.64</v>
      </c>
      <c r="F77" s="21" t="s">
        <v>99</v>
      </c>
      <c r="G77" s="18"/>
    </row>
    <row r="78" spans="1:8">
      <c r="A78" s="22">
        <v>46132</v>
      </c>
      <c r="B78" s="23" t="s">
        <v>1480</v>
      </c>
      <c r="C78" s="23" t="s">
        <v>857</v>
      </c>
      <c r="D78" s="25"/>
      <c r="E78" s="28">
        <v>1858.96</v>
      </c>
      <c r="F78" s="26" t="s">
        <v>102</v>
      </c>
      <c r="G78" s="23"/>
    </row>
    <row r="79" spans="1:8">
      <c r="A79" s="17">
        <v>46132</v>
      </c>
      <c r="B79" s="18" t="s">
        <v>1157</v>
      </c>
      <c r="C79" s="18" t="s">
        <v>730</v>
      </c>
      <c r="D79" s="19"/>
      <c r="E79" s="20">
        <v>541.37</v>
      </c>
      <c r="F79" s="21" t="s">
        <v>99</v>
      </c>
      <c r="G79" s="18"/>
    </row>
    <row r="80" spans="1:8">
      <c r="A80" s="22">
        <v>46132</v>
      </c>
      <c r="B80" s="23" t="s">
        <v>1329</v>
      </c>
      <c r="C80" s="23" t="s">
        <v>730</v>
      </c>
      <c r="D80" s="25"/>
      <c r="E80" s="28">
        <v>878.92</v>
      </c>
      <c r="F80" s="26" t="s">
        <v>99</v>
      </c>
      <c r="G80" s="23"/>
    </row>
    <row r="81" spans="1:8">
      <c r="A81" s="17">
        <v>46132</v>
      </c>
      <c r="B81" s="18" t="s">
        <v>1481</v>
      </c>
      <c r="C81" s="18" t="s">
        <v>720</v>
      </c>
      <c r="D81" s="27">
        <v>140</v>
      </c>
      <c r="E81" s="19"/>
      <c r="F81" s="21"/>
      <c r="G81" s="18"/>
      <c r="H81" s="18" t="s">
        <v>721</v>
      </c>
    </row>
    <row r="82" spans="1:8">
      <c r="A82" s="22">
        <v>46134</v>
      </c>
      <c r="B82" s="23" t="s">
        <v>1482</v>
      </c>
      <c r="C82" s="23" t="s">
        <v>1483</v>
      </c>
      <c r="D82" s="24">
        <v>140</v>
      </c>
      <c r="E82" s="25"/>
      <c r="F82" s="26"/>
      <c r="G82" s="23"/>
      <c r="H82" s="23" t="s">
        <v>1484</v>
      </c>
    </row>
    <row r="83" spans="1:8">
      <c r="A83" s="17">
        <v>46134</v>
      </c>
      <c r="B83" s="18" t="s">
        <v>1485</v>
      </c>
      <c r="C83" s="18" t="s">
        <v>735</v>
      </c>
      <c r="D83" s="27">
        <v>37</v>
      </c>
      <c r="E83" s="19"/>
      <c r="F83" s="21"/>
      <c r="G83" s="18"/>
    </row>
    <row r="84" spans="1:8">
      <c r="A84" s="22">
        <v>46134</v>
      </c>
      <c r="B84" s="23" t="s">
        <v>1486</v>
      </c>
      <c r="C84" s="23" t="s">
        <v>726</v>
      </c>
      <c r="D84" s="24">
        <v>140</v>
      </c>
      <c r="E84" s="25"/>
      <c r="F84" s="26"/>
      <c r="G84" s="23"/>
    </row>
    <row r="85" spans="1:8">
      <c r="A85" s="17">
        <v>46135</v>
      </c>
      <c r="B85" s="18" t="s">
        <v>1487</v>
      </c>
      <c r="C85" s="18" t="s">
        <v>1488</v>
      </c>
      <c r="D85" s="27">
        <v>120</v>
      </c>
      <c r="E85" s="19"/>
      <c r="F85" s="21"/>
      <c r="G85" s="18"/>
    </row>
    <row r="86" spans="1:8">
      <c r="A86" s="22">
        <v>46135</v>
      </c>
      <c r="B86" s="23" t="s">
        <v>1489</v>
      </c>
      <c r="C86" s="23" t="s">
        <v>1490</v>
      </c>
      <c r="D86" s="24">
        <v>140</v>
      </c>
      <c r="E86" s="25"/>
      <c r="F86" s="26"/>
      <c r="G86" s="23"/>
      <c r="H86" s="23" t="s">
        <v>1491</v>
      </c>
    </row>
    <row r="87" spans="1:8">
      <c r="A87" s="17">
        <v>46135</v>
      </c>
      <c r="B87" s="18" t="s">
        <v>1492</v>
      </c>
      <c r="C87" s="18" t="s">
        <v>1493</v>
      </c>
      <c r="D87" s="27">
        <v>140</v>
      </c>
      <c r="E87" s="19"/>
      <c r="F87" s="21"/>
      <c r="G87" s="18"/>
    </row>
    <row r="88" spans="1:8">
      <c r="A88" s="22">
        <v>46135</v>
      </c>
      <c r="B88" s="23" t="s">
        <v>1494</v>
      </c>
      <c r="C88" s="23" t="s">
        <v>1495</v>
      </c>
      <c r="D88" s="24">
        <v>140</v>
      </c>
      <c r="E88" s="25"/>
      <c r="F88" s="26"/>
      <c r="G88" s="23"/>
    </row>
    <row r="89" spans="1:8">
      <c r="A89" s="17">
        <v>46135</v>
      </c>
      <c r="B89" s="18" t="s">
        <v>1496</v>
      </c>
      <c r="C89" s="18" t="s">
        <v>1497</v>
      </c>
      <c r="D89" s="27">
        <v>140</v>
      </c>
      <c r="E89" s="19"/>
      <c r="F89" s="21"/>
      <c r="G89" s="18"/>
    </row>
    <row r="90" spans="1:8">
      <c r="A90" s="22">
        <v>46135</v>
      </c>
      <c r="B90" s="23" t="s">
        <v>1498</v>
      </c>
      <c r="C90" s="23" t="s">
        <v>1499</v>
      </c>
      <c r="D90" s="24">
        <v>190</v>
      </c>
      <c r="E90" s="25"/>
      <c r="F90" s="26"/>
      <c r="G90" s="23"/>
      <c r="H90" s="23" t="s">
        <v>1500</v>
      </c>
    </row>
    <row r="91" spans="1:8">
      <c r="A91" s="17">
        <v>46135</v>
      </c>
      <c r="B91" s="18" t="s">
        <v>1501</v>
      </c>
      <c r="C91" s="18" t="s">
        <v>1502</v>
      </c>
      <c r="D91" s="27">
        <v>1298</v>
      </c>
      <c r="E91" s="19"/>
      <c r="F91" s="21"/>
      <c r="G91" s="18"/>
      <c r="H91" s="18" t="s">
        <v>1503</v>
      </c>
    </row>
    <row r="92" spans="1:8">
      <c r="A92" s="22">
        <v>46135</v>
      </c>
      <c r="B92" s="23" t="s">
        <v>1504</v>
      </c>
      <c r="C92" s="23" t="s">
        <v>726</v>
      </c>
      <c r="D92" s="24">
        <v>160</v>
      </c>
      <c r="E92" s="25"/>
      <c r="F92" s="26"/>
      <c r="G92" s="23"/>
    </row>
    <row r="93" spans="1:8">
      <c r="A93" s="17">
        <v>46135</v>
      </c>
      <c r="B93" s="18" t="s">
        <v>1505</v>
      </c>
      <c r="C93" s="18" t="s">
        <v>1506</v>
      </c>
      <c r="D93" s="27">
        <v>340</v>
      </c>
      <c r="E93" s="19"/>
      <c r="F93" s="21"/>
      <c r="G93" s="18"/>
      <c r="H93" s="18" t="s">
        <v>1507</v>
      </c>
    </row>
    <row r="94" spans="1:8">
      <c r="A94" s="22">
        <v>46136</v>
      </c>
      <c r="B94" s="23" t="s">
        <v>1508</v>
      </c>
      <c r="C94" s="23" t="s">
        <v>1509</v>
      </c>
      <c r="D94" s="24">
        <v>140</v>
      </c>
      <c r="E94" s="25"/>
      <c r="F94" s="26"/>
      <c r="G94" s="23"/>
      <c r="H94" s="23" t="s">
        <v>1510</v>
      </c>
    </row>
    <row r="95" spans="1:8">
      <c r="A95" s="17">
        <v>46136</v>
      </c>
      <c r="B95" s="18" t="s">
        <v>1511</v>
      </c>
      <c r="C95" s="18" t="s">
        <v>726</v>
      </c>
      <c r="D95" s="27">
        <v>25</v>
      </c>
      <c r="E95" s="19"/>
      <c r="F95" s="21"/>
      <c r="G95" s="18"/>
    </row>
    <row r="96" spans="1:8">
      <c r="A96" s="22">
        <v>46136</v>
      </c>
      <c r="B96" s="23" t="s">
        <v>1512</v>
      </c>
      <c r="C96" s="23" t="s">
        <v>726</v>
      </c>
      <c r="D96" s="24">
        <v>50</v>
      </c>
      <c r="E96" s="25"/>
      <c r="F96" s="26"/>
      <c r="G96" s="23"/>
    </row>
    <row r="97" spans="1:8">
      <c r="A97" s="17">
        <v>46136</v>
      </c>
      <c r="B97" s="18" t="s">
        <v>1513</v>
      </c>
      <c r="C97" s="18" t="s">
        <v>1514</v>
      </c>
      <c r="D97" s="27">
        <v>170</v>
      </c>
      <c r="E97" s="19"/>
      <c r="F97" s="21"/>
      <c r="G97" s="18"/>
    </row>
    <row r="98" spans="1:8">
      <c r="A98" s="22">
        <v>46137</v>
      </c>
      <c r="B98" s="23" t="s">
        <v>1515</v>
      </c>
      <c r="C98" s="23" t="s">
        <v>1516</v>
      </c>
      <c r="D98" s="24">
        <v>100</v>
      </c>
      <c r="E98" s="25"/>
      <c r="F98" s="26"/>
      <c r="G98" s="23"/>
      <c r="H98" s="23" t="s">
        <v>1517</v>
      </c>
    </row>
    <row r="99" spans="1:8">
      <c r="A99" s="17">
        <v>46137</v>
      </c>
      <c r="B99" s="18" t="s">
        <v>1518</v>
      </c>
      <c r="C99" s="18" t="s">
        <v>735</v>
      </c>
      <c r="D99" s="27">
        <v>140</v>
      </c>
      <c r="E99" s="19"/>
      <c r="F99" s="21"/>
      <c r="G99" s="18"/>
    </row>
    <row r="100" spans="1:8">
      <c r="A100" s="22">
        <v>46137</v>
      </c>
      <c r="B100" s="23" t="s">
        <v>1519</v>
      </c>
      <c r="C100" s="23" t="s">
        <v>735</v>
      </c>
      <c r="D100" s="24">
        <v>140</v>
      </c>
      <c r="E100" s="25"/>
      <c r="F100" s="26"/>
      <c r="G100" s="23"/>
    </row>
    <row r="101" spans="1:8">
      <c r="A101" s="17">
        <v>46137</v>
      </c>
      <c r="B101" s="18" t="s">
        <v>1520</v>
      </c>
      <c r="C101" s="18" t="s">
        <v>726</v>
      </c>
      <c r="D101" s="27">
        <v>30</v>
      </c>
      <c r="E101" s="19"/>
      <c r="F101" s="21"/>
      <c r="G101" s="18"/>
    </row>
    <row r="102" spans="1:8">
      <c r="A102" s="22">
        <v>46137</v>
      </c>
      <c r="B102" s="23" t="s">
        <v>1332</v>
      </c>
      <c r="C102" s="23" t="s">
        <v>716</v>
      </c>
      <c r="D102" s="25"/>
      <c r="E102" s="28">
        <v>676.59</v>
      </c>
      <c r="F102" s="26" t="s">
        <v>99</v>
      </c>
      <c r="G102" s="23"/>
    </row>
    <row r="103" spans="1:8">
      <c r="A103" s="17">
        <v>46137</v>
      </c>
      <c r="B103" s="18" t="s">
        <v>1521</v>
      </c>
      <c r="C103" s="18" t="s">
        <v>857</v>
      </c>
      <c r="D103" s="19"/>
      <c r="E103" s="20">
        <v>860.72</v>
      </c>
      <c r="F103" s="21" t="s">
        <v>102</v>
      </c>
      <c r="G103" s="18"/>
    </row>
    <row r="104" spans="1:8">
      <c r="A104" s="22">
        <v>46139</v>
      </c>
      <c r="B104" s="23" t="s">
        <v>1522</v>
      </c>
      <c r="C104" s="23" t="s">
        <v>1523</v>
      </c>
      <c r="D104" s="24">
        <v>160</v>
      </c>
      <c r="E104" s="25"/>
      <c r="F104" s="26"/>
      <c r="G104" s="23"/>
      <c r="H104" s="23" t="s">
        <v>1524</v>
      </c>
    </row>
    <row r="105" spans="1:8">
      <c r="A105" s="17">
        <v>46139</v>
      </c>
      <c r="B105" s="18" t="s">
        <v>1525</v>
      </c>
      <c r="C105" s="18" t="s">
        <v>726</v>
      </c>
      <c r="D105" s="27">
        <v>140</v>
      </c>
      <c r="E105" s="19"/>
      <c r="F105" s="21"/>
      <c r="G105" s="18"/>
    </row>
    <row r="106" spans="1:8">
      <c r="A106" s="22">
        <v>46139</v>
      </c>
      <c r="B106" s="23" t="s">
        <v>1526</v>
      </c>
      <c r="C106" s="23" t="s">
        <v>1527</v>
      </c>
      <c r="D106" s="24">
        <v>200</v>
      </c>
      <c r="E106" s="25"/>
      <c r="F106" s="26"/>
      <c r="G106" s="23"/>
    </row>
    <row r="107" spans="1:8">
      <c r="A107" s="17">
        <v>46139</v>
      </c>
      <c r="B107" s="18" t="s">
        <v>894</v>
      </c>
      <c r="C107" s="18" t="s">
        <v>730</v>
      </c>
      <c r="D107" s="19"/>
      <c r="E107" s="20">
        <v>980.81</v>
      </c>
      <c r="F107" s="21" t="s">
        <v>99</v>
      </c>
      <c r="G107" s="18"/>
    </row>
    <row r="108" spans="1:8">
      <c r="A108" s="22">
        <v>46140</v>
      </c>
      <c r="B108" s="23" t="s">
        <v>1528</v>
      </c>
      <c r="C108" s="23" t="s">
        <v>726</v>
      </c>
      <c r="D108" s="24">
        <v>85</v>
      </c>
      <c r="E108" s="25"/>
      <c r="F108" s="26"/>
      <c r="G108" s="23"/>
    </row>
    <row r="109" spans="1:8">
      <c r="A109" s="17">
        <v>46140</v>
      </c>
      <c r="B109" s="18" t="s">
        <v>1529</v>
      </c>
      <c r="C109" s="18" t="s">
        <v>735</v>
      </c>
      <c r="D109" s="27">
        <v>30</v>
      </c>
      <c r="E109" s="19"/>
      <c r="F109" s="21"/>
      <c r="G109" s="18"/>
    </row>
    <row r="110" spans="1:8">
      <c r="A110" s="22">
        <v>46140</v>
      </c>
      <c r="B110" s="23" t="s">
        <v>1530</v>
      </c>
      <c r="C110" s="23" t="s">
        <v>1531</v>
      </c>
      <c r="D110" s="24">
        <v>150</v>
      </c>
      <c r="E110" s="25"/>
      <c r="F110" s="26"/>
      <c r="G110" s="23"/>
      <c r="H110" s="23" t="s">
        <v>1532</v>
      </c>
    </row>
    <row r="111" spans="1:8">
      <c r="A111" s="17">
        <v>46141</v>
      </c>
      <c r="B111" s="18" t="s">
        <v>1533</v>
      </c>
      <c r="C111" s="18" t="s">
        <v>1534</v>
      </c>
      <c r="D111" s="27">
        <v>510</v>
      </c>
      <c r="E111" s="19"/>
      <c r="F111" s="21"/>
      <c r="G111" s="18"/>
      <c r="H111" s="18" t="s">
        <v>1535</v>
      </c>
    </row>
    <row r="112" spans="1:8">
      <c r="A112" s="22">
        <v>46141</v>
      </c>
      <c r="B112" s="23" t="s">
        <v>1536</v>
      </c>
      <c r="C112" s="23" t="s">
        <v>1537</v>
      </c>
      <c r="D112" s="24">
        <v>140</v>
      </c>
      <c r="E112" s="25"/>
      <c r="F112" s="26"/>
      <c r="G112" s="23"/>
      <c r="H112" s="23" t="s">
        <v>1538</v>
      </c>
    </row>
    <row r="113" spans="1:8">
      <c r="A113" s="17">
        <v>46141</v>
      </c>
      <c r="B113" s="18" t="s">
        <v>1539</v>
      </c>
      <c r="C113" s="18" t="s">
        <v>735</v>
      </c>
      <c r="D113" s="27">
        <v>160</v>
      </c>
      <c r="E113" s="19"/>
      <c r="F113" s="21"/>
      <c r="G113" s="18"/>
    </row>
    <row r="114" spans="1:8">
      <c r="A114" s="22">
        <v>46141</v>
      </c>
      <c r="B114" s="23" t="s">
        <v>1540</v>
      </c>
      <c r="C114" s="23" t="s">
        <v>726</v>
      </c>
      <c r="D114" s="24">
        <v>15</v>
      </c>
      <c r="E114" s="25"/>
      <c r="F114" s="26"/>
      <c r="G114" s="23"/>
    </row>
    <row r="115" spans="1:8">
      <c r="A115" s="17">
        <v>46141</v>
      </c>
      <c r="B115" s="18" t="s">
        <v>1541</v>
      </c>
      <c r="C115" s="18" t="s">
        <v>1542</v>
      </c>
      <c r="D115" s="27">
        <v>135</v>
      </c>
      <c r="E115" s="19"/>
      <c r="F115" s="21"/>
      <c r="G115" s="18"/>
      <c r="H115" s="18" t="s">
        <v>1543</v>
      </c>
    </row>
    <row r="116" spans="1:8">
      <c r="A116" s="22">
        <v>46141</v>
      </c>
      <c r="B116" s="23" t="s">
        <v>1159</v>
      </c>
      <c r="C116" s="23" t="s">
        <v>716</v>
      </c>
      <c r="D116" s="25"/>
      <c r="E116" s="28">
        <v>1305</v>
      </c>
      <c r="F116" s="26" t="s">
        <v>99</v>
      </c>
      <c r="G116" s="23"/>
    </row>
    <row r="117" spans="1:8">
      <c r="A117" s="17">
        <v>46141</v>
      </c>
      <c r="B117" s="18" t="s">
        <v>1544</v>
      </c>
      <c r="C117" s="18" t="s">
        <v>718</v>
      </c>
      <c r="D117" s="19"/>
      <c r="E117" s="20">
        <v>610.35</v>
      </c>
      <c r="F117" s="21" t="s">
        <v>99</v>
      </c>
      <c r="G117" s="18"/>
    </row>
    <row r="118" spans="1:8">
      <c r="A118" s="22">
        <v>46141</v>
      </c>
      <c r="B118" s="23" t="s">
        <v>897</v>
      </c>
      <c r="C118" s="23" t="s">
        <v>730</v>
      </c>
      <c r="D118" s="25"/>
      <c r="E118" s="28">
        <v>878.92</v>
      </c>
      <c r="F118" s="26" t="s">
        <v>99</v>
      </c>
      <c r="G118" s="23"/>
    </row>
    <row r="119" spans="1:8">
      <c r="A119" s="17">
        <v>46142</v>
      </c>
      <c r="B119" s="18" t="s">
        <v>1545</v>
      </c>
      <c r="C119" s="18" t="s">
        <v>1546</v>
      </c>
      <c r="D119" s="27">
        <v>140</v>
      </c>
      <c r="E119" s="19"/>
      <c r="F119" s="21"/>
      <c r="G119" s="18"/>
      <c r="H119" s="18" t="s">
        <v>1547</v>
      </c>
    </row>
    <row r="120" spans="1:8">
      <c r="A120" s="22">
        <v>46142</v>
      </c>
      <c r="B120" s="23" t="s">
        <v>1548</v>
      </c>
      <c r="C120" s="23" t="s">
        <v>1549</v>
      </c>
      <c r="D120" s="24">
        <v>200</v>
      </c>
      <c r="E120" s="25"/>
      <c r="F120" s="26"/>
      <c r="G120" s="23"/>
      <c r="H120" s="23" t="s">
        <v>1550</v>
      </c>
    </row>
    <row r="121" spans="1:8">
      <c r="A121" s="17">
        <v>46142</v>
      </c>
      <c r="B121" s="18" t="s">
        <v>1551</v>
      </c>
      <c r="C121" s="18" t="s">
        <v>726</v>
      </c>
      <c r="D121" s="27">
        <v>75</v>
      </c>
      <c r="E121" s="19"/>
      <c r="F121" s="21"/>
      <c r="G121" s="18"/>
    </row>
    <row r="122" spans="1:8">
      <c r="A122" s="22">
        <v>46142</v>
      </c>
      <c r="B122" s="23" t="s">
        <v>1552</v>
      </c>
      <c r="C122" s="23" t="s">
        <v>796</v>
      </c>
      <c r="D122" s="25"/>
      <c r="E122" s="28">
        <v>1571.32</v>
      </c>
      <c r="F122" s="26" t="s">
        <v>106</v>
      </c>
      <c r="G122" s="23"/>
    </row>
    <row r="123" spans="1:8">
      <c r="A123" s="17">
        <v>46142</v>
      </c>
      <c r="B123" s="18" t="s">
        <v>1553</v>
      </c>
      <c r="C123" s="18" t="s">
        <v>923</v>
      </c>
      <c r="D123" s="19"/>
      <c r="E123" s="20">
        <v>1213.5999999999999</v>
      </c>
      <c r="F123" s="21" t="s">
        <v>106</v>
      </c>
      <c r="G123" s="18"/>
    </row>
    <row r="124" spans="1:8">
      <c r="A124" s="29"/>
      <c r="B124" s="227" t="s">
        <v>925</v>
      </c>
      <c r="C124" s="160"/>
      <c r="D124" s="8">
        <f>SUM(D5:D123)</f>
        <v>22291.989999999998</v>
      </c>
      <c r="E124" s="8">
        <f>SUM(E5:E123)</f>
        <v>16952.16</v>
      </c>
      <c r="F124" s="29"/>
      <c r="G124" s="29"/>
    </row>
    <row r="125" spans="1:8" ht="15.75" customHeight="1">
      <c r="A125" s="30"/>
      <c r="B125" s="226" t="s">
        <v>926</v>
      </c>
      <c r="C125" s="157"/>
      <c r="D125" s="225">
        <f>D124-J18</f>
        <v>5391.4399999999987</v>
      </c>
      <c r="E125" s="157"/>
      <c r="F125" s="30"/>
      <c r="G125" s="30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46C1"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defaultColWidth="8.7109375" defaultRowHeight="15"/>
  <cols>
    <col min="1" max="1" width="12" style="147" customWidth="1"/>
    <col min="2" max="2" width="52" style="147" customWidth="1"/>
    <col min="3" max="3" width="32" style="147" customWidth="1"/>
    <col min="4" max="5" width="14" style="147" customWidth="1"/>
    <col min="6" max="6" width="26" style="147" customWidth="1"/>
    <col min="7" max="7" width="30" style="147" customWidth="1"/>
    <col min="8" max="8" width="11" style="147" customWidth="1"/>
    <col min="9" max="9" width="32" style="147" customWidth="1"/>
    <col min="10" max="10" width="14" style="147" customWidth="1"/>
    <col min="12" max="17" width="15" style="147" customWidth="1"/>
  </cols>
  <sheetData>
    <row r="1" spans="1:17" ht="25.5" customHeight="1">
      <c r="A1" s="223" t="s">
        <v>1554</v>
      </c>
      <c r="B1" s="157"/>
      <c r="C1" s="157"/>
      <c r="D1" s="157"/>
      <c r="E1" s="157"/>
      <c r="F1" s="157"/>
      <c r="G1" s="157"/>
    </row>
    <row r="2" spans="1:17">
      <c r="A2" s="228" t="s">
        <v>697</v>
      </c>
      <c r="B2" s="157"/>
      <c r="C2" s="157"/>
      <c r="D2" s="157"/>
      <c r="E2" s="157"/>
      <c r="F2" s="157"/>
      <c r="G2" s="157"/>
    </row>
    <row r="3" spans="1:17">
      <c r="A3" s="127" t="s">
        <v>64</v>
      </c>
    </row>
    <row r="4" spans="1:17" ht="20.100000000000001" customHeight="1">
      <c r="A4" s="1" t="s">
        <v>445</v>
      </c>
      <c r="B4" s="1" t="s">
        <v>698</v>
      </c>
      <c r="C4" s="1" t="s">
        <v>699</v>
      </c>
      <c r="D4" s="1" t="s">
        <v>700</v>
      </c>
      <c r="E4" s="1" t="s">
        <v>701</v>
      </c>
      <c r="F4" s="1" t="s">
        <v>702</v>
      </c>
      <c r="G4" s="1" t="s">
        <v>189</v>
      </c>
      <c r="H4" s="1" t="s">
        <v>703</v>
      </c>
      <c r="I4" s="222" t="s">
        <v>704</v>
      </c>
      <c r="J4" s="157"/>
      <c r="L4" s="224" t="s">
        <v>532</v>
      </c>
      <c r="M4" s="157"/>
      <c r="N4" s="232" t="s">
        <v>705</v>
      </c>
      <c r="O4" s="157"/>
      <c r="P4" s="221" t="s">
        <v>706</v>
      </c>
      <c r="Q4" s="157"/>
    </row>
    <row r="5" spans="1:17" ht="14.1" customHeight="1">
      <c r="A5" s="17">
        <v>46143</v>
      </c>
      <c r="B5" s="18" t="s">
        <v>1555</v>
      </c>
      <c r="C5" s="18" t="s">
        <v>796</v>
      </c>
      <c r="D5" s="19"/>
      <c r="E5" s="20">
        <v>1571.32</v>
      </c>
      <c r="F5" s="21" t="s">
        <v>106</v>
      </c>
      <c r="G5" s="18"/>
      <c r="I5" s="10" t="s">
        <v>99</v>
      </c>
      <c r="J5" s="11">
        <f>SUMIF(F5:F122,I5,E5:E122)</f>
        <v>13794.03</v>
      </c>
      <c r="L5" s="229">
        <f>D123</f>
        <v>16232</v>
      </c>
      <c r="M5" s="157"/>
      <c r="N5" s="231">
        <f>J18</f>
        <v>22268.27</v>
      </c>
      <c r="O5" s="157"/>
      <c r="P5" s="230">
        <f>D124</f>
        <v>-6036.27</v>
      </c>
      <c r="Q5" s="157"/>
    </row>
    <row r="6" spans="1:17" ht="14.1" customHeight="1">
      <c r="A6" s="22">
        <v>46143</v>
      </c>
      <c r="B6" s="23" t="s">
        <v>1556</v>
      </c>
      <c r="C6" s="23" t="s">
        <v>708</v>
      </c>
      <c r="D6" s="25"/>
      <c r="E6" s="28">
        <v>870</v>
      </c>
      <c r="F6" s="26" t="s">
        <v>100</v>
      </c>
      <c r="G6" s="23"/>
      <c r="I6" s="13" t="s">
        <v>100</v>
      </c>
      <c r="J6" s="14">
        <f>SUMIF(F5:F122,I6,E5:E122)</f>
        <v>870</v>
      </c>
      <c r="L6" s="157"/>
      <c r="M6" s="157"/>
      <c r="N6" s="157"/>
      <c r="O6" s="157"/>
      <c r="P6" s="157"/>
      <c r="Q6" s="157"/>
    </row>
    <row r="7" spans="1:17">
      <c r="A7" s="17">
        <v>46144</v>
      </c>
      <c r="B7" s="18" t="s">
        <v>1557</v>
      </c>
      <c r="C7" s="18" t="s">
        <v>1516</v>
      </c>
      <c r="D7" s="27">
        <v>30</v>
      </c>
      <c r="E7" s="19"/>
      <c r="F7" s="21"/>
      <c r="G7" s="18"/>
      <c r="H7" s="18" t="s">
        <v>1517</v>
      </c>
      <c r="I7" s="10" t="s">
        <v>101</v>
      </c>
      <c r="J7" s="11">
        <f>SUMIF(F5:F122,I7,E5:E122)</f>
        <v>273.52</v>
      </c>
    </row>
    <row r="8" spans="1:17">
      <c r="A8" s="22">
        <v>46144</v>
      </c>
      <c r="B8" s="23" t="s">
        <v>1558</v>
      </c>
      <c r="C8" s="23" t="s">
        <v>1559</v>
      </c>
      <c r="D8" s="24">
        <v>280</v>
      </c>
      <c r="E8" s="25"/>
      <c r="F8" s="26"/>
      <c r="G8" s="23"/>
      <c r="H8" s="23" t="s">
        <v>876</v>
      </c>
      <c r="I8" s="13" t="s">
        <v>102</v>
      </c>
      <c r="J8" s="14">
        <f>SUMIF(F5:F122,I8,E5:E122)</f>
        <v>4839.3999999999996</v>
      </c>
    </row>
    <row r="9" spans="1:17">
      <c r="A9" s="17">
        <v>46144</v>
      </c>
      <c r="B9" s="18" t="s">
        <v>1560</v>
      </c>
      <c r="C9" s="18" t="s">
        <v>735</v>
      </c>
      <c r="D9" s="27">
        <v>140</v>
      </c>
      <c r="E9" s="19"/>
      <c r="F9" s="21"/>
      <c r="G9" s="18"/>
      <c r="I9" s="10" t="s">
        <v>103</v>
      </c>
      <c r="J9" s="11">
        <f>SUMIF(F5:F122,I9,E5:E122)</f>
        <v>0</v>
      </c>
    </row>
    <row r="10" spans="1:17">
      <c r="A10" s="22">
        <v>46144</v>
      </c>
      <c r="B10" s="23" t="s">
        <v>1561</v>
      </c>
      <c r="C10" s="23" t="s">
        <v>730</v>
      </c>
      <c r="D10" s="25"/>
      <c r="E10" s="28">
        <v>878.92</v>
      </c>
      <c r="F10" s="26" t="s">
        <v>99</v>
      </c>
      <c r="G10" s="23"/>
      <c r="I10" s="13" t="s">
        <v>104</v>
      </c>
      <c r="J10" s="14">
        <f>SUMIF(F5:F122,I10,E5:E122)</f>
        <v>0</v>
      </c>
    </row>
    <row r="11" spans="1:17">
      <c r="A11" s="17">
        <v>46144</v>
      </c>
      <c r="B11" s="18" t="s">
        <v>1562</v>
      </c>
      <c r="C11" s="18" t="s">
        <v>716</v>
      </c>
      <c r="D11" s="19"/>
      <c r="E11" s="20">
        <v>706.65</v>
      </c>
      <c r="F11" s="21" t="s">
        <v>99</v>
      </c>
      <c r="G11" s="18"/>
      <c r="I11" s="10" t="s">
        <v>106</v>
      </c>
      <c r="J11" s="11">
        <f>SUMIF(F5:F122,I11,E5:E122)</f>
        <v>2071.3199999999997</v>
      </c>
    </row>
    <row r="12" spans="1:17">
      <c r="A12" s="22">
        <v>46146</v>
      </c>
      <c r="B12" s="23" t="s">
        <v>1563</v>
      </c>
      <c r="C12" s="23" t="s">
        <v>726</v>
      </c>
      <c r="D12" s="24">
        <v>65</v>
      </c>
      <c r="E12" s="25"/>
      <c r="F12" s="26"/>
      <c r="G12" s="23"/>
      <c r="I12" s="13" t="s">
        <v>107</v>
      </c>
      <c r="J12" s="14">
        <f>SUMIF(F5:F122,I12,E5:E122)</f>
        <v>0</v>
      </c>
    </row>
    <row r="13" spans="1:17">
      <c r="A13" s="17">
        <v>46146</v>
      </c>
      <c r="B13" s="18" t="s">
        <v>1564</v>
      </c>
      <c r="C13" s="18" t="s">
        <v>726</v>
      </c>
      <c r="D13" s="27">
        <v>95</v>
      </c>
      <c r="E13" s="19"/>
      <c r="F13" s="21"/>
      <c r="G13" s="18"/>
      <c r="I13" s="10" t="s">
        <v>108</v>
      </c>
      <c r="J13" s="11">
        <f>SUMIF(F5:F122,I13,E5:E122)</f>
        <v>200</v>
      </c>
    </row>
    <row r="14" spans="1:17">
      <c r="A14" s="22">
        <v>46146</v>
      </c>
      <c r="B14" s="23" t="s">
        <v>1565</v>
      </c>
      <c r="C14" s="23" t="s">
        <v>1566</v>
      </c>
      <c r="D14" s="24">
        <v>190</v>
      </c>
      <c r="E14" s="25"/>
      <c r="F14" s="26"/>
      <c r="G14" s="23"/>
      <c r="H14" s="23" t="s">
        <v>1567</v>
      </c>
      <c r="I14" s="13" t="s">
        <v>109</v>
      </c>
      <c r="J14" s="14">
        <f>SUMIF(F5:F122,I14,E5:E122)</f>
        <v>0</v>
      </c>
    </row>
    <row r="15" spans="1:17">
      <c r="A15" s="17">
        <v>46146</v>
      </c>
      <c r="B15" s="18" t="s">
        <v>1568</v>
      </c>
      <c r="C15" s="18" t="s">
        <v>735</v>
      </c>
      <c r="D15" s="27">
        <v>150</v>
      </c>
      <c r="E15" s="19"/>
      <c r="F15" s="21"/>
      <c r="G15" s="18"/>
      <c r="I15" s="10" t="s">
        <v>110</v>
      </c>
      <c r="J15" s="11">
        <f>SUMIF(F5:F122,I15,E5:E122)</f>
        <v>220</v>
      </c>
    </row>
    <row r="16" spans="1:17">
      <c r="A16" s="22">
        <v>46146</v>
      </c>
      <c r="B16" s="23" t="s">
        <v>1569</v>
      </c>
      <c r="C16" s="23" t="s">
        <v>1570</v>
      </c>
      <c r="D16" s="24">
        <v>190</v>
      </c>
      <c r="E16" s="25"/>
      <c r="F16" s="26"/>
      <c r="G16" s="23"/>
      <c r="H16" s="23" t="s">
        <v>1571</v>
      </c>
      <c r="I16" s="13" t="s">
        <v>111</v>
      </c>
      <c r="J16" s="14">
        <f>SUMIF(F5:F122,I16,E5:E122)</f>
        <v>0</v>
      </c>
    </row>
    <row r="17" spans="1:10">
      <c r="A17" s="17">
        <v>46146</v>
      </c>
      <c r="B17" s="18" t="s">
        <v>1572</v>
      </c>
      <c r="C17" s="18" t="s">
        <v>726</v>
      </c>
      <c r="D17" s="27">
        <v>330</v>
      </c>
      <c r="E17" s="19"/>
      <c r="F17" s="21"/>
      <c r="G17" s="18"/>
      <c r="I17" s="42" t="s">
        <v>112</v>
      </c>
      <c r="J17" s="8">
        <f>SUMIF(F5:F122,I17,E5:E122)</f>
        <v>50.07</v>
      </c>
    </row>
    <row r="18" spans="1:10">
      <c r="A18" s="22">
        <v>46146</v>
      </c>
      <c r="B18" s="23" t="s">
        <v>1573</v>
      </c>
      <c r="C18" s="23" t="s">
        <v>716</v>
      </c>
      <c r="D18" s="25"/>
      <c r="E18" s="28">
        <v>572.25</v>
      </c>
      <c r="F18" s="26" t="s">
        <v>99</v>
      </c>
      <c r="G18" s="23"/>
      <c r="I18" t="s">
        <v>113</v>
      </c>
      <c r="J18">
        <f>SUM(J5:J16)</f>
        <v>22268.27</v>
      </c>
    </row>
    <row r="19" spans="1:10">
      <c r="A19" s="17">
        <v>46146</v>
      </c>
      <c r="B19" s="18" t="s">
        <v>1574</v>
      </c>
      <c r="C19" s="18" t="s">
        <v>767</v>
      </c>
      <c r="D19" s="19"/>
      <c r="E19" s="20">
        <v>125.37</v>
      </c>
      <c r="F19" s="21" t="s">
        <v>101</v>
      </c>
      <c r="G19" s="18"/>
    </row>
    <row r="20" spans="1:10">
      <c r="A20" s="22">
        <v>46146</v>
      </c>
      <c r="B20" s="23" t="s">
        <v>717</v>
      </c>
      <c r="C20" s="23" t="s">
        <v>718</v>
      </c>
      <c r="D20" s="25"/>
      <c r="E20" s="28">
        <v>972.2</v>
      </c>
      <c r="F20" s="26" t="s">
        <v>99</v>
      </c>
      <c r="G20" s="23"/>
    </row>
    <row r="21" spans="1:10">
      <c r="A21" s="17">
        <v>46146</v>
      </c>
      <c r="B21" s="18" t="s">
        <v>1575</v>
      </c>
      <c r="C21" s="18" t="s">
        <v>923</v>
      </c>
      <c r="D21" s="19"/>
      <c r="E21" s="20">
        <v>500</v>
      </c>
      <c r="F21" s="21" t="s">
        <v>106</v>
      </c>
      <c r="G21" s="18"/>
    </row>
    <row r="22" spans="1:10">
      <c r="A22" s="22">
        <v>46146</v>
      </c>
      <c r="B22" s="23" t="s">
        <v>1155</v>
      </c>
      <c r="C22" s="23" t="s">
        <v>730</v>
      </c>
      <c r="D22" s="25"/>
      <c r="E22" s="28">
        <v>878.92</v>
      </c>
      <c r="F22" s="26" t="s">
        <v>99</v>
      </c>
      <c r="G22" s="23"/>
    </row>
    <row r="23" spans="1:10">
      <c r="A23" s="17">
        <v>46146</v>
      </c>
      <c r="B23" s="18" t="s">
        <v>1156</v>
      </c>
      <c r="C23" s="18" t="s">
        <v>716</v>
      </c>
      <c r="D23" s="19"/>
      <c r="E23" s="20">
        <v>546.76</v>
      </c>
      <c r="F23" s="21" t="s">
        <v>99</v>
      </c>
      <c r="G23" s="18"/>
    </row>
    <row r="24" spans="1:10">
      <c r="A24" s="22">
        <v>46146</v>
      </c>
      <c r="B24" s="23" t="s">
        <v>897</v>
      </c>
      <c r="C24" s="23" t="s">
        <v>730</v>
      </c>
      <c r="D24" s="25"/>
      <c r="E24" s="28">
        <v>878.92</v>
      </c>
      <c r="F24" s="26" t="s">
        <v>99</v>
      </c>
      <c r="G24" s="23"/>
    </row>
    <row r="25" spans="1:10">
      <c r="A25" s="17">
        <v>46146</v>
      </c>
      <c r="B25" s="18" t="s">
        <v>1576</v>
      </c>
      <c r="C25" s="18" t="s">
        <v>1360</v>
      </c>
      <c r="D25" s="19"/>
      <c r="E25" s="20">
        <v>50.07</v>
      </c>
      <c r="F25" s="21" t="s">
        <v>112</v>
      </c>
      <c r="G25" s="18"/>
    </row>
    <row r="26" spans="1:10">
      <c r="A26" s="22">
        <v>46146</v>
      </c>
      <c r="B26" s="23" t="s">
        <v>1107</v>
      </c>
      <c r="C26" s="23" t="s">
        <v>718</v>
      </c>
      <c r="D26" s="25"/>
      <c r="E26" s="28">
        <v>420.87</v>
      </c>
      <c r="F26" s="26" t="s">
        <v>99</v>
      </c>
      <c r="G26" s="23"/>
    </row>
    <row r="27" spans="1:10">
      <c r="A27" s="17">
        <v>46146</v>
      </c>
      <c r="B27" s="18" t="s">
        <v>894</v>
      </c>
      <c r="C27" s="18" t="s">
        <v>730</v>
      </c>
      <c r="D27" s="19"/>
      <c r="E27" s="20">
        <v>20.6</v>
      </c>
      <c r="F27" s="21" t="s">
        <v>99</v>
      </c>
      <c r="G27" s="18"/>
    </row>
    <row r="28" spans="1:10">
      <c r="A28" s="22">
        <v>46146</v>
      </c>
      <c r="B28" s="23" t="s">
        <v>1577</v>
      </c>
      <c r="C28" s="23" t="s">
        <v>767</v>
      </c>
      <c r="D28" s="25"/>
      <c r="E28" s="28">
        <v>148.15</v>
      </c>
      <c r="F28" s="26" t="s">
        <v>101</v>
      </c>
      <c r="G28" s="23"/>
    </row>
    <row r="29" spans="1:10">
      <c r="A29" s="17">
        <v>46146</v>
      </c>
      <c r="B29" s="18" t="s">
        <v>1083</v>
      </c>
      <c r="C29" s="18" t="s">
        <v>716</v>
      </c>
      <c r="D29" s="19"/>
      <c r="E29" s="20">
        <v>810.99</v>
      </c>
      <c r="F29" s="21" t="s">
        <v>99</v>
      </c>
      <c r="G29" s="18"/>
    </row>
    <row r="30" spans="1:10">
      <c r="A30" s="22">
        <v>46146</v>
      </c>
      <c r="B30" s="23" t="s">
        <v>793</v>
      </c>
      <c r="C30" s="23" t="s">
        <v>716</v>
      </c>
      <c r="D30" s="25"/>
      <c r="E30" s="28">
        <v>841.06</v>
      </c>
      <c r="F30" s="26" t="s">
        <v>99</v>
      </c>
      <c r="G30" s="23"/>
    </row>
    <row r="31" spans="1:10">
      <c r="A31" s="17">
        <v>46146</v>
      </c>
      <c r="B31" s="18" t="s">
        <v>1578</v>
      </c>
      <c r="C31" s="18" t="s">
        <v>716</v>
      </c>
      <c r="D31" s="19"/>
      <c r="E31" s="20">
        <v>725.48</v>
      </c>
      <c r="F31" s="21" t="s">
        <v>99</v>
      </c>
      <c r="G31" s="18"/>
    </row>
    <row r="32" spans="1:10">
      <c r="A32" s="22">
        <v>46147</v>
      </c>
      <c r="B32" s="23" t="s">
        <v>1579</v>
      </c>
      <c r="C32" s="23" t="s">
        <v>1488</v>
      </c>
      <c r="D32" s="24">
        <v>120</v>
      </c>
      <c r="E32" s="25"/>
      <c r="F32" s="26"/>
      <c r="G32" s="23"/>
    </row>
    <row r="33" spans="1:8">
      <c r="A33" s="17">
        <v>46147</v>
      </c>
      <c r="B33" s="18" t="s">
        <v>1580</v>
      </c>
      <c r="C33" s="18" t="s">
        <v>735</v>
      </c>
      <c r="D33" s="27">
        <v>75</v>
      </c>
      <c r="E33" s="19"/>
      <c r="F33" s="21"/>
      <c r="G33" s="18"/>
    </row>
    <row r="34" spans="1:8">
      <c r="A34" s="22">
        <v>46148</v>
      </c>
      <c r="B34" s="23" t="s">
        <v>1479</v>
      </c>
      <c r="C34" s="23" t="s">
        <v>718</v>
      </c>
      <c r="D34" s="25"/>
      <c r="E34" s="28">
        <v>504.43</v>
      </c>
      <c r="F34" s="26" t="s">
        <v>99</v>
      </c>
      <c r="G34" s="23"/>
    </row>
    <row r="35" spans="1:8">
      <c r="A35" s="17">
        <v>46148</v>
      </c>
      <c r="B35" s="18" t="s">
        <v>1581</v>
      </c>
      <c r="C35" s="18" t="s">
        <v>735</v>
      </c>
      <c r="D35" s="27">
        <v>150</v>
      </c>
      <c r="E35" s="19"/>
      <c r="F35" s="21"/>
      <c r="G35" s="18"/>
    </row>
    <row r="36" spans="1:8">
      <c r="A36" s="22">
        <v>46148</v>
      </c>
      <c r="B36" s="23" t="s">
        <v>1582</v>
      </c>
      <c r="C36" s="23" t="s">
        <v>1583</v>
      </c>
      <c r="D36" s="24">
        <v>130</v>
      </c>
      <c r="E36" s="25"/>
      <c r="F36" s="26"/>
      <c r="G36" s="23"/>
    </row>
    <row r="37" spans="1:8">
      <c r="A37" s="17">
        <v>46148</v>
      </c>
      <c r="B37" s="18" t="s">
        <v>1584</v>
      </c>
      <c r="C37" s="18" t="s">
        <v>1390</v>
      </c>
      <c r="D37" s="27">
        <v>70</v>
      </c>
      <c r="E37" s="19"/>
      <c r="F37" s="21"/>
      <c r="G37" s="18"/>
      <c r="H37" s="18" t="s">
        <v>1391</v>
      </c>
    </row>
    <row r="38" spans="1:8">
      <c r="A38" s="22">
        <v>46148</v>
      </c>
      <c r="B38" s="23" t="s">
        <v>1585</v>
      </c>
      <c r="C38" s="23" t="s">
        <v>726</v>
      </c>
      <c r="D38" s="24">
        <v>30</v>
      </c>
      <c r="E38" s="25"/>
      <c r="F38" s="26"/>
      <c r="G38" s="23"/>
    </row>
    <row r="39" spans="1:8">
      <c r="A39" s="17">
        <v>46149</v>
      </c>
      <c r="B39" s="18" t="s">
        <v>1586</v>
      </c>
      <c r="C39" s="18" t="s">
        <v>728</v>
      </c>
      <c r="D39" s="27">
        <v>180</v>
      </c>
      <c r="E39" s="19"/>
      <c r="F39" s="21"/>
      <c r="G39" s="18"/>
    </row>
    <row r="40" spans="1:8">
      <c r="A40" s="22">
        <v>46149</v>
      </c>
      <c r="B40" s="23" t="s">
        <v>1587</v>
      </c>
      <c r="C40" s="23" t="s">
        <v>735</v>
      </c>
      <c r="D40" s="24">
        <v>140</v>
      </c>
      <c r="E40" s="25"/>
      <c r="F40" s="26"/>
      <c r="G40" s="23"/>
    </row>
    <row r="41" spans="1:8">
      <c r="A41" s="17">
        <v>46150</v>
      </c>
      <c r="B41" s="18" t="s">
        <v>1588</v>
      </c>
      <c r="C41" s="18" t="s">
        <v>1589</v>
      </c>
      <c r="D41" s="27">
        <v>1448</v>
      </c>
      <c r="E41" s="19"/>
      <c r="F41" s="21"/>
      <c r="G41" s="18"/>
      <c r="H41" s="18" t="s">
        <v>1590</v>
      </c>
    </row>
    <row r="42" spans="1:8">
      <c r="A42" s="22">
        <v>46150</v>
      </c>
      <c r="B42" s="23" t="s">
        <v>1591</v>
      </c>
      <c r="C42" s="23" t="s">
        <v>735</v>
      </c>
      <c r="D42" s="24">
        <v>140</v>
      </c>
      <c r="E42" s="25"/>
      <c r="F42" s="26"/>
      <c r="G42" s="23"/>
    </row>
    <row r="43" spans="1:8">
      <c r="A43" s="17">
        <v>46150</v>
      </c>
      <c r="B43" s="18" t="s">
        <v>1592</v>
      </c>
      <c r="C43" s="18" t="s">
        <v>726</v>
      </c>
      <c r="D43" s="27">
        <v>16</v>
      </c>
      <c r="E43" s="19"/>
      <c r="F43" s="21"/>
      <c r="G43" s="18"/>
    </row>
    <row r="44" spans="1:8">
      <c r="A44" s="22">
        <v>46150</v>
      </c>
      <c r="B44" s="23" t="s">
        <v>1593</v>
      </c>
      <c r="C44" s="23" t="s">
        <v>735</v>
      </c>
      <c r="D44" s="24">
        <v>140</v>
      </c>
      <c r="E44" s="25"/>
      <c r="F44" s="26"/>
      <c r="G44" s="23"/>
    </row>
    <row r="45" spans="1:8">
      <c r="A45" s="17">
        <v>46150</v>
      </c>
      <c r="B45" s="18" t="s">
        <v>1594</v>
      </c>
      <c r="C45" s="18" t="s">
        <v>1595</v>
      </c>
      <c r="D45" s="27">
        <v>135</v>
      </c>
      <c r="E45" s="19"/>
      <c r="F45" s="21"/>
      <c r="G45" s="18"/>
      <c r="H45" s="18" t="s">
        <v>1596</v>
      </c>
    </row>
    <row r="46" spans="1:8">
      <c r="A46" s="22">
        <v>46150</v>
      </c>
      <c r="B46" s="23" t="s">
        <v>1597</v>
      </c>
      <c r="C46" s="23" t="s">
        <v>1033</v>
      </c>
      <c r="D46" s="24">
        <v>275</v>
      </c>
      <c r="E46" s="25"/>
      <c r="F46" s="26"/>
      <c r="G46" s="23"/>
      <c r="H46" s="23" t="s">
        <v>1034</v>
      </c>
    </row>
    <row r="47" spans="1:8">
      <c r="A47" s="17">
        <v>46150</v>
      </c>
      <c r="B47" s="18" t="s">
        <v>1083</v>
      </c>
      <c r="C47" s="18" t="s">
        <v>716</v>
      </c>
      <c r="D47" s="19"/>
      <c r="E47" s="20">
        <v>810.99</v>
      </c>
      <c r="F47" s="21" t="s">
        <v>99</v>
      </c>
      <c r="G47" s="18"/>
    </row>
    <row r="48" spans="1:8">
      <c r="A48" s="22">
        <v>46151</v>
      </c>
      <c r="B48" s="23" t="s">
        <v>1598</v>
      </c>
      <c r="C48" s="23" t="s">
        <v>726</v>
      </c>
      <c r="D48" s="24">
        <v>5</v>
      </c>
      <c r="E48" s="25"/>
      <c r="F48" s="26"/>
      <c r="G48" s="23"/>
    </row>
    <row r="49" spans="1:8">
      <c r="A49" s="17">
        <v>46153</v>
      </c>
      <c r="B49" s="18" t="s">
        <v>1599</v>
      </c>
      <c r="C49" s="18" t="s">
        <v>1600</v>
      </c>
      <c r="D49" s="27">
        <v>135</v>
      </c>
      <c r="E49" s="19"/>
      <c r="F49" s="21"/>
      <c r="G49" s="18"/>
      <c r="H49" s="18" t="s">
        <v>1601</v>
      </c>
    </row>
    <row r="50" spans="1:8">
      <c r="A50" s="22">
        <v>46153</v>
      </c>
      <c r="B50" s="23" t="s">
        <v>1602</v>
      </c>
      <c r="C50" s="23" t="s">
        <v>1603</v>
      </c>
      <c r="D50" s="24">
        <v>135</v>
      </c>
      <c r="E50" s="25"/>
      <c r="F50" s="26"/>
      <c r="G50" s="23"/>
      <c r="H50" s="23" t="s">
        <v>1604</v>
      </c>
    </row>
    <row r="51" spans="1:8">
      <c r="A51" s="17">
        <v>46154</v>
      </c>
      <c r="B51" s="18" t="s">
        <v>1605</v>
      </c>
      <c r="C51" s="18" t="s">
        <v>726</v>
      </c>
      <c r="D51" s="27">
        <v>75</v>
      </c>
      <c r="E51" s="19"/>
      <c r="F51" s="21"/>
      <c r="G51" s="18"/>
    </row>
    <row r="52" spans="1:8">
      <c r="A52" s="22">
        <v>46154</v>
      </c>
      <c r="B52" s="23" t="s">
        <v>1606</v>
      </c>
      <c r="C52" s="23" t="s">
        <v>726</v>
      </c>
      <c r="D52" s="25"/>
      <c r="E52" s="28">
        <v>75</v>
      </c>
      <c r="F52" s="26" t="s">
        <v>110</v>
      </c>
      <c r="G52" s="23"/>
    </row>
    <row r="53" spans="1:8">
      <c r="A53" s="17">
        <v>46154</v>
      </c>
      <c r="B53" s="18" t="s">
        <v>1607</v>
      </c>
      <c r="C53" s="18" t="s">
        <v>1608</v>
      </c>
      <c r="D53" s="27">
        <v>75</v>
      </c>
      <c r="E53" s="19"/>
      <c r="F53" s="21"/>
      <c r="G53" s="18"/>
    </row>
    <row r="54" spans="1:8">
      <c r="A54" s="22">
        <v>46154</v>
      </c>
      <c r="B54" s="23" t="s">
        <v>1609</v>
      </c>
      <c r="C54" s="23" t="s">
        <v>726</v>
      </c>
      <c r="D54" s="24">
        <v>55</v>
      </c>
      <c r="E54" s="25"/>
      <c r="F54" s="26"/>
      <c r="G54" s="23"/>
    </row>
    <row r="55" spans="1:8">
      <c r="A55" s="17">
        <v>46154</v>
      </c>
      <c r="B55" s="18" t="s">
        <v>1610</v>
      </c>
      <c r="C55" s="18" t="s">
        <v>1611</v>
      </c>
      <c r="D55" s="27">
        <v>140</v>
      </c>
      <c r="E55" s="19"/>
      <c r="F55" s="21"/>
      <c r="G55" s="18"/>
      <c r="H55" s="18" t="s">
        <v>1612</v>
      </c>
    </row>
    <row r="56" spans="1:8">
      <c r="A56" s="22">
        <v>46154</v>
      </c>
      <c r="B56" s="23" t="s">
        <v>1613</v>
      </c>
      <c r="C56" s="23" t="s">
        <v>735</v>
      </c>
      <c r="D56" s="24">
        <v>20</v>
      </c>
      <c r="E56" s="25"/>
      <c r="F56" s="26"/>
      <c r="G56" s="23"/>
    </row>
    <row r="57" spans="1:8">
      <c r="A57" s="17">
        <v>46154</v>
      </c>
      <c r="B57" s="18" t="s">
        <v>1614</v>
      </c>
      <c r="C57" s="18" t="s">
        <v>726</v>
      </c>
      <c r="D57" s="27">
        <v>25</v>
      </c>
      <c r="E57" s="19"/>
      <c r="F57" s="21"/>
      <c r="G57" s="18"/>
    </row>
    <row r="58" spans="1:8">
      <c r="A58" s="22">
        <v>46154</v>
      </c>
      <c r="B58" s="23" t="s">
        <v>1615</v>
      </c>
      <c r="C58" s="23" t="s">
        <v>1616</v>
      </c>
      <c r="D58" s="24">
        <v>140</v>
      </c>
      <c r="E58" s="25"/>
      <c r="F58" s="26"/>
      <c r="G58" s="23"/>
      <c r="H58" s="23" t="s">
        <v>1617</v>
      </c>
    </row>
    <row r="59" spans="1:8">
      <c r="A59" s="17">
        <v>46154</v>
      </c>
      <c r="B59" s="18" t="s">
        <v>1618</v>
      </c>
      <c r="C59" s="18" t="s">
        <v>726</v>
      </c>
      <c r="D59" s="27">
        <v>15</v>
      </c>
      <c r="E59" s="19"/>
      <c r="F59" s="21"/>
      <c r="G59" s="18"/>
    </row>
    <row r="60" spans="1:8">
      <c r="A60" s="22">
        <v>46155</v>
      </c>
      <c r="B60" s="23" t="s">
        <v>1619</v>
      </c>
      <c r="C60" s="23" t="s">
        <v>1620</v>
      </c>
      <c r="D60" s="24">
        <v>1230</v>
      </c>
      <c r="E60" s="25"/>
      <c r="F60" s="26"/>
      <c r="G60" s="23"/>
    </row>
    <row r="61" spans="1:8">
      <c r="A61" s="17">
        <v>46155</v>
      </c>
      <c r="B61" s="18" t="s">
        <v>1621</v>
      </c>
      <c r="C61" s="18" t="s">
        <v>735</v>
      </c>
      <c r="D61" s="27">
        <v>140</v>
      </c>
      <c r="E61" s="19"/>
      <c r="F61" s="21"/>
      <c r="G61" s="18"/>
    </row>
    <row r="62" spans="1:8">
      <c r="A62" s="22">
        <v>46155</v>
      </c>
      <c r="B62" s="23" t="s">
        <v>1622</v>
      </c>
      <c r="C62" s="23" t="s">
        <v>1623</v>
      </c>
      <c r="D62" s="24">
        <v>80</v>
      </c>
      <c r="E62" s="25"/>
      <c r="F62" s="26"/>
      <c r="G62" s="23"/>
    </row>
    <row r="63" spans="1:8">
      <c r="A63" s="17">
        <v>46156</v>
      </c>
      <c r="B63" s="18" t="s">
        <v>1624</v>
      </c>
      <c r="C63" s="18" t="s">
        <v>1234</v>
      </c>
      <c r="D63" s="19"/>
      <c r="E63" s="20">
        <v>240</v>
      </c>
      <c r="F63" s="21" t="s">
        <v>99</v>
      </c>
      <c r="G63" s="18"/>
    </row>
    <row r="64" spans="1:8">
      <c r="A64" s="22">
        <v>46156</v>
      </c>
      <c r="B64" s="23" t="s">
        <v>1625</v>
      </c>
      <c r="C64" s="23" t="s">
        <v>726</v>
      </c>
      <c r="D64" s="24">
        <v>100</v>
      </c>
      <c r="E64" s="25"/>
      <c r="F64" s="26"/>
      <c r="G64" s="23"/>
    </row>
    <row r="65" spans="1:8">
      <c r="A65" s="17">
        <v>46156</v>
      </c>
      <c r="B65" s="18" t="s">
        <v>1626</v>
      </c>
      <c r="C65" s="18" t="s">
        <v>735</v>
      </c>
      <c r="D65" s="27">
        <v>140</v>
      </c>
      <c r="E65" s="19"/>
      <c r="F65" s="21"/>
      <c r="G65" s="18"/>
    </row>
    <row r="66" spans="1:8">
      <c r="A66" s="22">
        <v>46156</v>
      </c>
      <c r="B66" s="23" t="s">
        <v>1627</v>
      </c>
      <c r="C66" s="23" t="s">
        <v>1309</v>
      </c>
      <c r="D66" s="24">
        <v>560</v>
      </c>
      <c r="E66" s="25"/>
      <c r="F66" s="26"/>
      <c r="G66" s="23"/>
      <c r="H66" s="23" t="s">
        <v>1310</v>
      </c>
    </row>
    <row r="67" spans="1:8">
      <c r="A67" s="17">
        <v>46157</v>
      </c>
      <c r="B67" s="18" t="s">
        <v>1628</v>
      </c>
      <c r="C67" s="18" t="s">
        <v>735</v>
      </c>
      <c r="D67" s="27">
        <v>145</v>
      </c>
      <c r="E67" s="19"/>
      <c r="F67" s="21"/>
      <c r="G67" s="18"/>
    </row>
    <row r="68" spans="1:8">
      <c r="A68" s="22">
        <v>46157</v>
      </c>
      <c r="B68" s="23" t="s">
        <v>1629</v>
      </c>
      <c r="C68" s="23" t="s">
        <v>735</v>
      </c>
      <c r="D68" s="25"/>
      <c r="E68" s="28">
        <v>145</v>
      </c>
      <c r="F68" s="26" t="s">
        <v>110</v>
      </c>
      <c r="G68" s="23"/>
    </row>
    <row r="69" spans="1:8">
      <c r="A69" s="17">
        <v>46157</v>
      </c>
      <c r="B69" s="18" t="s">
        <v>1630</v>
      </c>
      <c r="C69" s="18" t="s">
        <v>735</v>
      </c>
      <c r="D69" s="27">
        <v>145</v>
      </c>
      <c r="E69" s="19"/>
      <c r="F69" s="21"/>
      <c r="G69" s="18"/>
    </row>
    <row r="70" spans="1:8">
      <c r="A70" s="22">
        <v>46157</v>
      </c>
      <c r="B70" s="23" t="s">
        <v>1631</v>
      </c>
      <c r="C70" s="23" t="s">
        <v>735</v>
      </c>
      <c r="D70" s="24">
        <v>140</v>
      </c>
      <c r="E70" s="25"/>
      <c r="F70" s="26"/>
      <c r="G70" s="23"/>
    </row>
    <row r="71" spans="1:8">
      <c r="A71" s="17">
        <v>46157</v>
      </c>
      <c r="B71" s="18" t="s">
        <v>1632</v>
      </c>
      <c r="C71" s="18" t="s">
        <v>735</v>
      </c>
      <c r="D71" s="27">
        <v>50</v>
      </c>
      <c r="E71" s="19"/>
      <c r="F71" s="21"/>
      <c r="G71" s="18"/>
    </row>
    <row r="72" spans="1:8">
      <c r="A72" s="22">
        <v>46160</v>
      </c>
      <c r="B72" s="23" t="s">
        <v>1633</v>
      </c>
      <c r="C72" s="23" t="s">
        <v>735</v>
      </c>
      <c r="D72" s="24">
        <v>220</v>
      </c>
      <c r="E72" s="25"/>
      <c r="F72" s="26"/>
      <c r="G72" s="23"/>
    </row>
    <row r="73" spans="1:8">
      <c r="A73" s="17">
        <v>46160</v>
      </c>
      <c r="B73" s="18" t="s">
        <v>1634</v>
      </c>
      <c r="C73" s="18" t="s">
        <v>1635</v>
      </c>
      <c r="D73" s="27">
        <v>140</v>
      </c>
      <c r="E73" s="19"/>
      <c r="F73" s="21"/>
      <c r="G73" s="18"/>
      <c r="H73" s="18" t="s">
        <v>1636</v>
      </c>
    </row>
    <row r="74" spans="1:8">
      <c r="A74" s="22">
        <v>46160</v>
      </c>
      <c r="B74" s="23" t="s">
        <v>1637</v>
      </c>
      <c r="C74" s="23" t="s">
        <v>1638</v>
      </c>
      <c r="D74" s="24">
        <v>1250</v>
      </c>
      <c r="E74" s="25"/>
      <c r="F74" s="26"/>
      <c r="G74" s="23"/>
      <c r="H74" s="23" t="s">
        <v>1639</v>
      </c>
    </row>
    <row r="75" spans="1:8">
      <c r="A75" s="17">
        <v>46161</v>
      </c>
      <c r="B75" s="18" t="s">
        <v>1640</v>
      </c>
      <c r="C75" s="18" t="s">
        <v>848</v>
      </c>
      <c r="D75" s="27">
        <v>100</v>
      </c>
      <c r="E75" s="19"/>
      <c r="F75" s="21"/>
      <c r="G75" s="18"/>
      <c r="H75" s="18" t="s">
        <v>849</v>
      </c>
    </row>
    <row r="76" spans="1:8">
      <c r="A76" s="22">
        <v>46161</v>
      </c>
      <c r="B76" s="23" t="s">
        <v>1641</v>
      </c>
      <c r="C76" s="23" t="s">
        <v>735</v>
      </c>
      <c r="D76" s="24">
        <v>150</v>
      </c>
      <c r="E76" s="25"/>
      <c r="F76" s="26"/>
      <c r="G76" s="23"/>
    </row>
    <row r="77" spans="1:8">
      <c r="A77" s="17">
        <v>46161</v>
      </c>
      <c r="B77" s="18" t="s">
        <v>1642</v>
      </c>
      <c r="C77" s="18" t="s">
        <v>735</v>
      </c>
      <c r="D77" s="27">
        <v>140</v>
      </c>
      <c r="E77" s="19"/>
      <c r="F77" s="21"/>
      <c r="G77" s="18"/>
    </row>
    <row r="78" spans="1:8">
      <c r="A78" s="22">
        <v>46162</v>
      </c>
      <c r="B78" s="23" t="s">
        <v>1643</v>
      </c>
      <c r="C78" s="23" t="s">
        <v>726</v>
      </c>
      <c r="D78" s="24">
        <v>75</v>
      </c>
      <c r="E78" s="25"/>
      <c r="F78" s="26"/>
      <c r="G78" s="23"/>
    </row>
    <row r="79" spans="1:8">
      <c r="A79" s="17">
        <v>46162</v>
      </c>
      <c r="B79" s="18" t="s">
        <v>1644</v>
      </c>
      <c r="C79" s="18" t="s">
        <v>735</v>
      </c>
      <c r="D79" s="27">
        <v>130</v>
      </c>
      <c r="E79" s="19"/>
      <c r="F79" s="21"/>
      <c r="G79" s="18"/>
    </row>
    <row r="80" spans="1:8">
      <c r="A80" s="22">
        <v>46163</v>
      </c>
      <c r="B80" s="23" t="s">
        <v>1645</v>
      </c>
      <c r="C80" s="23" t="s">
        <v>1646</v>
      </c>
      <c r="D80" s="24">
        <v>140</v>
      </c>
      <c r="E80" s="25"/>
      <c r="F80" s="26"/>
      <c r="G80" s="23"/>
      <c r="H80" s="23" t="s">
        <v>1647</v>
      </c>
    </row>
    <row r="81" spans="1:8">
      <c r="A81" s="17">
        <v>46163</v>
      </c>
      <c r="B81" s="18" t="s">
        <v>1648</v>
      </c>
      <c r="C81" s="18" t="s">
        <v>1649</v>
      </c>
      <c r="D81" s="27">
        <v>280</v>
      </c>
      <c r="E81" s="19"/>
      <c r="F81" s="21"/>
      <c r="G81" s="18"/>
      <c r="H81" s="18" t="s">
        <v>1650</v>
      </c>
    </row>
    <row r="82" spans="1:8">
      <c r="A82" s="22">
        <v>46163</v>
      </c>
      <c r="B82" s="23" t="s">
        <v>1651</v>
      </c>
      <c r="C82" s="23" t="s">
        <v>1652</v>
      </c>
      <c r="D82" s="24">
        <v>140</v>
      </c>
      <c r="E82" s="25"/>
      <c r="F82" s="26"/>
      <c r="G82" s="23"/>
    </row>
    <row r="83" spans="1:8">
      <c r="A83" s="17">
        <v>46163</v>
      </c>
      <c r="B83" s="18" t="s">
        <v>1653</v>
      </c>
      <c r="C83" s="18" t="s">
        <v>735</v>
      </c>
      <c r="D83" s="27">
        <v>140</v>
      </c>
      <c r="E83" s="19"/>
      <c r="F83" s="21"/>
      <c r="G83" s="18"/>
    </row>
    <row r="84" spans="1:8">
      <c r="A84" s="22">
        <v>46164</v>
      </c>
      <c r="B84" s="23" t="s">
        <v>1654</v>
      </c>
      <c r="C84" s="23" t="s">
        <v>735</v>
      </c>
      <c r="D84" s="24">
        <v>200</v>
      </c>
      <c r="E84" s="25"/>
      <c r="F84" s="26"/>
      <c r="G84" s="23"/>
    </row>
    <row r="85" spans="1:8">
      <c r="A85" s="17">
        <v>46164</v>
      </c>
      <c r="B85" s="18" t="s">
        <v>1655</v>
      </c>
      <c r="C85" s="18" t="s">
        <v>1656</v>
      </c>
      <c r="D85" s="27">
        <v>140</v>
      </c>
      <c r="E85" s="19"/>
      <c r="F85" s="21"/>
      <c r="G85" s="18"/>
      <c r="H85" s="18" t="s">
        <v>1657</v>
      </c>
    </row>
    <row r="86" spans="1:8">
      <c r="A86" s="22">
        <v>46164</v>
      </c>
      <c r="B86" s="23" t="s">
        <v>1658</v>
      </c>
      <c r="C86" s="23" t="s">
        <v>726</v>
      </c>
      <c r="D86" s="24">
        <v>140</v>
      </c>
      <c r="E86" s="25"/>
      <c r="F86" s="26"/>
      <c r="G86" s="23"/>
    </row>
    <row r="87" spans="1:8">
      <c r="A87" s="17">
        <v>46164</v>
      </c>
      <c r="B87" s="18" t="s">
        <v>1659</v>
      </c>
      <c r="C87" s="18" t="s">
        <v>792</v>
      </c>
      <c r="D87" s="27">
        <v>180</v>
      </c>
      <c r="E87" s="19"/>
      <c r="F87" s="21"/>
      <c r="G87" s="18"/>
    </row>
    <row r="88" spans="1:8">
      <c r="A88" s="22">
        <v>46164</v>
      </c>
      <c r="B88" s="23" t="s">
        <v>1479</v>
      </c>
      <c r="C88" s="23" t="s">
        <v>718</v>
      </c>
      <c r="D88" s="25"/>
      <c r="E88" s="28">
        <v>504.43</v>
      </c>
      <c r="F88" s="26" t="s">
        <v>99</v>
      </c>
      <c r="G88" s="23"/>
    </row>
    <row r="89" spans="1:8">
      <c r="A89" s="17">
        <v>46164</v>
      </c>
      <c r="B89" s="18" t="s">
        <v>1660</v>
      </c>
      <c r="C89" s="18" t="s">
        <v>857</v>
      </c>
      <c r="D89" s="19"/>
      <c r="E89" s="20">
        <v>405.39</v>
      </c>
      <c r="F89" s="21" t="s">
        <v>102</v>
      </c>
      <c r="G89" s="18"/>
    </row>
    <row r="90" spans="1:8">
      <c r="A90" s="22">
        <v>46164</v>
      </c>
      <c r="B90" s="23" t="s">
        <v>1661</v>
      </c>
      <c r="C90" s="23" t="s">
        <v>857</v>
      </c>
      <c r="D90" s="25"/>
      <c r="E90" s="28">
        <v>240.96</v>
      </c>
      <c r="F90" s="26" t="s">
        <v>102</v>
      </c>
      <c r="G90" s="23"/>
    </row>
    <row r="91" spans="1:8">
      <c r="A91" s="17">
        <v>46164</v>
      </c>
      <c r="B91" s="18" t="s">
        <v>1662</v>
      </c>
      <c r="C91" s="18" t="s">
        <v>857</v>
      </c>
      <c r="D91" s="19"/>
      <c r="E91" s="20">
        <v>2111.69</v>
      </c>
      <c r="F91" s="21" t="s">
        <v>102</v>
      </c>
      <c r="G91" s="18"/>
    </row>
    <row r="92" spans="1:8">
      <c r="A92" s="22">
        <v>46165</v>
      </c>
      <c r="B92" s="23" t="s">
        <v>1663</v>
      </c>
      <c r="C92" s="23" t="s">
        <v>726</v>
      </c>
      <c r="D92" s="24">
        <v>10</v>
      </c>
      <c r="E92" s="25"/>
      <c r="F92" s="26"/>
      <c r="G92" s="23"/>
    </row>
    <row r="93" spans="1:8">
      <c r="A93" s="17">
        <v>46167</v>
      </c>
      <c r="B93" s="18" t="s">
        <v>1664</v>
      </c>
      <c r="C93" s="18" t="s">
        <v>1665</v>
      </c>
      <c r="D93" s="27">
        <v>140</v>
      </c>
      <c r="E93" s="19"/>
      <c r="F93" s="21"/>
      <c r="G93" s="18"/>
      <c r="H93" s="18" t="s">
        <v>1666</v>
      </c>
    </row>
    <row r="94" spans="1:8">
      <c r="A94" s="22">
        <v>46167</v>
      </c>
      <c r="B94" s="23" t="s">
        <v>1667</v>
      </c>
      <c r="C94" s="23" t="s">
        <v>726</v>
      </c>
      <c r="D94" s="24">
        <v>85</v>
      </c>
      <c r="E94" s="25"/>
      <c r="F94" s="26"/>
      <c r="G94" s="23"/>
    </row>
    <row r="95" spans="1:8">
      <c r="A95" s="17">
        <v>46167</v>
      </c>
      <c r="B95" s="18" t="s">
        <v>1668</v>
      </c>
      <c r="C95" s="18" t="s">
        <v>726</v>
      </c>
      <c r="D95" s="27">
        <v>50</v>
      </c>
      <c r="E95" s="19"/>
      <c r="F95" s="21"/>
      <c r="G95" s="18"/>
    </row>
    <row r="96" spans="1:8">
      <c r="A96" s="22">
        <v>46167</v>
      </c>
      <c r="B96" s="23" t="s">
        <v>1669</v>
      </c>
      <c r="C96" s="23" t="s">
        <v>726</v>
      </c>
      <c r="D96" s="24">
        <v>220</v>
      </c>
      <c r="E96" s="25"/>
      <c r="F96" s="26"/>
      <c r="G96" s="23"/>
    </row>
    <row r="97" spans="1:8">
      <c r="A97" s="17">
        <v>46167</v>
      </c>
      <c r="B97" s="18" t="s">
        <v>1670</v>
      </c>
      <c r="C97" s="18" t="s">
        <v>1671</v>
      </c>
      <c r="D97" s="27">
        <v>140</v>
      </c>
      <c r="E97" s="19"/>
      <c r="F97" s="21"/>
      <c r="G97" s="18"/>
      <c r="H97" s="18" t="s">
        <v>1672</v>
      </c>
    </row>
    <row r="98" spans="1:8">
      <c r="A98" s="22">
        <v>46167</v>
      </c>
      <c r="B98" s="23" t="s">
        <v>1673</v>
      </c>
      <c r="C98" s="23" t="s">
        <v>1674</v>
      </c>
      <c r="D98" s="25"/>
      <c r="E98" s="28">
        <v>1158.57</v>
      </c>
      <c r="F98" s="26" t="s">
        <v>102</v>
      </c>
      <c r="G98" s="23"/>
    </row>
    <row r="99" spans="1:8">
      <c r="A99" s="17">
        <v>46168</v>
      </c>
      <c r="B99" s="18" t="s">
        <v>1675</v>
      </c>
      <c r="C99" s="18" t="s">
        <v>1676</v>
      </c>
      <c r="D99" s="27">
        <v>280</v>
      </c>
      <c r="E99" s="19"/>
      <c r="F99" s="21"/>
      <c r="G99" s="18"/>
      <c r="H99" s="18" t="s">
        <v>1677</v>
      </c>
    </row>
    <row r="100" spans="1:8">
      <c r="A100" s="22">
        <v>46168</v>
      </c>
      <c r="B100" s="23" t="s">
        <v>1678</v>
      </c>
      <c r="C100" s="23" t="s">
        <v>1679</v>
      </c>
      <c r="D100" s="24">
        <v>140</v>
      </c>
      <c r="E100" s="25"/>
      <c r="F100" s="26"/>
      <c r="G100" s="23"/>
      <c r="H100" s="23" t="s">
        <v>1680</v>
      </c>
    </row>
    <row r="101" spans="1:8">
      <c r="A101" s="17">
        <v>46168</v>
      </c>
      <c r="B101" s="18" t="s">
        <v>1681</v>
      </c>
      <c r="C101" s="18" t="s">
        <v>735</v>
      </c>
      <c r="D101" s="27">
        <v>200</v>
      </c>
      <c r="E101" s="19"/>
      <c r="F101" s="21"/>
      <c r="G101" s="18"/>
    </row>
    <row r="102" spans="1:8">
      <c r="A102" s="22">
        <v>46168</v>
      </c>
      <c r="B102" s="23" t="s">
        <v>1682</v>
      </c>
      <c r="C102" s="23" t="s">
        <v>1683</v>
      </c>
      <c r="D102" s="24">
        <v>140</v>
      </c>
      <c r="E102" s="25"/>
      <c r="F102" s="26"/>
      <c r="G102" s="23"/>
      <c r="H102" s="23" t="s">
        <v>1684</v>
      </c>
    </row>
    <row r="103" spans="1:8">
      <c r="A103" s="17">
        <v>46169</v>
      </c>
      <c r="B103" s="18" t="s">
        <v>1685</v>
      </c>
      <c r="C103" s="18" t="s">
        <v>857</v>
      </c>
      <c r="D103" s="19"/>
      <c r="E103" s="20">
        <v>200</v>
      </c>
      <c r="F103" s="21" t="s">
        <v>108</v>
      </c>
      <c r="G103" s="18"/>
    </row>
    <row r="104" spans="1:8">
      <c r="A104" s="22">
        <v>46169</v>
      </c>
      <c r="B104" s="23" t="s">
        <v>1686</v>
      </c>
      <c r="C104" s="23" t="s">
        <v>735</v>
      </c>
      <c r="D104" s="24">
        <v>280</v>
      </c>
      <c r="E104" s="25"/>
      <c r="F104" s="26"/>
      <c r="G104" s="23"/>
    </row>
    <row r="105" spans="1:8">
      <c r="A105" s="17">
        <v>46169</v>
      </c>
      <c r="B105" s="18" t="s">
        <v>1687</v>
      </c>
      <c r="C105" s="18" t="s">
        <v>726</v>
      </c>
      <c r="D105" s="27">
        <v>140</v>
      </c>
      <c r="E105" s="19"/>
      <c r="F105" s="21"/>
      <c r="G105" s="18"/>
    </row>
    <row r="106" spans="1:8">
      <c r="A106" s="22">
        <v>46170</v>
      </c>
      <c r="B106" s="23" t="s">
        <v>1688</v>
      </c>
      <c r="C106" s="23" t="s">
        <v>1689</v>
      </c>
      <c r="D106" s="24">
        <v>170</v>
      </c>
      <c r="E106" s="25"/>
      <c r="F106" s="26"/>
      <c r="G106" s="23"/>
    </row>
    <row r="107" spans="1:8">
      <c r="A107" s="17">
        <v>46170</v>
      </c>
      <c r="B107" s="18" t="s">
        <v>1690</v>
      </c>
      <c r="C107" s="18" t="s">
        <v>1691</v>
      </c>
      <c r="D107" s="27">
        <v>340</v>
      </c>
      <c r="E107" s="19"/>
      <c r="F107" s="21"/>
      <c r="G107" s="18"/>
      <c r="H107" s="18" t="s">
        <v>1692</v>
      </c>
    </row>
    <row r="108" spans="1:8">
      <c r="A108" s="22">
        <v>46170</v>
      </c>
      <c r="B108" s="23" t="s">
        <v>1693</v>
      </c>
      <c r="C108" s="23" t="s">
        <v>1694</v>
      </c>
      <c r="D108" s="24">
        <v>140</v>
      </c>
      <c r="E108" s="25"/>
      <c r="F108" s="26"/>
      <c r="G108" s="23"/>
      <c r="H108" s="23" t="s">
        <v>1695</v>
      </c>
    </row>
    <row r="109" spans="1:8">
      <c r="A109" s="17">
        <v>46170</v>
      </c>
      <c r="B109" s="18" t="s">
        <v>1696</v>
      </c>
      <c r="C109" s="18" t="s">
        <v>726</v>
      </c>
      <c r="D109" s="27">
        <v>135</v>
      </c>
      <c r="E109" s="19"/>
      <c r="F109" s="21"/>
      <c r="G109" s="18"/>
    </row>
    <row r="110" spans="1:8">
      <c r="A110" s="22">
        <v>46170</v>
      </c>
      <c r="B110" s="23" t="s">
        <v>1697</v>
      </c>
      <c r="C110" s="23" t="s">
        <v>735</v>
      </c>
      <c r="D110" s="24">
        <v>140</v>
      </c>
      <c r="E110" s="25"/>
      <c r="F110" s="26"/>
      <c r="G110" s="23"/>
    </row>
    <row r="111" spans="1:8">
      <c r="A111" s="17">
        <v>46170</v>
      </c>
      <c r="B111" s="18" t="s">
        <v>1157</v>
      </c>
      <c r="C111" s="18" t="s">
        <v>730</v>
      </c>
      <c r="D111" s="19"/>
      <c r="E111" s="20">
        <v>541.37</v>
      </c>
      <c r="F111" s="21" t="s">
        <v>99</v>
      </c>
      <c r="G111" s="18"/>
    </row>
    <row r="112" spans="1:8">
      <c r="A112" s="22">
        <v>46170</v>
      </c>
      <c r="B112" s="23" t="s">
        <v>1329</v>
      </c>
      <c r="C112" s="23" t="s">
        <v>730</v>
      </c>
      <c r="D112" s="25"/>
      <c r="E112" s="28">
        <v>878.92</v>
      </c>
      <c r="F112" s="26" t="s">
        <v>99</v>
      </c>
      <c r="G112" s="23"/>
    </row>
    <row r="113" spans="1:8">
      <c r="A113" s="17">
        <v>46170</v>
      </c>
      <c r="B113" s="18" t="s">
        <v>1332</v>
      </c>
      <c r="C113" s="18" t="s">
        <v>716</v>
      </c>
      <c r="D113" s="19"/>
      <c r="E113" s="20">
        <v>676.59</v>
      </c>
      <c r="F113" s="21" t="s">
        <v>99</v>
      </c>
      <c r="G113" s="18"/>
    </row>
    <row r="114" spans="1:8">
      <c r="A114" s="22">
        <v>46170</v>
      </c>
      <c r="B114" s="23" t="s">
        <v>1698</v>
      </c>
      <c r="C114" s="23" t="s">
        <v>857</v>
      </c>
      <c r="D114" s="25"/>
      <c r="E114" s="28">
        <v>922.79</v>
      </c>
      <c r="F114" s="26" t="s">
        <v>102</v>
      </c>
      <c r="G114" s="23"/>
    </row>
    <row r="115" spans="1:8">
      <c r="A115" s="17">
        <v>46170</v>
      </c>
      <c r="B115" s="18" t="s">
        <v>1544</v>
      </c>
      <c r="C115" s="18" t="s">
        <v>718</v>
      </c>
      <c r="D115" s="19"/>
      <c r="E115" s="20">
        <v>504.75</v>
      </c>
      <c r="F115" s="21" t="s">
        <v>99</v>
      </c>
      <c r="G115" s="18"/>
    </row>
    <row r="116" spans="1:8">
      <c r="A116" s="22">
        <v>46170</v>
      </c>
      <c r="B116" s="23" t="s">
        <v>897</v>
      </c>
      <c r="C116" s="23" t="s">
        <v>730</v>
      </c>
      <c r="D116" s="25"/>
      <c r="E116" s="28">
        <v>878.93</v>
      </c>
      <c r="F116" s="26" t="s">
        <v>99</v>
      </c>
      <c r="G116" s="23"/>
    </row>
    <row r="117" spans="1:8">
      <c r="A117" s="17">
        <v>46171</v>
      </c>
      <c r="B117" s="18" t="s">
        <v>1699</v>
      </c>
      <c r="C117" s="18" t="s">
        <v>1700</v>
      </c>
      <c r="D117" s="27">
        <v>140</v>
      </c>
      <c r="E117" s="19"/>
      <c r="F117" s="21"/>
      <c r="G117" s="18"/>
    </row>
    <row r="118" spans="1:8">
      <c r="A118" s="22">
        <v>46171</v>
      </c>
      <c r="B118" s="23" t="s">
        <v>1701</v>
      </c>
      <c r="C118" s="23" t="s">
        <v>1702</v>
      </c>
      <c r="D118" s="24">
        <v>140</v>
      </c>
      <c r="E118" s="25"/>
      <c r="F118" s="26"/>
      <c r="G118" s="23"/>
    </row>
    <row r="119" spans="1:8">
      <c r="A119" s="17">
        <v>46171</v>
      </c>
      <c r="B119" s="18" t="s">
        <v>1703</v>
      </c>
      <c r="C119" s="18" t="s">
        <v>1704</v>
      </c>
      <c r="D119" s="27">
        <v>135</v>
      </c>
      <c r="E119" s="19"/>
      <c r="F119" s="21"/>
      <c r="G119" s="18"/>
      <c r="H119" s="18" t="s">
        <v>1705</v>
      </c>
    </row>
    <row r="120" spans="1:8">
      <c r="A120" s="22">
        <v>46171</v>
      </c>
      <c r="B120" s="23" t="s">
        <v>1706</v>
      </c>
      <c r="C120" s="23" t="s">
        <v>1707</v>
      </c>
      <c r="D120" s="24">
        <v>1298</v>
      </c>
      <c r="E120" s="25"/>
      <c r="F120" s="26"/>
      <c r="G120" s="23"/>
      <c r="H120" s="23" t="s">
        <v>1708</v>
      </c>
    </row>
    <row r="121" spans="1:8">
      <c r="A121" s="17">
        <v>46172</v>
      </c>
      <c r="B121" s="18" t="s">
        <v>1709</v>
      </c>
      <c r="C121" s="18" t="s">
        <v>726</v>
      </c>
      <c r="D121" s="27">
        <v>45</v>
      </c>
      <c r="E121" s="19"/>
      <c r="F121" s="21"/>
      <c r="G121" s="18"/>
    </row>
    <row r="122" spans="1:8">
      <c r="A122" s="22">
        <v>46172</v>
      </c>
      <c r="B122" s="23" t="s">
        <v>1710</v>
      </c>
      <c r="C122" s="23" t="s">
        <v>735</v>
      </c>
      <c r="D122" s="24">
        <v>90</v>
      </c>
      <c r="E122" s="25"/>
      <c r="F122" s="26"/>
      <c r="G122" s="23"/>
    </row>
    <row r="123" spans="1:8">
      <c r="A123" s="29"/>
      <c r="B123" s="227" t="s">
        <v>925</v>
      </c>
      <c r="C123" s="160"/>
      <c r="D123" s="8">
        <f>SUM(D5:D122)</f>
        <v>16232</v>
      </c>
      <c r="E123" s="8">
        <f>SUM(E5:E122)</f>
        <v>22318.339999999997</v>
      </c>
      <c r="F123" s="29"/>
      <c r="G123" s="29"/>
    </row>
    <row r="124" spans="1:8" ht="15.75" customHeight="1">
      <c r="A124" s="30"/>
      <c r="B124" s="226" t="s">
        <v>926</v>
      </c>
      <c r="C124" s="157"/>
      <c r="D124" s="225">
        <f>D123-J18</f>
        <v>-6036.27</v>
      </c>
      <c r="E124" s="157"/>
      <c r="F124" s="30"/>
      <c r="G124" s="30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46C1"/>
  </sheetPr>
  <dimension ref="A1:Q117"/>
  <sheetViews>
    <sheetView showGridLines="0" zoomScale="85" zoomScaleNormal="85" workbookViewId="0">
      <pane ySplit="4" topLeftCell="A5" activePane="bottomLeft" state="frozen"/>
      <selection pane="bottomLeft" sqref="A1:G1"/>
    </sheetView>
  </sheetViews>
  <sheetFormatPr defaultColWidth="8.7109375" defaultRowHeight="15"/>
  <cols>
    <col min="1" max="1" width="12" style="147" customWidth="1"/>
    <col min="2" max="2" width="52" style="147" customWidth="1"/>
    <col min="3" max="3" width="32" style="147" customWidth="1"/>
    <col min="4" max="5" width="14" style="147" customWidth="1"/>
    <col min="6" max="6" width="26" style="147" customWidth="1"/>
    <col min="7" max="7" width="30" style="147" customWidth="1"/>
    <col min="8" max="8" width="11" style="147" customWidth="1"/>
    <col min="9" max="9" width="32" style="147" customWidth="1"/>
    <col min="10" max="10" width="14" style="147" customWidth="1"/>
    <col min="12" max="17" width="15" style="147" customWidth="1"/>
  </cols>
  <sheetData>
    <row r="1" spans="1:17" ht="25.5" customHeight="1">
      <c r="A1" s="223" t="s">
        <v>1711</v>
      </c>
      <c r="B1" s="157"/>
      <c r="C1" s="157"/>
      <c r="D1" s="157"/>
      <c r="E1" s="157"/>
      <c r="F1" s="157"/>
      <c r="G1" s="157"/>
    </row>
    <row r="2" spans="1:17">
      <c r="A2" s="228" t="s">
        <v>697</v>
      </c>
      <c r="B2" s="157"/>
      <c r="C2" s="157"/>
      <c r="D2" s="157"/>
      <c r="E2" s="157"/>
      <c r="F2" s="157"/>
      <c r="G2" s="157"/>
    </row>
    <row r="3" spans="1:17">
      <c r="A3" s="127" t="s">
        <v>64</v>
      </c>
    </row>
    <row r="4" spans="1:17" ht="20.100000000000001" customHeight="1">
      <c r="A4" s="1" t="s">
        <v>445</v>
      </c>
      <c r="B4" s="1" t="s">
        <v>698</v>
      </c>
      <c r="C4" s="1" t="s">
        <v>699</v>
      </c>
      <c r="D4" s="1" t="s">
        <v>700</v>
      </c>
      <c r="E4" s="1" t="s">
        <v>701</v>
      </c>
      <c r="F4" s="1" t="s">
        <v>702</v>
      </c>
      <c r="G4" s="1" t="s">
        <v>189</v>
      </c>
      <c r="H4" s="1" t="s">
        <v>703</v>
      </c>
      <c r="I4" s="222" t="s">
        <v>704</v>
      </c>
      <c r="J4" s="157"/>
      <c r="L4" s="224" t="s">
        <v>532</v>
      </c>
      <c r="M4" s="157"/>
      <c r="N4" s="232" t="s">
        <v>705</v>
      </c>
      <c r="O4" s="157"/>
      <c r="P4" s="221" t="s">
        <v>706</v>
      </c>
      <c r="Q4" s="157"/>
    </row>
    <row r="5" spans="1:17" ht="14.1" customHeight="1">
      <c r="A5" s="17">
        <v>46174</v>
      </c>
      <c r="B5" s="18" t="s">
        <v>1712</v>
      </c>
      <c r="C5" s="18" t="s">
        <v>1713</v>
      </c>
      <c r="D5" s="27">
        <v>140</v>
      </c>
      <c r="E5" s="19"/>
      <c r="F5" s="21"/>
      <c r="G5" s="18"/>
      <c r="H5" s="18" t="s">
        <v>1714</v>
      </c>
      <c r="I5" s="10" t="s">
        <v>99</v>
      </c>
      <c r="J5" s="11">
        <f>SUMIF(F5:F115,I5,E5:E115)</f>
        <v>11474.710000000001</v>
      </c>
      <c r="L5" s="229">
        <f>D116</f>
        <v>18108</v>
      </c>
      <c r="M5" s="157"/>
      <c r="N5" s="231">
        <f>J18</f>
        <v>22151.510000000002</v>
      </c>
      <c r="O5" s="157"/>
      <c r="P5" s="230">
        <f>D117</f>
        <v>-4043.510000000002</v>
      </c>
      <c r="Q5" s="157"/>
    </row>
    <row r="6" spans="1:17" ht="14.1" customHeight="1">
      <c r="A6" s="22">
        <v>46174</v>
      </c>
      <c r="B6" s="23" t="s">
        <v>1715</v>
      </c>
      <c r="C6" s="23" t="s">
        <v>1716</v>
      </c>
      <c r="D6" s="24">
        <v>150</v>
      </c>
      <c r="E6" s="25"/>
      <c r="F6" s="26"/>
      <c r="G6" s="23"/>
      <c r="H6" s="23" t="s">
        <v>1717</v>
      </c>
      <c r="I6" s="13" t="s">
        <v>100</v>
      </c>
      <c r="J6" s="14">
        <f>SUMIF(F5:F115,I6,E5:E115)</f>
        <v>870</v>
      </c>
      <c r="L6" s="157"/>
      <c r="M6" s="157"/>
      <c r="N6" s="157"/>
      <c r="O6" s="157"/>
      <c r="P6" s="157"/>
      <c r="Q6" s="157"/>
    </row>
    <row r="7" spans="1:17">
      <c r="A7" s="17">
        <v>46174</v>
      </c>
      <c r="B7" s="18" t="s">
        <v>1718</v>
      </c>
      <c r="C7" s="18" t="s">
        <v>1719</v>
      </c>
      <c r="D7" s="27">
        <v>140</v>
      </c>
      <c r="E7" s="19"/>
      <c r="F7" s="21"/>
      <c r="G7" s="18"/>
      <c r="H7" s="18" t="s">
        <v>1720</v>
      </c>
      <c r="I7" s="10" t="s">
        <v>101</v>
      </c>
      <c r="J7" s="11">
        <f>SUMIF(F5:F115,I7,E5:E115)</f>
        <v>150.65</v>
      </c>
    </row>
    <row r="8" spans="1:17">
      <c r="A8" s="22">
        <v>46175</v>
      </c>
      <c r="B8" s="23" t="s">
        <v>1721</v>
      </c>
      <c r="C8" s="23" t="s">
        <v>1196</v>
      </c>
      <c r="D8" s="24">
        <v>70</v>
      </c>
      <c r="E8" s="25"/>
      <c r="F8" s="26"/>
      <c r="G8" s="23"/>
      <c r="H8" s="23" t="s">
        <v>1197</v>
      </c>
      <c r="I8" s="13" t="s">
        <v>102</v>
      </c>
      <c r="J8" s="14">
        <f>SUMIF(F5:F115,I8,E5:E115)</f>
        <v>7598.51</v>
      </c>
    </row>
    <row r="9" spans="1:17">
      <c r="A9" s="17">
        <v>46176</v>
      </c>
      <c r="B9" s="18" t="s">
        <v>1722</v>
      </c>
      <c r="C9" s="18" t="s">
        <v>1723</v>
      </c>
      <c r="D9" s="27">
        <v>140</v>
      </c>
      <c r="E9" s="19"/>
      <c r="F9" s="21"/>
      <c r="G9" s="18"/>
      <c r="H9" s="18" t="s">
        <v>1724</v>
      </c>
      <c r="I9" s="10" t="s">
        <v>103</v>
      </c>
      <c r="J9" s="11">
        <f>SUMIF(F5:F115,I9,E5:E115)</f>
        <v>0</v>
      </c>
    </row>
    <row r="10" spans="1:17">
      <c r="A10" s="22">
        <v>46176</v>
      </c>
      <c r="B10" s="23" t="s">
        <v>1725</v>
      </c>
      <c r="C10" s="23" t="s">
        <v>1726</v>
      </c>
      <c r="D10" s="24">
        <v>140</v>
      </c>
      <c r="E10" s="25"/>
      <c r="F10" s="26"/>
      <c r="G10" s="23"/>
      <c r="H10" s="23" t="s">
        <v>1727</v>
      </c>
      <c r="I10" s="13" t="s">
        <v>104</v>
      </c>
      <c r="J10" s="14">
        <f>SUMIF(F5:F115,I10,E5:E115)</f>
        <v>0</v>
      </c>
    </row>
    <row r="11" spans="1:17">
      <c r="A11" s="17">
        <v>46176</v>
      </c>
      <c r="B11" s="18" t="s">
        <v>1728</v>
      </c>
      <c r="C11" s="18" t="s">
        <v>735</v>
      </c>
      <c r="D11" s="27">
        <v>140</v>
      </c>
      <c r="E11" s="19"/>
      <c r="F11" s="21"/>
      <c r="G11" s="18"/>
      <c r="I11" s="10" t="s">
        <v>106</v>
      </c>
      <c r="J11" s="11">
        <f>SUMIF(F5:F115,I11,E5:E115)</f>
        <v>1571.32</v>
      </c>
    </row>
    <row r="12" spans="1:17">
      <c r="A12" s="22">
        <v>46176</v>
      </c>
      <c r="B12" s="23" t="s">
        <v>1729</v>
      </c>
      <c r="C12" s="23" t="s">
        <v>726</v>
      </c>
      <c r="D12" s="24">
        <v>140</v>
      </c>
      <c r="E12" s="25"/>
      <c r="F12" s="26"/>
      <c r="G12" s="23"/>
      <c r="I12" s="13" t="s">
        <v>107</v>
      </c>
      <c r="J12" s="14">
        <f>SUMIF(F5:F115,I12,E5:E115)</f>
        <v>486.32</v>
      </c>
    </row>
    <row r="13" spans="1:17">
      <c r="A13" s="17">
        <v>46178</v>
      </c>
      <c r="B13" s="18" t="s">
        <v>1730</v>
      </c>
      <c r="C13" s="18" t="s">
        <v>1731</v>
      </c>
      <c r="D13" s="27">
        <v>1398</v>
      </c>
      <c r="E13" s="19"/>
      <c r="F13" s="21"/>
      <c r="G13" s="18"/>
      <c r="H13" s="18" t="s">
        <v>1732</v>
      </c>
      <c r="I13" s="10" t="s">
        <v>108</v>
      </c>
      <c r="J13" s="11">
        <f>SUMIF(F5:F115,I13,E5:E115)</f>
        <v>0</v>
      </c>
    </row>
    <row r="14" spans="1:17">
      <c r="A14" s="22">
        <v>46178</v>
      </c>
      <c r="B14" s="23" t="s">
        <v>1733</v>
      </c>
      <c r="C14" s="23" t="s">
        <v>735</v>
      </c>
      <c r="D14" s="24">
        <v>30</v>
      </c>
      <c r="E14" s="25"/>
      <c r="F14" s="26"/>
      <c r="G14" s="23"/>
      <c r="I14" s="13" t="s">
        <v>109</v>
      </c>
      <c r="J14" s="14">
        <f>SUMIF(F5:F115,I14,E5:E115)</f>
        <v>0</v>
      </c>
    </row>
    <row r="15" spans="1:17">
      <c r="A15" s="17">
        <v>46178</v>
      </c>
      <c r="B15" s="18" t="s">
        <v>1734</v>
      </c>
      <c r="C15" s="18" t="s">
        <v>726</v>
      </c>
      <c r="D15" s="27">
        <v>35</v>
      </c>
      <c r="E15" s="19"/>
      <c r="F15" s="21"/>
      <c r="G15" s="18"/>
      <c r="I15" s="10" t="s">
        <v>110</v>
      </c>
      <c r="J15" s="11">
        <f>SUMIF(F5:F115,I15,E5:E115)</f>
        <v>0</v>
      </c>
    </row>
    <row r="16" spans="1:17">
      <c r="A16" s="22">
        <v>46178</v>
      </c>
      <c r="B16" s="23" t="s">
        <v>1735</v>
      </c>
      <c r="C16" s="23" t="s">
        <v>1736</v>
      </c>
      <c r="D16" s="24">
        <v>170</v>
      </c>
      <c r="E16" s="25"/>
      <c r="F16" s="26"/>
      <c r="G16" s="23"/>
      <c r="H16" s="23" t="s">
        <v>1737</v>
      </c>
      <c r="I16" s="13" t="s">
        <v>111</v>
      </c>
      <c r="J16" s="14">
        <f>SUMIF(F5:F115,I16,E5:E115)</f>
        <v>0</v>
      </c>
    </row>
    <row r="17" spans="1:10">
      <c r="A17" s="17">
        <v>46178</v>
      </c>
      <c r="B17" s="18" t="s">
        <v>1738</v>
      </c>
      <c r="C17" s="18" t="s">
        <v>866</v>
      </c>
      <c r="D17" s="27">
        <v>200</v>
      </c>
      <c r="E17" s="19"/>
      <c r="F17" s="21"/>
      <c r="G17" s="18"/>
      <c r="H17" s="18" t="s">
        <v>867</v>
      </c>
      <c r="I17" s="42" t="s">
        <v>112</v>
      </c>
      <c r="J17" s="8">
        <f>SUMIF(F5:F115,I17,E5:E115)</f>
        <v>0</v>
      </c>
    </row>
    <row r="18" spans="1:10">
      <c r="A18" s="22">
        <v>46178</v>
      </c>
      <c r="B18" s="23" t="s">
        <v>1479</v>
      </c>
      <c r="C18" s="23" t="s">
        <v>718</v>
      </c>
      <c r="D18" s="25"/>
      <c r="E18" s="28">
        <v>504.43</v>
      </c>
      <c r="F18" s="26" t="s">
        <v>99</v>
      </c>
      <c r="G18" s="23"/>
      <c r="I18" t="s">
        <v>113</v>
      </c>
      <c r="J18">
        <f>SUM(J5:J16)</f>
        <v>22151.510000000002</v>
      </c>
    </row>
    <row r="19" spans="1:10">
      <c r="A19" s="17">
        <v>46178</v>
      </c>
      <c r="B19" s="18" t="s">
        <v>1561</v>
      </c>
      <c r="C19" s="18" t="s">
        <v>730</v>
      </c>
      <c r="D19" s="19"/>
      <c r="E19" s="20">
        <v>878.92</v>
      </c>
      <c r="F19" s="21" t="s">
        <v>99</v>
      </c>
      <c r="G19" s="18"/>
    </row>
    <row r="20" spans="1:10">
      <c r="A20" s="22">
        <v>46178</v>
      </c>
      <c r="B20" s="23" t="s">
        <v>1739</v>
      </c>
      <c r="C20" s="23" t="s">
        <v>708</v>
      </c>
      <c r="D20" s="25"/>
      <c r="E20" s="28">
        <v>870</v>
      </c>
      <c r="F20" s="26" t="s">
        <v>100</v>
      </c>
      <c r="G20" s="23"/>
    </row>
    <row r="21" spans="1:10">
      <c r="A21" s="17">
        <v>46178</v>
      </c>
      <c r="B21" s="18" t="s">
        <v>1740</v>
      </c>
      <c r="C21" s="18" t="s">
        <v>1741</v>
      </c>
      <c r="D21" s="19"/>
      <c r="E21" s="20">
        <v>430.27</v>
      </c>
      <c r="F21" s="21" t="s">
        <v>102</v>
      </c>
      <c r="G21" s="18"/>
    </row>
    <row r="22" spans="1:10">
      <c r="A22" s="22">
        <v>46178</v>
      </c>
      <c r="B22" s="23" t="s">
        <v>1742</v>
      </c>
      <c r="C22" s="23" t="s">
        <v>767</v>
      </c>
      <c r="D22" s="25"/>
      <c r="E22" s="28">
        <v>150.65</v>
      </c>
      <c r="F22" s="26" t="s">
        <v>101</v>
      </c>
      <c r="G22" s="23"/>
    </row>
    <row r="23" spans="1:10">
      <c r="A23" s="17">
        <v>46178</v>
      </c>
      <c r="B23" s="18" t="s">
        <v>1562</v>
      </c>
      <c r="C23" s="18" t="s">
        <v>716</v>
      </c>
      <c r="D23" s="19"/>
      <c r="E23" s="20">
        <v>706.65</v>
      </c>
      <c r="F23" s="21" t="s">
        <v>99</v>
      </c>
      <c r="G23" s="18"/>
    </row>
    <row r="24" spans="1:10">
      <c r="A24" s="22">
        <v>46178</v>
      </c>
      <c r="B24" s="23" t="s">
        <v>1743</v>
      </c>
      <c r="C24" s="23" t="s">
        <v>718</v>
      </c>
      <c r="D24" s="25"/>
      <c r="E24" s="28">
        <v>804.71</v>
      </c>
      <c r="F24" s="26" t="s">
        <v>99</v>
      </c>
      <c r="G24" s="23"/>
    </row>
    <row r="25" spans="1:10">
      <c r="A25" s="17">
        <v>46179</v>
      </c>
      <c r="B25" s="18" t="s">
        <v>1744</v>
      </c>
      <c r="C25" s="18" t="s">
        <v>726</v>
      </c>
      <c r="D25" s="27">
        <v>10</v>
      </c>
      <c r="E25" s="19"/>
      <c r="F25" s="21"/>
      <c r="G25" s="18"/>
    </row>
    <row r="26" spans="1:10">
      <c r="A26" s="22">
        <v>46179</v>
      </c>
      <c r="B26" s="23" t="s">
        <v>1745</v>
      </c>
      <c r="C26" s="23" t="s">
        <v>726</v>
      </c>
      <c r="D26" s="24">
        <v>10</v>
      </c>
      <c r="E26" s="25"/>
      <c r="F26" s="26"/>
      <c r="G26" s="23"/>
    </row>
    <row r="27" spans="1:10">
      <c r="A27" s="17">
        <v>46179</v>
      </c>
      <c r="B27" s="18" t="s">
        <v>1746</v>
      </c>
      <c r="C27" s="18" t="s">
        <v>726</v>
      </c>
      <c r="D27" s="27">
        <v>80</v>
      </c>
      <c r="E27" s="19"/>
      <c r="F27" s="21"/>
      <c r="G27" s="18"/>
    </row>
    <row r="28" spans="1:10">
      <c r="A28" s="22">
        <v>46181</v>
      </c>
      <c r="B28" s="23" t="s">
        <v>1747</v>
      </c>
      <c r="C28" s="23" t="s">
        <v>1748</v>
      </c>
      <c r="D28" s="24">
        <v>175</v>
      </c>
      <c r="E28" s="25"/>
      <c r="F28" s="26"/>
      <c r="G28" s="23"/>
    </row>
    <row r="29" spans="1:10">
      <c r="A29" s="17">
        <v>46181</v>
      </c>
      <c r="B29" s="18" t="s">
        <v>1749</v>
      </c>
      <c r="C29" s="18" t="s">
        <v>1750</v>
      </c>
      <c r="D29" s="27">
        <v>135</v>
      </c>
      <c r="E29" s="19"/>
      <c r="F29" s="21"/>
      <c r="G29" s="18"/>
      <c r="H29" s="18" t="s">
        <v>1751</v>
      </c>
    </row>
    <row r="30" spans="1:10">
      <c r="A30" s="22">
        <v>46181</v>
      </c>
      <c r="B30" s="23" t="s">
        <v>1752</v>
      </c>
      <c r="C30" s="23" t="s">
        <v>735</v>
      </c>
      <c r="D30" s="24">
        <v>10</v>
      </c>
      <c r="E30" s="25"/>
      <c r="F30" s="26"/>
      <c r="G30" s="23"/>
    </row>
    <row r="31" spans="1:10">
      <c r="A31" s="17">
        <v>46181</v>
      </c>
      <c r="B31" s="18" t="s">
        <v>1753</v>
      </c>
      <c r="C31" s="18" t="s">
        <v>735</v>
      </c>
      <c r="D31" s="27">
        <v>25</v>
      </c>
      <c r="E31" s="19"/>
      <c r="F31" s="21"/>
      <c r="G31" s="18"/>
    </row>
    <row r="32" spans="1:10">
      <c r="A32" s="22">
        <v>46182</v>
      </c>
      <c r="B32" s="23" t="s">
        <v>1754</v>
      </c>
      <c r="C32" s="23" t="s">
        <v>735</v>
      </c>
      <c r="D32" s="24">
        <v>140</v>
      </c>
      <c r="E32" s="25"/>
      <c r="F32" s="26"/>
      <c r="G32" s="23"/>
    </row>
    <row r="33" spans="1:8">
      <c r="A33" s="17">
        <v>46182</v>
      </c>
      <c r="B33" s="18" t="s">
        <v>1755</v>
      </c>
      <c r="C33" s="18" t="s">
        <v>1756</v>
      </c>
      <c r="D33" s="27">
        <v>200</v>
      </c>
      <c r="E33" s="19"/>
      <c r="F33" s="21"/>
      <c r="G33" s="18"/>
      <c r="H33" s="18" t="s">
        <v>1757</v>
      </c>
    </row>
    <row r="34" spans="1:8">
      <c r="A34" s="22">
        <v>46182</v>
      </c>
      <c r="B34" s="23" t="s">
        <v>1758</v>
      </c>
      <c r="C34" s="23" t="s">
        <v>1759</v>
      </c>
      <c r="D34" s="24">
        <v>140</v>
      </c>
      <c r="E34" s="25"/>
      <c r="F34" s="26"/>
      <c r="G34" s="23"/>
    </row>
    <row r="35" spans="1:8">
      <c r="A35" s="17">
        <v>46182</v>
      </c>
      <c r="B35" s="18" t="s">
        <v>1760</v>
      </c>
      <c r="C35" s="18" t="s">
        <v>866</v>
      </c>
      <c r="D35" s="27">
        <v>80</v>
      </c>
      <c r="E35" s="19"/>
      <c r="F35" s="21"/>
      <c r="G35" s="18"/>
      <c r="H35" s="18" t="s">
        <v>867</v>
      </c>
    </row>
    <row r="36" spans="1:8">
      <c r="A36" s="22">
        <v>46182</v>
      </c>
      <c r="B36" s="23" t="s">
        <v>1083</v>
      </c>
      <c r="C36" s="23" t="s">
        <v>716</v>
      </c>
      <c r="D36" s="25"/>
      <c r="E36" s="28">
        <v>811.01</v>
      </c>
      <c r="F36" s="26" t="s">
        <v>99</v>
      </c>
      <c r="G36" s="23"/>
    </row>
    <row r="37" spans="1:8">
      <c r="A37" s="17">
        <v>46182</v>
      </c>
      <c r="B37" s="18" t="s">
        <v>1578</v>
      </c>
      <c r="C37" s="18" t="s">
        <v>716</v>
      </c>
      <c r="D37" s="19"/>
      <c r="E37" s="20">
        <v>725.48</v>
      </c>
      <c r="F37" s="21" t="s">
        <v>99</v>
      </c>
      <c r="G37" s="18"/>
    </row>
    <row r="38" spans="1:8">
      <c r="A38" s="22">
        <v>46182</v>
      </c>
      <c r="B38" s="23" t="s">
        <v>1544</v>
      </c>
      <c r="C38" s="23" t="s">
        <v>718</v>
      </c>
      <c r="D38" s="25"/>
      <c r="E38" s="28">
        <v>504.75</v>
      </c>
      <c r="F38" s="26" t="s">
        <v>99</v>
      </c>
      <c r="G38" s="23"/>
    </row>
    <row r="39" spans="1:8">
      <c r="A39" s="17">
        <v>46183</v>
      </c>
      <c r="B39" s="18" t="s">
        <v>1761</v>
      </c>
      <c r="C39" s="18" t="s">
        <v>1762</v>
      </c>
      <c r="D39" s="27">
        <v>140</v>
      </c>
      <c r="E39" s="19"/>
      <c r="F39" s="21"/>
      <c r="G39" s="18"/>
      <c r="H39" s="18" t="s">
        <v>1763</v>
      </c>
    </row>
    <row r="40" spans="1:8">
      <c r="A40" s="22">
        <v>46183</v>
      </c>
      <c r="B40" s="23" t="s">
        <v>1764</v>
      </c>
      <c r="C40" s="23" t="s">
        <v>1765</v>
      </c>
      <c r="D40" s="24">
        <v>140</v>
      </c>
      <c r="E40" s="25"/>
      <c r="F40" s="26"/>
      <c r="G40" s="23"/>
      <c r="H40" s="23" t="s">
        <v>1766</v>
      </c>
    </row>
    <row r="41" spans="1:8">
      <c r="A41" s="17">
        <v>46183</v>
      </c>
      <c r="B41" s="18" t="s">
        <v>1767</v>
      </c>
      <c r="C41" s="18" t="s">
        <v>1768</v>
      </c>
      <c r="D41" s="27">
        <v>140</v>
      </c>
      <c r="E41" s="19"/>
      <c r="F41" s="21"/>
      <c r="G41" s="18"/>
      <c r="H41" s="18" t="s">
        <v>1769</v>
      </c>
    </row>
    <row r="42" spans="1:8">
      <c r="A42" s="22">
        <v>46183</v>
      </c>
      <c r="B42" s="23" t="s">
        <v>1770</v>
      </c>
      <c r="C42" s="23" t="s">
        <v>1161</v>
      </c>
      <c r="D42" s="24">
        <v>180</v>
      </c>
      <c r="E42" s="25"/>
      <c r="F42" s="26"/>
      <c r="G42" s="23"/>
      <c r="H42" s="23" t="s">
        <v>1162</v>
      </c>
    </row>
    <row r="43" spans="1:8">
      <c r="A43" s="17">
        <v>46184</v>
      </c>
      <c r="B43" s="18" t="s">
        <v>1771</v>
      </c>
      <c r="C43" s="18" t="s">
        <v>726</v>
      </c>
      <c r="D43" s="27">
        <v>10</v>
      </c>
      <c r="E43" s="19"/>
      <c r="F43" s="21"/>
      <c r="G43" s="18"/>
    </row>
    <row r="44" spans="1:8">
      <c r="A44" s="22">
        <v>46184</v>
      </c>
      <c r="B44" s="23" t="s">
        <v>1772</v>
      </c>
      <c r="C44" s="23" t="s">
        <v>1773</v>
      </c>
      <c r="D44" s="24">
        <v>1510</v>
      </c>
      <c r="E44" s="25"/>
      <c r="F44" s="26"/>
      <c r="G44" s="23"/>
    </row>
    <row r="45" spans="1:8">
      <c r="A45" s="17">
        <v>46184</v>
      </c>
      <c r="B45" s="18" t="s">
        <v>1774</v>
      </c>
      <c r="C45" s="18" t="s">
        <v>726</v>
      </c>
      <c r="D45" s="27">
        <v>60</v>
      </c>
      <c r="E45" s="19"/>
      <c r="F45" s="21"/>
      <c r="G45" s="18"/>
    </row>
    <row r="46" spans="1:8">
      <c r="A46" s="22">
        <v>46184</v>
      </c>
      <c r="B46" s="23" t="s">
        <v>1775</v>
      </c>
      <c r="C46" s="23" t="s">
        <v>726</v>
      </c>
      <c r="D46" s="24">
        <v>140</v>
      </c>
      <c r="E46" s="25"/>
      <c r="F46" s="26"/>
      <c r="G46" s="23"/>
    </row>
    <row r="47" spans="1:8">
      <c r="A47" s="17">
        <v>46185</v>
      </c>
      <c r="B47" s="18" t="s">
        <v>1776</v>
      </c>
      <c r="C47" s="18" t="s">
        <v>726</v>
      </c>
      <c r="D47" s="27">
        <v>200</v>
      </c>
      <c r="E47" s="19"/>
      <c r="F47" s="21"/>
      <c r="G47" s="18"/>
    </row>
    <row r="48" spans="1:8">
      <c r="A48" s="22">
        <v>46185</v>
      </c>
      <c r="B48" s="23" t="s">
        <v>1777</v>
      </c>
      <c r="C48" s="23" t="s">
        <v>1778</v>
      </c>
      <c r="D48" s="24">
        <v>185</v>
      </c>
      <c r="E48" s="25"/>
      <c r="F48" s="26"/>
      <c r="G48" s="23"/>
      <c r="H48" s="23" t="s">
        <v>1779</v>
      </c>
    </row>
    <row r="49" spans="1:8">
      <c r="A49" s="17">
        <v>46185</v>
      </c>
      <c r="B49" s="18" t="s">
        <v>1780</v>
      </c>
      <c r="C49" s="18" t="s">
        <v>735</v>
      </c>
      <c r="D49" s="27">
        <v>90</v>
      </c>
      <c r="E49" s="19"/>
      <c r="F49" s="21"/>
      <c r="G49" s="18"/>
    </row>
    <row r="50" spans="1:8">
      <c r="A50" s="22">
        <v>46185</v>
      </c>
      <c r="B50" s="23" t="s">
        <v>1781</v>
      </c>
      <c r="C50" s="23" t="s">
        <v>726</v>
      </c>
      <c r="D50" s="24">
        <v>40</v>
      </c>
      <c r="E50" s="25"/>
      <c r="F50" s="26"/>
      <c r="G50" s="23"/>
    </row>
    <row r="51" spans="1:8">
      <c r="A51" s="17">
        <v>46185</v>
      </c>
      <c r="B51" s="18" t="s">
        <v>1782</v>
      </c>
      <c r="C51" s="18" t="s">
        <v>726</v>
      </c>
      <c r="D51" s="27">
        <v>95</v>
      </c>
      <c r="E51" s="19"/>
      <c r="F51" s="21"/>
      <c r="G51" s="18"/>
    </row>
    <row r="52" spans="1:8">
      <c r="A52" s="22">
        <v>46188</v>
      </c>
      <c r="B52" s="23" t="s">
        <v>1783</v>
      </c>
      <c r="C52" s="23" t="s">
        <v>1784</v>
      </c>
      <c r="D52" s="24">
        <v>180</v>
      </c>
      <c r="E52" s="25"/>
      <c r="F52" s="26"/>
      <c r="G52" s="23"/>
      <c r="H52" s="23" t="s">
        <v>1785</v>
      </c>
    </row>
    <row r="53" spans="1:8">
      <c r="A53" s="17">
        <v>46188</v>
      </c>
      <c r="B53" s="18" t="s">
        <v>1786</v>
      </c>
      <c r="C53" s="18" t="s">
        <v>1787</v>
      </c>
      <c r="D53" s="27">
        <v>140</v>
      </c>
      <c r="E53" s="19"/>
      <c r="F53" s="21"/>
      <c r="G53" s="18"/>
      <c r="H53" s="18" t="s">
        <v>1788</v>
      </c>
    </row>
    <row r="54" spans="1:8">
      <c r="A54" s="22">
        <v>46188</v>
      </c>
      <c r="B54" s="23" t="s">
        <v>1789</v>
      </c>
      <c r="C54" s="23" t="s">
        <v>1790</v>
      </c>
      <c r="D54" s="24">
        <v>140</v>
      </c>
      <c r="E54" s="25"/>
      <c r="F54" s="26"/>
      <c r="G54" s="23"/>
      <c r="H54" s="23" t="s">
        <v>1791</v>
      </c>
    </row>
    <row r="55" spans="1:8">
      <c r="A55" s="17">
        <v>46188</v>
      </c>
      <c r="B55" s="18" t="s">
        <v>1792</v>
      </c>
      <c r="C55" s="18" t="s">
        <v>735</v>
      </c>
      <c r="D55" s="27">
        <v>90</v>
      </c>
      <c r="E55" s="19"/>
      <c r="F55" s="21"/>
      <c r="G55" s="18"/>
    </row>
    <row r="56" spans="1:8">
      <c r="A56" s="22">
        <v>46188</v>
      </c>
      <c r="B56" s="23" t="s">
        <v>1793</v>
      </c>
      <c r="C56" s="23" t="s">
        <v>726</v>
      </c>
      <c r="D56" s="24">
        <v>20</v>
      </c>
      <c r="E56" s="25"/>
      <c r="F56" s="26"/>
      <c r="G56" s="23"/>
    </row>
    <row r="57" spans="1:8">
      <c r="A57" s="17">
        <v>46189</v>
      </c>
      <c r="B57" s="18" t="s">
        <v>1794</v>
      </c>
      <c r="C57" s="18" t="s">
        <v>726</v>
      </c>
      <c r="D57" s="27">
        <v>35</v>
      </c>
      <c r="E57" s="19"/>
      <c r="F57" s="21"/>
      <c r="G57" s="18"/>
    </row>
    <row r="58" spans="1:8">
      <c r="A58" s="22">
        <v>46189</v>
      </c>
      <c r="B58" s="23" t="s">
        <v>1795</v>
      </c>
      <c r="C58" s="23" t="s">
        <v>735</v>
      </c>
      <c r="D58" s="24">
        <v>200</v>
      </c>
      <c r="E58" s="25"/>
      <c r="F58" s="26"/>
      <c r="G58" s="23"/>
    </row>
    <row r="59" spans="1:8">
      <c r="A59" s="17">
        <v>46189</v>
      </c>
      <c r="B59" s="18" t="s">
        <v>1796</v>
      </c>
      <c r="C59" s="18" t="s">
        <v>1797</v>
      </c>
      <c r="D59" s="27">
        <v>60</v>
      </c>
      <c r="E59" s="19"/>
      <c r="F59" s="21"/>
      <c r="G59" s="18"/>
      <c r="H59" s="18" t="s">
        <v>1798</v>
      </c>
    </row>
    <row r="60" spans="1:8">
      <c r="A60" s="22">
        <v>46189</v>
      </c>
      <c r="B60" s="23" t="s">
        <v>1799</v>
      </c>
      <c r="C60" s="23" t="s">
        <v>826</v>
      </c>
      <c r="D60" s="25"/>
      <c r="E60" s="28">
        <v>486.32</v>
      </c>
      <c r="F60" s="26" t="s">
        <v>107</v>
      </c>
      <c r="G60" s="23"/>
    </row>
    <row r="61" spans="1:8">
      <c r="A61" s="17">
        <v>46189</v>
      </c>
      <c r="B61" s="18" t="s">
        <v>1085</v>
      </c>
      <c r="C61" s="18" t="s">
        <v>716</v>
      </c>
      <c r="D61" s="19"/>
      <c r="E61" s="20">
        <v>865.52</v>
      </c>
      <c r="F61" s="21" t="s">
        <v>99</v>
      </c>
      <c r="G61" s="18"/>
    </row>
    <row r="62" spans="1:8">
      <c r="A62" s="22">
        <v>46189</v>
      </c>
      <c r="B62" s="23" t="s">
        <v>1800</v>
      </c>
      <c r="C62" s="23" t="s">
        <v>726</v>
      </c>
      <c r="D62" s="24">
        <v>10</v>
      </c>
      <c r="E62" s="25"/>
      <c r="F62" s="26"/>
      <c r="G62" s="23"/>
    </row>
    <row r="63" spans="1:8">
      <c r="A63" s="17">
        <v>46189</v>
      </c>
      <c r="B63" s="18" t="s">
        <v>1801</v>
      </c>
      <c r="C63" s="18" t="s">
        <v>726</v>
      </c>
      <c r="D63" s="27">
        <v>65</v>
      </c>
      <c r="E63" s="19"/>
      <c r="F63" s="21"/>
      <c r="G63" s="18"/>
    </row>
    <row r="64" spans="1:8">
      <c r="A64" s="22">
        <v>46189</v>
      </c>
      <c r="B64" s="23" t="s">
        <v>1802</v>
      </c>
      <c r="C64" s="23" t="s">
        <v>720</v>
      </c>
      <c r="D64" s="24">
        <v>450</v>
      </c>
      <c r="E64" s="25"/>
      <c r="F64" s="26"/>
      <c r="G64" s="23"/>
      <c r="H64" s="23" t="s">
        <v>721</v>
      </c>
    </row>
    <row r="65" spans="1:8">
      <c r="A65" s="17">
        <v>46189</v>
      </c>
      <c r="B65" s="18" t="s">
        <v>1803</v>
      </c>
      <c r="C65" s="18" t="s">
        <v>1804</v>
      </c>
      <c r="D65" s="27">
        <v>135</v>
      </c>
      <c r="E65" s="19"/>
      <c r="F65" s="21"/>
      <c r="G65" s="18"/>
      <c r="H65" s="18" t="s">
        <v>1805</v>
      </c>
    </row>
    <row r="66" spans="1:8">
      <c r="A66" s="22">
        <v>46189</v>
      </c>
      <c r="B66" s="23" t="s">
        <v>1806</v>
      </c>
      <c r="C66" s="23" t="s">
        <v>735</v>
      </c>
      <c r="D66" s="24">
        <v>200</v>
      </c>
      <c r="E66" s="25"/>
      <c r="F66" s="26"/>
      <c r="G66" s="23"/>
    </row>
    <row r="67" spans="1:8">
      <c r="A67" s="17">
        <v>46190</v>
      </c>
      <c r="B67" s="18" t="s">
        <v>1807</v>
      </c>
      <c r="C67" s="18" t="s">
        <v>1808</v>
      </c>
      <c r="D67" s="27">
        <v>130</v>
      </c>
      <c r="E67" s="19"/>
      <c r="F67" s="21"/>
      <c r="G67" s="18"/>
      <c r="H67" s="18" t="s">
        <v>1809</v>
      </c>
    </row>
    <row r="68" spans="1:8">
      <c r="A68" s="22">
        <v>46190</v>
      </c>
      <c r="B68" s="23" t="s">
        <v>1810</v>
      </c>
      <c r="C68" s="23" t="s">
        <v>1811</v>
      </c>
      <c r="D68" s="24">
        <v>140</v>
      </c>
      <c r="E68" s="25"/>
      <c r="F68" s="26"/>
      <c r="G68" s="23"/>
    </row>
    <row r="69" spans="1:8">
      <c r="A69" s="17">
        <v>46190</v>
      </c>
      <c r="B69" s="18" t="s">
        <v>1812</v>
      </c>
      <c r="C69" s="18" t="s">
        <v>1813</v>
      </c>
      <c r="D69" s="27">
        <v>135</v>
      </c>
      <c r="E69" s="19"/>
      <c r="F69" s="21"/>
      <c r="G69" s="18"/>
      <c r="H69" s="18" t="s">
        <v>1814</v>
      </c>
    </row>
    <row r="70" spans="1:8">
      <c r="A70" s="22">
        <v>46190</v>
      </c>
      <c r="B70" s="23" t="s">
        <v>1815</v>
      </c>
      <c r="C70" s="23" t="s">
        <v>1816</v>
      </c>
      <c r="D70" s="24">
        <v>140</v>
      </c>
      <c r="E70" s="25"/>
      <c r="F70" s="26"/>
      <c r="G70" s="23"/>
      <c r="H70" s="23" t="s">
        <v>1817</v>
      </c>
    </row>
    <row r="71" spans="1:8">
      <c r="A71" s="17">
        <v>46190</v>
      </c>
      <c r="B71" s="18" t="s">
        <v>1818</v>
      </c>
      <c r="C71" s="18" t="s">
        <v>726</v>
      </c>
      <c r="D71" s="27">
        <v>415</v>
      </c>
      <c r="E71" s="19"/>
      <c r="F71" s="21"/>
      <c r="G71" s="18"/>
    </row>
    <row r="72" spans="1:8">
      <c r="A72" s="22">
        <v>46191</v>
      </c>
      <c r="B72" s="23" t="s">
        <v>1819</v>
      </c>
      <c r="C72" s="23" t="s">
        <v>1309</v>
      </c>
      <c r="D72" s="24">
        <v>1120</v>
      </c>
      <c r="E72" s="25"/>
      <c r="F72" s="26"/>
      <c r="G72" s="23"/>
      <c r="H72" s="23" t="s">
        <v>1310</v>
      </c>
    </row>
    <row r="73" spans="1:8">
      <c r="A73" s="17">
        <v>46191</v>
      </c>
      <c r="B73" s="18" t="s">
        <v>1820</v>
      </c>
      <c r="C73" s="18" t="s">
        <v>735</v>
      </c>
      <c r="D73" s="27">
        <v>120</v>
      </c>
      <c r="E73" s="19"/>
      <c r="F73" s="21"/>
      <c r="G73" s="18"/>
    </row>
    <row r="74" spans="1:8">
      <c r="A74" s="22">
        <v>46191</v>
      </c>
      <c r="B74" s="23" t="s">
        <v>1821</v>
      </c>
      <c r="C74" s="23" t="s">
        <v>735</v>
      </c>
      <c r="D74" s="24">
        <v>90</v>
      </c>
      <c r="E74" s="25"/>
      <c r="F74" s="26"/>
      <c r="G74" s="23"/>
    </row>
    <row r="75" spans="1:8">
      <c r="A75" s="17">
        <v>46191</v>
      </c>
      <c r="B75" s="18" t="s">
        <v>1822</v>
      </c>
      <c r="C75" s="18" t="s">
        <v>735</v>
      </c>
      <c r="D75" s="27">
        <v>200</v>
      </c>
      <c r="E75" s="19"/>
      <c r="F75" s="21"/>
      <c r="G75" s="18"/>
    </row>
    <row r="76" spans="1:8">
      <c r="A76" s="22">
        <v>46191</v>
      </c>
      <c r="B76" s="23" t="s">
        <v>1823</v>
      </c>
      <c r="C76" s="23" t="s">
        <v>735</v>
      </c>
      <c r="D76" s="24">
        <v>50</v>
      </c>
      <c r="E76" s="25"/>
      <c r="F76" s="26"/>
      <c r="G76" s="23"/>
    </row>
    <row r="77" spans="1:8">
      <c r="A77" s="17">
        <v>46191</v>
      </c>
      <c r="B77" s="18" t="s">
        <v>1824</v>
      </c>
      <c r="C77" s="18" t="s">
        <v>916</v>
      </c>
      <c r="D77" s="27">
        <v>625</v>
      </c>
      <c r="E77" s="19"/>
      <c r="F77" s="21"/>
      <c r="G77" s="18"/>
      <c r="H77" s="18" t="s">
        <v>917</v>
      </c>
    </row>
    <row r="78" spans="1:8">
      <c r="A78" s="22">
        <v>46191</v>
      </c>
      <c r="B78" s="23" t="s">
        <v>1825</v>
      </c>
      <c r="C78" s="23" t="s">
        <v>716</v>
      </c>
      <c r="D78" s="25"/>
      <c r="E78" s="28">
        <v>856.35</v>
      </c>
      <c r="F78" s="26" t="s">
        <v>99</v>
      </c>
      <c r="G78" s="23"/>
    </row>
    <row r="79" spans="1:8">
      <c r="A79" s="17">
        <v>46191</v>
      </c>
      <c r="B79" s="18" t="s">
        <v>1826</v>
      </c>
      <c r="C79" s="18" t="s">
        <v>716</v>
      </c>
      <c r="D79" s="19"/>
      <c r="E79" s="20">
        <v>865.5</v>
      </c>
      <c r="F79" s="21" t="s">
        <v>99</v>
      </c>
      <c r="G79" s="18"/>
    </row>
    <row r="80" spans="1:8">
      <c r="A80" s="22">
        <v>46191</v>
      </c>
      <c r="B80" s="23" t="s">
        <v>1827</v>
      </c>
      <c r="C80" s="23" t="s">
        <v>716</v>
      </c>
      <c r="D80" s="25"/>
      <c r="E80" s="28">
        <v>167.91</v>
      </c>
      <c r="F80" s="26" t="s">
        <v>99</v>
      </c>
      <c r="G80" s="23"/>
    </row>
    <row r="81" spans="1:8">
      <c r="A81" s="17">
        <v>46191</v>
      </c>
      <c r="B81" s="18" t="s">
        <v>1743</v>
      </c>
      <c r="C81" s="18" t="s">
        <v>718</v>
      </c>
      <c r="D81" s="19"/>
      <c r="E81" s="20">
        <v>666.15</v>
      </c>
      <c r="F81" s="21" t="s">
        <v>99</v>
      </c>
      <c r="G81" s="18"/>
    </row>
    <row r="82" spans="1:8">
      <c r="A82" s="22">
        <v>46191</v>
      </c>
      <c r="B82" s="23" t="s">
        <v>1828</v>
      </c>
      <c r="C82" s="23" t="s">
        <v>1829</v>
      </c>
      <c r="D82" s="25"/>
      <c r="E82" s="28">
        <v>267.2</v>
      </c>
      <c r="F82" s="26" t="s">
        <v>102</v>
      </c>
      <c r="G82" s="23"/>
    </row>
    <row r="83" spans="1:8">
      <c r="A83" s="17">
        <v>46192</v>
      </c>
      <c r="B83" s="18" t="s">
        <v>1830</v>
      </c>
      <c r="C83" s="18" t="s">
        <v>1831</v>
      </c>
      <c r="D83" s="27">
        <v>180</v>
      </c>
      <c r="E83" s="19"/>
      <c r="F83" s="21"/>
      <c r="G83" s="18"/>
      <c r="H83" s="18" t="s">
        <v>1832</v>
      </c>
    </row>
    <row r="84" spans="1:8">
      <c r="A84" s="22">
        <v>46192</v>
      </c>
      <c r="B84" s="23" t="s">
        <v>1833</v>
      </c>
      <c r="C84" s="23" t="s">
        <v>726</v>
      </c>
      <c r="D84" s="24">
        <v>30</v>
      </c>
      <c r="E84" s="25"/>
      <c r="F84" s="26"/>
      <c r="G84" s="23"/>
    </row>
    <row r="85" spans="1:8">
      <c r="A85" s="17">
        <v>46192</v>
      </c>
      <c r="B85" s="18" t="s">
        <v>1834</v>
      </c>
      <c r="C85" s="18" t="s">
        <v>726</v>
      </c>
      <c r="D85" s="27">
        <v>30</v>
      </c>
      <c r="E85" s="19"/>
      <c r="F85" s="21"/>
      <c r="G85" s="18"/>
    </row>
    <row r="86" spans="1:8">
      <c r="A86" s="22">
        <v>46193</v>
      </c>
      <c r="B86" s="23" t="s">
        <v>1835</v>
      </c>
      <c r="C86" s="23" t="s">
        <v>1836</v>
      </c>
      <c r="D86" s="24">
        <v>135</v>
      </c>
      <c r="E86" s="25"/>
      <c r="F86" s="26"/>
      <c r="G86" s="23"/>
    </row>
    <row r="87" spans="1:8">
      <c r="A87" s="17">
        <v>46195</v>
      </c>
      <c r="B87" s="18" t="s">
        <v>1837</v>
      </c>
      <c r="C87" s="18" t="s">
        <v>735</v>
      </c>
      <c r="D87" s="27">
        <v>140</v>
      </c>
      <c r="E87" s="19"/>
      <c r="F87" s="21"/>
      <c r="G87" s="18"/>
    </row>
    <row r="88" spans="1:8">
      <c r="A88" s="22">
        <v>46195</v>
      </c>
      <c r="B88" s="23" t="s">
        <v>1838</v>
      </c>
      <c r="C88" s="23" t="s">
        <v>726</v>
      </c>
      <c r="D88" s="24">
        <v>215</v>
      </c>
      <c r="E88" s="25"/>
      <c r="F88" s="26"/>
      <c r="G88" s="23"/>
    </row>
    <row r="89" spans="1:8">
      <c r="A89" s="17">
        <v>46195</v>
      </c>
      <c r="B89" s="18" t="s">
        <v>1839</v>
      </c>
      <c r="C89" s="18" t="s">
        <v>735</v>
      </c>
      <c r="D89" s="27">
        <v>140</v>
      </c>
      <c r="E89" s="19"/>
      <c r="F89" s="21"/>
      <c r="G89" s="18"/>
    </row>
    <row r="90" spans="1:8">
      <c r="A90" s="22">
        <v>46195</v>
      </c>
      <c r="B90" s="23" t="s">
        <v>1840</v>
      </c>
      <c r="C90" s="23" t="s">
        <v>1841</v>
      </c>
      <c r="D90" s="24">
        <v>130</v>
      </c>
      <c r="E90" s="25"/>
      <c r="F90" s="26"/>
      <c r="G90" s="23"/>
      <c r="H90" s="23" t="s">
        <v>1842</v>
      </c>
    </row>
    <row r="91" spans="1:8">
      <c r="A91" s="17">
        <v>46196</v>
      </c>
      <c r="B91" s="18" t="s">
        <v>1843</v>
      </c>
      <c r="C91" s="18" t="s">
        <v>1844</v>
      </c>
      <c r="D91" s="27">
        <v>200</v>
      </c>
      <c r="E91" s="19"/>
      <c r="F91" s="21"/>
      <c r="G91" s="18"/>
    </row>
    <row r="92" spans="1:8">
      <c r="A92" s="22">
        <v>46196</v>
      </c>
      <c r="B92" s="23" t="s">
        <v>1845</v>
      </c>
      <c r="C92" s="23" t="s">
        <v>1846</v>
      </c>
      <c r="D92" s="24">
        <v>560</v>
      </c>
      <c r="E92" s="25"/>
      <c r="F92" s="26"/>
      <c r="G92" s="23"/>
    </row>
    <row r="93" spans="1:8">
      <c r="A93" s="17">
        <v>46198</v>
      </c>
      <c r="B93" s="18" t="s">
        <v>1847</v>
      </c>
      <c r="C93" s="18" t="s">
        <v>1848</v>
      </c>
      <c r="D93" s="27">
        <v>1440</v>
      </c>
      <c r="E93" s="19"/>
      <c r="F93" s="21"/>
      <c r="G93" s="18"/>
      <c r="H93" s="18" t="s">
        <v>1849</v>
      </c>
    </row>
    <row r="94" spans="1:8">
      <c r="A94" s="22">
        <v>46198</v>
      </c>
      <c r="B94" s="23" t="s">
        <v>1850</v>
      </c>
      <c r="C94" s="23" t="s">
        <v>1851</v>
      </c>
      <c r="D94" s="24">
        <v>140</v>
      </c>
      <c r="E94" s="25"/>
      <c r="F94" s="26"/>
      <c r="G94" s="23"/>
      <c r="H94" s="23" t="s">
        <v>1852</v>
      </c>
    </row>
    <row r="95" spans="1:8">
      <c r="A95" s="17">
        <v>46198</v>
      </c>
      <c r="B95" s="18" t="s">
        <v>1853</v>
      </c>
      <c r="C95" s="18" t="s">
        <v>735</v>
      </c>
      <c r="D95" s="27">
        <v>30</v>
      </c>
      <c r="E95" s="19"/>
      <c r="F95" s="21"/>
      <c r="G95" s="18"/>
    </row>
    <row r="96" spans="1:8">
      <c r="A96" s="22">
        <v>46198</v>
      </c>
      <c r="B96" s="23" t="s">
        <v>1854</v>
      </c>
      <c r="C96" s="23" t="s">
        <v>735</v>
      </c>
      <c r="D96" s="24">
        <v>95</v>
      </c>
      <c r="E96" s="25"/>
      <c r="F96" s="26"/>
      <c r="G96" s="23"/>
    </row>
    <row r="97" spans="1:8">
      <c r="A97" s="17">
        <v>46199</v>
      </c>
      <c r="B97" s="18" t="s">
        <v>1855</v>
      </c>
      <c r="C97" s="18" t="s">
        <v>726</v>
      </c>
      <c r="D97" s="27">
        <v>85</v>
      </c>
      <c r="E97" s="19"/>
      <c r="F97" s="21"/>
      <c r="G97" s="18"/>
    </row>
    <row r="98" spans="1:8">
      <c r="A98" s="22">
        <v>46199</v>
      </c>
      <c r="B98" s="23" t="s">
        <v>1856</v>
      </c>
      <c r="C98" s="23" t="s">
        <v>1857</v>
      </c>
      <c r="D98" s="24">
        <v>320</v>
      </c>
      <c r="E98" s="25"/>
      <c r="F98" s="26"/>
      <c r="G98" s="23"/>
    </row>
    <row r="99" spans="1:8">
      <c r="A99" s="17">
        <v>46199</v>
      </c>
      <c r="B99" s="18" t="s">
        <v>1858</v>
      </c>
      <c r="C99" s="18" t="s">
        <v>730</v>
      </c>
      <c r="D99" s="19"/>
      <c r="E99" s="20">
        <v>968.92</v>
      </c>
      <c r="F99" s="21" t="s">
        <v>99</v>
      </c>
      <c r="G99" s="18"/>
    </row>
    <row r="100" spans="1:8">
      <c r="A100" s="22">
        <v>46199</v>
      </c>
      <c r="B100" s="23" t="s">
        <v>1859</v>
      </c>
      <c r="C100" s="23" t="s">
        <v>1860</v>
      </c>
      <c r="D100" s="24">
        <v>380</v>
      </c>
      <c r="E100" s="25"/>
      <c r="F100" s="26"/>
      <c r="G100" s="23"/>
      <c r="H100" s="23" t="s">
        <v>1861</v>
      </c>
    </row>
    <row r="101" spans="1:8">
      <c r="A101" s="17">
        <v>46199</v>
      </c>
      <c r="B101" s="18" t="s">
        <v>1862</v>
      </c>
      <c r="C101" s="18" t="s">
        <v>726</v>
      </c>
      <c r="D101" s="27">
        <v>140</v>
      </c>
      <c r="E101" s="19"/>
      <c r="F101" s="21"/>
      <c r="G101" s="18"/>
    </row>
    <row r="102" spans="1:8">
      <c r="A102" s="22">
        <v>46199</v>
      </c>
      <c r="B102" s="23" t="s">
        <v>1157</v>
      </c>
      <c r="C102" s="23" t="s">
        <v>730</v>
      </c>
      <c r="D102" s="25"/>
      <c r="E102" s="28">
        <v>541.35</v>
      </c>
      <c r="F102" s="26" t="s">
        <v>99</v>
      </c>
      <c r="G102" s="23"/>
    </row>
    <row r="103" spans="1:8">
      <c r="A103" s="17">
        <v>46199</v>
      </c>
      <c r="B103" s="18" t="s">
        <v>1118</v>
      </c>
      <c r="C103" s="18" t="s">
        <v>1741</v>
      </c>
      <c r="D103" s="19"/>
      <c r="E103" s="20">
        <v>955.4</v>
      </c>
      <c r="F103" s="21" t="s">
        <v>102</v>
      </c>
      <c r="G103" s="18"/>
    </row>
    <row r="104" spans="1:8">
      <c r="A104" s="22">
        <v>46199</v>
      </c>
      <c r="B104" s="23" t="s">
        <v>1329</v>
      </c>
      <c r="C104" s="23" t="s">
        <v>730</v>
      </c>
      <c r="D104" s="25"/>
      <c r="E104" s="28">
        <v>878.92</v>
      </c>
      <c r="F104" s="26" t="s">
        <v>99</v>
      </c>
      <c r="G104" s="23"/>
    </row>
    <row r="105" spans="1:8">
      <c r="A105" s="17">
        <v>46199</v>
      </c>
      <c r="B105" s="18" t="s">
        <v>1332</v>
      </c>
      <c r="C105" s="18" t="s">
        <v>716</v>
      </c>
      <c r="D105" s="19"/>
      <c r="E105" s="20">
        <v>676.59</v>
      </c>
      <c r="F105" s="21" t="s">
        <v>99</v>
      </c>
      <c r="G105" s="18"/>
    </row>
    <row r="106" spans="1:8">
      <c r="A106" s="22">
        <v>46199</v>
      </c>
      <c r="B106" s="23" t="s">
        <v>1863</v>
      </c>
      <c r="C106" s="23" t="s">
        <v>1674</v>
      </c>
      <c r="D106" s="25"/>
      <c r="E106" s="28">
        <v>1855.58</v>
      </c>
      <c r="F106" s="26" t="s">
        <v>102</v>
      </c>
      <c r="G106" s="23"/>
    </row>
    <row r="107" spans="1:8">
      <c r="A107" s="17">
        <v>46200</v>
      </c>
      <c r="B107" s="18" t="s">
        <v>1864</v>
      </c>
      <c r="C107" s="18" t="s">
        <v>735</v>
      </c>
      <c r="D107" s="27">
        <v>30</v>
      </c>
      <c r="E107" s="19"/>
      <c r="F107" s="21"/>
      <c r="G107" s="18"/>
    </row>
    <row r="108" spans="1:8">
      <c r="A108" s="22">
        <v>46202</v>
      </c>
      <c r="B108" s="23" t="s">
        <v>1865</v>
      </c>
      <c r="C108" s="23" t="s">
        <v>718</v>
      </c>
      <c r="D108" s="25"/>
      <c r="E108" s="28">
        <v>51.55</v>
      </c>
      <c r="F108" s="26" t="s">
        <v>99</v>
      </c>
      <c r="G108" s="23"/>
    </row>
    <row r="109" spans="1:8">
      <c r="A109" s="17">
        <v>46202</v>
      </c>
      <c r="B109" s="18" t="s">
        <v>1866</v>
      </c>
      <c r="C109" s="18" t="s">
        <v>1676</v>
      </c>
      <c r="D109" s="27">
        <v>80</v>
      </c>
      <c r="E109" s="19"/>
      <c r="F109" s="21"/>
      <c r="G109" s="18"/>
      <c r="H109" s="18" t="s">
        <v>1677</v>
      </c>
    </row>
    <row r="110" spans="1:8">
      <c r="A110" s="22">
        <v>46202</v>
      </c>
      <c r="B110" s="23" t="s">
        <v>1867</v>
      </c>
      <c r="C110" s="23" t="s">
        <v>1868</v>
      </c>
      <c r="D110" s="24">
        <v>1500</v>
      </c>
      <c r="E110" s="25"/>
      <c r="F110" s="26"/>
      <c r="G110" s="23"/>
      <c r="H110" s="23" t="s">
        <v>1869</v>
      </c>
    </row>
    <row r="111" spans="1:8">
      <c r="A111" s="17">
        <v>46203</v>
      </c>
      <c r="B111" s="18" t="s">
        <v>858</v>
      </c>
      <c r="C111" s="18" t="s">
        <v>1741</v>
      </c>
      <c r="D111" s="19"/>
      <c r="E111" s="20">
        <v>443.04</v>
      </c>
      <c r="F111" s="21" t="s">
        <v>102</v>
      </c>
      <c r="G111" s="18"/>
    </row>
    <row r="112" spans="1:8">
      <c r="A112" s="22">
        <v>46203</v>
      </c>
      <c r="B112" s="23" t="s">
        <v>1870</v>
      </c>
      <c r="C112" s="23" t="s">
        <v>1829</v>
      </c>
      <c r="D112" s="25"/>
      <c r="E112" s="28">
        <v>3647.02</v>
      </c>
      <c r="F112" s="26" t="s">
        <v>102</v>
      </c>
      <c r="G112" s="23"/>
    </row>
    <row r="113" spans="1:7">
      <c r="A113" s="17">
        <v>46203</v>
      </c>
      <c r="B113" s="18" t="s">
        <v>1871</v>
      </c>
      <c r="C113" s="18" t="s">
        <v>735</v>
      </c>
      <c r="D113" s="27">
        <v>220</v>
      </c>
      <c r="E113" s="19"/>
      <c r="F113" s="21"/>
      <c r="G113" s="18"/>
    </row>
    <row r="114" spans="1:7">
      <c r="A114" s="22">
        <v>46203</v>
      </c>
      <c r="B114" s="23" t="s">
        <v>1872</v>
      </c>
      <c r="C114" s="23" t="s">
        <v>726</v>
      </c>
      <c r="D114" s="24">
        <v>170</v>
      </c>
      <c r="E114" s="25"/>
      <c r="F114" s="26"/>
      <c r="G114" s="23"/>
    </row>
    <row r="115" spans="1:7">
      <c r="A115" s="17">
        <v>46203</v>
      </c>
      <c r="B115" s="18" t="s">
        <v>1873</v>
      </c>
      <c r="C115" s="18" t="s">
        <v>796</v>
      </c>
      <c r="D115" s="19"/>
      <c r="E115" s="20">
        <v>1571.32</v>
      </c>
      <c r="F115" s="21" t="s">
        <v>106</v>
      </c>
      <c r="G115" s="18"/>
    </row>
    <row r="116" spans="1:7">
      <c r="A116" s="29"/>
      <c r="B116" s="227" t="s">
        <v>925</v>
      </c>
      <c r="C116" s="160"/>
      <c r="D116" s="8">
        <f>SUM(D5:D115)</f>
        <v>18108</v>
      </c>
      <c r="E116" s="8">
        <f>SUM(E5:E115)</f>
        <v>22151.510000000002</v>
      </c>
      <c r="F116" s="29"/>
      <c r="G116" s="29"/>
    </row>
    <row r="117" spans="1:7" ht="15.75" customHeight="1">
      <c r="A117" s="30"/>
      <c r="B117" s="226" t="s">
        <v>926</v>
      </c>
      <c r="C117" s="157"/>
      <c r="D117" s="225">
        <f>D116-J18</f>
        <v>-4043.510000000002</v>
      </c>
      <c r="E117" s="157"/>
      <c r="F117" s="30"/>
      <c r="G117" s="30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46C1"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sqref="A1:I1"/>
    </sheetView>
  </sheetViews>
  <sheetFormatPr defaultColWidth="8.7109375" defaultRowHeight="15"/>
  <cols>
    <col min="1" max="1" width="12" style="147" customWidth="1"/>
    <col min="2" max="2" width="52" style="147" customWidth="1"/>
    <col min="3" max="3" width="32" style="147" customWidth="1"/>
    <col min="4" max="5" width="14" style="147" customWidth="1"/>
    <col min="6" max="6" width="26" style="147" customWidth="1"/>
    <col min="7" max="7" width="30" style="147" customWidth="1"/>
    <col min="8" max="8" width="11" style="147" customWidth="1"/>
    <col min="9" max="9" width="32" style="147" customWidth="1"/>
    <col min="10" max="10" width="14" style="147" customWidth="1"/>
    <col min="12" max="17" width="15" style="147" customWidth="1"/>
  </cols>
  <sheetData>
    <row r="1" spans="1:17" ht="25.5" customHeight="1">
      <c r="A1" s="223" t="s">
        <v>1874</v>
      </c>
      <c r="B1" s="157"/>
      <c r="C1" s="157"/>
      <c r="D1" s="157"/>
      <c r="E1" s="157"/>
      <c r="F1" s="157"/>
      <c r="G1" s="157"/>
    </row>
    <row r="2" spans="1:17">
      <c r="A2" s="228" t="s">
        <v>697</v>
      </c>
      <c r="B2" s="157"/>
      <c r="C2" s="157"/>
      <c r="D2" s="157"/>
      <c r="E2" s="157"/>
      <c r="F2" s="157"/>
      <c r="G2" s="157"/>
    </row>
    <row r="3" spans="1:17">
      <c r="A3" s="127" t="s">
        <v>64</v>
      </c>
    </row>
    <row r="4" spans="1:17" ht="20.100000000000001" customHeight="1">
      <c r="A4" s="1" t="s">
        <v>445</v>
      </c>
      <c r="B4" s="1" t="s">
        <v>698</v>
      </c>
      <c r="C4" s="1" t="s">
        <v>699</v>
      </c>
      <c r="D4" s="1" t="s">
        <v>700</v>
      </c>
      <c r="E4" s="1" t="s">
        <v>701</v>
      </c>
      <c r="F4" s="1" t="s">
        <v>702</v>
      </c>
      <c r="G4" s="1" t="s">
        <v>189</v>
      </c>
      <c r="H4" s="1" t="s">
        <v>703</v>
      </c>
      <c r="I4" s="222" t="s">
        <v>704</v>
      </c>
      <c r="J4" s="157"/>
      <c r="L4" s="224" t="s">
        <v>532</v>
      </c>
      <c r="M4" s="157"/>
      <c r="N4" s="232" t="s">
        <v>705</v>
      </c>
      <c r="O4" s="157"/>
      <c r="P4" s="221" t="s">
        <v>706</v>
      </c>
      <c r="Q4" s="157"/>
    </row>
    <row r="5" spans="1:17" ht="14.1" customHeight="1">
      <c r="A5" s="17">
        <v>46204</v>
      </c>
      <c r="B5" s="18" t="s">
        <v>1875</v>
      </c>
      <c r="C5" s="18" t="s">
        <v>1876</v>
      </c>
      <c r="D5" s="27">
        <v>1250</v>
      </c>
      <c r="E5" s="19"/>
      <c r="F5" s="21"/>
      <c r="G5" s="18"/>
      <c r="H5" s="18" t="s">
        <v>1877</v>
      </c>
      <c r="I5" s="10" t="s">
        <v>99</v>
      </c>
      <c r="J5" s="11">
        <f>SUMIF(F5:F110,I5,E5:E110)</f>
        <v>10403.720000000001</v>
      </c>
      <c r="L5" s="229">
        <f>D111</f>
        <v>23849.43</v>
      </c>
      <c r="M5" s="157"/>
      <c r="N5" s="231">
        <f>J18</f>
        <v>22226.48</v>
      </c>
      <c r="O5" s="157"/>
      <c r="P5" s="230">
        <f>D112</f>
        <v>1622.9500000000007</v>
      </c>
      <c r="Q5" s="157"/>
    </row>
    <row r="6" spans="1:17" ht="14.1" customHeight="1">
      <c r="A6" s="22">
        <v>46204</v>
      </c>
      <c r="B6" s="23" t="s">
        <v>1561</v>
      </c>
      <c r="C6" s="23" t="s">
        <v>730</v>
      </c>
      <c r="D6" s="25"/>
      <c r="E6" s="28">
        <v>878.92</v>
      </c>
      <c r="F6" s="26" t="s">
        <v>99</v>
      </c>
      <c r="G6" s="23"/>
      <c r="I6" s="13" t="s">
        <v>100</v>
      </c>
      <c r="J6" s="14">
        <f>SUMIF(F5:F110,I6,E5:E110)</f>
        <v>1750</v>
      </c>
      <c r="L6" s="157"/>
      <c r="M6" s="157"/>
      <c r="N6" s="157"/>
      <c r="O6" s="157"/>
      <c r="P6" s="157"/>
      <c r="Q6" s="157"/>
    </row>
    <row r="7" spans="1:17">
      <c r="A7" s="17">
        <v>46204</v>
      </c>
      <c r="B7" s="18" t="s">
        <v>1878</v>
      </c>
      <c r="C7" s="18" t="s">
        <v>1360</v>
      </c>
      <c r="D7" s="19"/>
      <c r="E7" s="20">
        <v>50.07</v>
      </c>
      <c r="F7" s="21" t="s">
        <v>112</v>
      </c>
      <c r="G7" s="18"/>
      <c r="I7" s="10" t="s">
        <v>101</v>
      </c>
      <c r="J7" s="11">
        <f>SUMIF(F5:F110,I7,E5:E110)</f>
        <v>211.65999999999997</v>
      </c>
    </row>
    <row r="8" spans="1:17">
      <c r="A8" s="22">
        <v>46204</v>
      </c>
      <c r="B8" s="23" t="s">
        <v>1879</v>
      </c>
      <c r="C8" s="23" t="s">
        <v>726</v>
      </c>
      <c r="D8" s="24">
        <v>115</v>
      </c>
      <c r="E8" s="25"/>
      <c r="F8" s="26"/>
      <c r="G8" s="23"/>
      <c r="I8" s="13" t="s">
        <v>102</v>
      </c>
      <c r="J8" s="14">
        <f>SUMIF(F5:F110,I8,E5:E110)</f>
        <v>1600.54</v>
      </c>
    </row>
    <row r="9" spans="1:17">
      <c r="A9" s="17">
        <v>46204</v>
      </c>
      <c r="B9" s="18" t="s">
        <v>1880</v>
      </c>
      <c r="C9" s="18" t="s">
        <v>735</v>
      </c>
      <c r="D9" s="27">
        <v>140</v>
      </c>
      <c r="E9" s="19"/>
      <c r="F9" s="21"/>
      <c r="G9" s="18"/>
      <c r="I9" s="10" t="s">
        <v>103</v>
      </c>
      <c r="J9" s="11">
        <f>SUMIF(F5:F110,I9,E5:E110)</f>
        <v>216.46</v>
      </c>
    </row>
    <row r="10" spans="1:17">
      <c r="A10" s="22">
        <v>46204</v>
      </c>
      <c r="B10" s="23" t="s">
        <v>1881</v>
      </c>
      <c r="C10" s="23" t="s">
        <v>1882</v>
      </c>
      <c r="D10" s="24">
        <v>140</v>
      </c>
      <c r="E10" s="25"/>
      <c r="F10" s="26"/>
      <c r="G10" s="23"/>
      <c r="H10" s="23" t="s">
        <v>1883</v>
      </c>
      <c r="I10" s="13" t="s">
        <v>104</v>
      </c>
      <c r="J10" s="14">
        <f>SUMIF(F5:F110,I10,E5:E110)</f>
        <v>488.6</v>
      </c>
    </row>
    <row r="11" spans="1:17">
      <c r="A11" s="17">
        <v>46204</v>
      </c>
      <c r="B11" s="18" t="s">
        <v>1884</v>
      </c>
      <c r="C11" s="18" t="s">
        <v>1885</v>
      </c>
      <c r="D11" s="27">
        <v>140</v>
      </c>
      <c r="E11" s="19"/>
      <c r="F11" s="21"/>
      <c r="G11" s="18"/>
      <c r="H11" s="18" t="s">
        <v>1886</v>
      </c>
      <c r="I11" s="10" t="s">
        <v>106</v>
      </c>
      <c r="J11" s="11">
        <f>SUMIF(F5:F110,I11,E5:E110)</f>
        <v>6463.9900000000007</v>
      </c>
    </row>
    <row r="12" spans="1:17">
      <c r="A12" s="22">
        <v>46204</v>
      </c>
      <c r="B12" s="23" t="s">
        <v>1887</v>
      </c>
      <c r="C12" s="23" t="s">
        <v>708</v>
      </c>
      <c r="D12" s="25"/>
      <c r="E12" s="28">
        <v>880</v>
      </c>
      <c r="F12" s="26" t="s">
        <v>100</v>
      </c>
      <c r="G12" s="23"/>
      <c r="I12" s="13" t="s">
        <v>107</v>
      </c>
      <c r="J12" s="14">
        <f>SUMIF(F5:F110,I12,E5:E110)</f>
        <v>486.32</v>
      </c>
    </row>
    <row r="13" spans="1:17">
      <c r="A13" s="17">
        <v>46206</v>
      </c>
      <c r="B13" s="18" t="s">
        <v>1888</v>
      </c>
      <c r="C13" s="18" t="s">
        <v>1889</v>
      </c>
      <c r="D13" s="27">
        <v>70</v>
      </c>
      <c r="E13" s="19"/>
      <c r="F13" s="21"/>
      <c r="G13" s="18"/>
      <c r="H13" s="18" t="s">
        <v>1890</v>
      </c>
      <c r="I13" s="10" t="s">
        <v>108</v>
      </c>
      <c r="J13" s="11">
        <f>SUMIF(F5:F110,I13,E5:E110)</f>
        <v>0</v>
      </c>
    </row>
    <row r="14" spans="1:17">
      <c r="A14" s="22">
        <v>46206</v>
      </c>
      <c r="B14" s="23" t="s">
        <v>1891</v>
      </c>
      <c r="C14" s="23" t="s">
        <v>1892</v>
      </c>
      <c r="D14" s="24">
        <v>130</v>
      </c>
      <c r="E14" s="25"/>
      <c r="F14" s="26"/>
      <c r="G14" s="23"/>
      <c r="I14" s="13" t="s">
        <v>109</v>
      </c>
      <c r="J14" s="14">
        <f>SUMIF(F5:F110,I14,E5:E110)</f>
        <v>23.189999999999998</v>
      </c>
    </row>
    <row r="15" spans="1:17">
      <c r="A15" s="17">
        <v>46206</v>
      </c>
      <c r="B15" s="18" t="s">
        <v>1893</v>
      </c>
      <c r="C15" s="18" t="s">
        <v>726</v>
      </c>
      <c r="D15" s="27">
        <v>50</v>
      </c>
      <c r="E15" s="19"/>
      <c r="F15" s="21"/>
      <c r="G15" s="18"/>
      <c r="I15" s="10" t="s">
        <v>110</v>
      </c>
      <c r="J15" s="11">
        <f>SUMIF(F5:F110,I15,E5:E110)</f>
        <v>182</v>
      </c>
    </row>
    <row r="16" spans="1:17">
      <c r="A16" s="22">
        <v>46206</v>
      </c>
      <c r="B16" s="23" t="s">
        <v>1894</v>
      </c>
      <c r="C16" s="23" t="s">
        <v>1895</v>
      </c>
      <c r="D16" s="25"/>
      <c r="E16" s="28">
        <v>600</v>
      </c>
      <c r="F16" s="26" t="s">
        <v>106</v>
      </c>
      <c r="G16" s="23"/>
      <c r="I16" s="13" t="s">
        <v>111</v>
      </c>
      <c r="J16" s="14">
        <f>SUMIF(F5:F110,I16,E5:E110)</f>
        <v>400</v>
      </c>
    </row>
    <row r="17" spans="1:10">
      <c r="A17" s="17">
        <v>46206</v>
      </c>
      <c r="B17" s="18" t="s">
        <v>1896</v>
      </c>
      <c r="C17" s="18" t="s">
        <v>923</v>
      </c>
      <c r="D17" s="19"/>
      <c r="E17" s="20">
        <v>4145.5600000000004</v>
      </c>
      <c r="F17" s="21" t="s">
        <v>106</v>
      </c>
      <c r="G17" s="18"/>
      <c r="I17" s="42" t="s">
        <v>112</v>
      </c>
      <c r="J17" s="8">
        <f>SUMIF(F5:F110,I17,E5:E110)</f>
        <v>1916.18</v>
      </c>
    </row>
    <row r="18" spans="1:10">
      <c r="A18" s="22">
        <v>46206</v>
      </c>
      <c r="B18" s="23" t="s">
        <v>1873</v>
      </c>
      <c r="C18" s="23" t="s">
        <v>796</v>
      </c>
      <c r="D18" s="25"/>
      <c r="E18" s="28">
        <v>1643.43</v>
      </c>
      <c r="F18" s="26" t="s">
        <v>106</v>
      </c>
      <c r="G18" s="23"/>
      <c r="I18" t="s">
        <v>113</v>
      </c>
      <c r="J18">
        <f>SUM(J5:J16)</f>
        <v>22226.48</v>
      </c>
    </row>
    <row r="19" spans="1:10">
      <c r="A19" s="17">
        <v>46206</v>
      </c>
      <c r="B19" s="18" t="s">
        <v>1743</v>
      </c>
      <c r="C19" s="18" t="s">
        <v>718</v>
      </c>
      <c r="D19" s="19"/>
      <c r="E19" s="20">
        <v>666.15</v>
      </c>
      <c r="F19" s="21" t="s">
        <v>99</v>
      </c>
      <c r="G19" s="18"/>
    </row>
    <row r="20" spans="1:10">
      <c r="A20" s="22">
        <v>46209</v>
      </c>
      <c r="B20" s="23" t="s">
        <v>1897</v>
      </c>
      <c r="C20" s="23" t="s">
        <v>735</v>
      </c>
      <c r="D20" s="24">
        <v>140</v>
      </c>
      <c r="E20" s="25"/>
      <c r="F20" s="26"/>
      <c r="G20" s="23"/>
    </row>
    <row r="21" spans="1:10">
      <c r="A21" s="17">
        <v>46209</v>
      </c>
      <c r="B21" s="18" t="s">
        <v>1898</v>
      </c>
      <c r="C21" s="18" t="s">
        <v>735</v>
      </c>
      <c r="D21" s="27">
        <v>140</v>
      </c>
      <c r="E21" s="19"/>
      <c r="F21" s="21"/>
      <c r="G21" s="18"/>
    </row>
    <row r="22" spans="1:10">
      <c r="A22" s="22">
        <v>46209</v>
      </c>
      <c r="B22" s="23" t="s">
        <v>1899</v>
      </c>
      <c r="C22" s="23" t="s">
        <v>1900</v>
      </c>
      <c r="D22" s="24">
        <v>190</v>
      </c>
      <c r="E22" s="25"/>
      <c r="F22" s="26"/>
      <c r="G22" s="23"/>
      <c r="H22" s="23" t="s">
        <v>1901</v>
      </c>
    </row>
    <row r="23" spans="1:10">
      <c r="A23" s="17">
        <v>46209</v>
      </c>
      <c r="B23" s="18" t="s">
        <v>1902</v>
      </c>
      <c r="C23" s="18" t="s">
        <v>796</v>
      </c>
      <c r="D23" s="27">
        <v>1643.43</v>
      </c>
      <c r="E23" s="19"/>
      <c r="F23" s="21"/>
      <c r="G23" s="18"/>
    </row>
    <row r="24" spans="1:10">
      <c r="A24" s="22">
        <v>46209</v>
      </c>
      <c r="B24" s="23" t="s">
        <v>1903</v>
      </c>
      <c r="C24" s="23" t="s">
        <v>1904</v>
      </c>
      <c r="D24" s="24">
        <v>190</v>
      </c>
      <c r="E24" s="25"/>
      <c r="F24" s="26"/>
      <c r="G24" s="23"/>
      <c r="H24" s="23" t="s">
        <v>1905</v>
      </c>
    </row>
    <row r="25" spans="1:10">
      <c r="A25" s="17">
        <v>46209</v>
      </c>
      <c r="B25" s="18" t="s">
        <v>1906</v>
      </c>
      <c r="C25" s="18" t="s">
        <v>1907</v>
      </c>
      <c r="D25" s="27">
        <v>135</v>
      </c>
      <c r="E25" s="19"/>
      <c r="F25" s="21"/>
      <c r="G25" s="18"/>
      <c r="H25" s="18" t="s">
        <v>1908</v>
      </c>
    </row>
    <row r="26" spans="1:10">
      <c r="A26" s="22">
        <v>46209</v>
      </c>
      <c r="B26" s="23" t="s">
        <v>1169</v>
      </c>
      <c r="C26" s="23" t="s">
        <v>708</v>
      </c>
      <c r="D26" s="25"/>
      <c r="E26" s="28">
        <v>870</v>
      </c>
      <c r="F26" s="26" t="s">
        <v>100</v>
      </c>
      <c r="G26" s="23"/>
    </row>
    <row r="27" spans="1:10">
      <c r="A27" s="17">
        <v>46209</v>
      </c>
      <c r="B27" s="18" t="s">
        <v>1909</v>
      </c>
      <c r="C27" s="18" t="s">
        <v>708</v>
      </c>
      <c r="D27" s="27">
        <v>870</v>
      </c>
      <c r="E27" s="19"/>
      <c r="F27" s="21"/>
      <c r="G27" s="18"/>
    </row>
    <row r="28" spans="1:10">
      <c r="A28" s="22">
        <v>46209</v>
      </c>
      <c r="B28" s="23" t="s">
        <v>1910</v>
      </c>
      <c r="C28" s="23" t="s">
        <v>1911</v>
      </c>
      <c r="D28" s="24">
        <v>560</v>
      </c>
      <c r="E28" s="25"/>
      <c r="F28" s="26"/>
      <c r="G28" s="23"/>
      <c r="H28" s="23" t="s">
        <v>1912</v>
      </c>
    </row>
    <row r="29" spans="1:10">
      <c r="A29" s="17">
        <v>46209</v>
      </c>
      <c r="B29" s="18" t="s">
        <v>1913</v>
      </c>
      <c r="C29" s="18" t="s">
        <v>1914</v>
      </c>
      <c r="D29" s="27">
        <v>200</v>
      </c>
      <c r="E29" s="19"/>
      <c r="F29" s="21"/>
      <c r="G29" s="18"/>
      <c r="H29" s="18" t="s">
        <v>1915</v>
      </c>
    </row>
    <row r="30" spans="1:10">
      <c r="A30" s="22">
        <v>46210</v>
      </c>
      <c r="B30" s="23" t="s">
        <v>1916</v>
      </c>
      <c r="C30" s="23" t="s">
        <v>1608</v>
      </c>
      <c r="D30" s="24">
        <v>160</v>
      </c>
      <c r="E30" s="25"/>
      <c r="F30" s="26"/>
      <c r="G30" s="23"/>
    </row>
    <row r="31" spans="1:10">
      <c r="A31" s="17">
        <v>46210</v>
      </c>
      <c r="B31" s="18" t="s">
        <v>1917</v>
      </c>
      <c r="C31" s="18" t="s">
        <v>726</v>
      </c>
      <c r="D31" s="27">
        <v>200</v>
      </c>
      <c r="E31" s="19"/>
      <c r="F31" s="21"/>
      <c r="G31" s="18"/>
    </row>
    <row r="32" spans="1:10">
      <c r="A32" s="22">
        <v>46210</v>
      </c>
      <c r="B32" s="23" t="s">
        <v>1918</v>
      </c>
      <c r="C32" s="23" t="s">
        <v>1919</v>
      </c>
      <c r="D32" s="24">
        <v>140</v>
      </c>
      <c r="E32" s="25"/>
      <c r="F32" s="26"/>
      <c r="G32" s="23"/>
      <c r="H32" s="23" t="s">
        <v>1920</v>
      </c>
    </row>
    <row r="33" spans="1:8">
      <c r="A33" s="17">
        <v>46211</v>
      </c>
      <c r="B33" s="18" t="s">
        <v>1921</v>
      </c>
      <c r="C33" s="18" t="s">
        <v>1608</v>
      </c>
      <c r="D33" s="27">
        <v>80</v>
      </c>
      <c r="E33" s="19"/>
      <c r="F33" s="21"/>
      <c r="G33" s="18"/>
    </row>
    <row r="34" spans="1:8">
      <c r="A34" s="22">
        <v>46211</v>
      </c>
      <c r="B34" s="23" t="s">
        <v>1922</v>
      </c>
      <c r="C34" s="23" t="s">
        <v>1923</v>
      </c>
      <c r="D34" s="24">
        <v>135</v>
      </c>
      <c r="E34" s="25"/>
      <c r="F34" s="26"/>
      <c r="G34" s="23"/>
      <c r="H34" s="23" t="s">
        <v>1924</v>
      </c>
    </row>
    <row r="35" spans="1:8">
      <c r="A35" s="17">
        <v>46211</v>
      </c>
      <c r="B35" s="18" t="s">
        <v>1925</v>
      </c>
      <c r="C35" s="18" t="s">
        <v>735</v>
      </c>
      <c r="D35" s="27">
        <v>200</v>
      </c>
      <c r="E35" s="19"/>
      <c r="F35" s="21"/>
      <c r="G35" s="18"/>
    </row>
    <row r="36" spans="1:8">
      <c r="A36" s="22">
        <v>46211</v>
      </c>
      <c r="B36" s="23" t="s">
        <v>1926</v>
      </c>
      <c r="C36" s="23" t="s">
        <v>1927</v>
      </c>
      <c r="D36" s="24">
        <v>140</v>
      </c>
      <c r="E36" s="25"/>
      <c r="F36" s="26"/>
      <c r="G36" s="23"/>
      <c r="H36" s="23" t="s">
        <v>1928</v>
      </c>
    </row>
    <row r="37" spans="1:8">
      <c r="A37" s="17">
        <v>46211</v>
      </c>
      <c r="B37" s="18" t="s">
        <v>1562</v>
      </c>
      <c r="C37" s="18" t="s">
        <v>716</v>
      </c>
      <c r="D37" s="19"/>
      <c r="E37" s="20">
        <v>706.65</v>
      </c>
      <c r="F37" s="21" t="s">
        <v>99</v>
      </c>
      <c r="G37" s="18"/>
    </row>
    <row r="38" spans="1:8">
      <c r="A38" s="22">
        <v>46211</v>
      </c>
      <c r="B38" s="23" t="s">
        <v>1929</v>
      </c>
      <c r="C38" s="23" t="s">
        <v>730</v>
      </c>
      <c r="D38" s="25"/>
      <c r="E38" s="28">
        <v>980.83</v>
      </c>
      <c r="F38" s="26" t="s">
        <v>99</v>
      </c>
      <c r="G38" s="23"/>
    </row>
    <row r="39" spans="1:8">
      <c r="A39" s="17">
        <v>46211</v>
      </c>
      <c r="B39" s="18" t="s">
        <v>1930</v>
      </c>
      <c r="C39" s="18" t="s">
        <v>767</v>
      </c>
      <c r="D39" s="19"/>
      <c r="E39" s="20">
        <v>141.66999999999999</v>
      </c>
      <c r="F39" s="21" t="s">
        <v>101</v>
      </c>
      <c r="G39" s="18"/>
    </row>
    <row r="40" spans="1:8">
      <c r="A40" s="22">
        <v>46211</v>
      </c>
      <c r="B40" s="23" t="s">
        <v>1931</v>
      </c>
      <c r="C40" s="23" t="s">
        <v>767</v>
      </c>
      <c r="D40" s="25"/>
      <c r="E40" s="28">
        <v>316.11</v>
      </c>
      <c r="F40" s="26" t="s">
        <v>112</v>
      </c>
      <c r="G40" s="23"/>
    </row>
    <row r="41" spans="1:8">
      <c r="A41" s="17">
        <v>46211</v>
      </c>
      <c r="B41" s="18" t="s">
        <v>1578</v>
      </c>
      <c r="C41" s="18" t="s">
        <v>716</v>
      </c>
      <c r="D41" s="19"/>
      <c r="E41" s="20">
        <v>725.48</v>
      </c>
      <c r="F41" s="21" t="s">
        <v>99</v>
      </c>
      <c r="G41" s="18"/>
    </row>
    <row r="42" spans="1:8">
      <c r="A42" s="22">
        <v>46211</v>
      </c>
      <c r="B42" s="23" t="s">
        <v>1932</v>
      </c>
      <c r="C42" s="23" t="s">
        <v>730</v>
      </c>
      <c r="D42" s="25"/>
      <c r="E42" s="28">
        <v>878.92</v>
      </c>
      <c r="F42" s="26" t="s">
        <v>99</v>
      </c>
      <c r="G42" s="23"/>
    </row>
    <row r="43" spans="1:8">
      <c r="A43" s="17">
        <v>46211</v>
      </c>
      <c r="B43" s="18" t="s">
        <v>1933</v>
      </c>
      <c r="C43" s="18" t="s">
        <v>1934</v>
      </c>
      <c r="D43" s="19"/>
      <c r="E43" s="20">
        <v>216.46</v>
      </c>
      <c r="F43" s="21" t="s">
        <v>103</v>
      </c>
      <c r="G43" s="18"/>
    </row>
    <row r="44" spans="1:8">
      <c r="A44" s="22">
        <v>46211</v>
      </c>
      <c r="B44" s="23" t="s">
        <v>1935</v>
      </c>
      <c r="C44" s="23" t="s">
        <v>1936</v>
      </c>
      <c r="D44" s="24">
        <v>120</v>
      </c>
      <c r="E44" s="25"/>
      <c r="F44" s="26"/>
      <c r="G44" s="23"/>
      <c r="H44" s="23" t="s">
        <v>1937</v>
      </c>
    </row>
    <row r="45" spans="1:8">
      <c r="A45" s="17">
        <v>46211</v>
      </c>
      <c r="B45" s="18" t="s">
        <v>1938</v>
      </c>
      <c r="C45" s="18" t="s">
        <v>1939</v>
      </c>
      <c r="D45" s="27">
        <v>190</v>
      </c>
      <c r="E45" s="19"/>
      <c r="F45" s="21"/>
      <c r="G45" s="18"/>
      <c r="H45" s="18" t="s">
        <v>1940</v>
      </c>
    </row>
    <row r="46" spans="1:8">
      <c r="A46" s="22">
        <v>46212</v>
      </c>
      <c r="B46" s="23" t="s">
        <v>1941</v>
      </c>
      <c r="C46" s="23" t="s">
        <v>1942</v>
      </c>
      <c r="D46" s="24">
        <v>3465</v>
      </c>
      <c r="E46" s="25"/>
      <c r="F46" s="26"/>
      <c r="G46" s="23"/>
    </row>
    <row r="47" spans="1:8">
      <c r="A47" s="17">
        <v>46212</v>
      </c>
      <c r="B47" s="18" t="s">
        <v>1943</v>
      </c>
      <c r="C47" s="18" t="s">
        <v>1942</v>
      </c>
      <c r="D47" s="27">
        <v>35</v>
      </c>
      <c r="E47" s="19"/>
      <c r="F47" s="21"/>
      <c r="G47" s="18"/>
    </row>
    <row r="48" spans="1:8">
      <c r="A48" s="22">
        <v>46212</v>
      </c>
      <c r="B48" s="23" t="s">
        <v>1944</v>
      </c>
      <c r="C48" s="23" t="s">
        <v>1945</v>
      </c>
      <c r="D48" s="24">
        <v>140</v>
      </c>
      <c r="E48" s="25"/>
      <c r="F48" s="26"/>
      <c r="G48" s="23"/>
      <c r="H48" s="23" t="s">
        <v>1946</v>
      </c>
    </row>
    <row r="49" spans="1:8">
      <c r="A49" s="17">
        <v>46212</v>
      </c>
      <c r="B49" s="18" t="s">
        <v>1947</v>
      </c>
      <c r="C49" s="18" t="s">
        <v>735</v>
      </c>
      <c r="D49" s="27">
        <v>140</v>
      </c>
      <c r="E49" s="19"/>
      <c r="F49" s="21"/>
      <c r="G49" s="18"/>
    </row>
    <row r="50" spans="1:8">
      <c r="A50" s="22">
        <v>46212</v>
      </c>
      <c r="B50" s="23" t="s">
        <v>1948</v>
      </c>
      <c r="C50" s="23" t="s">
        <v>1949</v>
      </c>
      <c r="D50" s="24">
        <v>150</v>
      </c>
      <c r="E50" s="25"/>
      <c r="F50" s="26"/>
      <c r="G50" s="23"/>
      <c r="H50" s="23" t="s">
        <v>1950</v>
      </c>
    </row>
    <row r="51" spans="1:8">
      <c r="A51" s="17">
        <v>46212</v>
      </c>
      <c r="B51" s="18" t="s">
        <v>1951</v>
      </c>
      <c r="C51" s="18" t="s">
        <v>1952</v>
      </c>
      <c r="D51" s="19"/>
      <c r="E51" s="20">
        <v>1550</v>
      </c>
      <c r="F51" s="21" t="s">
        <v>112</v>
      </c>
      <c r="G51" s="18"/>
    </row>
    <row r="52" spans="1:8">
      <c r="A52" s="22">
        <v>46212</v>
      </c>
      <c r="B52" s="23" t="s">
        <v>1953</v>
      </c>
      <c r="C52" s="23" t="s">
        <v>1954</v>
      </c>
      <c r="D52" s="24">
        <v>135</v>
      </c>
      <c r="E52" s="25"/>
      <c r="F52" s="26"/>
      <c r="G52" s="23"/>
    </row>
    <row r="53" spans="1:8">
      <c r="A53" s="17">
        <v>46212</v>
      </c>
      <c r="B53" s="18" t="s">
        <v>1955</v>
      </c>
      <c r="C53" s="18" t="s">
        <v>1956</v>
      </c>
      <c r="D53" s="27">
        <v>500</v>
      </c>
      <c r="E53" s="19"/>
      <c r="F53" s="21"/>
      <c r="G53" s="18"/>
      <c r="H53" s="18" t="s">
        <v>1957</v>
      </c>
    </row>
    <row r="54" spans="1:8">
      <c r="A54" s="22">
        <v>46213</v>
      </c>
      <c r="B54" s="23" t="s">
        <v>1958</v>
      </c>
      <c r="C54" s="23" t="s">
        <v>1959</v>
      </c>
      <c r="D54" s="24">
        <v>1500</v>
      </c>
      <c r="E54" s="25"/>
      <c r="F54" s="26"/>
      <c r="G54" s="23"/>
    </row>
    <row r="55" spans="1:8">
      <c r="A55" s="17">
        <v>46213</v>
      </c>
      <c r="B55" s="18" t="s">
        <v>1960</v>
      </c>
      <c r="C55" s="18" t="s">
        <v>1961</v>
      </c>
      <c r="D55" s="27">
        <v>1460</v>
      </c>
      <c r="E55" s="19"/>
      <c r="F55" s="21"/>
      <c r="G55" s="18"/>
      <c r="H55" s="18" t="s">
        <v>1962</v>
      </c>
    </row>
    <row r="56" spans="1:8">
      <c r="A56" s="22">
        <v>46214</v>
      </c>
      <c r="B56" s="23" t="s">
        <v>1963</v>
      </c>
      <c r="C56" s="23" t="s">
        <v>1964</v>
      </c>
      <c r="D56" s="24">
        <v>1510</v>
      </c>
      <c r="E56" s="25"/>
      <c r="F56" s="26"/>
      <c r="G56" s="23"/>
    </row>
    <row r="57" spans="1:8">
      <c r="A57" s="17">
        <v>46214</v>
      </c>
      <c r="B57" s="18" t="s">
        <v>1965</v>
      </c>
      <c r="C57" s="18" t="s">
        <v>735</v>
      </c>
      <c r="D57" s="27">
        <v>150</v>
      </c>
      <c r="E57" s="19"/>
      <c r="F57" s="21"/>
      <c r="G57" s="18"/>
    </row>
    <row r="58" spans="1:8">
      <c r="A58" s="22">
        <v>46216</v>
      </c>
      <c r="B58" s="23" t="s">
        <v>1966</v>
      </c>
      <c r="C58" s="23" t="s">
        <v>1967</v>
      </c>
      <c r="D58" s="24">
        <v>40</v>
      </c>
      <c r="E58" s="25"/>
      <c r="F58" s="26"/>
      <c r="G58" s="23"/>
      <c r="H58" s="23" t="s">
        <v>1968</v>
      </c>
    </row>
    <row r="59" spans="1:8">
      <c r="A59" s="17">
        <v>46216</v>
      </c>
      <c r="B59" s="18" t="s">
        <v>1969</v>
      </c>
      <c r="C59" s="18" t="s">
        <v>1967</v>
      </c>
      <c r="D59" s="27">
        <v>40</v>
      </c>
      <c r="E59" s="19"/>
      <c r="F59" s="21"/>
      <c r="G59" s="18"/>
      <c r="H59" s="18" t="s">
        <v>1968</v>
      </c>
    </row>
    <row r="60" spans="1:8">
      <c r="A60" s="22">
        <v>46216</v>
      </c>
      <c r="B60" s="23" t="s">
        <v>1970</v>
      </c>
      <c r="C60" s="23" t="s">
        <v>1967</v>
      </c>
      <c r="D60" s="25"/>
      <c r="E60" s="28">
        <v>40</v>
      </c>
      <c r="F60" s="26" t="s">
        <v>110</v>
      </c>
      <c r="G60" s="23"/>
    </row>
    <row r="61" spans="1:8">
      <c r="A61" s="17">
        <v>46216</v>
      </c>
      <c r="B61" s="18" t="s">
        <v>1970</v>
      </c>
      <c r="C61" s="18" t="s">
        <v>1967</v>
      </c>
      <c r="D61" s="19"/>
      <c r="E61" s="20">
        <v>40</v>
      </c>
      <c r="F61" s="21" t="s">
        <v>110</v>
      </c>
      <c r="G61" s="18"/>
    </row>
    <row r="62" spans="1:8">
      <c r="A62" s="22">
        <v>46218</v>
      </c>
      <c r="B62" s="23" t="s">
        <v>1971</v>
      </c>
      <c r="C62" s="23" t="s">
        <v>1972</v>
      </c>
      <c r="D62" s="24">
        <v>200</v>
      </c>
      <c r="E62" s="25"/>
      <c r="F62" s="26"/>
      <c r="G62" s="23"/>
      <c r="H62" s="23" t="s">
        <v>1973</v>
      </c>
    </row>
    <row r="63" spans="1:8">
      <c r="A63" s="17">
        <v>46218</v>
      </c>
      <c r="B63" s="18" t="s">
        <v>1974</v>
      </c>
      <c r="C63" s="18" t="s">
        <v>1975</v>
      </c>
      <c r="D63" s="19"/>
      <c r="E63" s="20">
        <v>400</v>
      </c>
      <c r="F63" s="21" t="s">
        <v>111</v>
      </c>
      <c r="G63" s="18"/>
    </row>
    <row r="64" spans="1:8">
      <c r="A64" s="22">
        <v>46218</v>
      </c>
      <c r="B64" s="23" t="s">
        <v>1976</v>
      </c>
      <c r="C64" s="23" t="s">
        <v>1975</v>
      </c>
      <c r="D64" s="24">
        <v>400</v>
      </c>
      <c r="E64" s="25"/>
      <c r="F64" s="26"/>
      <c r="G64" s="23"/>
    </row>
    <row r="65" spans="1:8">
      <c r="A65" s="17">
        <v>46218</v>
      </c>
      <c r="B65" s="18" t="s">
        <v>1977</v>
      </c>
      <c r="C65" s="18" t="s">
        <v>1978</v>
      </c>
      <c r="D65" s="19"/>
      <c r="E65" s="20">
        <v>75</v>
      </c>
      <c r="F65" s="21" t="s">
        <v>106</v>
      </c>
      <c r="G65" s="18"/>
    </row>
    <row r="66" spans="1:8">
      <c r="A66" s="22">
        <v>46218</v>
      </c>
      <c r="B66" s="23" t="s">
        <v>1979</v>
      </c>
      <c r="C66" s="23" t="s">
        <v>718</v>
      </c>
      <c r="D66" s="25"/>
      <c r="E66" s="28">
        <v>609.26</v>
      </c>
      <c r="F66" s="26" t="s">
        <v>99</v>
      </c>
      <c r="G66" s="23"/>
    </row>
    <row r="67" spans="1:8">
      <c r="A67" s="17">
        <v>46218</v>
      </c>
      <c r="B67" s="18" t="s">
        <v>1980</v>
      </c>
      <c r="C67" s="18" t="s">
        <v>826</v>
      </c>
      <c r="D67" s="19"/>
      <c r="E67" s="20">
        <v>486.32</v>
      </c>
      <c r="F67" s="21" t="s">
        <v>107</v>
      </c>
      <c r="G67" s="18"/>
    </row>
    <row r="68" spans="1:8">
      <c r="A68" s="22">
        <v>46218</v>
      </c>
      <c r="B68" s="23" t="s">
        <v>1743</v>
      </c>
      <c r="C68" s="23" t="s">
        <v>718</v>
      </c>
      <c r="D68" s="25"/>
      <c r="E68" s="28">
        <v>666.15</v>
      </c>
      <c r="F68" s="26" t="s">
        <v>99</v>
      </c>
      <c r="G68" s="23"/>
    </row>
    <row r="69" spans="1:8">
      <c r="A69" s="17">
        <v>46218</v>
      </c>
      <c r="B69" s="18" t="s">
        <v>1981</v>
      </c>
      <c r="C69" s="18" t="s">
        <v>1982</v>
      </c>
      <c r="D69" s="19"/>
      <c r="E69" s="20">
        <v>69.989999999999995</v>
      </c>
      <c r="F69" s="21" t="s">
        <v>101</v>
      </c>
      <c r="G69" s="18"/>
    </row>
    <row r="70" spans="1:8">
      <c r="A70" s="22">
        <v>46218</v>
      </c>
      <c r="B70" s="23" t="s">
        <v>1983</v>
      </c>
      <c r="C70" s="23" t="s">
        <v>1984</v>
      </c>
      <c r="D70" s="24">
        <v>135</v>
      </c>
      <c r="E70" s="25"/>
      <c r="F70" s="26"/>
      <c r="G70" s="23"/>
      <c r="H70" s="23" t="s">
        <v>1985</v>
      </c>
    </row>
    <row r="71" spans="1:8">
      <c r="A71" s="17">
        <v>46218</v>
      </c>
      <c r="B71" s="18" t="s">
        <v>1986</v>
      </c>
      <c r="C71" s="18" t="s">
        <v>1987</v>
      </c>
      <c r="D71" s="27">
        <v>400</v>
      </c>
      <c r="E71" s="19"/>
      <c r="F71" s="21"/>
      <c r="G71" s="18"/>
    </row>
    <row r="72" spans="1:8">
      <c r="A72" s="22">
        <v>46218</v>
      </c>
      <c r="B72" s="23" t="s">
        <v>1988</v>
      </c>
      <c r="C72" s="23" t="s">
        <v>726</v>
      </c>
      <c r="D72" s="24">
        <v>310</v>
      </c>
      <c r="E72" s="25"/>
      <c r="F72" s="26"/>
      <c r="G72" s="23"/>
    </row>
    <row r="73" spans="1:8">
      <c r="A73" s="17">
        <v>46218</v>
      </c>
      <c r="B73" s="18" t="s">
        <v>1989</v>
      </c>
      <c r="C73" s="18" t="s">
        <v>735</v>
      </c>
      <c r="D73" s="27">
        <v>150</v>
      </c>
      <c r="E73" s="19"/>
      <c r="F73" s="21"/>
      <c r="G73" s="18"/>
    </row>
    <row r="74" spans="1:8">
      <c r="A74" s="22">
        <v>46219</v>
      </c>
      <c r="B74" s="23" t="s">
        <v>1990</v>
      </c>
      <c r="C74" s="23" t="s">
        <v>735</v>
      </c>
      <c r="D74" s="24">
        <v>180</v>
      </c>
      <c r="E74" s="25"/>
      <c r="F74" s="26"/>
      <c r="G74" s="23"/>
    </row>
    <row r="75" spans="1:8">
      <c r="A75" s="17">
        <v>46220</v>
      </c>
      <c r="B75" s="18" t="s">
        <v>1991</v>
      </c>
      <c r="C75" s="18" t="s">
        <v>1297</v>
      </c>
      <c r="D75" s="27">
        <v>65</v>
      </c>
      <c r="E75" s="19"/>
      <c r="F75" s="21"/>
      <c r="G75" s="18"/>
      <c r="H75" s="18" t="s">
        <v>1298</v>
      </c>
    </row>
    <row r="76" spans="1:8">
      <c r="A76" s="22">
        <v>46220</v>
      </c>
      <c r="B76" s="23" t="s">
        <v>1992</v>
      </c>
      <c r="C76" s="23" t="s">
        <v>1297</v>
      </c>
      <c r="D76" s="25"/>
      <c r="E76" s="28">
        <v>65</v>
      </c>
      <c r="F76" s="26" t="s">
        <v>110</v>
      </c>
      <c r="G76" s="23"/>
    </row>
    <row r="77" spans="1:8">
      <c r="A77" s="17">
        <v>46220</v>
      </c>
      <c r="B77" s="18" t="s">
        <v>1993</v>
      </c>
      <c r="C77" s="18" t="s">
        <v>726</v>
      </c>
      <c r="D77" s="27">
        <v>65</v>
      </c>
      <c r="E77" s="19"/>
      <c r="F77" s="21"/>
      <c r="G77" s="18"/>
    </row>
    <row r="78" spans="1:8">
      <c r="A78" s="22">
        <v>46220</v>
      </c>
      <c r="B78" s="23" t="s">
        <v>1994</v>
      </c>
      <c r="C78" s="23" t="s">
        <v>1297</v>
      </c>
      <c r="D78" s="24">
        <v>200</v>
      </c>
      <c r="E78" s="25"/>
      <c r="F78" s="26"/>
      <c r="G78" s="23"/>
      <c r="H78" s="23" t="s">
        <v>1298</v>
      </c>
    </row>
    <row r="79" spans="1:8">
      <c r="A79" s="17">
        <v>46220</v>
      </c>
      <c r="B79" s="18" t="s">
        <v>1995</v>
      </c>
      <c r="C79" s="18" t="s">
        <v>1493</v>
      </c>
      <c r="D79" s="19"/>
      <c r="E79" s="20">
        <v>10.99</v>
      </c>
      <c r="F79" s="21" t="s">
        <v>109</v>
      </c>
      <c r="G79" s="18"/>
    </row>
    <row r="80" spans="1:8">
      <c r="A80" s="22">
        <v>46220</v>
      </c>
      <c r="B80" s="23" t="s">
        <v>1996</v>
      </c>
      <c r="C80" s="23" t="s">
        <v>1997</v>
      </c>
      <c r="D80" s="25"/>
      <c r="E80" s="28">
        <v>12.2</v>
      </c>
      <c r="F80" s="26" t="s">
        <v>109</v>
      </c>
      <c r="G80" s="23"/>
    </row>
    <row r="81" spans="1:8">
      <c r="A81" s="17">
        <v>46220</v>
      </c>
      <c r="B81" s="18" t="s">
        <v>1998</v>
      </c>
      <c r="C81" s="18" t="s">
        <v>1999</v>
      </c>
      <c r="D81" s="27">
        <v>270</v>
      </c>
      <c r="E81" s="19"/>
      <c r="F81" s="21"/>
      <c r="G81" s="18"/>
    </row>
    <row r="82" spans="1:8">
      <c r="A82" s="22">
        <v>46223</v>
      </c>
      <c r="B82" s="23" t="s">
        <v>2000</v>
      </c>
      <c r="C82" s="23" t="s">
        <v>726</v>
      </c>
      <c r="D82" s="24">
        <v>55</v>
      </c>
      <c r="E82" s="25"/>
      <c r="F82" s="26"/>
      <c r="G82" s="23"/>
    </row>
    <row r="83" spans="1:8">
      <c r="A83" s="17">
        <v>46223</v>
      </c>
      <c r="B83" s="18" t="s">
        <v>2001</v>
      </c>
      <c r="C83" s="18" t="s">
        <v>1042</v>
      </c>
      <c r="D83" s="27">
        <v>135</v>
      </c>
      <c r="E83" s="19"/>
      <c r="F83" s="21"/>
      <c r="G83" s="18"/>
      <c r="H83" s="18" t="s">
        <v>1043</v>
      </c>
    </row>
    <row r="84" spans="1:8">
      <c r="A84" s="22">
        <v>46223</v>
      </c>
      <c r="B84" s="23" t="s">
        <v>2002</v>
      </c>
      <c r="C84" s="23" t="s">
        <v>2003</v>
      </c>
      <c r="D84" s="25"/>
      <c r="E84" s="28">
        <v>20</v>
      </c>
      <c r="F84" s="26" t="s">
        <v>104</v>
      </c>
      <c r="G84" s="23"/>
    </row>
    <row r="85" spans="1:8">
      <c r="A85" s="17">
        <v>46223</v>
      </c>
      <c r="B85" s="18" t="s">
        <v>2004</v>
      </c>
      <c r="C85" s="18" t="s">
        <v>2005</v>
      </c>
      <c r="D85" s="19"/>
      <c r="E85" s="20">
        <v>30</v>
      </c>
      <c r="F85" s="21" t="s">
        <v>104</v>
      </c>
      <c r="G85" s="18"/>
    </row>
    <row r="86" spans="1:8">
      <c r="A86" s="22">
        <v>46223</v>
      </c>
      <c r="B86" s="23" t="s">
        <v>1825</v>
      </c>
      <c r="C86" s="23" t="s">
        <v>716</v>
      </c>
      <c r="D86" s="25"/>
      <c r="E86" s="28">
        <v>856.35</v>
      </c>
      <c r="F86" s="26" t="s">
        <v>99</v>
      </c>
      <c r="G86" s="23"/>
    </row>
    <row r="87" spans="1:8">
      <c r="A87" s="17">
        <v>46223</v>
      </c>
      <c r="B87" s="18" t="s">
        <v>1826</v>
      </c>
      <c r="C87" s="18" t="s">
        <v>716</v>
      </c>
      <c r="D87" s="19"/>
      <c r="E87" s="20">
        <v>865.5</v>
      </c>
      <c r="F87" s="21" t="s">
        <v>99</v>
      </c>
      <c r="G87" s="18"/>
    </row>
    <row r="88" spans="1:8">
      <c r="A88" s="22">
        <v>46223</v>
      </c>
      <c r="B88" s="23" t="s">
        <v>1827</v>
      </c>
      <c r="C88" s="23" t="s">
        <v>716</v>
      </c>
      <c r="D88" s="25"/>
      <c r="E88" s="28">
        <v>139.31</v>
      </c>
      <c r="F88" s="26" t="s">
        <v>99</v>
      </c>
      <c r="G88" s="23"/>
    </row>
    <row r="89" spans="1:8">
      <c r="A89" s="17">
        <v>46223</v>
      </c>
      <c r="B89" s="18" t="s">
        <v>2006</v>
      </c>
      <c r="C89" s="18" t="s">
        <v>1829</v>
      </c>
      <c r="D89" s="19"/>
      <c r="E89" s="20">
        <v>136</v>
      </c>
      <c r="F89" s="21" t="s">
        <v>102</v>
      </c>
      <c r="G89" s="18"/>
    </row>
    <row r="90" spans="1:8">
      <c r="A90" s="22">
        <v>46223</v>
      </c>
      <c r="B90" s="23" t="s">
        <v>2007</v>
      </c>
      <c r="C90" s="23" t="s">
        <v>1741</v>
      </c>
      <c r="D90" s="25"/>
      <c r="E90" s="28">
        <v>440.22</v>
      </c>
      <c r="F90" s="26" t="s">
        <v>102</v>
      </c>
      <c r="G90" s="23"/>
    </row>
    <row r="91" spans="1:8">
      <c r="A91" s="17">
        <v>46223</v>
      </c>
      <c r="B91" s="18" t="s">
        <v>2008</v>
      </c>
      <c r="C91" s="18" t="s">
        <v>1741</v>
      </c>
      <c r="D91" s="19"/>
      <c r="E91" s="20">
        <v>1024.32</v>
      </c>
      <c r="F91" s="21" t="s">
        <v>102</v>
      </c>
      <c r="G91" s="18"/>
    </row>
    <row r="92" spans="1:8">
      <c r="A92" s="22">
        <v>46224</v>
      </c>
      <c r="B92" s="23" t="s">
        <v>2009</v>
      </c>
      <c r="C92" s="23" t="s">
        <v>735</v>
      </c>
      <c r="D92" s="24">
        <v>140</v>
      </c>
      <c r="E92" s="25"/>
      <c r="F92" s="26"/>
      <c r="G92" s="23"/>
    </row>
    <row r="93" spans="1:8">
      <c r="A93" s="17">
        <v>46224</v>
      </c>
      <c r="B93" s="18" t="s">
        <v>2010</v>
      </c>
      <c r="C93" s="18" t="s">
        <v>2011</v>
      </c>
      <c r="D93" s="27">
        <v>140</v>
      </c>
      <c r="E93" s="19"/>
      <c r="F93" s="21"/>
      <c r="G93" s="18"/>
      <c r="H93" s="18" t="s">
        <v>2012</v>
      </c>
    </row>
    <row r="94" spans="1:8">
      <c r="A94" s="22">
        <v>46224</v>
      </c>
      <c r="B94" s="23" t="s">
        <v>2013</v>
      </c>
      <c r="C94" s="23" t="s">
        <v>813</v>
      </c>
      <c r="D94" s="24">
        <v>200</v>
      </c>
      <c r="E94" s="25"/>
      <c r="F94" s="26"/>
      <c r="G94" s="23"/>
      <c r="H94" s="23" t="s">
        <v>814</v>
      </c>
    </row>
    <row r="95" spans="1:8">
      <c r="A95" s="17">
        <v>46225</v>
      </c>
      <c r="B95" s="18" t="s">
        <v>2014</v>
      </c>
      <c r="C95" s="18" t="s">
        <v>2015</v>
      </c>
      <c r="D95" s="27">
        <v>140</v>
      </c>
      <c r="E95" s="19"/>
      <c r="F95" s="21"/>
      <c r="G95" s="18"/>
      <c r="H95" s="18" t="s">
        <v>2016</v>
      </c>
    </row>
    <row r="96" spans="1:8">
      <c r="A96" s="22">
        <v>46225</v>
      </c>
      <c r="B96" s="23" t="s">
        <v>2017</v>
      </c>
      <c r="C96" s="23" t="s">
        <v>716</v>
      </c>
      <c r="D96" s="25"/>
      <c r="E96" s="28">
        <v>874.68</v>
      </c>
      <c r="F96" s="26" t="s">
        <v>99</v>
      </c>
      <c r="G96" s="23"/>
    </row>
    <row r="97" spans="1:8">
      <c r="A97" s="17">
        <v>46226</v>
      </c>
      <c r="B97" s="18" t="s">
        <v>2018</v>
      </c>
      <c r="C97" s="18" t="s">
        <v>2019</v>
      </c>
      <c r="D97" s="27">
        <v>1379</v>
      </c>
      <c r="E97" s="19"/>
      <c r="F97" s="21"/>
      <c r="G97" s="18"/>
    </row>
    <row r="98" spans="1:8">
      <c r="A98" s="22">
        <v>46226</v>
      </c>
      <c r="B98" s="23" t="s">
        <v>2020</v>
      </c>
      <c r="C98" s="23" t="s">
        <v>2021</v>
      </c>
      <c r="D98" s="24">
        <v>255</v>
      </c>
      <c r="E98" s="25"/>
      <c r="F98" s="26"/>
      <c r="G98" s="23"/>
      <c r="H98" s="23" t="s">
        <v>2022</v>
      </c>
    </row>
    <row r="99" spans="1:8">
      <c r="A99" s="17">
        <v>46226</v>
      </c>
      <c r="B99" s="18" t="s">
        <v>1329</v>
      </c>
      <c r="C99" s="18" t="s">
        <v>730</v>
      </c>
      <c r="D99" s="19"/>
      <c r="E99" s="20">
        <v>878.93</v>
      </c>
      <c r="F99" s="21" t="s">
        <v>99</v>
      </c>
      <c r="G99" s="18"/>
    </row>
    <row r="100" spans="1:8">
      <c r="A100" s="22">
        <v>46227</v>
      </c>
      <c r="B100" s="23" t="s">
        <v>2023</v>
      </c>
      <c r="C100" s="23" t="s">
        <v>2024</v>
      </c>
      <c r="D100" s="24">
        <v>270</v>
      </c>
      <c r="E100" s="25"/>
      <c r="F100" s="26"/>
      <c r="G100" s="23"/>
    </row>
    <row r="101" spans="1:8">
      <c r="A101" s="17">
        <v>46227</v>
      </c>
      <c r="B101" s="18" t="s">
        <v>2025</v>
      </c>
      <c r="C101" s="18" t="s">
        <v>2026</v>
      </c>
      <c r="D101" s="27">
        <v>1615</v>
      </c>
      <c r="E101" s="19"/>
      <c r="F101" s="21"/>
      <c r="G101" s="18"/>
    </row>
    <row r="102" spans="1:8">
      <c r="A102" s="22">
        <v>46227</v>
      </c>
      <c r="B102" s="23" t="s">
        <v>2027</v>
      </c>
      <c r="C102" s="23" t="s">
        <v>726</v>
      </c>
      <c r="D102" s="24">
        <v>37</v>
      </c>
      <c r="E102" s="25"/>
      <c r="F102" s="26"/>
      <c r="G102" s="23"/>
    </row>
    <row r="103" spans="1:8">
      <c r="A103" s="17">
        <v>46227</v>
      </c>
      <c r="B103" s="18" t="s">
        <v>2028</v>
      </c>
      <c r="C103" s="18" t="s">
        <v>726</v>
      </c>
      <c r="D103" s="19"/>
      <c r="E103" s="20">
        <v>37</v>
      </c>
      <c r="F103" s="21" t="s">
        <v>110</v>
      </c>
      <c r="G103" s="18"/>
    </row>
    <row r="104" spans="1:8">
      <c r="A104" s="22">
        <v>46227</v>
      </c>
      <c r="B104" s="23" t="s">
        <v>2029</v>
      </c>
      <c r="C104" s="23" t="s">
        <v>726</v>
      </c>
      <c r="D104" s="24">
        <v>35</v>
      </c>
      <c r="E104" s="25"/>
      <c r="F104" s="26"/>
      <c r="G104" s="23"/>
    </row>
    <row r="105" spans="1:8">
      <c r="A105" s="17">
        <v>46227</v>
      </c>
      <c r="B105" s="18" t="s">
        <v>2030</v>
      </c>
      <c r="C105" s="18" t="s">
        <v>2031</v>
      </c>
      <c r="D105" s="19"/>
      <c r="E105" s="20">
        <v>231.8</v>
      </c>
      <c r="F105" s="21" t="s">
        <v>104</v>
      </c>
      <c r="G105" s="18"/>
    </row>
    <row r="106" spans="1:8">
      <c r="A106" s="22">
        <v>46227</v>
      </c>
      <c r="B106" s="23" t="s">
        <v>2032</v>
      </c>
      <c r="C106" s="23" t="s">
        <v>2033</v>
      </c>
      <c r="D106" s="24">
        <v>170</v>
      </c>
      <c r="E106" s="25"/>
      <c r="F106" s="26"/>
      <c r="G106" s="23"/>
    </row>
    <row r="107" spans="1:8">
      <c r="A107" s="17">
        <v>46227</v>
      </c>
      <c r="B107" s="18" t="s">
        <v>1332</v>
      </c>
      <c r="C107" s="18" t="s">
        <v>716</v>
      </c>
      <c r="D107" s="19"/>
      <c r="E107" s="20">
        <v>676.59</v>
      </c>
      <c r="F107" s="21" t="s">
        <v>99</v>
      </c>
      <c r="G107" s="18"/>
    </row>
    <row r="108" spans="1:8">
      <c r="A108" s="22">
        <v>46228</v>
      </c>
      <c r="B108" s="23" t="s">
        <v>2034</v>
      </c>
      <c r="C108" s="23" t="s">
        <v>726</v>
      </c>
      <c r="D108" s="24">
        <v>30</v>
      </c>
      <c r="E108" s="25"/>
      <c r="F108" s="26"/>
      <c r="G108" s="23"/>
    </row>
    <row r="109" spans="1:8">
      <c r="A109" s="17">
        <v>46228</v>
      </c>
      <c r="B109" s="18" t="s">
        <v>2035</v>
      </c>
      <c r="C109" s="18" t="s">
        <v>2036</v>
      </c>
      <c r="D109" s="27">
        <v>140</v>
      </c>
      <c r="E109" s="19"/>
      <c r="F109" s="21"/>
      <c r="G109" s="18"/>
      <c r="H109" s="18" t="s">
        <v>2037</v>
      </c>
    </row>
    <row r="110" spans="1:8">
      <c r="A110" s="22">
        <v>46230</v>
      </c>
      <c r="B110" s="23" t="s">
        <v>2038</v>
      </c>
      <c r="C110" s="23" t="s">
        <v>2031</v>
      </c>
      <c r="D110" s="25"/>
      <c r="E110" s="28">
        <v>206.8</v>
      </c>
      <c r="F110" s="26" t="s">
        <v>104</v>
      </c>
      <c r="G110" s="23"/>
    </row>
    <row r="111" spans="1:8">
      <c r="A111" s="29"/>
      <c r="B111" s="227" t="s">
        <v>925</v>
      </c>
      <c r="C111" s="160"/>
      <c r="D111" s="8">
        <f>SUM(D5:D110)</f>
        <v>23849.43</v>
      </c>
      <c r="E111" s="8">
        <f>SUM(E5:E110)</f>
        <v>24142.660000000003</v>
      </c>
      <c r="F111" s="29"/>
      <c r="G111" s="29"/>
    </row>
    <row r="112" spans="1:8" ht="15.75" customHeight="1">
      <c r="A112" s="30"/>
      <c r="B112" s="226" t="s">
        <v>926</v>
      </c>
      <c r="C112" s="157"/>
      <c r="D112" s="225">
        <f>D111-J18</f>
        <v>1622.9500000000007</v>
      </c>
      <c r="E112" s="157"/>
      <c r="F112" s="30"/>
      <c r="G112" s="30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9D8B"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sqref="A1:I1"/>
    </sheetView>
  </sheetViews>
  <sheetFormatPr defaultColWidth="8.7109375" defaultRowHeight="15"/>
  <cols>
    <col min="1" max="1" width="13" style="147" bestFit="1" customWidth="1"/>
    <col min="2" max="2" width="42" style="147" customWidth="1"/>
    <col min="3" max="3" width="26" style="147" customWidth="1"/>
    <col min="4" max="4" width="14" style="147" customWidth="1"/>
    <col min="5" max="5" width="20" style="147" customWidth="1"/>
    <col min="6" max="6" width="16" style="147" customWidth="1"/>
    <col min="7" max="7" width="14" style="147" customWidth="1"/>
    <col min="8" max="8" width="26" style="147" customWidth="1"/>
    <col min="9" max="9" width="30" style="147" customWidth="1"/>
    <col min="10" max="10" width="11" style="147" customWidth="1"/>
    <col min="11" max="11" width="30" style="147" customWidth="1"/>
    <col min="12" max="12" width="14" style="147" customWidth="1"/>
    <col min="13" max="13" width="3" style="147" customWidth="1"/>
    <col min="14" max="21" width="13" style="147" customWidth="1"/>
  </cols>
  <sheetData>
    <row r="1" spans="1:21" ht="25.5" customHeight="1">
      <c r="A1" s="223" t="s">
        <v>2039</v>
      </c>
      <c r="B1" s="157"/>
      <c r="C1" s="157"/>
      <c r="D1" s="157"/>
      <c r="E1" s="157"/>
      <c r="F1" s="157"/>
      <c r="G1" s="157"/>
      <c r="H1" s="157"/>
      <c r="I1" s="157"/>
    </row>
    <row r="2" spans="1:21">
      <c r="A2" s="228" t="s">
        <v>2040</v>
      </c>
      <c r="B2" s="157"/>
      <c r="C2" s="157"/>
      <c r="D2" s="157"/>
      <c r="E2" s="157"/>
      <c r="F2" s="157"/>
      <c r="G2" s="157"/>
      <c r="H2" s="157"/>
      <c r="I2" s="157"/>
    </row>
    <row r="3" spans="1:21">
      <c r="A3" s="127" t="s">
        <v>64</v>
      </c>
    </row>
    <row r="4" spans="1:21" ht="20.100000000000001" customHeight="1">
      <c r="A4" s="1" t="s">
        <v>445</v>
      </c>
      <c r="B4" s="1" t="s">
        <v>2041</v>
      </c>
      <c r="C4" s="1" t="s">
        <v>2042</v>
      </c>
      <c r="D4" s="1" t="s">
        <v>700</v>
      </c>
      <c r="E4" s="1" t="s">
        <v>2043</v>
      </c>
      <c r="F4" s="1" t="s">
        <v>2044</v>
      </c>
      <c r="G4" s="1" t="s">
        <v>701</v>
      </c>
      <c r="H4" s="1" t="s">
        <v>702</v>
      </c>
      <c r="I4" s="1" t="s">
        <v>189</v>
      </c>
      <c r="J4" s="1" t="s">
        <v>703</v>
      </c>
      <c r="K4" s="233" t="s">
        <v>704</v>
      </c>
      <c r="L4" s="160"/>
      <c r="N4" s="224" t="s">
        <v>532</v>
      </c>
      <c r="O4" s="157"/>
      <c r="P4" s="232" t="s">
        <v>705</v>
      </c>
      <c r="Q4" s="157"/>
      <c r="R4" s="221" t="s">
        <v>706</v>
      </c>
      <c r="S4" s="157"/>
      <c r="T4" s="207" t="s">
        <v>6</v>
      </c>
      <c r="U4" s="157"/>
    </row>
    <row r="5" spans="1:21" ht="14.1" customHeight="1">
      <c r="A5" s="17">
        <v>46237</v>
      </c>
      <c r="B5" s="18" t="s">
        <v>591</v>
      </c>
      <c r="C5" s="18" t="s">
        <v>355</v>
      </c>
      <c r="D5" s="27">
        <v>140</v>
      </c>
      <c r="E5" s="18" t="s">
        <v>2045</v>
      </c>
      <c r="F5" s="19">
        <v>9.7899999999999991</v>
      </c>
      <c r="G5" s="19"/>
      <c r="H5" s="21"/>
      <c r="I5" s="18"/>
      <c r="J5" s="18" t="s">
        <v>2046</v>
      </c>
      <c r="K5" s="10" t="s">
        <v>99</v>
      </c>
      <c r="L5" s="11">
        <f>SUMIF(H5:H184,K5,G5:G184)</f>
        <v>12985.740000000002</v>
      </c>
      <c r="N5" s="229">
        <f>D185-F185-T5</f>
        <v>43899.159999999996</v>
      </c>
      <c r="O5" s="157"/>
      <c r="P5" s="231">
        <f>L18-L19</f>
        <v>26027.410000000003</v>
      </c>
      <c r="Q5" s="157"/>
      <c r="R5" s="230">
        <f>D186</f>
        <v>17871.749999999993</v>
      </c>
      <c r="S5" s="157"/>
      <c r="T5" s="212">
        <f>SUMIF(E5:E184,"Aguardando Pagamento",D5:D184)</f>
        <v>420</v>
      </c>
      <c r="U5" s="157"/>
    </row>
    <row r="6" spans="1:21" ht="14.1" customHeight="1">
      <c r="A6" s="44">
        <v>46237</v>
      </c>
      <c r="B6" s="45" t="s">
        <v>2047</v>
      </c>
      <c r="C6" s="45" t="s">
        <v>558</v>
      </c>
      <c r="D6" s="46">
        <v>30</v>
      </c>
      <c r="E6" s="45" t="s">
        <v>2048</v>
      </c>
      <c r="F6" s="47">
        <v>1.05</v>
      </c>
      <c r="G6" s="48"/>
      <c r="H6" s="49"/>
      <c r="I6" s="45"/>
      <c r="K6" s="13" t="s">
        <v>100</v>
      </c>
      <c r="L6" s="14">
        <f>SUMIF(H5:H184,K6,G5:G184)</f>
        <v>880</v>
      </c>
      <c r="N6" s="157"/>
      <c r="O6" s="157"/>
      <c r="P6" s="157"/>
      <c r="Q6" s="157"/>
      <c r="R6" s="157"/>
      <c r="S6" s="157"/>
      <c r="T6" s="157"/>
      <c r="U6" s="157"/>
    </row>
    <row r="7" spans="1:21" ht="15.75" customHeight="1">
      <c r="A7" s="17">
        <v>46237</v>
      </c>
      <c r="B7" s="18" t="s">
        <v>449</v>
      </c>
      <c r="C7" s="18"/>
      <c r="D7" s="27"/>
      <c r="E7" s="18"/>
      <c r="F7" s="19"/>
      <c r="G7" s="19">
        <v>1420</v>
      </c>
      <c r="H7" s="21" t="s">
        <v>104</v>
      </c>
      <c r="I7" s="18" t="s">
        <v>2049</v>
      </c>
      <c r="K7" s="10" t="s">
        <v>101</v>
      </c>
      <c r="L7" s="11">
        <f>SUMIF(H5:H184,K7,G5:G184)</f>
        <v>150.63</v>
      </c>
    </row>
    <row r="8" spans="1:21">
      <c r="A8" s="44">
        <v>46238</v>
      </c>
      <c r="B8" s="45" t="s">
        <v>2050</v>
      </c>
      <c r="C8" s="45"/>
      <c r="D8" s="46"/>
      <c r="E8" s="45"/>
      <c r="F8" s="47"/>
      <c r="G8" s="48">
        <v>74.27</v>
      </c>
      <c r="H8" s="49" t="s">
        <v>112</v>
      </c>
      <c r="I8" s="45"/>
      <c r="K8" s="13" t="s">
        <v>102</v>
      </c>
      <c r="L8" s="14">
        <f>SUMIF(H5:H184,K8,G5:G184)</f>
        <v>4909.24</v>
      </c>
    </row>
    <row r="9" spans="1:21">
      <c r="A9" s="17">
        <v>46237</v>
      </c>
      <c r="B9" s="18" t="s">
        <v>452</v>
      </c>
      <c r="C9" s="18"/>
      <c r="D9" s="27"/>
      <c r="E9" s="18"/>
      <c r="F9" s="19"/>
      <c r="G9" s="19">
        <v>880</v>
      </c>
      <c r="H9" s="21" t="s">
        <v>100</v>
      </c>
      <c r="I9" s="18" t="s">
        <v>2049</v>
      </c>
      <c r="K9" s="10" t="s">
        <v>103</v>
      </c>
      <c r="L9" s="11">
        <f>SUMIF(H5:H184,K9,G5:G184)</f>
        <v>161.24</v>
      </c>
    </row>
    <row r="10" spans="1:21">
      <c r="A10" s="44">
        <v>46237</v>
      </c>
      <c r="B10" s="45" t="s">
        <v>453</v>
      </c>
      <c r="C10" s="45"/>
      <c r="D10" s="46"/>
      <c r="E10" s="45"/>
      <c r="F10" s="47"/>
      <c r="G10" s="48">
        <v>600</v>
      </c>
      <c r="H10" s="49" t="s">
        <v>106</v>
      </c>
      <c r="I10" s="45" t="s">
        <v>2049</v>
      </c>
      <c r="K10" s="13" t="s">
        <v>104</v>
      </c>
      <c r="L10" s="14">
        <f>SUMIF(H5:H184,K10,G5:G184)</f>
        <v>2178.61</v>
      </c>
    </row>
    <row r="11" spans="1:21">
      <c r="A11" s="17">
        <v>46238</v>
      </c>
      <c r="B11" s="18" t="s">
        <v>690</v>
      </c>
      <c r="C11" s="18"/>
      <c r="D11" s="27"/>
      <c r="E11" s="18"/>
      <c r="F11" s="19"/>
      <c r="G11" s="19">
        <v>706.65</v>
      </c>
      <c r="H11" s="21" t="s">
        <v>99</v>
      </c>
      <c r="I11" s="18"/>
      <c r="K11" s="10" t="s">
        <v>106</v>
      </c>
      <c r="L11" s="11">
        <f>SUMIF(H5:H184,K11,G5:G184)</f>
        <v>3903.3199999999997</v>
      </c>
    </row>
    <row r="12" spans="1:21">
      <c r="A12" s="44">
        <v>46238</v>
      </c>
      <c r="B12" s="45" t="s">
        <v>2051</v>
      </c>
      <c r="C12" s="45"/>
      <c r="D12" s="46"/>
      <c r="E12" s="45"/>
      <c r="F12" s="47"/>
      <c r="G12" s="48">
        <v>150.63</v>
      </c>
      <c r="H12" s="49" t="s">
        <v>101</v>
      </c>
      <c r="I12" s="45"/>
      <c r="K12" s="13" t="s">
        <v>107</v>
      </c>
      <c r="L12" s="14">
        <f>SUMIF(H5:H184,K12,G5:G184)</f>
        <v>486.32</v>
      </c>
    </row>
    <row r="13" spans="1:21">
      <c r="A13" s="17">
        <v>46238</v>
      </c>
      <c r="B13" s="18" t="s">
        <v>595</v>
      </c>
      <c r="C13" s="18" t="s">
        <v>560</v>
      </c>
      <c r="D13" s="27">
        <v>1329</v>
      </c>
      <c r="E13" s="18" t="s">
        <v>2052</v>
      </c>
      <c r="F13" s="19"/>
      <c r="G13" s="19"/>
      <c r="H13" s="21"/>
      <c r="I13" s="18"/>
      <c r="J13" s="18" t="s">
        <v>1724</v>
      </c>
      <c r="K13" s="10" t="s">
        <v>108</v>
      </c>
      <c r="L13" s="11">
        <f>SUMIF(H5:H184,K13,G5:G184)</f>
        <v>32</v>
      </c>
    </row>
    <row r="14" spans="1:21" ht="15.75" customHeight="1">
      <c r="A14" s="44">
        <v>46238</v>
      </c>
      <c r="B14" s="45" t="s">
        <v>2053</v>
      </c>
      <c r="C14" s="45"/>
      <c r="D14" s="46"/>
      <c r="E14" s="45"/>
      <c r="F14" s="47"/>
      <c r="G14" s="48">
        <v>15.46</v>
      </c>
      <c r="H14" s="49" t="s">
        <v>109</v>
      </c>
      <c r="I14" s="45"/>
      <c r="K14" s="13" t="s">
        <v>109</v>
      </c>
      <c r="L14" s="14">
        <f>SUMIF(H5:H184,K14,G5:G184)</f>
        <v>65.31</v>
      </c>
    </row>
    <row r="15" spans="1:21" ht="15.75" customHeight="1">
      <c r="A15" s="17">
        <v>46238</v>
      </c>
      <c r="B15" s="18" t="s">
        <v>2054</v>
      </c>
      <c r="C15" s="18"/>
      <c r="D15" s="27"/>
      <c r="E15" s="18"/>
      <c r="F15" s="19"/>
      <c r="G15" s="19">
        <v>28</v>
      </c>
      <c r="H15" s="21" t="s">
        <v>108</v>
      </c>
      <c r="I15" s="18"/>
      <c r="K15" s="10" t="s">
        <v>110</v>
      </c>
      <c r="L15" s="11">
        <f>SUMIF(H5:H184,K15,G5:G184)</f>
        <v>0</v>
      </c>
    </row>
    <row r="16" spans="1:21">
      <c r="A16" s="44">
        <v>46238</v>
      </c>
      <c r="B16" s="45" t="s">
        <v>2055</v>
      </c>
      <c r="C16" s="45"/>
      <c r="D16" s="46"/>
      <c r="E16" s="45"/>
      <c r="F16" s="47"/>
      <c r="G16" s="48">
        <v>132</v>
      </c>
      <c r="H16" s="49" t="s">
        <v>106</v>
      </c>
      <c r="I16" s="45"/>
      <c r="K16" t="s">
        <v>111</v>
      </c>
      <c r="L16" s="11">
        <f>SUMIF(H5:H184,K16,G5:G184)</f>
        <v>275</v>
      </c>
    </row>
    <row r="17" spans="1:12" ht="15.75" customHeight="1">
      <c r="A17" s="17">
        <v>46239</v>
      </c>
      <c r="B17" s="18" t="s">
        <v>599</v>
      </c>
      <c r="C17" s="18" t="s">
        <v>344</v>
      </c>
      <c r="D17" s="27">
        <v>140</v>
      </c>
      <c r="E17" s="18" t="s">
        <v>2052</v>
      </c>
      <c r="F17" s="19"/>
      <c r="G17" s="19"/>
      <c r="H17" s="21"/>
      <c r="I17" s="18"/>
      <c r="J17" s="18" t="s">
        <v>2056</v>
      </c>
      <c r="K17" t="s">
        <v>112</v>
      </c>
      <c r="L17">
        <f>SUMIF(H5:H184,K17,G5:G184)</f>
        <v>2936.3799999999997</v>
      </c>
    </row>
    <row r="18" spans="1:12" ht="15.75" customHeight="1">
      <c r="A18" s="44">
        <v>46239</v>
      </c>
      <c r="B18" s="45" t="s">
        <v>602</v>
      </c>
      <c r="C18" s="45" t="s">
        <v>344</v>
      </c>
      <c r="D18" s="46">
        <v>140</v>
      </c>
      <c r="E18" s="45" t="s">
        <v>2052</v>
      </c>
      <c r="F18" s="47"/>
      <c r="G18" s="48"/>
      <c r="H18" s="49"/>
      <c r="I18" s="45"/>
      <c r="J18" s="45" t="s">
        <v>1079</v>
      </c>
      <c r="K18" t="s">
        <v>113</v>
      </c>
      <c r="L18">
        <f>SUM(L5:L16)</f>
        <v>26027.410000000003</v>
      </c>
    </row>
    <row r="19" spans="1:12">
      <c r="A19" s="17">
        <v>46239</v>
      </c>
      <c r="B19" s="18" t="s">
        <v>2057</v>
      </c>
      <c r="C19" s="18"/>
      <c r="D19" s="27"/>
      <c r="E19" s="18"/>
      <c r="F19" s="19"/>
      <c r="G19" s="19">
        <v>20</v>
      </c>
      <c r="H19" s="21" t="s">
        <v>109</v>
      </c>
      <c r="I19" s="18"/>
      <c r="K19" t="s">
        <v>2058</v>
      </c>
      <c r="L19" s="32">
        <f>SUMIFS('Capital de Giro (BB)'!D9:D200,'Capital de Giro (BB)'!A9:A200,"&gt;="&amp;DATE(2026,8,1),'Capital de Giro (BB)'!A9:A200,"&lt;="&amp;DATE(2026,8,31),'Capital de Giro (BB)'!E9:E200,"A Devolver")</f>
        <v>0</v>
      </c>
    </row>
    <row r="20" spans="1:12">
      <c r="A20" s="44">
        <v>46239</v>
      </c>
      <c r="B20" s="45" t="s">
        <v>604</v>
      </c>
      <c r="C20" s="45" t="s">
        <v>2059</v>
      </c>
      <c r="D20" s="46">
        <v>150</v>
      </c>
      <c r="E20" s="45" t="s">
        <v>2060</v>
      </c>
      <c r="F20" s="47"/>
      <c r="G20" s="48"/>
      <c r="H20" s="49"/>
      <c r="I20" s="45"/>
      <c r="J20" s="45" t="s">
        <v>2061</v>
      </c>
    </row>
    <row r="21" spans="1:12">
      <c r="A21" s="17">
        <v>46239</v>
      </c>
      <c r="B21" s="18" t="s">
        <v>607</v>
      </c>
      <c r="C21" s="18" t="s">
        <v>344</v>
      </c>
      <c r="D21" s="27">
        <v>140</v>
      </c>
      <c r="E21" s="18" t="s">
        <v>2060</v>
      </c>
      <c r="F21" s="19"/>
      <c r="G21" s="19"/>
      <c r="H21" s="21"/>
      <c r="I21" s="18" t="s">
        <v>2062</v>
      </c>
      <c r="J21" s="18" t="s">
        <v>2063</v>
      </c>
    </row>
    <row r="22" spans="1:12">
      <c r="A22" s="44">
        <v>46239</v>
      </c>
      <c r="B22" s="45" t="s">
        <v>610</v>
      </c>
      <c r="C22" s="45" t="s">
        <v>344</v>
      </c>
      <c r="D22" s="46">
        <v>140</v>
      </c>
      <c r="E22" s="45" t="s">
        <v>2060</v>
      </c>
      <c r="F22" s="47"/>
      <c r="G22" s="48"/>
      <c r="H22" s="49"/>
      <c r="I22" s="45"/>
      <c r="J22" s="45" t="s">
        <v>2064</v>
      </c>
    </row>
    <row r="23" spans="1:12">
      <c r="A23" s="17">
        <v>46248</v>
      </c>
      <c r="B23" s="18" t="s">
        <v>613</v>
      </c>
      <c r="C23" s="18" t="s">
        <v>367</v>
      </c>
      <c r="D23" s="27">
        <v>180</v>
      </c>
      <c r="E23" s="18" t="s">
        <v>2052</v>
      </c>
      <c r="F23" s="19"/>
      <c r="G23" s="19"/>
      <c r="H23" s="21"/>
      <c r="I23" s="18"/>
      <c r="J23" s="18" t="s">
        <v>941</v>
      </c>
    </row>
    <row r="24" spans="1:12">
      <c r="A24" s="44">
        <v>46254</v>
      </c>
      <c r="B24" s="45" t="s">
        <v>617</v>
      </c>
      <c r="C24" s="45" t="s">
        <v>344</v>
      </c>
      <c r="D24" s="46">
        <v>120</v>
      </c>
      <c r="E24" s="45" t="s">
        <v>2048</v>
      </c>
      <c r="F24" s="47">
        <v>4.21</v>
      </c>
      <c r="G24" s="48"/>
      <c r="H24" s="49"/>
      <c r="I24" s="45" t="s">
        <v>2065</v>
      </c>
      <c r="J24" s="45" t="s">
        <v>2066</v>
      </c>
    </row>
    <row r="25" spans="1:12">
      <c r="A25" s="17">
        <v>46239</v>
      </c>
      <c r="B25" s="18" t="s">
        <v>343</v>
      </c>
      <c r="C25" s="18" t="s">
        <v>344</v>
      </c>
      <c r="D25" s="27">
        <v>140</v>
      </c>
      <c r="E25" s="18" t="s">
        <v>2067</v>
      </c>
      <c r="F25" s="19"/>
      <c r="G25" s="19"/>
      <c r="H25" s="21"/>
      <c r="I25" s="18"/>
      <c r="J25" s="18" t="s">
        <v>2068</v>
      </c>
    </row>
    <row r="26" spans="1:12">
      <c r="A26" s="44">
        <v>46239</v>
      </c>
      <c r="B26" s="45" t="s">
        <v>345</v>
      </c>
      <c r="C26" s="45" t="s">
        <v>346</v>
      </c>
      <c r="D26" s="46">
        <v>280</v>
      </c>
      <c r="E26" s="45" t="s">
        <v>2067</v>
      </c>
      <c r="F26" s="47"/>
      <c r="G26" s="48"/>
      <c r="H26" s="49"/>
      <c r="I26" s="45"/>
      <c r="J26" s="45" t="s">
        <v>721</v>
      </c>
    </row>
    <row r="27" spans="1:12">
      <c r="A27" s="17">
        <v>46239</v>
      </c>
      <c r="B27" s="18" t="s">
        <v>625</v>
      </c>
      <c r="C27" s="18" t="s">
        <v>344</v>
      </c>
      <c r="D27" s="27">
        <v>140</v>
      </c>
      <c r="E27" s="18" t="s">
        <v>2052</v>
      </c>
      <c r="F27" s="19"/>
      <c r="G27" s="19"/>
      <c r="H27" s="21"/>
      <c r="I27" s="18"/>
      <c r="J27" s="18" t="s">
        <v>2069</v>
      </c>
    </row>
    <row r="28" spans="1:12">
      <c r="A28" s="44">
        <v>46239</v>
      </c>
      <c r="B28" s="45" t="s">
        <v>629</v>
      </c>
      <c r="C28" s="45" t="s">
        <v>552</v>
      </c>
      <c r="D28" s="46">
        <v>90</v>
      </c>
      <c r="E28" s="45" t="s">
        <v>2060</v>
      </c>
      <c r="F28" s="47"/>
      <c r="G28" s="48"/>
      <c r="H28" s="49"/>
      <c r="I28" s="45"/>
      <c r="J28" s="45" t="s">
        <v>2070</v>
      </c>
    </row>
    <row r="29" spans="1:12" ht="15.75" customHeight="1">
      <c r="A29" s="17">
        <v>46239</v>
      </c>
      <c r="B29" s="18" t="s">
        <v>632</v>
      </c>
      <c r="C29" s="18" t="s">
        <v>2071</v>
      </c>
      <c r="D29" s="27">
        <v>70</v>
      </c>
      <c r="E29" s="18" t="s">
        <v>2052</v>
      </c>
      <c r="F29" s="19"/>
      <c r="G29" s="19"/>
      <c r="H29" s="21"/>
      <c r="I29" s="18"/>
      <c r="J29" s="18" t="s">
        <v>1705</v>
      </c>
    </row>
    <row r="30" spans="1:12">
      <c r="A30" s="44">
        <v>46239</v>
      </c>
      <c r="B30" s="45" t="s">
        <v>454</v>
      </c>
      <c r="C30" s="45"/>
      <c r="D30" s="46"/>
      <c r="E30" s="45"/>
      <c r="F30" s="47"/>
      <c r="G30" s="48">
        <v>1674.12</v>
      </c>
      <c r="H30" s="49" t="s">
        <v>99</v>
      </c>
      <c r="I30" s="45" t="s">
        <v>2049</v>
      </c>
    </row>
    <row r="31" spans="1:12">
      <c r="A31" s="17">
        <v>46239</v>
      </c>
      <c r="B31" s="18" t="s">
        <v>455</v>
      </c>
      <c r="C31" s="18"/>
      <c r="D31" s="27"/>
      <c r="E31" s="18"/>
      <c r="F31" s="19"/>
      <c r="G31" s="19">
        <v>980.83</v>
      </c>
      <c r="H31" s="21" t="s">
        <v>99</v>
      </c>
      <c r="I31" s="18" t="s">
        <v>2049</v>
      </c>
    </row>
    <row r="32" spans="1:12">
      <c r="A32" s="44">
        <v>46239</v>
      </c>
      <c r="B32" s="45" t="s">
        <v>2072</v>
      </c>
      <c r="C32" s="45"/>
      <c r="D32" s="46"/>
      <c r="E32" s="45"/>
      <c r="F32" s="47"/>
      <c r="G32" s="48">
        <v>6.99</v>
      </c>
      <c r="H32" s="49" t="s">
        <v>103</v>
      </c>
      <c r="I32" s="45"/>
    </row>
    <row r="33" spans="1:10">
      <c r="A33" s="17">
        <v>46239</v>
      </c>
      <c r="B33" s="18" t="s">
        <v>2073</v>
      </c>
      <c r="C33" s="18"/>
      <c r="D33" s="27"/>
      <c r="E33" s="18"/>
      <c r="F33" s="19"/>
      <c r="G33" s="19">
        <v>52.5</v>
      </c>
      <c r="H33" s="21" t="s">
        <v>103</v>
      </c>
      <c r="I33" s="18"/>
    </row>
    <row r="34" spans="1:10">
      <c r="A34" s="44">
        <v>46239</v>
      </c>
      <c r="B34" s="45" t="s">
        <v>694</v>
      </c>
      <c r="C34" s="45"/>
      <c r="D34" s="46"/>
      <c r="E34" s="45"/>
      <c r="F34" s="47"/>
      <c r="G34" s="48">
        <v>52</v>
      </c>
      <c r="H34" s="49" t="s">
        <v>104</v>
      </c>
      <c r="I34" s="45"/>
    </row>
    <row r="35" spans="1:10">
      <c r="A35" s="17">
        <v>46240</v>
      </c>
      <c r="B35" s="18" t="s">
        <v>635</v>
      </c>
      <c r="C35" s="18" t="s">
        <v>355</v>
      </c>
      <c r="D35" s="27">
        <v>140</v>
      </c>
      <c r="E35" s="18" t="s">
        <v>2060</v>
      </c>
      <c r="F35" s="19"/>
      <c r="G35" s="19"/>
      <c r="H35" s="21"/>
      <c r="I35" s="18"/>
      <c r="J35" s="18" t="s">
        <v>2074</v>
      </c>
    </row>
    <row r="36" spans="1:10">
      <c r="A36" s="44">
        <v>46240</v>
      </c>
      <c r="B36" s="45" t="s">
        <v>638</v>
      </c>
      <c r="C36" s="45" t="s">
        <v>2075</v>
      </c>
      <c r="D36" s="46">
        <v>200</v>
      </c>
      <c r="E36" s="45" t="s">
        <v>2060</v>
      </c>
      <c r="F36" s="47"/>
      <c r="G36" s="48"/>
      <c r="H36" s="49"/>
      <c r="I36" s="45"/>
    </row>
    <row r="37" spans="1:10">
      <c r="A37" s="17">
        <v>46240</v>
      </c>
      <c r="B37" s="18" t="s">
        <v>694</v>
      </c>
      <c r="C37" s="18"/>
      <c r="D37" s="27"/>
      <c r="E37" s="18"/>
      <c r="F37" s="19"/>
      <c r="G37" s="19">
        <v>167.8</v>
      </c>
      <c r="H37" s="21" t="s">
        <v>104</v>
      </c>
      <c r="I37" s="18"/>
    </row>
    <row r="38" spans="1:10">
      <c r="A38" s="44">
        <v>46240</v>
      </c>
      <c r="B38" s="45" t="s">
        <v>2076</v>
      </c>
      <c r="C38" s="45"/>
      <c r="D38" s="46"/>
      <c r="E38" s="45"/>
      <c r="F38" s="47"/>
      <c r="G38" s="48">
        <v>150</v>
      </c>
      <c r="H38" s="49" t="s">
        <v>106</v>
      </c>
      <c r="I38" s="45"/>
    </row>
    <row r="39" spans="1:10" ht="15.75" customHeight="1">
      <c r="A39" s="17">
        <v>46241</v>
      </c>
      <c r="B39" s="18" t="s">
        <v>2047</v>
      </c>
      <c r="C39" s="18" t="s">
        <v>344</v>
      </c>
      <c r="D39" s="27">
        <v>130</v>
      </c>
      <c r="E39" s="18" t="s">
        <v>2045</v>
      </c>
      <c r="F39" s="19">
        <v>9.08</v>
      </c>
      <c r="G39" s="19"/>
      <c r="H39" s="21"/>
      <c r="I39" s="18"/>
    </row>
    <row r="40" spans="1:10">
      <c r="A40" s="44">
        <v>46241</v>
      </c>
      <c r="B40" s="45" t="s">
        <v>2076</v>
      </c>
      <c r="C40" s="45"/>
      <c r="D40" s="46"/>
      <c r="E40" s="45"/>
      <c r="F40" s="47"/>
      <c r="G40" s="48">
        <v>210</v>
      </c>
      <c r="H40" s="49" t="s">
        <v>106</v>
      </c>
      <c r="I40" s="45"/>
    </row>
    <row r="41" spans="1:10">
      <c r="A41" s="17">
        <v>46244</v>
      </c>
      <c r="B41" s="18" t="s">
        <v>639</v>
      </c>
      <c r="C41" s="18" t="s">
        <v>2077</v>
      </c>
      <c r="D41" s="27">
        <v>180</v>
      </c>
      <c r="E41" s="18" t="s">
        <v>2078</v>
      </c>
      <c r="F41" s="19">
        <v>2.61</v>
      </c>
      <c r="G41" s="19"/>
      <c r="H41" s="21"/>
      <c r="I41" s="18"/>
      <c r="J41" s="18" t="s">
        <v>2079</v>
      </c>
    </row>
    <row r="42" spans="1:10" ht="15.75" customHeight="1">
      <c r="A42" s="44">
        <v>46251</v>
      </c>
      <c r="B42" s="45" t="s">
        <v>643</v>
      </c>
      <c r="C42" s="45" t="s">
        <v>355</v>
      </c>
      <c r="D42" s="46">
        <v>140</v>
      </c>
      <c r="E42" s="45" t="s">
        <v>2060</v>
      </c>
      <c r="F42" s="47"/>
      <c r="G42" s="48"/>
      <c r="H42" s="49"/>
      <c r="I42" s="45" t="s">
        <v>2080</v>
      </c>
      <c r="J42" s="45" t="s">
        <v>1034</v>
      </c>
    </row>
    <row r="43" spans="1:10">
      <c r="A43" s="17">
        <v>46254</v>
      </c>
      <c r="B43" s="18" t="s">
        <v>646</v>
      </c>
      <c r="C43" s="18" t="s">
        <v>2081</v>
      </c>
      <c r="D43" s="27">
        <v>420</v>
      </c>
      <c r="E43" s="18" t="s">
        <v>2060</v>
      </c>
      <c r="F43" s="19"/>
      <c r="G43" s="19"/>
      <c r="H43" s="21"/>
      <c r="I43" s="18" t="s">
        <v>2082</v>
      </c>
      <c r="J43" s="18" t="s">
        <v>2083</v>
      </c>
    </row>
    <row r="44" spans="1:10">
      <c r="A44" s="44">
        <v>46244</v>
      </c>
      <c r="B44" s="45" t="s">
        <v>649</v>
      </c>
      <c r="C44" s="45"/>
      <c r="D44" s="46">
        <v>900</v>
      </c>
      <c r="E44" s="45" t="s">
        <v>2052</v>
      </c>
      <c r="F44" s="47"/>
      <c r="G44" s="48"/>
      <c r="H44" s="49"/>
      <c r="I44" s="45"/>
    </row>
    <row r="45" spans="1:10">
      <c r="A45" s="17">
        <v>46244</v>
      </c>
      <c r="B45" s="18" t="s">
        <v>2047</v>
      </c>
      <c r="C45" s="18" t="s">
        <v>2084</v>
      </c>
      <c r="D45" s="27">
        <v>115</v>
      </c>
      <c r="E45" s="18" t="s">
        <v>2078</v>
      </c>
      <c r="F45" s="19">
        <v>1.67</v>
      </c>
      <c r="G45" s="19"/>
      <c r="H45" s="21"/>
      <c r="I45" s="18"/>
    </row>
    <row r="46" spans="1:10">
      <c r="A46" s="44">
        <v>46244</v>
      </c>
      <c r="B46" s="45" t="s">
        <v>651</v>
      </c>
      <c r="C46" s="45" t="s">
        <v>2085</v>
      </c>
      <c r="D46" s="46">
        <v>399</v>
      </c>
      <c r="E46" s="45" t="s">
        <v>2060</v>
      </c>
      <c r="F46" s="47"/>
      <c r="G46" s="48"/>
      <c r="H46" s="49"/>
      <c r="I46" s="45" t="s">
        <v>2086</v>
      </c>
      <c r="J46" s="45" t="s">
        <v>2087</v>
      </c>
    </row>
    <row r="47" spans="1:10">
      <c r="A47" s="17">
        <v>46244</v>
      </c>
      <c r="B47" s="18" t="s">
        <v>690</v>
      </c>
      <c r="C47" s="18"/>
      <c r="D47" s="27"/>
      <c r="E47" s="18"/>
      <c r="F47" s="19"/>
      <c r="G47" s="19">
        <v>725.5</v>
      </c>
      <c r="H47" s="21" t="s">
        <v>99</v>
      </c>
      <c r="I47" s="18"/>
    </row>
    <row r="48" spans="1:10" ht="15.75" customHeight="1">
      <c r="A48" s="44">
        <v>46244</v>
      </c>
      <c r="B48" s="45" t="s">
        <v>455</v>
      </c>
      <c r="C48" s="45"/>
      <c r="D48" s="46"/>
      <c r="E48" s="45"/>
      <c r="F48" s="47"/>
      <c r="G48" s="48">
        <v>878.92</v>
      </c>
      <c r="H48" s="49" t="s">
        <v>99</v>
      </c>
      <c r="I48" s="45"/>
    </row>
    <row r="49" spans="1:10">
      <c r="A49" s="17">
        <v>46254</v>
      </c>
      <c r="B49" s="18" t="s">
        <v>646</v>
      </c>
      <c r="C49" s="18" t="s">
        <v>2088</v>
      </c>
      <c r="D49" s="27">
        <v>180</v>
      </c>
      <c r="E49" s="18" t="s">
        <v>2060</v>
      </c>
      <c r="F49" s="19"/>
      <c r="G49" s="19"/>
      <c r="H49" s="21"/>
      <c r="I49" s="18" t="s">
        <v>2089</v>
      </c>
      <c r="J49" s="18" t="s">
        <v>2083</v>
      </c>
    </row>
    <row r="50" spans="1:10">
      <c r="A50" s="44">
        <v>46245</v>
      </c>
      <c r="B50" s="45" t="s">
        <v>654</v>
      </c>
      <c r="C50" s="45" t="s">
        <v>2090</v>
      </c>
      <c r="D50" s="46">
        <v>280</v>
      </c>
      <c r="E50" s="45" t="s">
        <v>2045</v>
      </c>
      <c r="F50" s="47">
        <v>19.57</v>
      </c>
      <c r="G50" s="48"/>
      <c r="H50" s="49"/>
      <c r="I50" s="45"/>
      <c r="J50" s="45" t="s">
        <v>2091</v>
      </c>
    </row>
    <row r="51" spans="1:10">
      <c r="A51" s="17">
        <v>46245</v>
      </c>
      <c r="B51" s="18" t="s">
        <v>658</v>
      </c>
      <c r="C51" s="18" t="s">
        <v>344</v>
      </c>
      <c r="D51" s="27">
        <v>140</v>
      </c>
      <c r="E51" s="18" t="s">
        <v>2052</v>
      </c>
      <c r="F51" s="19"/>
      <c r="G51" s="19"/>
      <c r="H51" s="21"/>
      <c r="I51" s="18"/>
      <c r="J51" s="18" t="s">
        <v>2092</v>
      </c>
    </row>
    <row r="52" spans="1:10">
      <c r="A52" s="44">
        <v>46245</v>
      </c>
      <c r="B52" s="45" t="s">
        <v>2093</v>
      </c>
      <c r="C52" s="45"/>
      <c r="D52" s="46"/>
      <c r="E52" s="45"/>
      <c r="F52" s="47"/>
      <c r="G52" s="48">
        <v>3</v>
      </c>
      <c r="H52" s="49" t="s">
        <v>99</v>
      </c>
      <c r="I52" s="45"/>
    </row>
    <row r="53" spans="1:10" ht="15.75" customHeight="1">
      <c r="A53" s="17">
        <v>46259</v>
      </c>
      <c r="B53" s="18" t="s">
        <v>347</v>
      </c>
      <c r="C53" s="18" t="s">
        <v>348</v>
      </c>
      <c r="D53" s="27">
        <v>820</v>
      </c>
      <c r="E53" s="18" t="s">
        <v>2060</v>
      </c>
      <c r="F53" s="19"/>
      <c r="G53" s="19"/>
      <c r="H53" s="21"/>
      <c r="I53" s="18" t="s">
        <v>2094</v>
      </c>
      <c r="J53" s="18" t="s">
        <v>909</v>
      </c>
    </row>
    <row r="54" spans="1:10">
      <c r="A54" s="44">
        <v>46245</v>
      </c>
      <c r="B54" s="45" t="s">
        <v>663</v>
      </c>
      <c r="C54" s="45" t="s">
        <v>2095</v>
      </c>
      <c r="D54" s="46">
        <v>150</v>
      </c>
      <c r="E54" s="45" t="s">
        <v>2045</v>
      </c>
      <c r="F54" s="47">
        <v>10.48</v>
      </c>
      <c r="G54" s="48"/>
      <c r="H54" s="49"/>
      <c r="I54" s="45"/>
      <c r="J54" s="45" t="s">
        <v>2096</v>
      </c>
    </row>
    <row r="55" spans="1:10">
      <c r="A55" s="17">
        <v>46253</v>
      </c>
      <c r="B55" s="18" t="s">
        <v>665</v>
      </c>
      <c r="C55" s="18" t="s">
        <v>344</v>
      </c>
      <c r="D55" s="27">
        <v>140</v>
      </c>
      <c r="E55" s="18" t="s">
        <v>2060</v>
      </c>
      <c r="F55" s="19"/>
      <c r="G55" s="19"/>
      <c r="H55" s="21"/>
      <c r="I55" s="18" t="s">
        <v>2097</v>
      </c>
      <c r="J55" s="18" t="s">
        <v>2098</v>
      </c>
    </row>
    <row r="56" spans="1:10">
      <c r="A56" s="44">
        <v>46245</v>
      </c>
      <c r="B56" s="45" t="s">
        <v>2093</v>
      </c>
      <c r="C56" s="45"/>
      <c r="D56" s="46"/>
      <c r="E56" s="45"/>
      <c r="F56" s="47"/>
      <c r="G56" s="48">
        <v>3</v>
      </c>
      <c r="H56" s="49" t="s">
        <v>99</v>
      </c>
      <c r="I56" s="45"/>
    </row>
    <row r="57" spans="1:10">
      <c r="A57" s="17">
        <v>46245</v>
      </c>
      <c r="B57" s="18" t="s">
        <v>2099</v>
      </c>
      <c r="C57" s="18"/>
      <c r="D57" s="27"/>
      <c r="E57" s="18"/>
      <c r="F57" s="19"/>
      <c r="G57" s="19">
        <v>25</v>
      </c>
      <c r="H57" s="21" t="s">
        <v>111</v>
      </c>
      <c r="I57" s="18"/>
    </row>
    <row r="58" spans="1:10">
      <c r="A58" s="44">
        <v>46245</v>
      </c>
      <c r="B58" s="45" t="s">
        <v>2100</v>
      </c>
      <c r="C58" s="45"/>
      <c r="D58" s="46"/>
      <c r="E58" s="45"/>
      <c r="F58" s="47"/>
      <c r="G58" s="48">
        <v>25</v>
      </c>
      <c r="H58" s="49" t="s">
        <v>112</v>
      </c>
      <c r="I58" s="45"/>
    </row>
    <row r="59" spans="1:10">
      <c r="A59" s="17">
        <v>46245</v>
      </c>
      <c r="B59" s="18" t="s">
        <v>649</v>
      </c>
      <c r="C59" s="18"/>
      <c r="D59" s="27">
        <v>2000</v>
      </c>
      <c r="E59" s="18" t="s">
        <v>2060</v>
      </c>
      <c r="F59" s="19"/>
      <c r="G59" s="19"/>
      <c r="H59" s="21"/>
      <c r="I59" s="18"/>
    </row>
    <row r="60" spans="1:10">
      <c r="A60" s="44">
        <v>46245</v>
      </c>
      <c r="B60" s="45" t="s">
        <v>112</v>
      </c>
      <c r="C60" s="45"/>
      <c r="D60" s="46"/>
      <c r="E60" s="45"/>
      <c r="F60" s="47"/>
      <c r="G60" s="48">
        <v>1000</v>
      </c>
      <c r="H60" s="49" t="s">
        <v>112</v>
      </c>
      <c r="I60" s="45"/>
    </row>
    <row r="61" spans="1:10">
      <c r="A61" s="17">
        <v>46245</v>
      </c>
      <c r="B61" s="18" t="s">
        <v>454</v>
      </c>
      <c r="C61" s="18"/>
      <c r="D61" s="27"/>
      <c r="E61" s="18"/>
      <c r="F61" s="19"/>
      <c r="G61" s="19">
        <v>504.34</v>
      </c>
      <c r="H61" s="21" t="s">
        <v>99</v>
      </c>
      <c r="I61" s="18"/>
    </row>
    <row r="62" spans="1:10">
      <c r="A62" s="44">
        <v>46246</v>
      </c>
      <c r="B62" s="45" t="s">
        <v>669</v>
      </c>
      <c r="C62" s="45" t="s">
        <v>367</v>
      </c>
      <c r="D62" s="46">
        <v>200</v>
      </c>
      <c r="E62" s="45" t="s">
        <v>2052</v>
      </c>
      <c r="F62" s="47"/>
      <c r="G62" s="48"/>
      <c r="H62" s="49"/>
      <c r="I62" s="45"/>
      <c r="J62" s="45" t="s">
        <v>2101</v>
      </c>
    </row>
    <row r="63" spans="1:10" ht="15.75" customHeight="1">
      <c r="A63" s="17">
        <v>46247</v>
      </c>
      <c r="B63" s="18" t="s">
        <v>2047</v>
      </c>
      <c r="C63" s="18" t="s">
        <v>2102</v>
      </c>
      <c r="D63" s="27">
        <v>20</v>
      </c>
      <c r="E63" s="18" t="s">
        <v>2052</v>
      </c>
      <c r="F63" s="19"/>
      <c r="G63" s="19"/>
      <c r="H63" s="21"/>
      <c r="I63" s="18"/>
    </row>
    <row r="64" spans="1:10">
      <c r="A64" s="44">
        <v>46247</v>
      </c>
      <c r="B64" s="45" t="s">
        <v>649</v>
      </c>
      <c r="C64" s="45"/>
      <c r="D64" s="46">
        <v>140</v>
      </c>
      <c r="E64" s="45" t="s">
        <v>2048</v>
      </c>
      <c r="F64" s="47">
        <v>4.91</v>
      </c>
      <c r="G64" s="48"/>
      <c r="H64" s="49"/>
      <c r="I64" s="45"/>
    </row>
    <row r="65" spans="1:10">
      <c r="A65" s="17">
        <v>46247</v>
      </c>
      <c r="B65" s="18" t="s">
        <v>672</v>
      </c>
      <c r="C65" s="18" t="s">
        <v>344</v>
      </c>
      <c r="D65" s="27">
        <v>135</v>
      </c>
      <c r="E65" s="18" t="s">
        <v>2060</v>
      </c>
      <c r="F65" s="19"/>
      <c r="G65" s="19"/>
      <c r="H65" s="21"/>
      <c r="I65" s="18"/>
      <c r="J65" s="18" t="s">
        <v>2103</v>
      </c>
    </row>
    <row r="66" spans="1:10">
      <c r="A66" s="44">
        <v>46254</v>
      </c>
      <c r="B66" s="45" t="s">
        <v>674</v>
      </c>
      <c r="C66" s="45" t="s">
        <v>344</v>
      </c>
      <c r="D66" s="46">
        <v>130</v>
      </c>
      <c r="E66" s="45" t="s">
        <v>2052</v>
      </c>
      <c r="F66" s="47"/>
      <c r="G66" s="48"/>
      <c r="H66" s="49"/>
      <c r="I66" s="45" t="s">
        <v>2104</v>
      </c>
      <c r="J66" s="45" t="s">
        <v>2105</v>
      </c>
    </row>
    <row r="67" spans="1:10">
      <c r="A67" s="17">
        <v>46248</v>
      </c>
      <c r="B67" s="18" t="s">
        <v>643</v>
      </c>
      <c r="C67" s="18" t="s">
        <v>554</v>
      </c>
      <c r="D67" s="27">
        <v>110</v>
      </c>
      <c r="E67" s="18" t="s">
        <v>2060</v>
      </c>
      <c r="F67" s="19"/>
      <c r="G67" s="19"/>
      <c r="H67" s="21"/>
      <c r="I67" s="18"/>
      <c r="J67" s="18" t="s">
        <v>1034</v>
      </c>
    </row>
    <row r="68" spans="1:10">
      <c r="A68" s="44">
        <v>46247</v>
      </c>
      <c r="B68" s="45" t="s">
        <v>676</v>
      </c>
      <c r="C68" s="45" t="s">
        <v>2106</v>
      </c>
      <c r="D68" s="46">
        <v>240</v>
      </c>
      <c r="E68" s="45" t="s">
        <v>2048</v>
      </c>
      <c r="F68" s="47">
        <v>8.42</v>
      </c>
      <c r="G68" s="48"/>
      <c r="H68" s="49"/>
      <c r="I68" s="45"/>
    </row>
    <row r="69" spans="1:10">
      <c r="A69" s="17">
        <v>46247</v>
      </c>
      <c r="B69" s="18" t="s">
        <v>677</v>
      </c>
      <c r="C69" s="18" t="s">
        <v>2090</v>
      </c>
      <c r="D69" s="27">
        <v>280</v>
      </c>
      <c r="E69" s="18" t="s">
        <v>2045</v>
      </c>
      <c r="F69" s="19">
        <v>22.37</v>
      </c>
      <c r="G69" s="19"/>
      <c r="H69" s="21"/>
      <c r="I69" s="18"/>
    </row>
    <row r="70" spans="1:10">
      <c r="A70" s="44">
        <v>46247</v>
      </c>
      <c r="B70" s="45" t="s">
        <v>678</v>
      </c>
      <c r="C70" s="45" t="s">
        <v>2107</v>
      </c>
      <c r="D70" s="46">
        <v>150</v>
      </c>
      <c r="E70" s="45" t="s">
        <v>2045</v>
      </c>
      <c r="F70" s="47">
        <v>10.48</v>
      </c>
      <c r="G70" s="48"/>
      <c r="H70" s="49"/>
      <c r="I70" s="45"/>
      <c r="J70" s="45" t="s">
        <v>2108</v>
      </c>
    </row>
    <row r="71" spans="1:10">
      <c r="A71" s="17">
        <v>46247</v>
      </c>
      <c r="B71" s="18" t="s">
        <v>680</v>
      </c>
      <c r="C71" s="18" t="s">
        <v>367</v>
      </c>
      <c r="D71" s="27">
        <v>200</v>
      </c>
      <c r="E71" s="18" t="s">
        <v>2045</v>
      </c>
      <c r="F71" s="19">
        <v>13.98</v>
      </c>
      <c r="G71" s="19"/>
      <c r="H71" s="21"/>
      <c r="I71" s="18"/>
      <c r="J71" s="18" t="s">
        <v>2109</v>
      </c>
    </row>
    <row r="72" spans="1:10">
      <c r="A72" s="44">
        <v>46253</v>
      </c>
      <c r="B72" s="45" t="s">
        <v>682</v>
      </c>
      <c r="C72" s="45" t="s">
        <v>2110</v>
      </c>
      <c r="D72" s="46">
        <v>160</v>
      </c>
      <c r="E72" s="45" t="s">
        <v>2060</v>
      </c>
      <c r="F72" s="47"/>
      <c r="G72" s="48"/>
      <c r="H72" s="49"/>
      <c r="I72" s="45" t="s">
        <v>2111</v>
      </c>
    </row>
    <row r="73" spans="1:10" ht="15.75" customHeight="1">
      <c r="A73" s="17">
        <v>46248</v>
      </c>
      <c r="B73" s="18" t="s">
        <v>683</v>
      </c>
      <c r="C73" s="18" t="s">
        <v>2112</v>
      </c>
      <c r="D73" s="27">
        <v>240</v>
      </c>
      <c r="E73" s="18" t="s">
        <v>2078</v>
      </c>
      <c r="F73" s="19">
        <v>6.34</v>
      </c>
      <c r="G73" s="19"/>
      <c r="H73" s="21"/>
      <c r="I73" s="18"/>
      <c r="J73" s="18" t="s">
        <v>2066</v>
      </c>
    </row>
    <row r="74" spans="1:10">
      <c r="A74" s="44">
        <v>46248</v>
      </c>
      <c r="B74" s="45" t="s">
        <v>683</v>
      </c>
      <c r="C74" s="45" t="s">
        <v>2102</v>
      </c>
      <c r="D74" s="46">
        <v>10</v>
      </c>
      <c r="E74" s="45" t="s">
        <v>2078</v>
      </c>
      <c r="F74" s="47"/>
      <c r="G74" s="48"/>
      <c r="H74" s="49"/>
      <c r="I74" s="45"/>
      <c r="J74" s="45" t="s">
        <v>2066</v>
      </c>
    </row>
    <row r="75" spans="1:10">
      <c r="A75" s="17">
        <v>46249</v>
      </c>
      <c r="B75" s="18" t="s">
        <v>685</v>
      </c>
      <c r="C75" s="18" t="s">
        <v>559</v>
      </c>
      <c r="D75" s="27">
        <v>160</v>
      </c>
      <c r="E75" s="18" t="s">
        <v>2060</v>
      </c>
      <c r="F75" s="19"/>
      <c r="G75" s="19"/>
      <c r="H75" s="21"/>
      <c r="I75" s="18"/>
      <c r="J75" s="18" t="s">
        <v>2113</v>
      </c>
    </row>
    <row r="76" spans="1:10">
      <c r="A76" s="44">
        <v>46251</v>
      </c>
      <c r="B76" s="45" t="s">
        <v>649</v>
      </c>
      <c r="C76" s="45"/>
      <c r="D76" s="46">
        <v>1200</v>
      </c>
      <c r="E76" s="45" t="s">
        <v>2052</v>
      </c>
      <c r="F76" s="47"/>
      <c r="G76" s="48"/>
      <c r="H76" s="49"/>
      <c r="I76" s="45"/>
    </row>
    <row r="77" spans="1:10">
      <c r="A77" s="17">
        <v>46251</v>
      </c>
      <c r="B77" s="18" t="s">
        <v>449</v>
      </c>
      <c r="C77" s="18"/>
      <c r="D77" s="27"/>
      <c r="E77" s="18"/>
      <c r="F77" s="19"/>
      <c r="G77" s="19">
        <v>400.01</v>
      </c>
      <c r="H77" s="21" t="s">
        <v>104</v>
      </c>
      <c r="I77" s="18"/>
    </row>
    <row r="78" spans="1:10">
      <c r="A78" s="44">
        <v>46251</v>
      </c>
      <c r="B78" s="45" t="s">
        <v>690</v>
      </c>
      <c r="C78" s="45"/>
      <c r="D78" s="46"/>
      <c r="E78" s="45"/>
      <c r="F78" s="47"/>
      <c r="G78" s="48">
        <v>139.31</v>
      </c>
      <c r="H78" s="49" t="s">
        <v>99</v>
      </c>
      <c r="I78" s="45"/>
    </row>
    <row r="79" spans="1:10" ht="15.75" customHeight="1">
      <c r="A79" s="17">
        <v>46251</v>
      </c>
      <c r="B79" s="18" t="s">
        <v>690</v>
      </c>
      <c r="C79" s="18"/>
      <c r="D79" s="27"/>
      <c r="E79" s="18"/>
      <c r="F79" s="19"/>
      <c r="G79" s="19">
        <v>865.5</v>
      </c>
      <c r="H79" s="21" t="s">
        <v>99</v>
      </c>
      <c r="I79" s="18"/>
    </row>
    <row r="80" spans="1:10">
      <c r="A80" s="44">
        <v>46251</v>
      </c>
      <c r="B80" s="45" t="s">
        <v>690</v>
      </c>
      <c r="C80" s="45"/>
      <c r="D80" s="46"/>
      <c r="E80" s="45"/>
      <c r="F80" s="47"/>
      <c r="G80" s="48">
        <v>856.35</v>
      </c>
      <c r="H80" s="49" t="s">
        <v>99</v>
      </c>
      <c r="I80" s="45"/>
    </row>
    <row r="81" spans="1:10">
      <c r="A81" s="17">
        <v>46251</v>
      </c>
      <c r="B81" s="18" t="s">
        <v>455</v>
      </c>
      <c r="C81" s="18"/>
      <c r="D81" s="27"/>
      <c r="E81" s="18"/>
      <c r="F81" s="19"/>
      <c r="G81" s="19">
        <v>980.83</v>
      </c>
      <c r="H81" s="21" t="s">
        <v>99</v>
      </c>
      <c r="I81" s="18"/>
    </row>
    <row r="82" spans="1:10">
      <c r="A82" s="44">
        <v>46251</v>
      </c>
      <c r="B82" s="45" t="s">
        <v>690</v>
      </c>
      <c r="C82" s="45"/>
      <c r="D82" s="46"/>
      <c r="E82" s="45"/>
      <c r="F82" s="47"/>
      <c r="G82" s="48">
        <v>892.3</v>
      </c>
      <c r="H82" s="49" t="s">
        <v>99</v>
      </c>
      <c r="I82" s="45"/>
    </row>
    <row r="83" spans="1:10">
      <c r="A83" s="17">
        <v>46251</v>
      </c>
      <c r="B83" s="18" t="s">
        <v>227</v>
      </c>
      <c r="C83" s="18"/>
      <c r="D83" s="27"/>
      <c r="E83" s="18"/>
      <c r="F83" s="19"/>
      <c r="G83" s="19">
        <v>486.32</v>
      </c>
      <c r="H83" s="21" t="s">
        <v>107</v>
      </c>
      <c r="I83" s="18"/>
    </row>
    <row r="84" spans="1:10">
      <c r="A84" s="44">
        <v>46253</v>
      </c>
      <c r="B84" s="45" t="s">
        <v>2114</v>
      </c>
      <c r="C84" s="45" t="s">
        <v>344</v>
      </c>
      <c r="D84" s="46">
        <v>150</v>
      </c>
      <c r="E84" s="45" t="s">
        <v>2052</v>
      </c>
      <c r="F84" s="47"/>
      <c r="G84" s="48"/>
      <c r="H84" s="49"/>
      <c r="I84" s="45" t="s">
        <v>2115</v>
      </c>
    </row>
    <row r="85" spans="1:10">
      <c r="A85" s="17">
        <v>46252</v>
      </c>
      <c r="B85" s="18" t="s">
        <v>2116</v>
      </c>
      <c r="C85" s="18" t="s">
        <v>344</v>
      </c>
      <c r="D85" s="27">
        <v>150</v>
      </c>
      <c r="E85" s="18" t="s">
        <v>2045</v>
      </c>
      <c r="F85" s="19">
        <v>10.48</v>
      </c>
      <c r="G85" s="19"/>
      <c r="H85" s="21"/>
      <c r="I85" s="18"/>
      <c r="J85" s="18" t="s">
        <v>2117</v>
      </c>
    </row>
    <row r="86" spans="1:10">
      <c r="A86" s="44">
        <v>46252</v>
      </c>
      <c r="B86" s="45" t="s">
        <v>2118</v>
      </c>
      <c r="C86" s="45" t="s">
        <v>344</v>
      </c>
      <c r="D86" s="46">
        <v>150</v>
      </c>
      <c r="E86" s="45" t="s">
        <v>2052</v>
      </c>
      <c r="F86" s="47"/>
      <c r="G86" s="48"/>
      <c r="H86" s="49"/>
      <c r="I86" s="45"/>
      <c r="J86" s="45" t="s">
        <v>2119</v>
      </c>
    </row>
    <row r="87" spans="1:10">
      <c r="A87" s="17">
        <v>46252</v>
      </c>
      <c r="B87" s="18" t="s">
        <v>2120</v>
      </c>
      <c r="C87" s="18" t="s">
        <v>344</v>
      </c>
      <c r="D87" s="27">
        <v>150</v>
      </c>
      <c r="E87" s="18" t="s">
        <v>2048</v>
      </c>
      <c r="F87" s="19">
        <v>5.27</v>
      </c>
      <c r="G87" s="19"/>
      <c r="H87" s="21"/>
      <c r="I87" s="18"/>
      <c r="J87" s="18" t="s">
        <v>2121</v>
      </c>
    </row>
    <row r="88" spans="1:10">
      <c r="A88" s="44">
        <v>46252</v>
      </c>
      <c r="B88" s="45" t="s">
        <v>2122</v>
      </c>
      <c r="C88" s="45" t="s">
        <v>344</v>
      </c>
      <c r="D88" s="46">
        <v>120</v>
      </c>
      <c r="E88" s="45" t="s">
        <v>2052</v>
      </c>
      <c r="F88" s="47"/>
      <c r="G88" s="48"/>
      <c r="H88" s="49"/>
      <c r="I88" s="45"/>
    </row>
    <row r="89" spans="1:10">
      <c r="A89" s="17">
        <v>46252</v>
      </c>
      <c r="B89" s="18" t="s">
        <v>2123</v>
      </c>
      <c r="C89" s="18" t="s">
        <v>2124</v>
      </c>
      <c r="D89" s="27">
        <v>200</v>
      </c>
      <c r="E89" s="18" t="s">
        <v>2045</v>
      </c>
      <c r="F89" s="19">
        <v>13.98</v>
      </c>
      <c r="G89" s="19"/>
      <c r="H89" s="21"/>
      <c r="I89" s="18" t="s">
        <v>2125</v>
      </c>
      <c r="J89" s="18" t="s">
        <v>2126</v>
      </c>
    </row>
    <row r="90" spans="1:10">
      <c r="A90" s="44">
        <v>46254</v>
      </c>
      <c r="B90" s="45" t="s">
        <v>2127</v>
      </c>
      <c r="C90" s="45" t="s">
        <v>355</v>
      </c>
      <c r="D90" s="46">
        <v>140</v>
      </c>
      <c r="E90" s="45" t="s">
        <v>2045</v>
      </c>
      <c r="F90" s="47">
        <v>9.9700000000000006</v>
      </c>
      <c r="G90" s="48"/>
      <c r="H90" s="49"/>
      <c r="I90" s="45" t="s">
        <v>2128</v>
      </c>
      <c r="J90" s="45" t="s">
        <v>2129</v>
      </c>
    </row>
    <row r="91" spans="1:10">
      <c r="A91" s="17">
        <v>46253</v>
      </c>
      <c r="B91" s="18" t="s">
        <v>2130</v>
      </c>
      <c r="C91" s="18" t="s">
        <v>2090</v>
      </c>
      <c r="D91" s="27">
        <v>270</v>
      </c>
      <c r="E91" s="18" t="s">
        <v>2060</v>
      </c>
      <c r="F91" s="19"/>
      <c r="G91" s="19"/>
      <c r="H91" s="21"/>
      <c r="I91" s="18"/>
      <c r="J91" s="18" t="s">
        <v>2131</v>
      </c>
    </row>
    <row r="92" spans="1:10">
      <c r="A92" s="44">
        <v>46253</v>
      </c>
      <c r="B92" s="45" t="s">
        <v>2047</v>
      </c>
      <c r="C92" s="45" t="s">
        <v>2102</v>
      </c>
      <c r="D92" s="46">
        <v>10</v>
      </c>
      <c r="E92" s="45" t="s">
        <v>2052</v>
      </c>
      <c r="F92" s="47"/>
      <c r="G92" s="48"/>
      <c r="H92" s="49"/>
      <c r="I92" s="45"/>
    </row>
    <row r="93" spans="1:10">
      <c r="A93" s="17">
        <v>46253</v>
      </c>
      <c r="B93" s="18" t="s">
        <v>2132</v>
      </c>
      <c r="C93" s="18"/>
      <c r="D93" s="27"/>
      <c r="E93" s="18"/>
      <c r="F93" s="19"/>
      <c r="G93" s="19">
        <v>50</v>
      </c>
      <c r="H93" s="21" t="s">
        <v>106</v>
      </c>
      <c r="I93" s="18"/>
    </row>
    <row r="94" spans="1:10">
      <c r="A94" s="44">
        <v>46253</v>
      </c>
      <c r="B94" s="45" t="s">
        <v>2133</v>
      </c>
      <c r="C94" s="45"/>
      <c r="D94" s="46"/>
      <c r="E94" s="45"/>
      <c r="F94" s="47"/>
      <c r="G94" s="48">
        <v>50</v>
      </c>
      <c r="H94" s="49" t="s">
        <v>104</v>
      </c>
      <c r="I94" s="45"/>
    </row>
    <row r="95" spans="1:10">
      <c r="A95" s="17">
        <v>46253</v>
      </c>
      <c r="B95" s="18" t="s">
        <v>2134</v>
      </c>
      <c r="C95" s="18" t="s">
        <v>355</v>
      </c>
      <c r="D95" s="27">
        <v>140</v>
      </c>
      <c r="E95" s="18" t="s">
        <v>2048</v>
      </c>
      <c r="F95" s="19"/>
      <c r="G95" s="19"/>
      <c r="H95" s="21"/>
      <c r="I95" s="18"/>
      <c r="J95" s="18" t="s">
        <v>2135</v>
      </c>
    </row>
    <row r="96" spans="1:10">
      <c r="A96" s="44">
        <v>46253</v>
      </c>
      <c r="B96" s="45" t="s">
        <v>2136</v>
      </c>
      <c r="C96" s="45" t="s">
        <v>344</v>
      </c>
      <c r="D96" s="46">
        <v>140</v>
      </c>
      <c r="E96" s="45" t="s">
        <v>2052</v>
      </c>
      <c r="F96" s="47"/>
      <c r="G96" s="48"/>
      <c r="H96" s="49"/>
      <c r="I96" s="45"/>
      <c r="J96" s="45" t="s">
        <v>2137</v>
      </c>
    </row>
    <row r="97" spans="1:10">
      <c r="A97" s="17">
        <v>46253</v>
      </c>
      <c r="B97" s="18" t="s">
        <v>454</v>
      </c>
      <c r="C97" s="18"/>
      <c r="D97" s="27"/>
      <c r="E97" s="18"/>
      <c r="F97" s="19"/>
      <c r="G97" s="19">
        <v>1385.85</v>
      </c>
      <c r="H97" s="21" t="s">
        <v>99</v>
      </c>
      <c r="I97" s="18"/>
    </row>
    <row r="98" spans="1:10">
      <c r="A98" s="44">
        <v>46253</v>
      </c>
      <c r="B98" s="45" t="s">
        <v>358</v>
      </c>
      <c r="C98" s="45" t="s">
        <v>2084</v>
      </c>
      <c r="D98" s="46">
        <v>100</v>
      </c>
      <c r="E98" s="45" t="s">
        <v>2052</v>
      </c>
      <c r="F98" s="47"/>
      <c r="G98" s="48"/>
      <c r="H98" s="49"/>
      <c r="I98" s="45"/>
      <c r="J98" s="45" t="s">
        <v>2138</v>
      </c>
    </row>
    <row r="99" spans="1:10">
      <c r="A99" s="17">
        <v>46253</v>
      </c>
      <c r="B99" s="18" t="s">
        <v>2139</v>
      </c>
      <c r="C99" s="18"/>
      <c r="D99" s="27"/>
      <c r="E99" s="18"/>
      <c r="F99" s="19"/>
      <c r="G99" s="19">
        <v>10</v>
      </c>
      <c r="H99" s="21" t="s">
        <v>109</v>
      </c>
      <c r="I99" s="18"/>
    </row>
    <row r="100" spans="1:10" ht="15.75" customHeight="1">
      <c r="A100" s="44">
        <v>46254</v>
      </c>
      <c r="B100" s="45" t="s">
        <v>2140</v>
      </c>
      <c r="C100" s="45" t="s">
        <v>344</v>
      </c>
      <c r="D100" s="46">
        <v>140</v>
      </c>
      <c r="E100" s="45" t="s">
        <v>2078</v>
      </c>
      <c r="F100" s="47">
        <v>2.0299999999999998</v>
      </c>
      <c r="G100" s="48"/>
      <c r="H100" s="49"/>
      <c r="I100" s="45"/>
      <c r="J100" s="45" t="s">
        <v>2141</v>
      </c>
    </row>
    <row r="101" spans="1:10">
      <c r="A101" s="17">
        <v>46254</v>
      </c>
      <c r="B101" s="18" t="s">
        <v>2142</v>
      </c>
      <c r="C101" s="18" t="s">
        <v>2143</v>
      </c>
      <c r="D101" s="27">
        <v>210</v>
      </c>
      <c r="E101" s="18" t="s">
        <v>2060</v>
      </c>
      <c r="F101" s="19"/>
      <c r="G101" s="19"/>
      <c r="H101" s="21"/>
      <c r="I101" s="18" t="s">
        <v>2144</v>
      </c>
    </row>
    <row r="102" spans="1:10" ht="15.75" customHeight="1">
      <c r="A102" s="44">
        <v>46254</v>
      </c>
      <c r="B102" s="45" t="s">
        <v>2145</v>
      </c>
      <c r="C102" s="45" t="s">
        <v>355</v>
      </c>
      <c r="D102" s="46">
        <v>135</v>
      </c>
      <c r="E102" s="45" t="s">
        <v>2052</v>
      </c>
      <c r="F102" s="47"/>
      <c r="G102" s="48"/>
      <c r="H102" s="49"/>
      <c r="I102" s="45"/>
      <c r="J102" s="45" t="s">
        <v>2146</v>
      </c>
    </row>
    <row r="103" spans="1:10">
      <c r="A103" s="17">
        <v>46255</v>
      </c>
      <c r="B103" s="18" t="s">
        <v>2147</v>
      </c>
      <c r="C103" s="18" t="s">
        <v>405</v>
      </c>
      <c r="D103" s="27">
        <v>225</v>
      </c>
      <c r="E103" s="18" t="s">
        <v>2045</v>
      </c>
      <c r="F103" s="19">
        <v>17.98</v>
      </c>
      <c r="G103" s="19"/>
      <c r="H103" s="21"/>
      <c r="I103" s="18"/>
      <c r="J103" s="18" t="s">
        <v>2148</v>
      </c>
    </row>
    <row r="104" spans="1:10" ht="15.75" customHeight="1">
      <c r="A104" s="44">
        <v>46254</v>
      </c>
      <c r="B104" s="45" t="s">
        <v>459</v>
      </c>
      <c r="C104" s="45"/>
      <c r="D104" s="46"/>
      <c r="E104" s="45"/>
      <c r="F104" s="47"/>
      <c r="G104" s="48">
        <v>2330.5300000000002</v>
      </c>
      <c r="H104" s="49" t="s">
        <v>102</v>
      </c>
      <c r="I104" s="45" t="s">
        <v>2049</v>
      </c>
    </row>
    <row r="105" spans="1:10">
      <c r="A105" s="17">
        <v>46254</v>
      </c>
      <c r="B105" s="18" t="s">
        <v>2149</v>
      </c>
      <c r="C105" s="18"/>
      <c r="D105" s="27"/>
      <c r="E105" s="18"/>
      <c r="F105" s="19"/>
      <c r="G105" s="19">
        <v>136</v>
      </c>
      <c r="H105" s="21" t="s">
        <v>102</v>
      </c>
      <c r="I105" s="18" t="s">
        <v>2150</v>
      </c>
    </row>
    <row r="106" spans="1:10">
      <c r="A106" s="44">
        <v>46254</v>
      </c>
      <c r="B106" s="45" t="s">
        <v>2151</v>
      </c>
      <c r="C106" s="45"/>
      <c r="D106" s="46"/>
      <c r="E106" s="45"/>
      <c r="F106" s="47"/>
      <c r="G106" s="48">
        <v>306.99</v>
      </c>
      <c r="H106" s="49" t="s">
        <v>102</v>
      </c>
      <c r="I106" s="45" t="s">
        <v>2152</v>
      </c>
    </row>
    <row r="107" spans="1:10">
      <c r="A107" s="17">
        <v>46255</v>
      </c>
      <c r="B107" s="18" t="s">
        <v>2153</v>
      </c>
      <c r="C107" s="18" t="s">
        <v>2154</v>
      </c>
      <c r="D107" s="27">
        <v>1689</v>
      </c>
      <c r="E107" s="18" t="s">
        <v>2045</v>
      </c>
      <c r="F107" s="19">
        <v>236.29</v>
      </c>
      <c r="G107" s="19"/>
      <c r="H107" s="21"/>
      <c r="I107" s="18"/>
      <c r="J107" s="18" t="s">
        <v>2155</v>
      </c>
    </row>
    <row r="108" spans="1:10">
      <c r="A108" s="44">
        <v>46255</v>
      </c>
      <c r="B108" s="45" t="s">
        <v>2156</v>
      </c>
      <c r="C108" s="45" t="s">
        <v>2124</v>
      </c>
      <c r="D108" s="46">
        <v>200</v>
      </c>
      <c r="E108" s="45" t="s">
        <v>2078</v>
      </c>
      <c r="F108" s="47">
        <v>2.9</v>
      </c>
      <c r="G108" s="48"/>
      <c r="H108" s="49"/>
      <c r="I108" s="45"/>
    </row>
    <row r="109" spans="1:10">
      <c r="A109" s="17">
        <v>46255</v>
      </c>
      <c r="B109" s="18" t="s">
        <v>2157</v>
      </c>
      <c r="C109" s="18" t="s">
        <v>2158</v>
      </c>
      <c r="D109" s="27">
        <v>150</v>
      </c>
      <c r="E109" s="18" t="s">
        <v>2052</v>
      </c>
      <c r="F109" s="19"/>
      <c r="G109" s="19"/>
      <c r="H109" s="21"/>
      <c r="I109" s="18"/>
    </row>
    <row r="110" spans="1:10">
      <c r="A110" s="44">
        <v>46255</v>
      </c>
      <c r="B110" s="45" t="s">
        <v>2159</v>
      </c>
      <c r="C110" s="45"/>
      <c r="D110" s="46"/>
      <c r="E110" s="45"/>
      <c r="F110" s="47"/>
      <c r="G110" s="48">
        <v>250</v>
      </c>
      <c r="H110" s="49" t="s">
        <v>112</v>
      </c>
      <c r="I110" s="45"/>
    </row>
    <row r="111" spans="1:10">
      <c r="A111" s="17">
        <v>46255</v>
      </c>
      <c r="B111" s="18" t="s">
        <v>2133</v>
      </c>
      <c r="C111" s="18"/>
      <c r="D111" s="27"/>
      <c r="E111" s="18"/>
      <c r="F111" s="19"/>
      <c r="G111" s="19">
        <v>20</v>
      </c>
      <c r="H111" s="21" t="s">
        <v>104</v>
      </c>
      <c r="I111" s="18"/>
    </row>
    <row r="112" spans="1:10">
      <c r="A112" s="44">
        <v>46255</v>
      </c>
      <c r="B112" s="45" t="s">
        <v>2160</v>
      </c>
      <c r="C112" s="45"/>
      <c r="D112" s="46"/>
      <c r="E112" s="45"/>
      <c r="F112" s="47"/>
      <c r="G112" s="48">
        <v>874.68</v>
      </c>
      <c r="H112" s="49" t="s">
        <v>99</v>
      </c>
      <c r="I112" s="45"/>
    </row>
    <row r="113" spans="1:10">
      <c r="A113" s="17">
        <v>46261</v>
      </c>
      <c r="B113" s="18" t="s">
        <v>2161</v>
      </c>
      <c r="C113" s="18" t="s">
        <v>569</v>
      </c>
      <c r="D113" s="27">
        <v>1489</v>
      </c>
      <c r="E113" s="18" t="s">
        <v>2060</v>
      </c>
      <c r="F113" s="19"/>
      <c r="G113" s="19"/>
      <c r="H113" s="21"/>
      <c r="I113" s="18"/>
      <c r="J113" s="18" t="s">
        <v>2162</v>
      </c>
    </row>
    <row r="114" spans="1:10">
      <c r="A114" s="44">
        <v>46256</v>
      </c>
      <c r="B114" s="45" t="s">
        <v>2047</v>
      </c>
      <c r="C114" s="45" t="s">
        <v>2163</v>
      </c>
      <c r="D114" s="46">
        <v>80</v>
      </c>
      <c r="E114" s="45" t="s">
        <v>2052</v>
      </c>
      <c r="F114" s="47"/>
      <c r="G114" s="48"/>
      <c r="H114" s="49"/>
      <c r="I114" s="45"/>
    </row>
    <row r="115" spans="1:10">
      <c r="A115" s="17">
        <v>46256</v>
      </c>
      <c r="B115" s="18" t="s">
        <v>2164</v>
      </c>
      <c r="C115" s="18" t="s">
        <v>552</v>
      </c>
      <c r="D115" s="27">
        <v>90</v>
      </c>
      <c r="E115" s="18" t="s">
        <v>2060</v>
      </c>
      <c r="F115" s="19"/>
      <c r="G115" s="19"/>
      <c r="H115" s="21"/>
      <c r="I115" s="18"/>
      <c r="J115" s="18" t="s">
        <v>2165</v>
      </c>
    </row>
    <row r="116" spans="1:10">
      <c r="A116" s="44">
        <v>46256</v>
      </c>
      <c r="B116" s="45" t="s">
        <v>2166</v>
      </c>
      <c r="C116" s="45" t="s">
        <v>554</v>
      </c>
      <c r="D116" s="46">
        <v>100</v>
      </c>
      <c r="E116" s="45" t="s">
        <v>2052</v>
      </c>
      <c r="F116" s="47"/>
      <c r="G116" s="48"/>
      <c r="H116" s="49"/>
      <c r="I116" s="45"/>
      <c r="J116" s="45" t="s">
        <v>2167</v>
      </c>
    </row>
    <row r="117" spans="1:10">
      <c r="A117" s="17">
        <v>46254</v>
      </c>
      <c r="B117" s="18" t="s">
        <v>2072</v>
      </c>
      <c r="C117" s="18"/>
      <c r="D117" s="27"/>
      <c r="E117" s="18"/>
      <c r="F117" s="19"/>
      <c r="G117" s="19">
        <v>1</v>
      </c>
      <c r="H117" s="21" t="s">
        <v>103</v>
      </c>
      <c r="I117" s="18" t="s">
        <v>2168</v>
      </c>
    </row>
    <row r="118" spans="1:10">
      <c r="A118" s="44">
        <v>46256</v>
      </c>
      <c r="B118" s="45" t="s">
        <v>2076</v>
      </c>
      <c r="C118" s="45"/>
      <c r="D118" s="46"/>
      <c r="E118" s="45"/>
      <c r="F118" s="47"/>
      <c r="G118" s="48">
        <v>590</v>
      </c>
      <c r="H118" s="49" t="s">
        <v>106</v>
      </c>
      <c r="I118" s="45" t="s">
        <v>2169</v>
      </c>
    </row>
    <row r="119" spans="1:10">
      <c r="A119" s="17">
        <v>46258</v>
      </c>
      <c r="B119" s="18" t="s">
        <v>2170</v>
      </c>
      <c r="C119" s="18" t="s">
        <v>2171</v>
      </c>
      <c r="D119" s="27">
        <v>1358</v>
      </c>
      <c r="E119" s="18" t="s">
        <v>2060</v>
      </c>
      <c r="F119" s="19"/>
      <c r="G119" s="19"/>
      <c r="H119" s="21"/>
      <c r="I119" s="18" t="s">
        <v>2172</v>
      </c>
    </row>
    <row r="120" spans="1:10">
      <c r="A120" s="44">
        <v>46258</v>
      </c>
      <c r="B120" s="45" t="s">
        <v>2173</v>
      </c>
      <c r="C120" s="45" t="s">
        <v>2174</v>
      </c>
      <c r="D120" s="46">
        <v>2320</v>
      </c>
      <c r="E120" s="45" t="s">
        <v>2060</v>
      </c>
      <c r="F120" s="47"/>
      <c r="G120" s="48"/>
      <c r="H120" s="49"/>
      <c r="I120" s="45" t="s">
        <v>2175</v>
      </c>
    </row>
    <row r="121" spans="1:10">
      <c r="A121" s="17">
        <v>46258</v>
      </c>
      <c r="B121" s="18" t="s">
        <v>2176</v>
      </c>
      <c r="C121" s="18" t="s">
        <v>2177</v>
      </c>
      <c r="D121" s="27">
        <v>2948.8</v>
      </c>
      <c r="E121" s="18" t="s">
        <v>2060</v>
      </c>
      <c r="F121" s="19"/>
      <c r="G121" s="19"/>
      <c r="H121" s="21"/>
      <c r="I121" s="18" t="s">
        <v>2178</v>
      </c>
    </row>
    <row r="122" spans="1:10">
      <c r="A122" s="44">
        <v>46258</v>
      </c>
      <c r="B122" s="45" t="s">
        <v>2179</v>
      </c>
      <c r="C122" s="45" t="s">
        <v>2180</v>
      </c>
      <c r="D122" s="46">
        <v>2600</v>
      </c>
      <c r="E122" s="45" t="s">
        <v>2060</v>
      </c>
      <c r="F122" s="47"/>
      <c r="G122" s="48"/>
      <c r="H122" s="49"/>
      <c r="I122" s="45" t="s">
        <v>2181</v>
      </c>
    </row>
    <row r="123" spans="1:10">
      <c r="A123" s="17">
        <v>46258</v>
      </c>
      <c r="B123" s="18" t="s">
        <v>2182</v>
      </c>
      <c r="C123" s="18" t="s">
        <v>2183</v>
      </c>
      <c r="D123" s="27">
        <v>3181.6</v>
      </c>
      <c r="E123" s="18" t="s">
        <v>2060</v>
      </c>
      <c r="F123" s="19"/>
      <c r="G123" s="19"/>
      <c r="H123" s="21"/>
      <c r="I123" s="18" t="s">
        <v>2184</v>
      </c>
    </row>
    <row r="124" spans="1:10">
      <c r="A124" s="44">
        <v>46238</v>
      </c>
      <c r="B124" s="45" t="s">
        <v>2185</v>
      </c>
      <c r="C124" s="45"/>
      <c r="D124" s="46"/>
      <c r="E124" s="45"/>
      <c r="F124" s="47"/>
      <c r="G124" s="48">
        <v>3</v>
      </c>
      <c r="H124" s="49" t="s">
        <v>112</v>
      </c>
      <c r="I124" s="45" t="s">
        <v>2186</v>
      </c>
    </row>
    <row r="125" spans="1:10">
      <c r="A125" s="17">
        <v>46238</v>
      </c>
      <c r="B125" s="18" t="s">
        <v>2187</v>
      </c>
      <c r="C125" s="18"/>
      <c r="D125" s="27"/>
      <c r="E125" s="18"/>
      <c r="F125" s="19"/>
      <c r="G125" s="19">
        <v>10</v>
      </c>
      <c r="H125" s="21" t="s">
        <v>112</v>
      </c>
      <c r="I125" s="18" t="s">
        <v>2186</v>
      </c>
    </row>
    <row r="126" spans="1:10">
      <c r="A126" s="44">
        <v>46238</v>
      </c>
      <c r="B126" s="45" t="s">
        <v>2188</v>
      </c>
      <c r="C126" s="45"/>
      <c r="D126" s="46"/>
      <c r="E126" s="45"/>
      <c r="F126" s="47"/>
      <c r="G126" s="48">
        <v>4.8</v>
      </c>
      <c r="H126" s="49" t="s">
        <v>104</v>
      </c>
      <c r="I126" s="45" t="s">
        <v>2186</v>
      </c>
    </row>
    <row r="127" spans="1:10">
      <c r="A127" s="17">
        <v>46238</v>
      </c>
      <c r="B127" s="18" t="s">
        <v>2188</v>
      </c>
      <c r="C127" s="18"/>
      <c r="D127" s="27"/>
      <c r="E127" s="18"/>
      <c r="F127" s="19"/>
      <c r="G127" s="19">
        <v>2.4</v>
      </c>
      <c r="H127" s="21" t="s">
        <v>104</v>
      </c>
      <c r="I127" s="18" t="s">
        <v>2186</v>
      </c>
    </row>
    <row r="128" spans="1:10" ht="15.75" customHeight="1">
      <c r="A128" s="44">
        <v>46239</v>
      </c>
      <c r="B128" s="45" t="s">
        <v>2188</v>
      </c>
      <c r="C128" s="45"/>
      <c r="D128" s="46"/>
      <c r="E128" s="45"/>
      <c r="F128" s="47"/>
      <c r="G128" s="48">
        <v>2.4</v>
      </c>
      <c r="H128" s="49" t="s">
        <v>104</v>
      </c>
      <c r="I128" s="45" t="s">
        <v>2189</v>
      </c>
    </row>
    <row r="129" spans="1:9">
      <c r="A129" s="17">
        <v>46239</v>
      </c>
      <c r="B129" s="18" t="s">
        <v>2188</v>
      </c>
      <c r="C129" s="18"/>
      <c r="D129" s="27"/>
      <c r="E129" s="18"/>
      <c r="F129" s="19"/>
      <c r="G129" s="19">
        <v>1.2</v>
      </c>
      <c r="H129" s="21" t="s">
        <v>104</v>
      </c>
      <c r="I129" s="18" t="s">
        <v>2189</v>
      </c>
    </row>
    <row r="130" spans="1:9">
      <c r="A130" s="44">
        <v>46244</v>
      </c>
      <c r="B130" s="45" t="s">
        <v>2188</v>
      </c>
      <c r="C130" s="45"/>
      <c r="D130" s="46"/>
      <c r="E130" s="45"/>
      <c r="F130" s="47"/>
      <c r="G130" s="48">
        <v>2.4</v>
      </c>
      <c r="H130" s="49" t="s">
        <v>104</v>
      </c>
      <c r="I130" s="45" t="s">
        <v>2190</v>
      </c>
    </row>
    <row r="131" spans="1:9">
      <c r="A131" s="17">
        <v>46245</v>
      </c>
      <c r="B131" s="18" t="s">
        <v>2191</v>
      </c>
      <c r="C131" s="18"/>
      <c r="D131" s="27"/>
      <c r="E131" s="18"/>
      <c r="F131" s="19"/>
      <c r="G131" s="19">
        <v>120</v>
      </c>
      <c r="H131" s="21" t="s">
        <v>112</v>
      </c>
      <c r="I131" s="18" t="s">
        <v>2192</v>
      </c>
    </row>
    <row r="132" spans="1:9">
      <c r="A132" s="44">
        <v>46245</v>
      </c>
      <c r="B132" s="45" t="s">
        <v>2193</v>
      </c>
      <c r="C132" s="45"/>
      <c r="D132" s="46"/>
      <c r="E132" s="45"/>
      <c r="F132" s="47"/>
      <c r="G132" s="48">
        <v>50</v>
      </c>
      <c r="H132" s="49" t="s">
        <v>112</v>
      </c>
      <c r="I132" s="45" t="s">
        <v>2192</v>
      </c>
    </row>
    <row r="133" spans="1:9">
      <c r="A133" s="17">
        <v>46246</v>
      </c>
      <c r="B133" s="18" t="s">
        <v>2194</v>
      </c>
      <c r="C133" s="18"/>
      <c r="D133" s="27"/>
      <c r="E133" s="18"/>
      <c r="F133" s="19"/>
      <c r="G133" s="19">
        <v>40</v>
      </c>
      <c r="H133" s="21" t="s">
        <v>112</v>
      </c>
      <c r="I133" s="18" t="s">
        <v>2195</v>
      </c>
    </row>
    <row r="134" spans="1:9">
      <c r="A134" s="44">
        <v>46247</v>
      </c>
      <c r="B134" s="45" t="s">
        <v>2196</v>
      </c>
      <c r="C134" s="45"/>
      <c r="D134" s="46"/>
      <c r="E134" s="45"/>
      <c r="F134" s="47"/>
      <c r="G134" s="48">
        <v>90</v>
      </c>
      <c r="H134" s="49" t="s">
        <v>112</v>
      </c>
      <c r="I134" s="45" t="s">
        <v>2197</v>
      </c>
    </row>
    <row r="135" spans="1:9">
      <c r="A135" s="17">
        <v>46247</v>
      </c>
      <c r="B135" s="18" t="s">
        <v>2198</v>
      </c>
      <c r="C135" s="18"/>
      <c r="D135" s="27"/>
      <c r="E135" s="18"/>
      <c r="F135" s="19"/>
      <c r="G135" s="19">
        <v>130</v>
      </c>
      <c r="H135" s="21" t="s">
        <v>112</v>
      </c>
      <c r="I135" s="18" t="s">
        <v>2197</v>
      </c>
    </row>
    <row r="136" spans="1:9">
      <c r="A136" s="44">
        <v>46249</v>
      </c>
      <c r="B136" s="45" t="s">
        <v>2199</v>
      </c>
      <c r="C136" s="45"/>
      <c r="D136" s="46"/>
      <c r="E136" s="45"/>
      <c r="F136" s="47"/>
      <c r="G136" s="48">
        <v>73</v>
      </c>
      <c r="H136" s="49" t="s">
        <v>112</v>
      </c>
      <c r="I136" s="45" t="s">
        <v>2200</v>
      </c>
    </row>
    <row r="137" spans="1:9">
      <c r="A137" s="17">
        <v>46251</v>
      </c>
      <c r="B137" s="18" t="s">
        <v>2201</v>
      </c>
      <c r="C137" s="18"/>
      <c r="D137" s="27"/>
      <c r="E137" s="18"/>
      <c r="F137" s="19"/>
      <c r="G137" s="19">
        <v>16</v>
      </c>
      <c r="H137" s="21" t="s">
        <v>104</v>
      </c>
      <c r="I137" s="18" t="s">
        <v>2202</v>
      </c>
    </row>
    <row r="138" spans="1:9">
      <c r="A138" s="44">
        <v>46252</v>
      </c>
      <c r="B138" s="45" t="s">
        <v>2203</v>
      </c>
      <c r="C138" s="45"/>
      <c r="D138" s="46"/>
      <c r="E138" s="45"/>
      <c r="F138" s="47"/>
      <c r="G138" s="48">
        <v>49.49</v>
      </c>
      <c r="H138" s="49" t="s">
        <v>112</v>
      </c>
      <c r="I138" s="45" t="s">
        <v>2204</v>
      </c>
    </row>
    <row r="139" spans="1:9">
      <c r="A139" s="17">
        <v>46252</v>
      </c>
      <c r="B139" s="18" t="s">
        <v>2205</v>
      </c>
      <c r="C139" s="18"/>
      <c r="D139" s="27"/>
      <c r="E139" s="18"/>
      <c r="F139" s="19"/>
      <c r="G139" s="19">
        <v>18</v>
      </c>
      <c r="H139" s="21" t="s">
        <v>112</v>
      </c>
      <c r="I139" s="18" t="s">
        <v>2204</v>
      </c>
    </row>
    <row r="140" spans="1:9">
      <c r="A140" s="44">
        <v>46252</v>
      </c>
      <c r="B140" s="45" t="s">
        <v>2206</v>
      </c>
      <c r="C140" s="45"/>
      <c r="D140" s="46"/>
      <c r="E140" s="45"/>
      <c r="F140" s="47"/>
      <c r="G140" s="48">
        <v>51.6</v>
      </c>
      <c r="H140" s="49" t="s">
        <v>112</v>
      </c>
      <c r="I140" s="45" t="s">
        <v>2204</v>
      </c>
    </row>
    <row r="141" spans="1:9">
      <c r="A141" s="17">
        <v>46253</v>
      </c>
      <c r="B141" s="18" t="s">
        <v>2207</v>
      </c>
      <c r="C141" s="18"/>
      <c r="D141" s="27"/>
      <c r="E141" s="18"/>
      <c r="F141" s="19"/>
      <c r="G141" s="19">
        <v>28</v>
      </c>
      <c r="H141" s="21" t="s">
        <v>112</v>
      </c>
      <c r="I141" s="18" t="s">
        <v>2208</v>
      </c>
    </row>
    <row r="142" spans="1:9">
      <c r="A142" s="44">
        <v>46255</v>
      </c>
      <c r="B142" s="45" t="s">
        <v>2209</v>
      </c>
      <c r="C142" s="45"/>
      <c r="D142" s="46"/>
      <c r="E142" s="45"/>
      <c r="F142" s="47"/>
      <c r="G142" s="48">
        <v>50</v>
      </c>
      <c r="H142" s="49" t="s">
        <v>112</v>
      </c>
      <c r="I142" s="45" t="s">
        <v>2210</v>
      </c>
    </row>
    <row r="143" spans="1:9">
      <c r="A143" s="17">
        <v>46258</v>
      </c>
      <c r="B143" s="18" t="s">
        <v>2188</v>
      </c>
      <c r="C143" s="18"/>
      <c r="D143" s="27"/>
      <c r="E143" s="18"/>
      <c r="F143" s="19"/>
      <c r="G143" s="19">
        <v>2.4</v>
      </c>
      <c r="H143" s="21" t="s">
        <v>104</v>
      </c>
      <c r="I143" s="18" t="s">
        <v>2211</v>
      </c>
    </row>
    <row r="144" spans="1:9">
      <c r="A144" s="44">
        <v>46258</v>
      </c>
      <c r="B144" s="45" t="s">
        <v>2212</v>
      </c>
      <c r="C144" s="45"/>
      <c r="D144" s="46"/>
      <c r="E144" s="45"/>
      <c r="F144" s="47"/>
      <c r="G144" s="48">
        <v>58.1</v>
      </c>
      <c r="H144" s="49" t="s">
        <v>112</v>
      </c>
      <c r="I144" s="45" t="s">
        <v>2211</v>
      </c>
    </row>
    <row r="145" spans="1:10">
      <c r="A145" s="17">
        <v>46258</v>
      </c>
      <c r="B145" s="18" t="s">
        <v>2047</v>
      </c>
      <c r="C145" s="18" t="s">
        <v>2213</v>
      </c>
      <c r="D145" s="27">
        <v>30</v>
      </c>
      <c r="E145" s="18" t="s">
        <v>2048</v>
      </c>
      <c r="F145" s="19">
        <v>1.05</v>
      </c>
      <c r="G145" s="19"/>
      <c r="H145" s="21"/>
      <c r="I145" s="18"/>
    </row>
    <row r="146" spans="1:10">
      <c r="A146" s="44">
        <v>46258</v>
      </c>
      <c r="B146" s="45" t="s">
        <v>2214</v>
      </c>
      <c r="C146" s="45" t="s">
        <v>2124</v>
      </c>
      <c r="D146" s="50">
        <v>185</v>
      </c>
      <c r="E146" s="45" t="s">
        <v>2052</v>
      </c>
      <c r="F146" s="47"/>
      <c r="G146" s="47"/>
      <c r="H146" s="49"/>
      <c r="I146" s="45"/>
      <c r="J146" s="45" t="s">
        <v>1040</v>
      </c>
    </row>
    <row r="147" spans="1:10">
      <c r="A147" s="17">
        <v>46259</v>
      </c>
      <c r="B147" s="18" t="s">
        <v>2215</v>
      </c>
      <c r="C147" s="18" t="s">
        <v>367</v>
      </c>
      <c r="D147" s="134">
        <v>200</v>
      </c>
      <c r="E147" s="18" t="s">
        <v>2060</v>
      </c>
      <c r="F147" s="19"/>
      <c r="G147" s="20"/>
      <c r="H147" s="21"/>
      <c r="I147" s="18" t="s">
        <v>2216</v>
      </c>
      <c r="J147" s="18" t="s">
        <v>2217</v>
      </c>
    </row>
    <row r="148" spans="1:10">
      <c r="A148" s="44">
        <v>46258</v>
      </c>
      <c r="B148" s="45" t="s">
        <v>2218</v>
      </c>
      <c r="C148" s="45"/>
      <c r="D148" s="50"/>
      <c r="E148" s="45"/>
      <c r="F148" s="47"/>
      <c r="G148" s="47">
        <v>2135.7199999999998</v>
      </c>
      <c r="H148" s="49" t="s">
        <v>102</v>
      </c>
      <c r="I148" s="45"/>
    </row>
    <row r="149" spans="1:10" ht="15.75" customHeight="1">
      <c r="A149" s="17">
        <v>46259</v>
      </c>
      <c r="B149" s="18" t="s">
        <v>2219</v>
      </c>
      <c r="C149" s="18" t="s">
        <v>2095</v>
      </c>
      <c r="D149" s="134">
        <v>130</v>
      </c>
      <c r="E149" s="18" t="s">
        <v>2045</v>
      </c>
      <c r="F149" s="19">
        <v>9.09</v>
      </c>
      <c r="G149" s="20"/>
      <c r="H149" s="21"/>
      <c r="I149" s="18"/>
    </row>
    <row r="150" spans="1:10">
      <c r="A150" s="44">
        <v>46259</v>
      </c>
      <c r="B150" s="45" t="s">
        <v>2220</v>
      </c>
      <c r="C150" s="45" t="s">
        <v>2221</v>
      </c>
      <c r="D150" s="50">
        <v>1486</v>
      </c>
      <c r="E150" s="45" t="s">
        <v>2045</v>
      </c>
      <c r="F150" s="47">
        <v>207.89</v>
      </c>
      <c r="G150" s="47"/>
      <c r="H150" s="49"/>
      <c r="I150" s="45" t="s">
        <v>2222</v>
      </c>
      <c r="J150" s="45" t="s">
        <v>2223</v>
      </c>
    </row>
    <row r="151" spans="1:10">
      <c r="A151" s="17">
        <v>46259</v>
      </c>
      <c r="B151" s="18" t="s">
        <v>454</v>
      </c>
      <c r="C151" s="18"/>
      <c r="D151" s="134"/>
      <c r="E151" s="18"/>
      <c r="F151" s="19"/>
      <c r="G151" s="20">
        <v>504.34</v>
      </c>
      <c r="H151" s="21" t="s">
        <v>99</v>
      </c>
      <c r="I151" s="18"/>
    </row>
    <row r="152" spans="1:10">
      <c r="A152" s="44">
        <v>46259</v>
      </c>
      <c r="B152" s="45" t="s">
        <v>2224</v>
      </c>
      <c r="C152" s="45"/>
      <c r="D152" s="50"/>
      <c r="E152" s="45"/>
      <c r="F152" s="47"/>
      <c r="G152" s="47">
        <v>137</v>
      </c>
      <c r="H152" s="49" t="s">
        <v>112</v>
      </c>
      <c r="I152" s="45"/>
    </row>
    <row r="153" spans="1:10">
      <c r="A153" s="17">
        <v>46251</v>
      </c>
      <c r="B153" s="18" t="s">
        <v>2225</v>
      </c>
      <c r="C153" s="18"/>
      <c r="D153" s="134"/>
      <c r="E153" s="18"/>
      <c r="F153" s="19"/>
      <c r="G153" s="20">
        <v>250</v>
      </c>
      <c r="H153" s="21" t="s">
        <v>111</v>
      </c>
      <c r="I153" s="18" t="s">
        <v>2049</v>
      </c>
    </row>
    <row r="154" spans="1:10">
      <c r="A154" s="44">
        <v>46260</v>
      </c>
      <c r="B154" s="45" t="s">
        <v>2047</v>
      </c>
      <c r="C154" s="45" t="s">
        <v>552</v>
      </c>
      <c r="D154" s="50">
        <v>80</v>
      </c>
      <c r="E154" s="45" t="s">
        <v>2052</v>
      </c>
      <c r="F154" s="47"/>
      <c r="G154" s="47"/>
      <c r="H154" s="49"/>
      <c r="I154" s="45"/>
    </row>
    <row r="155" spans="1:10">
      <c r="A155" s="17">
        <v>46260</v>
      </c>
      <c r="B155" s="18" t="s">
        <v>2153</v>
      </c>
      <c r="C155" s="18" t="s">
        <v>400</v>
      </c>
      <c r="D155" s="134">
        <v>60</v>
      </c>
      <c r="E155" s="18" t="s">
        <v>2060</v>
      </c>
      <c r="F155" s="19"/>
      <c r="G155" s="20"/>
      <c r="H155" s="21"/>
      <c r="I155" s="18"/>
      <c r="J155" s="18" t="s">
        <v>2155</v>
      </c>
    </row>
    <row r="156" spans="1:10">
      <c r="A156" s="44">
        <v>46261</v>
      </c>
      <c r="B156" s="45" t="s">
        <v>361</v>
      </c>
      <c r="C156" s="45" t="s">
        <v>344</v>
      </c>
      <c r="D156" s="50">
        <v>140</v>
      </c>
      <c r="E156" s="45" t="s">
        <v>2060</v>
      </c>
      <c r="F156" s="47"/>
      <c r="G156" s="47"/>
      <c r="H156" s="49"/>
      <c r="I156" s="45"/>
      <c r="J156" s="45" t="s">
        <v>2226</v>
      </c>
    </row>
    <row r="157" spans="1:10">
      <c r="A157" s="17">
        <v>46262</v>
      </c>
      <c r="B157" s="18" t="s">
        <v>363</v>
      </c>
      <c r="C157" s="18" t="s">
        <v>364</v>
      </c>
      <c r="D157" s="134">
        <v>270</v>
      </c>
      <c r="E157" s="18" t="s">
        <v>2060</v>
      </c>
      <c r="F157" s="19"/>
      <c r="G157" s="20"/>
      <c r="H157" s="21"/>
      <c r="I157" s="18" t="s">
        <v>2227</v>
      </c>
    </row>
    <row r="158" spans="1:10">
      <c r="A158" s="44">
        <v>46262</v>
      </c>
      <c r="B158" s="45" t="s">
        <v>363</v>
      </c>
      <c r="C158" s="45" t="s">
        <v>2228</v>
      </c>
      <c r="D158" s="50">
        <v>200</v>
      </c>
      <c r="E158" s="45" t="s">
        <v>2045</v>
      </c>
      <c r="F158" s="47">
        <v>16.760000000000002</v>
      </c>
      <c r="G158" s="47"/>
      <c r="H158" s="49"/>
      <c r="I158" s="45" t="s">
        <v>2229</v>
      </c>
    </row>
    <row r="159" spans="1:10">
      <c r="A159" s="17">
        <v>46261</v>
      </c>
      <c r="B159" s="18" t="s">
        <v>649</v>
      </c>
      <c r="C159" s="18"/>
      <c r="D159" s="134">
        <v>1000</v>
      </c>
      <c r="E159" s="18" t="s">
        <v>2052</v>
      </c>
      <c r="F159" s="19"/>
      <c r="G159" s="20"/>
      <c r="H159" s="21"/>
      <c r="I159" s="18"/>
    </row>
    <row r="160" spans="1:10">
      <c r="A160" s="44">
        <v>46261</v>
      </c>
      <c r="B160" s="45" t="s">
        <v>2230</v>
      </c>
      <c r="C160" s="45"/>
      <c r="D160" s="50"/>
      <c r="E160" s="45"/>
      <c r="F160" s="47"/>
      <c r="G160" s="47">
        <v>127.42</v>
      </c>
      <c r="H160" s="49" t="s">
        <v>112</v>
      </c>
      <c r="I160" s="45" t="s">
        <v>2231</v>
      </c>
    </row>
    <row r="161" spans="1:12">
      <c r="A161" s="17">
        <v>46261</v>
      </c>
      <c r="B161" s="18" t="s">
        <v>2232</v>
      </c>
      <c r="C161" s="18"/>
      <c r="D161" s="134"/>
      <c r="E161" s="18"/>
      <c r="F161" s="19"/>
      <c r="G161" s="20">
        <v>100</v>
      </c>
      <c r="H161" s="21" t="s">
        <v>112</v>
      </c>
      <c r="I161" s="18" t="s">
        <v>2231</v>
      </c>
    </row>
    <row r="162" spans="1:12">
      <c r="A162" s="44">
        <v>46260</v>
      </c>
      <c r="B162" s="45" t="s">
        <v>2233</v>
      </c>
      <c r="C162" s="45"/>
      <c r="D162" s="50"/>
      <c r="E162" s="45"/>
      <c r="F162" s="47"/>
      <c r="G162" s="47">
        <v>230</v>
      </c>
      <c r="H162" s="49" t="s">
        <v>112</v>
      </c>
      <c r="I162" s="45" t="s">
        <v>2234</v>
      </c>
    </row>
    <row r="163" spans="1:12">
      <c r="A163" s="17">
        <v>46260</v>
      </c>
      <c r="B163" s="18" t="s">
        <v>2188</v>
      </c>
      <c r="C163" s="18"/>
      <c r="D163" s="134"/>
      <c r="E163" s="18"/>
      <c r="F163" s="19"/>
      <c r="G163" s="20">
        <v>1.2</v>
      </c>
      <c r="H163" s="21" t="s">
        <v>104</v>
      </c>
      <c r="I163" s="18" t="s">
        <v>2234</v>
      </c>
    </row>
    <row r="164" spans="1:12">
      <c r="A164" s="44">
        <v>46261</v>
      </c>
      <c r="B164" s="45" t="s">
        <v>2235</v>
      </c>
      <c r="C164" s="45"/>
      <c r="D164" s="46"/>
      <c r="E164" s="45"/>
      <c r="F164" s="47"/>
      <c r="G164" s="48">
        <v>4</v>
      </c>
      <c r="H164" s="49" t="s">
        <v>108</v>
      </c>
      <c r="I164" s="45"/>
    </row>
    <row r="165" spans="1:12">
      <c r="A165" s="17">
        <v>46261</v>
      </c>
      <c r="B165" s="18" t="s">
        <v>369</v>
      </c>
      <c r="C165" s="18" t="s">
        <v>370</v>
      </c>
      <c r="D165" s="27">
        <v>1008.8</v>
      </c>
      <c r="E165" s="18" t="s">
        <v>2060</v>
      </c>
      <c r="F165" s="19"/>
      <c r="G165" s="19"/>
      <c r="H165" s="21"/>
      <c r="I165" s="18" t="s">
        <v>2236</v>
      </c>
      <c r="K165" s="13"/>
      <c r="L165" s="14"/>
    </row>
    <row r="166" spans="1:12">
      <c r="A166" s="44">
        <v>46261</v>
      </c>
      <c r="B166" s="45" t="s">
        <v>372</v>
      </c>
      <c r="C166" s="45" t="s">
        <v>370</v>
      </c>
      <c r="D166" s="46">
        <v>4534.75</v>
      </c>
      <c r="E166" s="45" t="s">
        <v>2060</v>
      </c>
      <c r="F166" s="47"/>
      <c r="G166" s="48"/>
      <c r="H166" s="49"/>
      <c r="I166" s="45" t="s">
        <v>2237</v>
      </c>
      <c r="K166" s="42"/>
      <c r="L166" s="8"/>
    </row>
    <row r="167" spans="1:12">
      <c r="A167" s="17">
        <v>46261</v>
      </c>
      <c r="B167" s="18" t="s">
        <v>374</v>
      </c>
      <c r="C167" s="18" t="s">
        <v>370</v>
      </c>
      <c r="D167" s="27">
        <v>870</v>
      </c>
      <c r="E167" s="18" t="s">
        <v>2060</v>
      </c>
      <c r="F167" s="19"/>
      <c r="G167" s="19"/>
      <c r="H167" s="21"/>
      <c r="I167" s="18" t="s">
        <v>2238</v>
      </c>
      <c r="K167" s="31"/>
      <c r="L167" s="31"/>
    </row>
    <row r="168" spans="1:12">
      <c r="A168" s="44">
        <v>46262</v>
      </c>
      <c r="B168" s="45" t="s">
        <v>376</v>
      </c>
      <c r="C168" s="45" t="s">
        <v>370</v>
      </c>
      <c r="D168" s="46">
        <v>440</v>
      </c>
      <c r="E168" s="45" t="s">
        <v>2060</v>
      </c>
      <c r="F168" s="47"/>
      <c r="G168" s="48"/>
      <c r="H168" s="49"/>
      <c r="I168" s="45" t="s">
        <v>2239</v>
      </c>
      <c r="K168" s="31"/>
      <c r="L168" s="31"/>
    </row>
    <row r="169" spans="1:12">
      <c r="A169" s="17">
        <v>46262</v>
      </c>
      <c r="B169" s="18" t="s">
        <v>2240</v>
      </c>
      <c r="C169" s="18"/>
      <c r="D169" s="27"/>
      <c r="E169" s="18"/>
      <c r="F169" s="19"/>
      <c r="G169" s="19">
        <v>19.850000000000001</v>
      </c>
      <c r="H169" s="21" t="s">
        <v>109</v>
      </c>
      <c r="I169" s="18"/>
    </row>
    <row r="170" spans="1:12">
      <c r="A170" s="44">
        <v>46265</v>
      </c>
      <c r="B170" s="45" t="s">
        <v>2241</v>
      </c>
      <c r="C170" s="45" t="s">
        <v>2107</v>
      </c>
      <c r="D170" s="46">
        <v>150</v>
      </c>
      <c r="E170" s="45" t="s">
        <v>2052</v>
      </c>
      <c r="F170" s="47"/>
      <c r="G170" s="48"/>
      <c r="H170" s="49"/>
      <c r="I170" s="45"/>
      <c r="J170" s="45" t="s">
        <v>2242</v>
      </c>
    </row>
    <row r="171" spans="1:12">
      <c r="A171" s="17">
        <v>46265</v>
      </c>
      <c r="B171" s="18" t="s">
        <v>455</v>
      </c>
      <c r="C171" s="18"/>
      <c r="D171" s="27"/>
      <c r="E171" s="18"/>
      <c r="F171" s="19"/>
      <c r="G171" s="19">
        <v>878.93</v>
      </c>
      <c r="H171" s="21" t="s">
        <v>99</v>
      </c>
      <c r="I171" s="18"/>
    </row>
    <row r="172" spans="1:12">
      <c r="A172" s="44">
        <v>46265</v>
      </c>
      <c r="B172" s="45" t="s">
        <v>2047</v>
      </c>
      <c r="C172" s="45" t="s">
        <v>554</v>
      </c>
      <c r="D172" s="46">
        <v>80</v>
      </c>
      <c r="E172" s="45" t="s">
        <v>2052</v>
      </c>
      <c r="F172" s="47"/>
      <c r="G172" s="48"/>
      <c r="H172" s="49"/>
      <c r="I172" s="45"/>
    </row>
    <row r="173" spans="1:12" ht="15.75" customHeight="1">
      <c r="A173" s="17">
        <v>46265</v>
      </c>
      <c r="B173" s="18" t="s">
        <v>453</v>
      </c>
      <c r="C173" s="18"/>
      <c r="D173" s="27"/>
      <c r="E173" s="18"/>
      <c r="F173" s="19"/>
      <c r="G173" s="19">
        <v>600</v>
      </c>
      <c r="H173" s="21" t="s">
        <v>106</v>
      </c>
      <c r="I173" s="18"/>
    </row>
    <row r="174" spans="1:12">
      <c r="A174" s="44">
        <v>46265</v>
      </c>
      <c r="B174" s="45" t="s">
        <v>2243</v>
      </c>
      <c r="C174" s="45" t="s">
        <v>2244</v>
      </c>
      <c r="D174" s="50">
        <v>2020</v>
      </c>
      <c r="E174" s="45" t="s">
        <v>2060</v>
      </c>
      <c r="F174" s="47"/>
      <c r="G174" s="47"/>
      <c r="H174" s="49"/>
      <c r="I174" s="45"/>
    </row>
    <row r="175" spans="1:12">
      <c r="A175" s="17">
        <v>46265</v>
      </c>
      <c r="B175" s="18" t="s">
        <v>2245</v>
      </c>
      <c r="C175" s="18" t="s">
        <v>367</v>
      </c>
      <c r="D175" s="134">
        <v>200</v>
      </c>
      <c r="E175" s="18" t="s">
        <v>2045</v>
      </c>
      <c r="F175" s="19">
        <v>15.98</v>
      </c>
      <c r="G175" s="20"/>
      <c r="H175" s="21"/>
      <c r="I175" s="18" t="s">
        <v>2246</v>
      </c>
      <c r="J175" s="18" t="s">
        <v>2247</v>
      </c>
    </row>
    <row r="176" spans="1:12" ht="15.75" customHeight="1">
      <c r="A176" s="44">
        <v>46265</v>
      </c>
      <c r="B176" s="45" t="s">
        <v>2248</v>
      </c>
      <c r="C176" s="45"/>
      <c r="D176" s="50"/>
      <c r="E176" s="45"/>
      <c r="F176" s="47"/>
      <c r="G176" s="47">
        <v>1571.32</v>
      </c>
      <c r="H176" s="49" t="s">
        <v>106</v>
      </c>
      <c r="I176" s="45"/>
    </row>
    <row r="177" spans="1:12">
      <c r="A177" s="17">
        <v>46235</v>
      </c>
      <c r="B177" s="18" t="s">
        <v>2073</v>
      </c>
      <c r="C177" s="18"/>
      <c r="D177" s="134"/>
      <c r="E177" s="18"/>
      <c r="F177" s="19"/>
      <c r="G177" s="20">
        <v>52.5</v>
      </c>
      <c r="H177" s="21" t="s">
        <v>103</v>
      </c>
      <c r="I177" s="18"/>
    </row>
    <row r="178" spans="1:12">
      <c r="A178" s="44">
        <v>46265</v>
      </c>
      <c r="B178" s="45" t="s">
        <v>2249</v>
      </c>
      <c r="C178" s="45"/>
      <c r="D178" s="50"/>
      <c r="E178" s="45"/>
      <c r="F178" s="47"/>
      <c r="G178" s="47">
        <v>48.25</v>
      </c>
      <c r="H178" s="49" t="s">
        <v>103</v>
      </c>
      <c r="I178" s="45" t="s">
        <v>2250</v>
      </c>
    </row>
    <row r="179" spans="1:12">
      <c r="A179" s="17">
        <v>46265</v>
      </c>
      <c r="B179" s="18" t="s">
        <v>2251</v>
      </c>
      <c r="C179" s="18"/>
      <c r="D179" s="134"/>
      <c r="E179" s="18"/>
      <c r="F179" s="19"/>
      <c r="G179" s="20">
        <v>221.5</v>
      </c>
      <c r="H179" s="21" t="s">
        <v>112</v>
      </c>
      <c r="I179" s="18" t="s">
        <v>2252</v>
      </c>
    </row>
    <row r="180" spans="1:12">
      <c r="A180" s="44">
        <v>46265</v>
      </c>
      <c r="B180" s="45" t="s">
        <v>2253</v>
      </c>
      <c r="C180" s="45"/>
      <c r="D180" s="50"/>
      <c r="E180" s="45"/>
      <c r="F180" s="47"/>
      <c r="G180" s="47">
        <v>131.29</v>
      </c>
      <c r="H180" s="49" t="s">
        <v>99</v>
      </c>
      <c r="I180" s="45" t="s">
        <v>2254</v>
      </c>
    </row>
    <row r="181" spans="1:12">
      <c r="A181" s="17">
        <v>46265</v>
      </c>
      <c r="B181" s="18" t="s">
        <v>2255</v>
      </c>
      <c r="C181" s="18"/>
      <c r="D181" s="134"/>
      <c r="E181" s="18"/>
      <c r="F181" s="19"/>
      <c r="G181" s="20">
        <v>6</v>
      </c>
      <c r="H181" s="21" t="s">
        <v>104</v>
      </c>
      <c r="I181" s="18" t="s">
        <v>2256</v>
      </c>
    </row>
    <row r="182" spans="1:12">
      <c r="A182" s="44">
        <v>46265</v>
      </c>
      <c r="B182" s="45" t="s">
        <v>2133</v>
      </c>
      <c r="C182" s="45"/>
      <c r="D182" s="50"/>
      <c r="E182" s="45"/>
      <c r="F182" s="47"/>
      <c r="G182" s="47">
        <v>30</v>
      </c>
      <c r="H182" s="49" t="s">
        <v>104</v>
      </c>
      <c r="I182" s="45"/>
    </row>
    <row r="183" spans="1:12">
      <c r="A183" s="17">
        <v>46251</v>
      </c>
      <c r="B183" s="18" t="s">
        <v>2257</v>
      </c>
      <c r="C183" s="18"/>
      <c r="D183" s="134">
        <v>160</v>
      </c>
      <c r="E183" s="18" t="s">
        <v>2045</v>
      </c>
      <c r="F183" s="19">
        <v>11.18</v>
      </c>
      <c r="G183" s="20"/>
      <c r="H183" s="21"/>
      <c r="I183" s="18" t="s">
        <v>2258</v>
      </c>
    </row>
    <row r="184" spans="1:12" ht="15.75" customHeight="1">
      <c r="A184" s="44">
        <v>46252</v>
      </c>
      <c r="B184" s="45" t="s">
        <v>2257</v>
      </c>
      <c r="C184" s="45"/>
      <c r="D184" s="50">
        <v>200</v>
      </c>
      <c r="E184" s="45" t="s">
        <v>2045</v>
      </c>
      <c r="F184" s="47">
        <v>13.98</v>
      </c>
      <c r="G184" s="47"/>
      <c r="H184" s="49"/>
      <c r="I184" s="45" t="s">
        <v>2259</v>
      </c>
    </row>
    <row r="185" spans="1:12">
      <c r="A185" s="29"/>
      <c r="B185" s="43" t="s">
        <v>925</v>
      </c>
      <c r="C185" s="150"/>
      <c r="D185" s="8">
        <f>SUM(D5:D184)</f>
        <v>45018.95</v>
      </c>
      <c r="E185" s="8"/>
      <c r="F185" s="29">
        <f>SUM(F5:F184)</f>
        <v>699.79</v>
      </c>
      <c r="G185" s="8">
        <f>SUM(G5:G184)</f>
        <v>28963.790000000005</v>
      </c>
      <c r="H185" s="29"/>
      <c r="I185" s="29"/>
      <c r="K185" s="31"/>
      <c r="L185" s="31"/>
    </row>
    <row r="186" spans="1:12" ht="15.75">
      <c r="A186" s="30"/>
      <c r="B186" s="133" t="s">
        <v>2260</v>
      </c>
      <c r="D186" s="132">
        <f>(D185-F185-T5)-(L18-L19)</f>
        <v>17871.749999999993</v>
      </c>
      <c r="F186" s="30"/>
      <c r="H186" s="30"/>
      <c r="I186" s="30"/>
      <c r="K186" s="31"/>
      <c r="L186" s="31"/>
    </row>
    <row r="187" spans="1:12">
      <c r="K187" s="31"/>
      <c r="L187" s="31"/>
    </row>
    <row r="188" spans="1:12">
      <c r="K188" s="31"/>
      <c r="L188" s="31"/>
    </row>
    <row r="189" spans="1:12">
      <c r="K189" s="31"/>
      <c r="L189" s="31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type="list" allowBlank="1" errorTitle="Forma de pagamento inválida" error="Selecione uma forma de pagamento da lista." sqref="E5:E1000">
      <formula1>"Dinheiro,Pix,Débito,Crédito à Vista,Crédito Parcelado,Aguardando Pagamento"</formula1>
    </dataValidation>
    <dataValidation type="list" allowBlank="1" errorTitle="Categoria inválida" error="Selecione uma categoria da lista." sqref="H5:H1000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9D8B"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defaultRowHeight="15"/>
  <cols>
    <col min="1" max="1" width="13" style="147" customWidth="1"/>
    <col min="2" max="2" width="42" style="147" customWidth="1"/>
    <col min="3" max="3" width="26" style="147" customWidth="1"/>
    <col min="4" max="4" width="14" style="147" customWidth="1"/>
    <col min="5" max="5" width="20" style="147" customWidth="1"/>
    <col min="6" max="6" width="16" style="147" customWidth="1"/>
    <col min="7" max="7" width="14" style="147" customWidth="1"/>
    <col min="8" max="8" width="26" style="147" customWidth="1"/>
    <col min="9" max="9" width="30" style="147" customWidth="1"/>
    <col min="10" max="10" width="11" style="147" customWidth="1"/>
    <col min="11" max="11" width="30" style="147" customWidth="1"/>
    <col min="12" max="12" width="14" style="147" customWidth="1"/>
    <col min="13" max="13" width="3" style="147" customWidth="1"/>
    <col min="14" max="21" width="13" style="147" customWidth="1"/>
  </cols>
  <sheetData>
    <row r="1" spans="1:21" ht="21" customHeight="1">
      <c r="A1" s="234" t="s">
        <v>2261</v>
      </c>
      <c r="B1" s="157"/>
      <c r="C1" s="157"/>
      <c r="D1" s="157"/>
      <c r="E1" s="157"/>
      <c r="F1" s="157"/>
      <c r="G1" s="157"/>
      <c r="H1" s="157"/>
      <c r="I1" s="157"/>
    </row>
    <row r="2" spans="1:21">
      <c r="A2" s="195" t="s">
        <v>2262</v>
      </c>
      <c r="B2" s="157"/>
      <c r="C2" s="157"/>
      <c r="D2" s="157"/>
      <c r="E2" s="157"/>
      <c r="F2" s="157"/>
      <c r="G2" s="157"/>
      <c r="H2" s="157"/>
      <c r="I2" s="157"/>
    </row>
    <row r="3" spans="1:21">
      <c r="A3" s="127" t="s">
        <v>64</v>
      </c>
    </row>
    <row r="4" spans="1:21" ht="30" customHeight="1">
      <c r="A4" s="76" t="s">
        <v>445</v>
      </c>
      <c r="B4" s="76" t="s">
        <v>2041</v>
      </c>
      <c r="C4" s="76" t="s">
        <v>2042</v>
      </c>
      <c r="D4" s="76" t="s">
        <v>700</v>
      </c>
      <c r="E4" s="76" t="s">
        <v>2043</v>
      </c>
      <c r="F4" s="76" t="s">
        <v>2044</v>
      </c>
      <c r="G4" s="76" t="s">
        <v>701</v>
      </c>
      <c r="H4" s="76" t="s">
        <v>702</v>
      </c>
      <c r="I4" s="76" t="s">
        <v>189</v>
      </c>
      <c r="J4" s="76" t="s">
        <v>703</v>
      </c>
      <c r="K4" s="235" t="s">
        <v>704</v>
      </c>
      <c r="L4" s="157"/>
      <c r="N4" s="237" t="s">
        <v>532</v>
      </c>
      <c r="O4" s="157"/>
      <c r="P4" s="198" t="s">
        <v>705</v>
      </c>
      <c r="Q4" s="157"/>
      <c r="R4" s="199" t="s">
        <v>706</v>
      </c>
      <c r="S4" s="157"/>
      <c r="T4" s="206" t="s">
        <v>6</v>
      </c>
      <c r="U4" s="157"/>
    </row>
    <row r="5" spans="1:21">
      <c r="A5" s="77">
        <v>46269</v>
      </c>
      <c r="B5" s="78" t="s">
        <v>378</v>
      </c>
      <c r="C5" s="78" t="s">
        <v>370</v>
      </c>
      <c r="D5" s="79">
        <v>1338.6</v>
      </c>
      <c r="E5" s="78" t="s">
        <v>2060</v>
      </c>
      <c r="F5" s="79"/>
      <c r="G5" s="79"/>
      <c r="H5" s="78"/>
      <c r="I5" s="78" t="s">
        <v>2263</v>
      </c>
      <c r="J5" s="78" t="s">
        <v>1328</v>
      </c>
      <c r="K5" s="78" t="s">
        <v>99</v>
      </c>
      <c r="L5" s="80">
        <f>SUMIF(H5:H254,K5,G5:G254)</f>
        <v>11314.54</v>
      </c>
      <c r="N5" s="236">
        <f>D255-F255-T5</f>
        <v>31240.670000000002</v>
      </c>
      <c r="O5" s="157"/>
      <c r="P5" s="189">
        <f>L18-L19</f>
        <v>16740.560000000001</v>
      </c>
      <c r="Q5" s="157"/>
      <c r="R5" s="205">
        <f>D256</f>
        <v>14500.11</v>
      </c>
      <c r="S5" s="157"/>
      <c r="T5" s="204">
        <f>SUMIF(E5:E254,"Aguardando Pagamento",D5:D254)</f>
        <v>3455.2</v>
      </c>
      <c r="U5" s="157"/>
    </row>
    <row r="6" spans="1:21">
      <c r="A6" s="81">
        <v>46269</v>
      </c>
      <c r="B6" s="82" t="s">
        <v>380</v>
      </c>
      <c r="C6" s="82" t="s">
        <v>370</v>
      </c>
      <c r="D6" s="83">
        <v>1358</v>
      </c>
      <c r="E6" s="82" t="s">
        <v>2060</v>
      </c>
      <c r="F6" s="83"/>
      <c r="G6" s="83"/>
      <c r="H6" s="82"/>
      <c r="I6" s="82" t="s">
        <v>2264</v>
      </c>
      <c r="K6" s="78" t="s">
        <v>100</v>
      </c>
      <c r="L6" s="80">
        <f>SUMIF(H5:H254,K6,G5:G254)</f>
        <v>880</v>
      </c>
      <c r="N6" s="157"/>
      <c r="O6" s="157"/>
      <c r="P6" s="157"/>
      <c r="Q6" s="157"/>
      <c r="R6" s="157"/>
      <c r="S6" s="157"/>
      <c r="T6" s="157"/>
      <c r="U6" s="157"/>
    </row>
    <row r="7" spans="1:21">
      <c r="A7" s="77">
        <v>46273</v>
      </c>
      <c r="B7" s="78" t="s">
        <v>382</v>
      </c>
      <c r="C7" s="78" t="s">
        <v>370</v>
      </c>
      <c r="D7" s="79">
        <v>649.9</v>
      </c>
      <c r="E7" s="78" t="s">
        <v>2060</v>
      </c>
      <c r="F7" s="79"/>
      <c r="G7" s="79"/>
      <c r="H7" s="78"/>
      <c r="I7" s="78" t="s">
        <v>2265</v>
      </c>
      <c r="J7" s="78" t="s">
        <v>2266</v>
      </c>
      <c r="K7" s="78" t="s">
        <v>101</v>
      </c>
      <c r="L7" s="80">
        <f>SUMIF(H5:H254,K7,G5:G254)</f>
        <v>220.05</v>
      </c>
    </row>
    <row r="8" spans="1:21">
      <c r="A8" s="81">
        <v>46273</v>
      </c>
      <c r="B8" s="82" t="s">
        <v>384</v>
      </c>
      <c r="C8" s="82" t="s">
        <v>370</v>
      </c>
      <c r="D8" s="83">
        <v>562.6</v>
      </c>
      <c r="E8" s="82" t="s">
        <v>2060</v>
      </c>
      <c r="F8" s="83"/>
      <c r="G8" s="83"/>
      <c r="H8" s="82"/>
      <c r="I8" s="82" t="s">
        <v>2267</v>
      </c>
      <c r="K8" s="78" t="s">
        <v>102</v>
      </c>
      <c r="L8" s="80">
        <f>SUMIF(H5:H254,K8,G5:G254)</f>
        <v>2460.5100000000002</v>
      </c>
    </row>
    <row r="9" spans="1:21">
      <c r="A9" s="77">
        <v>46273</v>
      </c>
      <c r="B9" s="78" t="s">
        <v>386</v>
      </c>
      <c r="C9" s="78" t="s">
        <v>370</v>
      </c>
      <c r="D9" s="79">
        <v>1086.4000000000001</v>
      </c>
      <c r="E9" s="78" t="s">
        <v>2060</v>
      </c>
      <c r="F9" s="79"/>
      <c r="G9" s="79"/>
      <c r="H9" s="78"/>
      <c r="I9" s="78" t="s">
        <v>2268</v>
      </c>
      <c r="J9" s="78" t="s">
        <v>2269</v>
      </c>
      <c r="K9" s="78" t="s">
        <v>103</v>
      </c>
      <c r="L9" s="80">
        <f>SUMIF(H5:H254,K9,G5:G254)</f>
        <v>6.3900000000000006</v>
      </c>
    </row>
    <row r="10" spans="1:21">
      <c r="A10" s="81">
        <v>46273</v>
      </c>
      <c r="B10" s="82" t="s">
        <v>388</v>
      </c>
      <c r="C10" s="82" t="s">
        <v>370</v>
      </c>
      <c r="D10" s="83">
        <v>1265.8499999999999</v>
      </c>
      <c r="E10" s="82" t="s">
        <v>2060</v>
      </c>
      <c r="F10" s="83"/>
      <c r="G10" s="83"/>
      <c r="H10" s="82"/>
      <c r="I10" s="82" t="s">
        <v>2270</v>
      </c>
      <c r="K10" s="78" t="s">
        <v>104</v>
      </c>
      <c r="L10" s="80">
        <f>SUMIF(H5:H254,K10,G5:G254)</f>
        <v>408.68</v>
      </c>
    </row>
    <row r="11" spans="1:21">
      <c r="A11" s="77">
        <v>46273</v>
      </c>
      <c r="B11" s="78" t="s">
        <v>390</v>
      </c>
      <c r="C11" s="78" t="s">
        <v>370</v>
      </c>
      <c r="D11" s="79">
        <v>1867.25</v>
      </c>
      <c r="E11" s="78" t="s">
        <v>2060</v>
      </c>
      <c r="F11" s="79"/>
      <c r="G11" s="79"/>
      <c r="H11" s="78"/>
      <c r="I11" s="78" t="s">
        <v>2271</v>
      </c>
      <c r="K11" s="78" t="s">
        <v>106</v>
      </c>
      <c r="L11" s="80">
        <f>SUMIF(H5:H254,K11,G5:G254)</f>
        <v>655</v>
      </c>
    </row>
    <row r="12" spans="1:21">
      <c r="A12" s="81">
        <v>46290</v>
      </c>
      <c r="B12" s="82" t="s">
        <v>392</v>
      </c>
      <c r="C12" s="82" t="s">
        <v>370</v>
      </c>
      <c r="D12" s="83">
        <v>2095.1999999999998</v>
      </c>
      <c r="E12" s="82" t="s">
        <v>2067</v>
      </c>
      <c r="F12" s="83"/>
      <c r="G12" s="83"/>
      <c r="H12" s="82"/>
      <c r="I12" s="82" t="s">
        <v>2272</v>
      </c>
      <c r="K12" s="78" t="s">
        <v>107</v>
      </c>
      <c r="L12" s="80">
        <f>SUMIF(H5:H254,K12,G5:G254)</f>
        <v>486.32</v>
      </c>
    </row>
    <row r="13" spans="1:21">
      <c r="A13" s="77">
        <v>46266</v>
      </c>
      <c r="B13" s="78" t="s">
        <v>2273</v>
      </c>
      <c r="C13" s="78" t="s">
        <v>344</v>
      </c>
      <c r="D13" s="79">
        <v>140</v>
      </c>
      <c r="E13" s="78" t="s">
        <v>2052</v>
      </c>
      <c r="F13" s="79"/>
      <c r="G13" s="79"/>
      <c r="H13" s="78"/>
      <c r="I13" s="78"/>
      <c r="J13" s="78" t="s">
        <v>2274</v>
      </c>
      <c r="K13" s="78" t="s">
        <v>108</v>
      </c>
      <c r="L13" s="80">
        <f>SUMIF(H5:H254,K13,G5:G254)</f>
        <v>159.59</v>
      </c>
    </row>
    <row r="14" spans="1:21">
      <c r="A14" s="81">
        <v>46266</v>
      </c>
      <c r="B14" s="82" t="s">
        <v>354</v>
      </c>
      <c r="C14" s="82" t="s">
        <v>2275</v>
      </c>
      <c r="D14" s="83">
        <v>170</v>
      </c>
      <c r="E14" s="82" t="s">
        <v>2052</v>
      </c>
      <c r="F14" s="83"/>
      <c r="G14" s="83"/>
      <c r="H14" s="82"/>
      <c r="I14" s="82" t="s">
        <v>2276</v>
      </c>
      <c r="J14" s="82" t="s">
        <v>2277</v>
      </c>
      <c r="K14" s="78" t="s">
        <v>109</v>
      </c>
      <c r="L14" s="80">
        <f>SUMIF(H5:H254,K14,G5:G254)</f>
        <v>124.48</v>
      </c>
    </row>
    <row r="15" spans="1:21">
      <c r="A15" s="77">
        <v>46275</v>
      </c>
      <c r="B15" s="78" t="s">
        <v>404</v>
      </c>
      <c r="C15" s="78" t="s">
        <v>405</v>
      </c>
      <c r="D15" s="79">
        <v>225</v>
      </c>
      <c r="E15" s="78" t="s">
        <v>2060</v>
      </c>
      <c r="F15" s="79"/>
      <c r="G15" s="79"/>
      <c r="H15" s="78"/>
      <c r="I15" s="78" t="s">
        <v>2278</v>
      </c>
      <c r="J15" s="78" t="s">
        <v>2279</v>
      </c>
      <c r="K15" s="78" t="s">
        <v>110</v>
      </c>
      <c r="L15" s="80">
        <f>SUMIF(H5:H254,K15,G5:G254)</f>
        <v>0</v>
      </c>
    </row>
    <row r="16" spans="1:21">
      <c r="A16" s="81">
        <v>46266</v>
      </c>
      <c r="B16" s="82" t="s">
        <v>2280</v>
      </c>
      <c r="C16" s="82" t="s">
        <v>2107</v>
      </c>
      <c r="D16" s="83">
        <v>150</v>
      </c>
      <c r="E16" s="82" t="s">
        <v>2052</v>
      </c>
      <c r="F16" s="83"/>
      <c r="G16" s="83"/>
      <c r="H16" s="82"/>
      <c r="I16" s="82"/>
      <c r="J16" s="82" t="s">
        <v>2281</v>
      </c>
      <c r="K16" s="78" t="s">
        <v>111</v>
      </c>
      <c r="L16" s="80">
        <f>SUMIF(H5:H254,K16,G5:G254)</f>
        <v>25</v>
      </c>
    </row>
    <row r="17" spans="1:12">
      <c r="A17" s="77">
        <v>46267</v>
      </c>
      <c r="B17" s="78" t="s">
        <v>407</v>
      </c>
      <c r="C17" s="78" t="s">
        <v>344</v>
      </c>
      <c r="D17" s="79">
        <v>140</v>
      </c>
      <c r="E17" s="78" t="s">
        <v>2060</v>
      </c>
      <c r="F17" s="79"/>
      <c r="G17" s="79"/>
      <c r="H17" s="78"/>
      <c r="I17" s="78" t="s">
        <v>2282</v>
      </c>
      <c r="J17" s="78" t="s">
        <v>2283</v>
      </c>
      <c r="K17" s="84" t="s">
        <v>112</v>
      </c>
      <c r="L17" s="85">
        <f>SUMIF(H5:H254,K17,G5:G254)</f>
        <v>3944.7300000000005</v>
      </c>
    </row>
    <row r="18" spans="1:12">
      <c r="A18" s="81">
        <v>46266</v>
      </c>
      <c r="B18" s="82" t="s">
        <v>2284</v>
      </c>
      <c r="C18" s="82" t="s">
        <v>2285</v>
      </c>
      <c r="D18" s="83">
        <v>400</v>
      </c>
      <c r="E18" s="82" t="s">
        <v>2052</v>
      </c>
      <c r="F18" s="83"/>
      <c r="G18" s="83"/>
      <c r="H18" s="82"/>
      <c r="I18" s="82"/>
      <c r="J18" s="82" t="s">
        <v>2286</v>
      </c>
      <c r="K18" s="86" t="s">
        <v>113</v>
      </c>
      <c r="L18" s="87">
        <f>SUM(L5:L16)</f>
        <v>16740.560000000001</v>
      </c>
    </row>
    <row r="19" spans="1:12">
      <c r="A19" s="77">
        <v>46266</v>
      </c>
      <c r="B19" s="78" t="s">
        <v>2287</v>
      </c>
      <c r="C19" s="78" t="s">
        <v>355</v>
      </c>
      <c r="D19" s="79">
        <v>140</v>
      </c>
      <c r="E19" s="78" t="s">
        <v>2078</v>
      </c>
      <c r="F19" s="79">
        <v>2.0299999999999998</v>
      </c>
      <c r="G19" s="79"/>
      <c r="H19" s="78"/>
      <c r="I19" s="78"/>
      <c r="J19" s="78" t="s">
        <v>2288</v>
      </c>
      <c r="K19" s="88" t="s">
        <v>2058</v>
      </c>
      <c r="L19" s="89">
        <f>SUMIFS('Capital de Giro (BB)'!D9:D200,'Capital de Giro (BB)'!A9:A200,"&gt;="&amp;DATE(2026,9,1),'Capital de Giro (BB)'!A9:A200,"&lt;="&amp;DATE(2026,9,30),'Capital de Giro (BB)'!E9:E200,"A Devolver")</f>
        <v>0</v>
      </c>
    </row>
    <row r="20" spans="1:12">
      <c r="A20" s="81">
        <v>46266</v>
      </c>
      <c r="B20" s="82" t="s">
        <v>2289</v>
      </c>
      <c r="C20" s="82" t="s">
        <v>2124</v>
      </c>
      <c r="D20" s="83">
        <v>190</v>
      </c>
      <c r="E20" s="82" t="s">
        <v>2052</v>
      </c>
      <c r="F20" s="83"/>
      <c r="G20" s="83"/>
      <c r="H20" s="82"/>
      <c r="I20" s="82"/>
      <c r="J20" s="82" t="s">
        <v>2290</v>
      </c>
    </row>
    <row r="21" spans="1:12">
      <c r="A21" s="77">
        <v>46266</v>
      </c>
      <c r="B21" s="78" t="s">
        <v>2291</v>
      </c>
      <c r="C21" s="78" t="s">
        <v>367</v>
      </c>
      <c r="D21" s="79">
        <v>200</v>
      </c>
      <c r="E21" s="78" t="s">
        <v>2052</v>
      </c>
      <c r="F21" s="79"/>
      <c r="G21" s="79"/>
      <c r="H21" s="78"/>
      <c r="I21" s="78"/>
      <c r="J21" s="78" t="s">
        <v>2292</v>
      </c>
    </row>
    <row r="22" spans="1:12">
      <c r="A22" s="81">
        <v>46266</v>
      </c>
      <c r="B22" s="82" t="s">
        <v>200</v>
      </c>
      <c r="C22" s="82"/>
      <c r="D22" s="83"/>
      <c r="E22" s="82"/>
      <c r="F22" s="83"/>
      <c r="G22" s="83">
        <v>880</v>
      </c>
      <c r="H22" s="82" t="s">
        <v>100</v>
      </c>
      <c r="I22" s="82" t="s">
        <v>2293</v>
      </c>
    </row>
    <row r="23" spans="1:12">
      <c r="A23" s="77">
        <v>46266</v>
      </c>
      <c r="B23" s="78" t="s">
        <v>2050</v>
      </c>
      <c r="C23" s="78"/>
      <c r="D23" s="79"/>
      <c r="E23" s="78"/>
      <c r="F23" s="79"/>
      <c r="G23" s="79">
        <v>50.08</v>
      </c>
      <c r="H23" s="78" t="s">
        <v>112</v>
      </c>
      <c r="I23" s="78"/>
    </row>
    <row r="24" spans="1:12">
      <c r="A24" s="81">
        <v>46267</v>
      </c>
      <c r="B24" s="82" t="s">
        <v>409</v>
      </c>
      <c r="C24" s="82" t="s">
        <v>410</v>
      </c>
      <c r="D24" s="83">
        <v>540</v>
      </c>
      <c r="E24" s="82" t="s">
        <v>2067</v>
      </c>
      <c r="F24" s="83"/>
      <c r="G24" s="83"/>
      <c r="H24" s="82"/>
      <c r="I24" s="82"/>
      <c r="J24" s="82" t="s">
        <v>1088</v>
      </c>
    </row>
    <row r="25" spans="1:12">
      <c r="A25" s="77">
        <v>46267</v>
      </c>
      <c r="B25" s="78" t="s">
        <v>2294</v>
      </c>
      <c r="C25" s="78" t="s">
        <v>344</v>
      </c>
      <c r="D25" s="79">
        <v>140</v>
      </c>
      <c r="E25" s="78" t="s">
        <v>2052</v>
      </c>
      <c r="F25" s="79"/>
      <c r="G25" s="79"/>
      <c r="H25" s="78"/>
      <c r="I25" s="78"/>
      <c r="J25" s="78" t="s">
        <v>2295</v>
      </c>
    </row>
    <row r="26" spans="1:12">
      <c r="A26" s="81">
        <v>46267</v>
      </c>
      <c r="B26" s="82" t="s">
        <v>2296</v>
      </c>
      <c r="C26" s="82" t="s">
        <v>565</v>
      </c>
      <c r="D26" s="83">
        <v>1379</v>
      </c>
      <c r="E26" s="82" t="s">
        <v>2045</v>
      </c>
      <c r="F26" s="83">
        <v>137.76</v>
      </c>
      <c r="G26" s="83"/>
      <c r="H26" s="82"/>
      <c r="I26" s="82" t="s">
        <v>2297</v>
      </c>
      <c r="J26" s="82" t="s">
        <v>2298</v>
      </c>
    </row>
    <row r="27" spans="1:12">
      <c r="A27" s="77">
        <v>46275</v>
      </c>
      <c r="B27" s="78" t="s">
        <v>412</v>
      </c>
      <c r="C27" s="78" t="s">
        <v>344</v>
      </c>
      <c r="D27" s="79">
        <v>140</v>
      </c>
      <c r="E27" s="78" t="s">
        <v>2060</v>
      </c>
      <c r="F27" s="79"/>
      <c r="G27" s="79"/>
      <c r="H27" s="78"/>
      <c r="I27" s="78" t="s">
        <v>2299</v>
      </c>
      <c r="J27" s="78" t="s">
        <v>2300</v>
      </c>
    </row>
    <row r="28" spans="1:12">
      <c r="A28" s="81">
        <v>46268</v>
      </c>
      <c r="B28" s="82" t="s">
        <v>2301</v>
      </c>
      <c r="C28" s="82" t="s">
        <v>344</v>
      </c>
      <c r="D28" s="83">
        <v>145</v>
      </c>
      <c r="E28" s="82" t="s">
        <v>2045</v>
      </c>
      <c r="F28" s="83">
        <v>10.14</v>
      </c>
      <c r="G28" s="83"/>
      <c r="H28" s="82"/>
      <c r="I28" s="82" t="s">
        <v>2302</v>
      </c>
      <c r="J28" s="82" t="s">
        <v>2303</v>
      </c>
    </row>
    <row r="29" spans="1:12">
      <c r="A29" s="77">
        <v>46268</v>
      </c>
      <c r="B29" s="78" t="s">
        <v>2304</v>
      </c>
      <c r="C29" s="78" t="s">
        <v>355</v>
      </c>
      <c r="D29" s="79">
        <v>120</v>
      </c>
      <c r="E29" s="78" t="s">
        <v>2052</v>
      </c>
      <c r="F29" s="79"/>
      <c r="G29" s="79"/>
      <c r="H29" s="78"/>
      <c r="I29" s="78"/>
      <c r="J29" s="78" t="s">
        <v>2305</v>
      </c>
    </row>
    <row r="30" spans="1:12">
      <c r="A30" s="81">
        <v>46269</v>
      </c>
      <c r="B30" s="82" t="s">
        <v>413</v>
      </c>
      <c r="C30" s="82" t="s">
        <v>367</v>
      </c>
      <c r="D30" s="83">
        <v>200</v>
      </c>
      <c r="E30" s="82" t="s">
        <v>2060</v>
      </c>
      <c r="F30" s="83"/>
      <c r="G30" s="83"/>
      <c r="H30" s="82"/>
      <c r="I30" s="82" t="s">
        <v>2306</v>
      </c>
      <c r="J30" s="82" t="s">
        <v>2307</v>
      </c>
    </row>
    <row r="31" spans="1:12">
      <c r="A31" s="77">
        <v>46267</v>
      </c>
      <c r="B31" s="78" t="s">
        <v>2308</v>
      </c>
      <c r="C31" s="78"/>
      <c r="D31" s="79"/>
      <c r="E31" s="78"/>
      <c r="F31" s="79"/>
      <c r="G31" s="79">
        <v>124.73</v>
      </c>
      <c r="H31" s="78" t="s">
        <v>99</v>
      </c>
      <c r="I31" s="78" t="s">
        <v>2309</v>
      </c>
    </row>
    <row r="32" spans="1:12">
      <c r="A32" s="81">
        <v>46268</v>
      </c>
      <c r="B32" s="82" t="s">
        <v>649</v>
      </c>
      <c r="C32" s="82"/>
      <c r="D32" s="83">
        <v>900</v>
      </c>
      <c r="E32" s="82" t="s">
        <v>2052</v>
      </c>
      <c r="F32" s="83"/>
      <c r="G32" s="83"/>
      <c r="H32" s="82"/>
      <c r="I32" s="82"/>
    </row>
    <row r="33" spans="1:10">
      <c r="A33" s="77">
        <v>46267</v>
      </c>
      <c r="B33" s="78" t="s">
        <v>351</v>
      </c>
      <c r="C33" s="78" t="s">
        <v>352</v>
      </c>
      <c r="D33" s="79">
        <v>700</v>
      </c>
      <c r="E33" s="78" t="s">
        <v>2060</v>
      </c>
      <c r="F33" s="79"/>
      <c r="G33" s="79"/>
      <c r="H33" s="78"/>
      <c r="I33" s="78" t="s">
        <v>2310</v>
      </c>
      <c r="J33" s="78" t="s">
        <v>2311</v>
      </c>
    </row>
    <row r="34" spans="1:10">
      <c r="A34" s="81">
        <v>46266</v>
      </c>
      <c r="B34" s="82" t="s">
        <v>402</v>
      </c>
      <c r="C34" s="82" t="s">
        <v>355</v>
      </c>
      <c r="D34" s="83">
        <v>150</v>
      </c>
      <c r="E34" s="82" t="s">
        <v>2060</v>
      </c>
      <c r="F34" s="83"/>
      <c r="G34" s="83"/>
      <c r="H34" s="82"/>
      <c r="I34" s="82" t="s">
        <v>2312</v>
      </c>
      <c r="J34" s="82" t="s">
        <v>2313</v>
      </c>
    </row>
    <row r="35" spans="1:10">
      <c r="A35" s="77">
        <v>46268</v>
      </c>
      <c r="B35" s="78" t="s">
        <v>399</v>
      </c>
      <c r="C35" s="78" t="s">
        <v>400</v>
      </c>
      <c r="D35" s="79">
        <v>60</v>
      </c>
      <c r="E35" s="78" t="s">
        <v>2060</v>
      </c>
      <c r="F35" s="79"/>
      <c r="G35" s="79"/>
      <c r="H35" s="78"/>
      <c r="I35" s="78" t="s">
        <v>2314</v>
      </c>
      <c r="J35" s="78" t="s">
        <v>2315</v>
      </c>
    </row>
    <row r="36" spans="1:10">
      <c r="A36" s="81">
        <v>46267</v>
      </c>
      <c r="B36" s="82" t="s">
        <v>454</v>
      </c>
      <c r="C36" s="82"/>
      <c r="D36" s="83"/>
      <c r="E36" s="82"/>
      <c r="F36" s="83"/>
      <c r="G36" s="83">
        <v>1385.85</v>
      </c>
      <c r="H36" s="82" t="s">
        <v>99</v>
      </c>
      <c r="I36" s="82" t="s">
        <v>2316</v>
      </c>
    </row>
    <row r="37" spans="1:10">
      <c r="A37" s="77">
        <v>46268</v>
      </c>
      <c r="B37" s="78" t="s">
        <v>690</v>
      </c>
      <c r="C37" s="78"/>
      <c r="D37" s="79"/>
      <c r="E37" s="78"/>
      <c r="F37" s="79"/>
      <c r="G37" s="79">
        <v>706.67</v>
      </c>
      <c r="H37" s="78" t="s">
        <v>99</v>
      </c>
      <c r="I37" s="78" t="s">
        <v>2317</v>
      </c>
    </row>
    <row r="38" spans="1:10">
      <c r="A38" s="81">
        <v>46268</v>
      </c>
      <c r="B38" s="82" t="s">
        <v>2318</v>
      </c>
      <c r="C38" s="82" t="s">
        <v>2319</v>
      </c>
      <c r="D38" s="83">
        <v>170</v>
      </c>
      <c r="E38" s="82" t="s">
        <v>2078</v>
      </c>
      <c r="F38" s="83">
        <v>2.46</v>
      </c>
      <c r="G38" s="83"/>
      <c r="H38" s="82"/>
      <c r="I38" s="82"/>
    </row>
    <row r="39" spans="1:10">
      <c r="A39" s="77">
        <v>46268</v>
      </c>
      <c r="B39" s="78" t="s">
        <v>455</v>
      </c>
      <c r="C39" s="78"/>
      <c r="D39" s="79"/>
      <c r="E39" s="78"/>
      <c r="F39" s="79"/>
      <c r="G39" s="79">
        <v>980.83</v>
      </c>
      <c r="H39" s="78" t="s">
        <v>99</v>
      </c>
      <c r="I39" s="78" t="s">
        <v>2320</v>
      </c>
    </row>
    <row r="40" spans="1:10">
      <c r="A40" s="81">
        <v>46268</v>
      </c>
      <c r="B40" s="82" t="s">
        <v>366</v>
      </c>
      <c r="C40" s="82" t="s">
        <v>367</v>
      </c>
      <c r="D40" s="83">
        <v>200</v>
      </c>
      <c r="E40" s="82" t="s">
        <v>2052</v>
      </c>
      <c r="F40" s="83"/>
      <c r="G40" s="83"/>
      <c r="H40" s="82"/>
      <c r="I40" s="82" t="s">
        <v>2321</v>
      </c>
      <c r="J40" s="82" t="s">
        <v>1174</v>
      </c>
    </row>
    <row r="41" spans="1:10">
      <c r="A41" s="77">
        <v>46268</v>
      </c>
      <c r="B41" s="78" t="s">
        <v>2322</v>
      </c>
      <c r="C41" s="78" t="s">
        <v>344</v>
      </c>
      <c r="D41" s="79">
        <v>140</v>
      </c>
      <c r="E41" s="78" t="s">
        <v>2060</v>
      </c>
      <c r="F41" s="79"/>
      <c r="G41" s="79"/>
      <c r="H41" s="78"/>
      <c r="I41" s="78"/>
      <c r="J41" s="78" t="s">
        <v>1400</v>
      </c>
    </row>
    <row r="42" spans="1:10">
      <c r="A42" s="81">
        <v>46267</v>
      </c>
      <c r="B42" s="82" t="s">
        <v>2323</v>
      </c>
      <c r="C42" s="82" t="s">
        <v>567</v>
      </c>
      <c r="D42" s="83">
        <v>0</v>
      </c>
      <c r="E42" s="82"/>
      <c r="F42" s="83"/>
      <c r="G42" s="83"/>
      <c r="H42" s="82"/>
      <c r="I42" s="82" t="s">
        <v>2324</v>
      </c>
      <c r="J42" s="82" t="s">
        <v>2325</v>
      </c>
    </row>
    <row r="43" spans="1:10">
      <c r="A43" s="77">
        <v>46269</v>
      </c>
      <c r="B43" s="78" t="s">
        <v>2326</v>
      </c>
      <c r="C43" s="78" t="s">
        <v>344</v>
      </c>
      <c r="D43" s="79">
        <v>140</v>
      </c>
      <c r="E43" s="78" t="s">
        <v>2060</v>
      </c>
      <c r="F43" s="79"/>
      <c r="G43" s="79"/>
      <c r="H43" s="78"/>
      <c r="I43" s="78"/>
      <c r="J43" s="78" t="s">
        <v>2327</v>
      </c>
    </row>
    <row r="44" spans="1:10">
      <c r="A44" s="81">
        <v>46269</v>
      </c>
      <c r="B44" s="82" t="s">
        <v>2328</v>
      </c>
      <c r="C44" s="82" t="s">
        <v>344</v>
      </c>
      <c r="D44" s="83">
        <v>140</v>
      </c>
      <c r="E44" s="82" t="s">
        <v>2060</v>
      </c>
      <c r="F44" s="83"/>
      <c r="G44" s="83"/>
      <c r="H44" s="82"/>
      <c r="I44" s="82"/>
      <c r="J44" s="82" t="s">
        <v>2329</v>
      </c>
    </row>
    <row r="45" spans="1:10">
      <c r="A45" s="77">
        <v>46269</v>
      </c>
      <c r="B45" s="78" t="s">
        <v>2330</v>
      </c>
      <c r="C45" s="78" t="s">
        <v>344</v>
      </c>
      <c r="D45" s="79">
        <v>140</v>
      </c>
      <c r="E45" s="78" t="s">
        <v>2060</v>
      </c>
      <c r="F45" s="79"/>
      <c r="G45" s="79"/>
      <c r="H45" s="78"/>
      <c r="I45" s="78"/>
      <c r="J45" s="78" t="s">
        <v>2331</v>
      </c>
    </row>
    <row r="46" spans="1:10">
      <c r="A46" s="81">
        <v>46269</v>
      </c>
      <c r="B46" s="82" t="s">
        <v>2332</v>
      </c>
      <c r="C46" s="82" t="s">
        <v>344</v>
      </c>
      <c r="D46" s="83">
        <v>135</v>
      </c>
      <c r="E46" s="82" t="s">
        <v>2060</v>
      </c>
      <c r="F46" s="83"/>
      <c r="G46" s="83"/>
      <c r="H46" s="82"/>
      <c r="I46" s="82"/>
      <c r="J46" s="82" t="s">
        <v>2333</v>
      </c>
    </row>
    <row r="47" spans="1:10">
      <c r="A47" s="77">
        <v>46275</v>
      </c>
      <c r="B47" s="78" t="s">
        <v>415</v>
      </c>
      <c r="C47" s="78" t="s">
        <v>355</v>
      </c>
      <c r="D47" s="79">
        <v>140</v>
      </c>
      <c r="E47" s="78" t="s">
        <v>2060</v>
      </c>
      <c r="F47" s="79"/>
      <c r="G47" s="79"/>
      <c r="H47" s="78"/>
      <c r="I47" s="78" t="s">
        <v>2334</v>
      </c>
      <c r="J47" s="78" t="s">
        <v>1336</v>
      </c>
    </row>
    <row r="48" spans="1:10">
      <c r="A48" s="81">
        <v>46269</v>
      </c>
      <c r="B48" s="82" t="s">
        <v>2335</v>
      </c>
      <c r="C48" s="82" t="s">
        <v>344</v>
      </c>
      <c r="D48" s="83">
        <v>140</v>
      </c>
      <c r="E48" s="82" t="s">
        <v>2052</v>
      </c>
      <c r="F48" s="83"/>
      <c r="G48" s="83"/>
      <c r="H48" s="82"/>
      <c r="I48" s="82"/>
      <c r="J48" s="82" t="s">
        <v>2336</v>
      </c>
    </row>
    <row r="49" spans="1:10">
      <c r="A49" s="77">
        <v>46268</v>
      </c>
      <c r="B49" s="78" t="s">
        <v>2318</v>
      </c>
      <c r="C49" s="78" t="s">
        <v>2337</v>
      </c>
      <c r="D49" s="79">
        <v>110</v>
      </c>
      <c r="E49" s="78" t="s">
        <v>2052</v>
      </c>
      <c r="F49" s="79"/>
      <c r="G49" s="79"/>
      <c r="H49" s="78"/>
      <c r="I49" s="78"/>
    </row>
    <row r="50" spans="1:10">
      <c r="A50" s="81">
        <v>46273</v>
      </c>
      <c r="B50" s="82" t="s">
        <v>2318</v>
      </c>
      <c r="C50" s="82" t="s">
        <v>2338</v>
      </c>
      <c r="D50" s="83">
        <v>35</v>
      </c>
      <c r="E50" s="82" t="s">
        <v>2052</v>
      </c>
      <c r="F50" s="83"/>
      <c r="G50" s="83"/>
      <c r="H50" s="82"/>
      <c r="I50" s="82"/>
    </row>
    <row r="51" spans="1:10">
      <c r="A51" s="77">
        <v>46273</v>
      </c>
      <c r="B51" s="78" t="s">
        <v>396</v>
      </c>
      <c r="C51" s="78" t="s">
        <v>397</v>
      </c>
      <c r="D51" s="79">
        <v>160</v>
      </c>
      <c r="E51" s="78" t="s">
        <v>2060</v>
      </c>
      <c r="F51" s="79"/>
      <c r="G51" s="79"/>
      <c r="H51" s="78"/>
      <c r="I51" s="78" t="s">
        <v>2339</v>
      </c>
      <c r="J51" s="78" t="s">
        <v>2340</v>
      </c>
    </row>
    <row r="52" spans="1:10">
      <c r="A52" s="81">
        <v>46273</v>
      </c>
      <c r="B52" s="82" t="s">
        <v>2099</v>
      </c>
      <c r="C52" s="82"/>
      <c r="D52" s="83"/>
      <c r="E52" s="82"/>
      <c r="F52" s="83"/>
      <c r="G52" s="83">
        <v>25</v>
      </c>
      <c r="H52" s="82" t="s">
        <v>111</v>
      </c>
      <c r="I52" s="82"/>
    </row>
    <row r="53" spans="1:10">
      <c r="A53" s="77">
        <v>46273</v>
      </c>
      <c r="B53" s="78" t="s">
        <v>2341</v>
      </c>
      <c r="C53" s="78" t="s">
        <v>565</v>
      </c>
      <c r="D53" s="79">
        <v>1429</v>
      </c>
      <c r="E53" s="78" t="s">
        <v>2045</v>
      </c>
      <c r="F53" s="79">
        <v>199.92</v>
      </c>
      <c r="G53" s="79"/>
      <c r="H53" s="78"/>
      <c r="I53" s="78" t="s">
        <v>2222</v>
      </c>
      <c r="J53" s="78" t="s">
        <v>2342</v>
      </c>
    </row>
    <row r="54" spans="1:10">
      <c r="A54" s="81">
        <v>46273</v>
      </c>
      <c r="B54" s="82" t="s">
        <v>2343</v>
      </c>
      <c r="C54" s="82" t="s">
        <v>355</v>
      </c>
      <c r="D54" s="83">
        <v>130</v>
      </c>
      <c r="E54" s="82" t="s">
        <v>2052</v>
      </c>
      <c r="F54" s="83"/>
      <c r="G54" s="83"/>
      <c r="H54" s="82"/>
      <c r="I54" s="82"/>
      <c r="J54" s="82" t="s">
        <v>2344</v>
      </c>
    </row>
    <row r="55" spans="1:10">
      <c r="A55" s="77">
        <v>46273</v>
      </c>
      <c r="B55" s="78" t="s">
        <v>2345</v>
      </c>
      <c r="C55" s="78" t="s">
        <v>344</v>
      </c>
      <c r="D55" s="79">
        <v>140</v>
      </c>
      <c r="E55" s="78" t="s">
        <v>2052</v>
      </c>
      <c r="F55" s="79"/>
      <c r="G55" s="79"/>
      <c r="H55" s="78"/>
      <c r="I55" s="78"/>
      <c r="J55" s="78" t="s">
        <v>2346</v>
      </c>
    </row>
    <row r="56" spans="1:10">
      <c r="A56" s="81">
        <v>46273</v>
      </c>
      <c r="B56" s="82" t="s">
        <v>2318</v>
      </c>
      <c r="C56" s="82" t="s">
        <v>2347</v>
      </c>
      <c r="D56" s="83">
        <v>230</v>
      </c>
      <c r="E56" s="82" t="s">
        <v>2045</v>
      </c>
      <c r="F56" s="83">
        <v>19.27</v>
      </c>
      <c r="G56" s="83"/>
      <c r="H56" s="82"/>
      <c r="I56" s="82" t="s">
        <v>2348</v>
      </c>
    </row>
    <row r="57" spans="1:10">
      <c r="A57" s="77">
        <v>46273</v>
      </c>
      <c r="B57" s="78" t="s">
        <v>358</v>
      </c>
      <c r="C57" s="78" t="s">
        <v>359</v>
      </c>
      <c r="D57" s="79">
        <v>480</v>
      </c>
      <c r="E57" s="78" t="s">
        <v>2052</v>
      </c>
      <c r="F57" s="79"/>
      <c r="G57" s="79"/>
      <c r="H57" s="78"/>
      <c r="I57" s="78" t="s">
        <v>2349</v>
      </c>
      <c r="J57" s="78" t="s">
        <v>2138</v>
      </c>
    </row>
    <row r="58" spans="1:10">
      <c r="A58" s="81">
        <v>46273</v>
      </c>
      <c r="B58" s="82" t="s">
        <v>358</v>
      </c>
      <c r="C58" s="82" t="s">
        <v>2350</v>
      </c>
      <c r="D58" s="83">
        <v>220</v>
      </c>
      <c r="E58" s="82" t="s">
        <v>2052</v>
      </c>
      <c r="F58" s="83"/>
      <c r="G58" s="83"/>
      <c r="H58" s="82"/>
      <c r="I58" s="82"/>
      <c r="J58" s="82" t="s">
        <v>2138</v>
      </c>
    </row>
    <row r="59" spans="1:10">
      <c r="A59" s="77">
        <v>46270</v>
      </c>
      <c r="B59" s="78" t="s">
        <v>2076</v>
      </c>
      <c r="C59" s="78"/>
      <c r="D59" s="79"/>
      <c r="E59" s="78"/>
      <c r="F59" s="79"/>
      <c r="G59" s="79">
        <v>550</v>
      </c>
      <c r="H59" s="78" t="s">
        <v>106</v>
      </c>
      <c r="I59" s="78" t="s">
        <v>2351</v>
      </c>
    </row>
    <row r="60" spans="1:10">
      <c r="A60" s="81">
        <v>46273</v>
      </c>
      <c r="B60" s="82" t="s">
        <v>2352</v>
      </c>
      <c r="C60" s="82" t="s">
        <v>344</v>
      </c>
      <c r="D60" s="83">
        <v>140</v>
      </c>
      <c r="E60" s="82" t="s">
        <v>2052</v>
      </c>
      <c r="F60" s="83"/>
      <c r="G60" s="83"/>
      <c r="H60" s="82"/>
      <c r="I60" s="82"/>
      <c r="J60" s="82" t="s">
        <v>882</v>
      </c>
    </row>
    <row r="61" spans="1:10">
      <c r="A61" s="77">
        <v>46273</v>
      </c>
      <c r="B61" s="78" t="s">
        <v>2353</v>
      </c>
      <c r="C61" s="78"/>
      <c r="D61" s="79"/>
      <c r="E61" s="78"/>
      <c r="F61" s="79"/>
      <c r="G61" s="79">
        <v>0.5</v>
      </c>
      <c r="H61" s="78" t="s">
        <v>103</v>
      </c>
      <c r="I61" s="78" t="s">
        <v>2354</v>
      </c>
    </row>
    <row r="62" spans="1:10">
      <c r="A62" s="81">
        <v>46273</v>
      </c>
      <c r="B62" s="82" t="s">
        <v>2051</v>
      </c>
      <c r="C62" s="82"/>
      <c r="D62" s="83"/>
      <c r="E62" s="82"/>
      <c r="F62" s="83"/>
      <c r="G62" s="83">
        <v>150.06</v>
      </c>
      <c r="H62" s="82" t="s">
        <v>101</v>
      </c>
      <c r="I62" s="82" t="s">
        <v>2355</v>
      </c>
    </row>
    <row r="63" spans="1:10">
      <c r="A63" s="77">
        <v>46273</v>
      </c>
      <c r="B63" s="78" t="s">
        <v>455</v>
      </c>
      <c r="C63" s="78"/>
      <c r="D63" s="79"/>
      <c r="E63" s="78"/>
      <c r="F63" s="79"/>
      <c r="G63" s="79">
        <v>878.92</v>
      </c>
      <c r="H63" s="78" t="s">
        <v>99</v>
      </c>
      <c r="I63" s="78" t="s">
        <v>2356</v>
      </c>
    </row>
    <row r="64" spans="1:10">
      <c r="A64" s="81">
        <v>46274</v>
      </c>
      <c r="B64" s="82" t="s">
        <v>2357</v>
      </c>
      <c r="C64" s="82" t="s">
        <v>344</v>
      </c>
      <c r="D64" s="83">
        <v>140</v>
      </c>
      <c r="E64" s="82" t="s">
        <v>2048</v>
      </c>
      <c r="F64" s="83">
        <v>4.92</v>
      </c>
      <c r="G64" s="83"/>
      <c r="H64" s="82"/>
      <c r="I64" s="82"/>
      <c r="J64" s="82" t="s">
        <v>2358</v>
      </c>
    </row>
    <row r="65" spans="1:10">
      <c r="A65" s="77">
        <v>46274</v>
      </c>
      <c r="B65" s="78" t="s">
        <v>2359</v>
      </c>
      <c r="C65" s="78" t="s">
        <v>2360</v>
      </c>
      <c r="D65" s="79">
        <v>100</v>
      </c>
      <c r="E65" s="78" t="s">
        <v>2060</v>
      </c>
      <c r="F65" s="79"/>
      <c r="G65" s="79"/>
      <c r="H65" s="78"/>
      <c r="I65" s="78"/>
      <c r="J65" s="78" t="s">
        <v>2361</v>
      </c>
    </row>
    <row r="66" spans="1:10">
      <c r="A66" s="81">
        <v>46281</v>
      </c>
      <c r="B66" s="82" t="s">
        <v>416</v>
      </c>
      <c r="C66" s="82" t="s">
        <v>417</v>
      </c>
      <c r="D66" s="83">
        <v>150</v>
      </c>
      <c r="E66" s="82" t="s">
        <v>2052</v>
      </c>
      <c r="F66" s="83"/>
      <c r="G66" s="83"/>
      <c r="H66" s="82"/>
      <c r="I66" s="82" t="s">
        <v>2362</v>
      </c>
      <c r="J66" s="82" t="s">
        <v>738</v>
      </c>
    </row>
    <row r="67" spans="1:10">
      <c r="A67" s="77">
        <v>46274</v>
      </c>
      <c r="B67" s="78" t="s">
        <v>454</v>
      </c>
      <c r="C67" s="78"/>
      <c r="D67" s="79"/>
      <c r="E67" s="78"/>
      <c r="F67" s="79"/>
      <c r="G67" s="79">
        <v>649.83000000000004</v>
      </c>
      <c r="H67" s="78" t="s">
        <v>99</v>
      </c>
      <c r="I67" s="78" t="s">
        <v>2363</v>
      </c>
    </row>
    <row r="68" spans="1:10">
      <c r="A68" s="81">
        <v>46274</v>
      </c>
      <c r="B68" s="82" t="s">
        <v>224</v>
      </c>
      <c r="C68" s="82"/>
      <c r="D68" s="83"/>
      <c r="E68" s="82"/>
      <c r="F68" s="83"/>
      <c r="G68" s="83">
        <v>59.5</v>
      </c>
      <c r="H68" s="82" t="s">
        <v>102</v>
      </c>
      <c r="I68" s="82" t="s">
        <v>2364</v>
      </c>
    </row>
    <row r="69" spans="1:10">
      <c r="A69" s="77">
        <v>46274</v>
      </c>
      <c r="B69" s="78" t="s">
        <v>112</v>
      </c>
      <c r="C69" s="78"/>
      <c r="D69" s="79"/>
      <c r="E69" s="78"/>
      <c r="F69" s="79"/>
      <c r="G69" s="79">
        <v>400</v>
      </c>
      <c r="H69" s="78" t="s">
        <v>112</v>
      </c>
      <c r="I69" s="78"/>
    </row>
    <row r="70" spans="1:10">
      <c r="A70" s="81">
        <v>46274</v>
      </c>
      <c r="B70" s="82" t="s">
        <v>2365</v>
      </c>
      <c r="C70" s="82" t="s">
        <v>344</v>
      </c>
      <c r="D70" s="83">
        <v>140</v>
      </c>
      <c r="E70" s="82" t="s">
        <v>2052</v>
      </c>
      <c r="F70" s="83"/>
      <c r="G70" s="83"/>
      <c r="H70" s="82"/>
      <c r="I70" s="82"/>
      <c r="J70" s="82" t="s">
        <v>2366</v>
      </c>
    </row>
    <row r="71" spans="1:10">
      <c r="A71" s="77">
        <v>46274</v>
      </c>
      <c r="B71" s="78" t="s">
        <v>2367</v>
      </c>
      <c r="C71" s="78" t="s">
        <v>344</v>
      </c>
      <c r="D71" s="79">
        <v>140</v>
      </c>
      <c r="E71" s="78" t="s">
        <v>2060</v>
      </c>
      <c r="F71" s="79"/>
      <c r="G71" s="79"/>
      <c r="H71" s="78"/>
      <c r="I71" s="78"/>
      <c r="J71" s="78" t="s">
        <v>2368</v>
      </c>
    </row>
    <row r="72" spans="1:10">
      <c r="A72" s="81">
        <v>46274</v>
      </c>
      <c r="B72" s="82" t="s">
        <v>2352</v>
      </c>
      <c r="C72" s="82" t="s">
        <v>2369</v>
      </c>
      <c r="D72" s="83">
        <v>60</v>
      </c>
      <c r="E72" s="82" t="s">
        <v>2052</v>
      </c>
      <c r="F72" s="83"/>
      <c r="G72" s="83"/>
      <c r="H72" s="82"/>
      <c r="I72" s="82"/>
      <c r="J72" s="82" t="s">
        <v>882</v>
      </c>
    </row>
    <row r="73" spans="1:10">
      <c r="A73" s="77">
        <v>46274</v>
      </c>
      <c r="B73" s="78" t="s">
        <v>2370</v>
      </c>
      <c r="C73" s="78" t="s">
        <v>2371</v>
      </c>
      <c r="D73" s="79">
        <v>130</v>
      </c>
      <c r="E73" s="78" t="s">
        <v>2060</v>
      </c>
      <c r="F73" s="79"/>
      <c r="G73" s="79"/>
      <c r="H73" s="78"/>
      <c r="I73" s="78"/>
      <c r="J73" s="78" t="s">
        <v>2372</v>
      </c>
    </row>
    <row r="74" spans="1:10">
      <c r="A74" s="81">
        <v>46274</v>
      </c>
      <c r="B74" s="82" t="s">
        <v>2318</v>
      </c>
      <c r="C74" s="82" t="s">
        <v>2373</v>
      </c>
      <c r="D74" s="83">
        <v>100</v>
      </c>
      <c r="E74" s="82" t="s">
        <v>2052</v>
      </c>
      <c r="F74" s="83"/>
      <c r="G74" s="83"/>
      <c r="H74" s="82"/>
      <c r="I74" s="82"/>
    </row>
    <row r="75" spans="1:10">
      <c r="A75" s="77">
        <v>46274</v>
      </c>
      <c r="B75" s="78" t="s">
        <v>2374</v>
      </c>
      <c r="C75" s="78" t="s">
        <v>565</v>
      </c>
      <c r="D75" s="79">
        <v>1299</v>
      </c>
      <c r="E75" s="78" t="s">
        <v>2045</v>
      </c>
      <c r="F75" s="79">
        <v>181.73</v>
      </c>
      <c r="G75" s="79"/>
      <c r="H75" s="78"/>
      <c r="I75" s="78" t="s">
        <v>2222</v>
      </c>
    </row>
    <row r="76" spans="1:10">
      <c r="A76" s="81">
        <v>46274</v>
      </c>
      <c r="B76" s="82" t="s">
        <v>649</v>
      </c>
      <c r="C76" s="82"/>
      <c r="D76" s="83">
        <v>700</v>
      </c>
      <c r="E76" s="82" t="s">
        <v>2052</v>
      </c>
      <c r="F76" s="83"/>
      <c r="G76" s="83"/>
      <c r="H76" s="82"/>
      <c r="I76" s="82"/>
    </row>
    <row r="77" spans="1:10">
      <c r="A77" s="77">
        <v>46275</v>
      </c>
      <c r="B77" s="78" t="s">
        <v>649</v>
      </c>
      <c r="C77" s="78"/>
      <c r="D77" s="79">
        <v>2000</v>
      </c>
      <c r="E77" s="78" t="s">
        <v>2060</v>
      </c>
      <c r="F77" s="79"/>
      <c r="G77" s="79"/>
      <c r="H77" s="78"/>
      <c r="I77" s="78"/>
    </row>
    <row r="78" spans="1:10">
      <c r="A78" s="81">
        <v>46275</v>
      </c>
      <c r="B78" s="82" t="s">
        <v>2318</v>
      </c>
      <c r="C78" s="82" t="s">
        <v>2375</v>
      </c>
      <c r="D78" s="83">
        <v>20</v>
      </c>
      <c r="E78" s="82" t="s">
        <v>2052</v>
      </c>
      <c r="F78" s="83"/>
      <c r="G78" s="83"/>
      <c r="H78" s="82"/>
      <c r="I78" s="82"/>
    </row>
    <row r="79" spans="1:10">
      <c r="A79" s="77">
        <v>46275</v>
      </c>
      <c r="B79" s="78" t="s">
        <v>2376</v>
      </c>
      <c r="C79" s="78"/>
      <c r="D79" s="79"/>
      <c r="E79" s="78"/>
      <c r="F79" s="79"/>
      <c r="G79" s="79">
        <v>139.59</v>
      </c>
      <c r="H79" s="78" t="s">
        <v>108</v>
      </c>
      <c r="I79" s="78" t="s">
        <v>2377</v>
      </c>
    </row>
    <row r="80" spans="1:10">
      <c r="A80" s="81">
        <v>46275</v>
      </c>
      <c r="B80" s="82" t="s">
        <v>2378</v>
      </c>
      <c r="C80" s="82" t="s">
        <v>2107</v>
      </c>
      <c r="D80" s="83">
        <v>150</v>
      </c>
      <c r="E80" s="82" t="s">
        <v>2045</v>
      </c>
      <c r="F80" s="83">
        <v>10.48</v>
      </c>
      <c r="G80" s="83"/>
      <c r="H80" s="82"/>
      <c r="I80" s="82" t="s">
        <v>2348</v>
      </c>
      <c r="J80" s="82" t="s">
        <v>2379</v>
      </c>
    </row>
    <row r="81" spans="1:10">
      <c r="A81" s="77">
        <v>46275</v>
      </c>
      <c r="B81" s="78" t="s">
        <v>2318</v>
      </c>
      <c r="C81" s="78" t="s">
        <v>2380</v>
      </c>
      <c r="D81" s="79">
        <v>50</v>
      </c>
      <c r="E81" s="78" t="s">
        <v>2078</v>
      </c>
      <c r="F81" s="79">
        <v>0.72</v>
      </c>
      <c r="G81" s="79"/>
      <c r="H81" s="78"/>
      <c r="I81" s="78"/>
    </row>
    <row r="82" spans="1:10">
      <c r="A82" s="81">
        <v>46276</v>
      </c>
      <c r="B82" s="82" t="s">
        <v>419</v>
      </c>
      <c r="C82" s="82" t="s">
        <v>344</v>
      </c>
      <c r="D82" s="83">
        <v>140</v>
      </c>
      <c r="E82" s="82" t="s">
        <v>2060</v>
      </c>
      <c r="F82" s="83"/>
      <c r="G82" s="83"/>
      <c r="H82" s="82"/>
      <c r="I82" s="82" t="s">
        <v>2381</v>
      </c>
      <c r="J82" s="82" t="s">
        <v>2382</v>
      </c>
    </row>
    <row r="83" spans="1:10">
      <c r="A83" s="77">
        <v>46276</v>
      </c>
      <c r="B83" s="78" t="s">
        <v>421</v>
      </c>
      <c r="C83" s="78" t="s">
        <v>367</v>
      </c>
      <c r="D83" s="79">
        <v>200</v>
      </c>
      <c r="E83" s="78" t="s">
        <v>2060</v>
      </c>
      <c r="F83" s="79"/>
      <c r="G83" s="79"/>
      <c r="H83" s="78"/>
      <c r="I83" s="78" t="s">
        <v>2381</v>
      </c>
      <c r="J83" s="78" t="s">
        <v>2383</v>
      </c>
    </row>
    <row r="84" spans="1:10">
      <c r="A84" s="81">
        <v>46276</v>
      </c>
      <c r="B84" s="82" t="s">
        <v>422</v>
      </c>
      <c r="C84" s="82" t="s">
        <v>423</v>
      </c>
      <c r="D84" s="83">
        <v>370</v>
      </c>
      <c r="E84" s="82" t="s">
        <v>2067</v>
      </c>
      <c r="F84" s="83"/>
      <c r="G84" s="83"/>
      <c r="H84" s="82"/>
      <c r="I84" s="82"/>
      <c r="J84" s="82" t="s">
        <v>2384</v>
      </c>
    </row>
    <row r="85" spans="1:10">
      <c r="A85" s="77">
        <v>46276</v>
      </c>
      <c r="B85" s="78" t="s">
        <v>425</v>
      </c>
      <c r="C85" s="78" t="s">
        <v>344</v>
      </c>
      <c r="D85" s="79">
        <v>140</v>
      </c>
      <c r="E85" s="78" t="s">
        <v>2060</v>
      </c>
      <c r="F85" s="79"/>
      <c r="G85" s="79"/>
      <c r="H85" s="78"/>
      <c r="I85" s="78" t="s">
        <v>2385</v>
      </c>
      <c r="J85" s="78" t="s">
        <v>2386</v>
      </c>
    </row>
    <row r="86" spans="1:10">
      <c r="A86" s="81">
        <v>46276</v>
      </c>
      <c r="B86" s="82" t="s">
        <v>2387</v>
      </c>
      <c r="C86" s="82" t="s">
        <v>344</v>
      </c>
      <c r="D86" s="83">
        <v>140</v>
      </c>
      <c r="E86" s="82" t="s">
        <v>2052</v>
      </c>
      <c r="F86" s="83"/>
      <c r="G86" s="83"/>
      <c r="H86" s="82"/>
      <c r="I86" s="82"/>
      <c r="J86" s="82" t="s">
        <v>2388</v>
      </c>
    </row>
    <row r="87" spans="1:10">
      <c r="A87" s="77">
        <v>46276</v>
      </c>
      <c r="B87" s="78" t="s">
        <v>2389</v>
      </c>
      <c r="C87" s="78"/>
      <c r="D87" s="79"/>
      <c r="E87" s="78"/>
      <c r="F87" s="79"/>
      <c r="G87" s="79">
        <v>46</v>
      </c>
      <c r="H87" s="78" t="s">
        <v>109</v>
      </c>
      <c r="I87" s="78" t="s">
        <v>2390</v>
      </c>
    </row>
    <row r="88" spans="1:10">
      <c r="A88" s="81">
        <v>46276</v>
      </c>
      <c r="B88" s="82" t="s">
        <v>2391</v>
      </c>
      <c r="C88" s="82"/>
      <c r="D88" s="83"/>
      <c r="E88" s="82"/>
      <c r="F88" s="83"/>
      <c r="G88" s="83">
        <v>8.48</v>
      </c>
      <c r="H88" s="82" t="s">
        <v>109</v>
      </c>
      <c r="I88" s="82" t="s">
        <v>2392</v>
      </c>
    </row>
    <row r="89" spans="1:10">
      <c r="A89" s="77">
        <v>46276</v>
      </c>
      <c r="B89" s="78" t="s">
        <v>2393</v>
      </c>
      <c r="C89" s="78"/>
      <c r="D89" s="79"/>
      <c r="E89" s="78"/>
      <c r="F89" s="79"/>
      <c r="G89" s="79">
        <v>20</v>
      </c>
      <c r="H89" s="78" t="s">
        <v>108</v>
      </c>
      <c r="I89" s="78"/>
    </row>
    <row r="90" spans="1:10">
      <c r="A90" s="81">
        <v>46276</v>
      </c>
      <c r="B90" s="82" t="s">
        <v>2076</v>
      </c>
      <c r="C90" s="82"/>
      <c r="D90" s="83"/>
      <c r="E90" s="82"/>
      <c r="F90" s="83"/>
      <c r="G90" s="83">
        <v>30</v>
      </c>
      <c r="H90" s="82" t="s">
        <v>106</v>
      </c>
      <c r="I90" s="82"/>
    </row>
    <row r="91" spans="1:10">
      <c r="A91" s="77">
        <v>46276</v>
      </c>
      <c r="B91" s="78" t="s">
        <v>2394</v>
      </c>
      <c r="C91" s="78"/>
      <c r="D91" s="79"/>
      <c r="E91" s="78"/>
      <c r="F91" s="79"/>
      <c r="G91" s="79">
        <v>70</v>
      </c>
      <c r="H91" s="78" t="s">
        <v>109</v>
      </c>
      <c r="I91" s="78" t="s">
        <v>2395</v>
      </c>
    </row>
    <row r="92" spans="1:10">
      <c r="A92" s="81">
        <v>46273</v>
      </c>
      <c r="B92" s="82" t="s">
        <v>2396</v>
      </c>
      <c r="C92" s="82"/>
      <c r="D92" s="83"/>
      <c r="E92" s="82"/>
      <c r="F92" s="83"/>
      <c r="G92" s="83">
        <v>16</v>
      </c>
      <c r="H92" s="82" t="s">
        <v>104</v>
      </c>
      <c r="I92" s="82"/>
    </row>
    <row r="93" spans="1:10">
      <c r="A93" s="77">
        <v>46279</v>
      </c>
      <c r="B93" s="78" t="s">
        <v>2318</v>
      </c>
      <c r="C93" s="78" t="s">
        <v>554</v>
      </c>
      <c r="D93" s="79">
        <v>90</v>
      </c>
      <c r="E93" s="78" t="s">
        <v>2052</v>
      </c>
      <c r="F93" s="79"/>
      <c r="G93" s="79"/>
      <c r="H93" s="78"/>
      <c r="I93" s="78"/>
    </row>
    <row r="94" spans="1:10">
      <c r="A94" s="81">
        <v>46279</v>
      </c>
      <c r="B94" s="82" t="s">
        <v>427</v>
      </c>
      <c r="C94" s="82" t="s">
        <v>367</v>
      </c>
      <c r="D94" s="83">
        <v>200</v>
      </c>
      <c r="E94" s="82" t="s">
        <v>2060</v>
      </c>
      <c r="F94" s="83"/>
      <c r="G94" s="83"/>
      <c r="H94" s="82"/>
      <c r="I94" s="82"/>
      <c r="J94" s="82" t="s">
        <v>2397</v>
      </c>
    </row>
    <row r="95" spans="1:10">
      <c r="A95" s="77">
        <v>46279</v>
      </c>
      <c r="B95" s="78" t="s">
        <v>2257</v>
      </c>
      <c r="C95" s="78"/>
      <c r="D95" s="79">
        <v>145</v>
      </c>
      <c r="E95" s="78" t="s">
        <v>2045</v>
      </c>
      <c r="F95" s="79">
        <v>10.14</v>
      </c>
      <c r="G95" s="79"/>
      <c r="H95" s="78"/>
      <c r="I95" s="78" t="s">
        <v>2302</v>
      </c>
    </row>
    <row r="96" spans="1:10">
      <c r="A96" s="81">
        <v>46279</v>
      </c>
      <c r="B96" s="82" t="s">
        <v>649</v>
      </c>
      <c r="C96" s="82"/>
      <c r="D96" s="83">
        <v>800</v>
      </c>
      <c r="E96" s="82" t="s">
        <v>2052</v>
      </c>
      <c r="F96" s="83"/>
      <c r="G96" s="83"/>
      <c r="H96" s="82"/>
      <c r="I96" s="82"/>
    </row>
    <row r="97" spans="1:10">
      <c r="A97" s="77">
        <v>46279</v>
      </c>
      <c r="B97" s="78" t="s">
        <v>2318</v>
      </c>
      <c r="C97" s="78" t="s">
        <v>2398</v>
      </c>
      <c r="D97" s="79">
        <v>205</v>
      </c>
      <c r="E97" s="78" t="s">
        <v>2045</v>
      </c>
      <c r="F97" s="79">
        <v>16.38</v>
      </c>
      <c r="G97" s="79"/>
      <c r="H97" s="78"/>
      <c r="I97" s="78" t="s">
        <v>2246</v>
      </c>
    </row>
    <row r="98" spans="1:10">
      <c r="A98" s="81">
        <v>46279</v>
      </c>
      <c r="B98" s="82" t="s">
        <v>2399</v>
      </c>
      <c r="C98" s="82" t="s">
        <v>367</v>
      </c>
      <c r="D98" s="83">
        <v>200</v>
      </c>
      <c r="E98" s="82" t="s">
        <v>2045</v>
      </c>
      <c r="F98" s="83">
        <v>16.38</v>
      </c>
      <c r="G98" s="83"/>
      <c r="H98" s="82"/>
      <c r="I98" s="82" t="s">
        <v>2246</v>
      </c>
      <c r="J98" s="82" t="s">
        <v>2400</v>
      </c>
    </row>
    <row r="99" spans="1:10">
      <c r="A99" s="77">
        <v>46277</v>
      </c>
      <c r="B99" s="78" t="s">
        <v>2401</v>
      </c>
      <c r="C99" s="78"/>
      <c r="D99" s="79"/>
      <c r="E99" s="78"/>
      <c r="F99" s="79"/>
      <c r="G99" s="79">
        <v>282.68</v>
      </c>
      <c r="H99" s="78" t="s">
        <v>112</v>
      </c>
      <c r="I99" s="78" t="s">
        <v>2402</v>
      </c>
    </row>
    <row r="100" spans="1:10">
      <c r="A100" s="81">
        <v>46277</v>
      </c>
      <c r="B100" s="82" t="s">
        <v>2401</v>
      </c>
      <c r="C100" s="82"/>
      <c r="D100" s="83"/>
      <c r="E100" s="82"/>
      <c r="F100" s="83"/>
      <c r="G100" s="83">
        <v>221.93</v>
      </c>
      <c r="H100" s="82" t="s">
        <v>112</v>
      </c>
      <c r="I100" s="82" t="s">
        <v>2403</v>
      </c>
    </row>
    <row r="101" spans="1:10">
      <c r="A101" s="77">
        <v>46280</v>
      </c>
      <c r="B101" s="78" t="s">
        <v>2404</v>
      </c>
      <c r="C101" s="78"/>
      <c r="D101" s="79"/>
      <c r="E101" s="78"/>
      <c r="F101" s="79"/>
      <c r="G101" s="79">
        <v>2.2000000000000002</v>
      </c>
      <c r="H101" s="78" t="s">
        <v>103</v>
      </c>
      <c r="I101" s="78" t="s">
        <v>2405</v>
      </c>
    </row>
    <row r="102" spans="1:10">
      <c r="A102" s="81">
        <v>46280</v>
      </c>
      <c r="B102" s="82" t="s">
        <v>2353</v>
      </c>
      <c r="C102" s="82"/>
      <c r="D102" s="83"/>
      <c r="E102" s="82"/>
      <c r="F102" s="83"/>
      <c r="G102" s="83">
        <v>0.89</v>
      </c>
      <c r="H102" s="82" t="s">
        <v>103</v>
      </c>
      <c r="I102" s="82" t="s">
        <v>2406</v>
      </c>
    </row>
    <row r="103" spans="1:10">
      <c r="A103" s="77">
        <v>46280</v>
      </c>
      <c r="B103" s="78" t="s">
        <v>2404</v>
      </c>
      <c r="C103" s="78"/>
      <c r="D103" s="79"/>
      <c r="E103" s="78"/>
      <c r="F103" s="79"/>
      <c r="G103" s="79">
        <v>2.8</v>
      </c>
      <c r="H103" s="78" t="s">
        <v>103</v>
      </c>
      <c r="I103" s="78" t="s">
        <v>2407</v>
      </c>
    </row>
    <row r="104" spans="1:10">
      <c r="A104" s="81">
        <v>46280</v>
      </c>
      <c r="B104" s="82" t="s">
        <v>455</v>
      </c>
      <c r="C104" s="82"/>
      <c r="D104" s="83"/>
      <c r="E104" s="82"/>
      <c r="F104" s="83"/>
      <c r="G104" s="83">
        <v>980.83</v>
      </c>
      <c r="H104" s="82" t="s">
        <v>99</v>
      </c>
      <c r="I104" s="82" t="s">
        <v>2408</v>
      </c>
    </row>
    <row r="105" spans="1:10">
      <c r="A105" s="77">
        <v>46280</v>
      </c>
      <c r="B105" s="78" t="s">
        <v>690</v>
      </c>
      <c r="C105" s="78"/>
      <c r="D105" s="79"/>
      <c r="E105" s="78"/>
      <c r="F105" s="79"/>
      <c r="G105" s="79">
        <v>892.3</v>
      </c>
      <c r="H105" s="78" t="s">
        <v>99</v>
      </c>
      <c r="I105" s="78" t="s">
        <v>2409</v>
      </c>
    </row>
    <row r="106" spans="1:10">
      <c r="A106" s="81">
        <v>46280</v>
      </c>
      <c r="B106" s="82" t="s">
        <v>227</v>
      </c>
      <c r="C106" s="82"/>
      <c r="D106" s="83"/>
      <c r="E106" s="82"/>
      <c r="F106" s="83"/>
      <c r="G106" s="83">
        <v>486.32</v>
      </c>
      <c r="H106" s="82" t="s">
        <v>107</v>
      </c>
      <c r="I106" s="82" t="s">
        <v>2410</v>
      </c>
    </row>
    <row r="107" spans="1:10">
      <c r="A107" s="77">
        <v>46280</v>
      </c>
      <c r="B107" s="78" t="s">
        <v>2411</v>
      </c>
      <c r="C107" s="78"/>
      <c r="D107" s="79"/>
      <c r="E107" s="78"/>
      <c r="F107" s="79"/>
      <c r="G107" s="79">
        <v>75</v>
      </c>
      <c r="H107" s="78" t="s">
        <v>106</v>
      </c>
      <c r="I107" s="78" t="s">
        <v>2412</v>
      </c>
    </row>
    <row r="108" spans="1:10">
      <c r="A108" s="81">
        <v>46280</v>
      </c>
      <c r="B108" s="82" t="s">
        <v>2413</v>
      </c>
      <c r="C108" s="82"/>
      <c r="D108" s="83"/>
      <c r="E108" s="82"/>
      <c r="F108" s="83"/>
      <c r="G108" s="83">
        <v>69.989999999999995</v>
      </c>
      <c r="H108" s="82" t="s">
        <v>101</v>
      </c>
      <c r="I108" s="82" t="s">
        <v>2414</v>
      </c>
    </row>
    <row r="109" spans="1:10">
      <c r="A109" s="77">
        <v>46280</v>
      </c>
      <c r="B109" s="78" t="s">
        <v>2318</v>
      </c>
      <c r="C109" s="78" t="s">
        <v>552</v>
      </c>
      <c r="D109" s="79">
        <v>80</v>
      </c>
      <c r="E109" s="78" t="s">
        <v>2052</v>
      </c>
      <c r="F109" s="79"/>
      <c r="G109" s="79"/>
      <c r="H109" s="78"/>
      <c r="I109" s="78"/>
    </row>
    <row r="110" spans="1:10" ht="15.75" customHeight="1">
      <c r="A110" s="81">
        <v>46280</v>
      </c>
      <c r="B110" s="82" t="s">
        <v>2415</v>
      </c>
      <c r="C110" s="82" t="s">
        <v>344</v>
      </c>
      <c r="D110" s="83">
        <v>140</v>
      </c>
      <c r="E110" s="82" t="s">
        <v>2060</v>
      </c>
      <c r="F110" s="83"/>
      <c r="G110" s="83"/>
      <c r="H110" s="82"/>
      <c r="I110" s="82"/>
      <c r="J110" s="82" t="s">
        <v>2416</v>
      </c>
    </row>
    <row r="111" spans="1:10">
      <c r="A111" s="77">
        <v>46280</v>
      </c>
      <c r="B111" s="78" t="s">
        <v>2417</v>
      </c>
      <c r="C111" s="78" t="s">
        <v>355</v>
      </c>
      <c r="D111" s="79">
        <v>140</v>
      </c>
      <c r="E111" s="78" t="s">
        <v>2052</v>
      </c>
      <c r="F111" s="79"/>
      <c r="G111" s="79"/>
      <c r="H111" s="78"/>
      <c r="I111" s="78"/>
      <c r="J111" s="78" t="s">
        <v>2418</v>
      </c>
    </row>
    <row r="112" spans="1:10">
      <c r="A112" s="81">
        <v>46280</v>
      </c>
      <c r="B112" s="82" t="s">
        <v>2419</v>
      </c>
      <c r="C112" s="82" t="s">
        <v>355</v>
      </c>
      <c r="D112" s="83">
        <v>145</v>
      </c>
      <c r="E112" s="82" t="s">
        <v>2045</v>
      </c>
      <c r="F112" s="83">
        <v>12.15</v>
      </c>
      <c r="G112" s="83"/>
      <c r="H112" s="82"/>
      <c r="I112" s="82" t="s">
        <v>2302</v>
      </c>
      <c r="J112" s="82" t="s">
        <v>2420</v>
      </c>
    </row>
    <row r="113" spans="1:10">
      <c r="A113" s="77">
        <v>46280</v>
      </c>
      <c r="B113" s="78" t="s">
        <v>2421</v>
      </c>
      <c r="C113" s="78" t="s">
        <v>2422</v>
      </c>
      <c r="D113" s="79">
        <v>80</v>
      </c>
      <c r="E113" s="78" t="s">
        <v>2052</v>
      </c>
      <c r="F113" s="79"/>
      <c r="G113" s="79"/>
      <c r="H113" s="78"/>
      <c r="I113" s="78" t="s">
        <v>2423</v>
      </c>
      <c r="J113" s="78" t="s">
        <v>1079</v>
      </c>
    </row>
    <row r="114" spans="1:10">
      <c r="A114" s="81">
        <v>46280</v>
      </c>
      <c r="B114" s="82" t="s">
        <v>2318</v>
      </c>
      <c r="C114" s="82" t="s">
        <v>2424</v>
      </c>
      <c r="D114" s="83">
        <v>60</v>
      </c>
      <c r="E114" s="82" t="s">
        <v>2052</v>
      </c>
      <c r="F114" s="83"/>
      <c r="G114" s="83"/>
      <c r="H114" s="82"/>
      <c r="I114" s="82" t="s">
        <v>2425</v>
      </c>
    </row>
    <row r="115" spans="1:10">
      <c r="A115" s="77">
        <v>46280</v>
      </c>
      <c r="B115" s="78" t="s">
        <v>2426</v>
      </c>
      <c r="C115" s="78" t="s">
        <v>2427</v>
      </c>
      <c r="D115" s="79">
        <v>310</v>
      </c>
      <c r="E115" s="78" t="s">
        <v>2060</v>
      </c>
      <c r="F115" s="79"/>
      <c r="G115" s="79"/>
      <c r="H115" s="78"/>
      <c r="I115" s="78"/>
    </row>
    <row r="116" spans="1:10">
      <c r="A116" s="81">
        <v>46281</v>
      </c>
      <c r="B116" s="82" t="s">
        <v>429</v>
      </c>
      <c r="C116" s="82" t="s">
        <v>430</v>
      </c>
      <c r="D116" s="83">
        <v>310</v>
      </c>
      <c r="E116" s="82" t="s">
        <v>2067</v>
      </c>
      <c r="F116" s="83"/>
      <c r="G116" s="83"/>
      <c r="H116" s="82"/>
      <c r="I116" s="82"/>
      <c r="J116" s="82" t="s">
        <v>2428</v>
      </c>
    </row>
    <row r="117" spans="1:10">
      <c r="A117" s="77">
        <v>46281</v>
      </c>
      <c r="B117" s="78" t="s">
        <v>2429</v>
      </c>
      <c r="C117" s="78" t="s">
        <v>344</v>
      </c>
      <c r="D117" s="79">
        <v>140</v>
      </c>
      <c r="E117" s="78" t="s">
        <v>2052</v>
      </c>
      <c r="F117" s="79"/>
      <c r="G117" s="79"/>
      <c r="H117" s="78"/>
      <c r="I117" s="78"/>
      <c r="J117" s="78" t="s">
        <v>2430</v>
      </c>
    </row>
    <row r="118" spans="1:10">
      <c r="A118" s="81">
        <v>46280</v>
      </c>
      <c r="B118" s="82" t="s">
        <v>2431</v>
      </c>
      <c r="C118" s="82"/>
      <c r="D118" s="83"/>
      <c r="E118" s="82"/>
      <c r="F118" s="83"/>
      <c r="G118" s="83">
        <v>20</v>
      </c>
      <c r="H118" s="82" t="s">
        <v>104</v>
      </c>
      <c r="I118" s="82" t="s">
        <v>2432</v>
      </c>
    </row>
    <row r="119" spans="1:10">
      <c r="A119" s="77">
        <v>46281</v>
      </c>
      <c r="B119" s="78" t="s">
        <v>2133</v>
      </c>
      <c r="C119" s="78"/>
      <c r="D119" s="79"/>
      <c r="E119" s="78"/>
      <c r="F119" s="79"/>
      <c r="G119" s="79">
        <v>30</v>
      </c>
      <c r="H119" s="78" t="s">
        <v>104</v>
      </c>
      <c r="I119" s="78"/>
    </row>
    <row r="120" spans="1:10">
      <c r="A120" s="81">
        <v>46281</v>
      </c>
      <c r="B120" s="82" t="s">
        <v>2318</v>
      </c>
      <c r="C120" s="82" t="s">
        <v>2375</v>
      </c>
      <c r="D120" s="83">
        <v>20</v>
      </c>
      <c r="E120" s="82" t="s">
        <v>2052</v>
      </c>
      <c r="F120" s="83"/>
      <c r="G120" s="83"/>
      <c r="H120" s="82"/>
      <c r="I120" s="82"/>
    </row>
    <row r="121" spans="1:10">
      <c r="A121" s="77">
        <v>46281</v>
      </c>
      <c r="B121" s="78" t="s">
        <v>2433</v>
      </c>
      <c r="C121" s="78" t="s">
        <v>2434</v>
      </c>
      <c r="D121" s="79">
        <v>379</v>
      </c>
      <c r="E121" s="78" t="s">
        <v>2052</v>
      </c>
      <c r="F121" s="79"/>
      <c r="G121" s="79"/>
      <c r="H121" s="78"/>
      <c r="I121" s="78"/>
      <c r="J121" s="78" t="s">
        <v>2435</v>
      </c>
    </row>
    <row r="122" spans="1:10">
      <c r="A122" s="81">
        <v>46281</v>
      </c>
      <c r="B122" s="82" t="s">
        <v>2436</v>
      </c>
      <c r="C122" s="82"/>
      <c r="D122" s="83"/>
      <c r="E122" s="82"/>
      <c r="F122" s="83"/>
      <c r="G122" s="83">
        <v>292.68</v>
      </c>
      <c r="H122" s="82" t="s">
        <v>104</v>
      </c>
      <c r="I122" s="82" t="s">
        <v>2437</v>
      </c>
    </row>
    <row r="123" spans="1:10">
      <c r="A123" s="77">
        <v>46281</v>
      </c>
      <c r="B123" s="78" t="s">
        <v>690</v>
      </c>
      <c r="C123" s="78"/>
      <c r="D123" s="79"/>
      <c r="E123" s="78"/>
      <c r="F123" s="79"/>
      <c r="G123" s="79">
        <v>139.31</v>
      </c>
      <c r="H123" s="78" t="s">
        <v>99</v>
      </c>
      <c r="I123" s="78" t="s">
        <v>2438</v>
      </c>
    </row>
    <row r="124" spans="1:10">
      <c r="A124" s="81">
        <v>46281</v>
      </c>
      <c r="B124" s="82" t="s">
        <v>690</v>
      </c>
      <c r="C124" s="82"/>
      <c r="D124" s="83"/>
      <c r="E124" s="82"/>
      <c r="F124" s="83"/>
      <c r="G124" s="83">
        <v>856.35</v>
      </c>
      <c r="H124" s="82" t="s">
        <v>99</v>
      </c>
      <c r="I124" s="82" t="s">
        <v>2439</v>
      </c>
    </row>
    <row r="125" spans="1:10">
      <c r="A125" s="77">
        <v>46281</v>
      </c>
      <c r="B125" s="78" t="s">
        <v>690</v>
      </c>
      <c r="C125" s="78"/>
      <c r="D125" s="79"/>
      <c r="E125" s="78"/>
      <c r="F125" s="79"/>
      <c r="G125" s="79">
        <v>865.5</v>
      </c>
      <c r="H125" s="78" t="s">
        <v>99</v>
      </c>
      <c r="I125" s="78" t="s">
        <v>2440</v>
      </c>
    </row>
    <row r="126" spans="1:10">
      <c r="A126" s="81">
        <v>46281</v>
      </c>
      <c r="B126" s="82" t="s">
        <v>454</v>
      </c>
      <c r="C126" s="82"/>
      <c r="D126" s="83"/>
      <c r="E126" s="82"/>
      <c r="F126" s="83"/>
      <c r="G126" s="83">
        <v>1385.85</v>
      </c>
      <c r="H126" s="82" t="s">
        <v>99</v>
      </c>
      <c r="I126" s="82" t="s">
        <v>2441</v>
      </c>
    </row>
    <row r="127" spans="1:10">
      <c r="A127" s="77">
        <v>46282</v>
      </c>
      <c r="B127" s="78" t="s">
        <v>2442</v>
      </c>
      <c r="C127" s="78" t="s">
        <v>2107</v>
      </c>
      <c r="D127" s="79">
        <v>150</v>
      </c>
      <c r="E127" s="78" t="s">
        <v>2060</v>
      </c>
      <c r="F127" s="79"/>
      <c r="G127" s="79"/>
      <c r="H127" s="78"/>
      <c r="I127" s="78"/>
      <c r="J127" s="78" t="s">
        <v>1218</v>
      </c>
    </row>
    <row r="128" spans="1:10">
      <c r="A128" s="81">
        <v>46282</v>
      </c>
      <c r="B128" s="82" t="s">
        <v>2443</v>
      </c>
      <c r="C128" s="82" t="s">
        <v>2444</v>
      </c>
      <c r="D128" s="83">
        <v>60</v>
      </c>
      <c r="E128" s="82" t="s">
        <v>2048</v>
      </c>
      <c r="F128" s="83">
        <v>2.11</v>
      </c>
      <c r="G128" s="83"/>
      <c r="H128" s="82"/>
      <c r="I128" s="82"/>
      <c r="J128" t="s">
        <v>917</v>
      </c>
    </row>
    <row r="129" spans="1:10">
      <c r="A129" s="77">
        <v>46282</v>
      </c>
      <c r="B129" s="78" t="s">
        <v>2445</v>
      </c>
      <c r="C129" s="78" t="s">
        <v>2360</v>
      </c>
      <c r="D129" s="79">
        <v>100</v>
      </c>
      <c r="E129" s="78" t="s">
        <v>2060</v>
      </c>
      <c r="F129" s="79"/>
      <c r="G129" s="79"/>
      <c r="H129" s="78"/>
      <c r="I129" s="78"/>
      <c r="J129" s="78" t="s">
        <v>2446</v>
      </c>
    </row>
    <row r="130" spans="1:10">
      <c r="A130" s="81">
        <v>46282</v>
      </c>
      <c r="B130" s="82" t="s">
        <v>421</v>
      </c>
      <c r="C130" s="82" t="s">
        <v>558</v>
      </c>
      <c r="D130" s="83">
        <v>30</v>
      </c>
      <c r="E130" s="82" t="s">
        <v>2052</v>
      </c>
      <c r="F130" s="83"/>
      <c r="G130" s="83"/>
      <c r="H130" s="82"/>
      <c r="I130" s="82"/>
      <c r="J130" t="s">
        <v>2383</v>
      </c>
    </row>
    <row r="131" spans="1:10">
      <c r="A131" s="77">
        <v>46283</v>
      </c>
      <c r="B131" s="78" t="s">
        <v>2447</v>
      </c>
      <c r="C131" s="78" t="s">
        <v>344</v>
      </c>
      <c r="D131" s="79">
        <v>150</v>
      </c>
      <c r="E131" s="78" t="s">
        <v>2052</v>
      </c>
      <c r="F131" s="79"/>
      <c r="G131" s="79"/>
      <c r="H131" s="78"/>
      <c r="I131" s="78"/>
      <c r="J131" s="78" t="s">
        <v>2448</v>
      </c>
    </row>
    <row r="132" spans="1:10">
      <c r="A132" s="81">
        <v>46284</v>
      </c>
      <c r="B132" s="82" t="s">
        <v>432</v>
      </c>
      <c r="C132" s="82" t="s">
        <v>367</v>
      </c>
      <c r="D132" s="83">
        <v>200</v>
      </c>
      <c r="E132" s="82" t="s">
        <v>2060</v>
      </c>
      <c r="F132" s="83"/>
      <c r="G132" s="83"/>
      <c r="H132" s="82"/>
      <c r="I132" s="82" t="s">
        <v>2449</v>
      </c>
      <c r="J132" t="s">
        <v>2450</v>
      </c>
    </row>
    <row r="133" spans="1:10">
      <c r="A133" s="77">
        <v>46283</v>
      </c>
      <c r="B133" s="78" t="s">
        <v>2451</v>
      </c>
      <c r="C133" s="78" t="s">
        <v>400</v>
      </c>
      <c r="D133" s="79">
        <v>60</v>
      </c>
      <c r="E133" s="78" t="s">
        <v>2052</v>
      </c>
      <c r="F133" s="79"/>
      <c r="G133" s="79"/>
      <c r="H133" s="78"/>
      <c r="I133" s="78" t="s">
        <v>2452</v>
      </c>
      <c r="J133" s="78"/>
    </row>
    <row r="134" spans="1:10">
      <c r="A134" s="81">
        <v>46283</v>
      </c>
      <c r="B134" s="82" t="s">
        <v>2453</v>
      </c>
      <c r="C134" s="82" t="s">
        <v>2454</v>
      </c>
      <c r="D134" s="83">
        <v>1490</v>
      </c>
      <c r="E134" s="82" t="s">
        <v>2045</v>
      </c>
      <c r="F134" s="83">
        <v>148.85</v>
      </c>
      <c r="G134" s="83"/>
      <c r="H134" s="82"/>
      <c r="I134" s="82" t="s">
        <v>2455</v>
      </c>
      <c r="J134" t="s">
        <v>2456</v>
      </c>
    </row>
    <row r="135" spans="1:10">
      <c r="A135" s="77">
        <v>46283</v>
      </c>
      <c r="B135" s="78" t="s">
        <v>2457</v>
      </c>
      <c r="C135" s="78" t="s">
        <v>344</v>
      </c>
      <c r="D135" s="79">
        <v>140</v>
      </c>
      <c r="E135" s="78" t="s">
        <v>2052</v>
      </c>
      <c r="F135" s="79"/>
      <c r="G135" s="79"/>
      <c r="H135" s="78"/>
      <c r="I135" s="78"/>
      <c r="J135" s="78" t="s">
        <v>2458</v>
      </c>
    </row>
    <row r="136" spans="1:10">
      <c r="A136" s="81">
        <v>46283</v>
      </c>
      <c r="B136" s="82" t="s">
        <v>2318</v>
      </c>
      <c r="C136" s="82" t="s">
        <v>2163</v>
      </c>
      <c r="D136" s="83">
        <v>60</v>
      </c>
      <c r="E136" s="82" t="s">
        <v>2060</v>
      </c>
      <c r="F136" s="83"/>
      <c r="G136" s="83"/>
      <c r="H136" s="82"/>
      <c r="I136" s="82"/>
    </row>
    <row r="137" spans="1:10">
      <c r="A137" s="77">
        <v>46281</v>
      </c>
      <c r="B137" s="78" t="s">
        <v>2459</v>
      </c>
      <c r="C137" s="78"/>
      <c r="D137" s="79"/>
      <c r="E137" s="78"/>
      <c r="F137" s="79"/>
      <c r="G137" s="79">
        <v>150</v>
      </c>
      <c r="H137" s="78" t="s">
        <v>112</v>
      </c>
      <c r="I137" s="78" t="s">
        <v>2460</v>
      </c>
      <c r="J137" s="78"/>
    </row>
    <row r="138" spans="1:10">
      <c r="A138" s="81">
        <v>46267</v>
      </c>
      <c r="B138" s="82" t="s">
        <v>2461</v>
      </c>
      <c r="C138" s="82"/>
      <c r="D138" s="83"/>
      <c r="E138" s="82"/>
      <c r="F138" s="83"/>
      <c r="G138" s="83">
        <v>50</v>
      </c>
      <c r="H138" s="82" t="s">
        <v>112</v>
      </c>
      <c r="I138" s="82" t="s">
        <v>2462</v>
      </c>
    </row>
    <row r="139" spans="1:10">
      <c r="A139" s="77">
        <v>46267</v>
      </c>
      <c r="B139" s="78" t="s">
        <v>2463</v>
      </c>
      <c r="C139" s="78"/>
      <c r="D139" s="79"/>
      <c r="E139" s="78"/>
      <c r="F139" s="79"/>
      <c r="G139" s="79">
        <v>103.52</v>
      </c>
      <c r="H139" s="78" t="s">
        <v>112</v>
      </c>
      <c r="I139" s="78" t="s">
        <v>2462</v>
      </c>
      <c r="J139" s="78"/>
    </row>
    <row r="140" spans="1:10">
      <c r="A140" s="81">
        <v>46268</v>
      </c>
      <c r="B140" s="82" t="s">
        <v>2464</v>
      </c>
      <c r="C140" s="82"/>
      <c r="D140" s="83"/>
      <c r="E140" s="82"/>
      <c r="F140" s="83"/>
      <c r="G140" s="83">
        <v>176.67</v>
      </c>
      <c r="H140" s="82" t="s">
        <v>112</v>
      </c>
      <c r="I140" s="82" t="s">
        <v>2465</v>
      </c>
    </row>
    <row r="141" spans="1:10">
      <c r="A141" s="77">
        <v>46269</v>
      </c>
      <c r="B141" s="78" t="s">
        <v>2466</v>
      </c>
      <c r="C141" s="78"/>
      <c r="D141" s="79"/>
      <c r="E141" s="78"/>
      <c r="F141" s="79"/>
      <c r="G141" s="79">
        <v>21</v>
      </c>
      <c r="H141" s="78" t="s">
        <v>112</v>
      </c>
      <c r="I141" s="78" t="s">
        <v>2467</v>
      </c>
      <c r="J141" s="78"/>
    </row>
    <row r="142" spans="1:10">
      <c r="A142" s="81">
        <v>46269</v>
      </c>
      <c r="B142" s="82" t="s">
        <v>2463</v>
      </c>
      <c r="C142" s="82"/>
      <c r="D142" s="83"/>
      <c r="E142" s="82"/>
      <c r="F142" s="83"/>
      <c r="G142" s="83">
        <v>143.80000000000001</v>
      </c>
      <c r="H142" s="82" t="s">
        <v>112</v>
      </c>
      <c r="I142" s="82" t="s">
        <v>2467</v>
      </c>
    </row>
    <row r="143" spans="1:10">
      <c r="A143" s="77">
        <v>46271</v>
      </c>
      <c r="B143" s="78" t="s">
        <v>2468</v>
      </c>
      <c r="C143" s="78"/>
      <c r="D143" s="79"/>
      <c r="E143" s="78"/>
      <c r="F143" s="79"/>
      <c r="G143" s="79">
        <v>72.8</v>
      </c>
      <c r="H143" s="78" t="s">
        <v>112</v>
      </c>
      <c r="I143" s="78" t="s">
        <v>2469</v>
      </c>
      <c r="J143" s="78"/>
    </row>
    <row r="144" spans="1:10">
      <c r="A144" s="81">
        <v>46271</v>
      </c>
      <c r="B144" s="82" t="s">
        <v>2470</v>
      </c>
      <c r="C144" s="82"/>
      <c r="D144" s="83"/>
      <c r="E144" s="82"/>
      <c r="F144" s="83"/>
      <c r="G144" s="83">
        <v>11.89</v>
      </c>
      <c r="H144" s="82" t="s">
        <v>112</v>
      </c>
      <c r="I144" s="82" t="s">
        <v>2469</v>
      </c>
    </row>
    <row r="145" spans="1:10">
      <c r="A145" s="77">
        <v>46273</v>
      </c>
      <c r="B145" s="78" t="s">
        <v>2203</v>
      </c>
      <c r="C145" s="78"/>
      <c r="D145" s="79"/>
      <c r="E145" s="78"/>
      <c r="F145" s="79"/>
      <c r="G145" s="79">
        <v>43.99</v>
      </c>
      <c r="H145" s="78" t="s">
        <v>112</v>
      </c>
      <c r="I145" s="78" t="s">
        <v>2471</v>
      </c>
      <c r="J145" s="78"/>
    </row>
    <row r="146" spans="1:10">
      <c r="A146" s="81">
        <v>46274</v>
      </c>
      <c r="B146" s="82" t="s">
        <v>2472</v>
      </c>
      <c r="C146" s="82"/>
      <c r="D146" s="83"/>
      <c r="E146" s="82"/>
      <c r="F146" s="83"/>
      <c r="G146" s="83">
        <v>2.4</v>
      </c>
      <c r="H146" s="82" t="s">
        <v>112</v>
      </c>
      <c r="I146" s="82" t="s">
        <v>2473</v>
      </c>
    </row>
    <row r="147" spans="1:10">
      <c r="A147" s="77">
        <v>46274</v>
      </c>
      <c r="B147" s="78" t="s">
        <v>2474</v>
      </c>
      <c r="C147" s="78"/>
      <c r="D147" s="79"/>
      <c r="E147" s="78"/>
      <c r="F147" s="79"/>
      <c r="G147" s="79">
        <v>170</v>
      </c>
      <c r="H147" s="78" t="s">
        <v>112</v>
      </c>
      <c r="I147" s="78" t="s">
        <v>2473</v>
      </c>
      <c r="J147" s="78"/>
    </row>
    <row r="148" spans="1:10">
      <c r="A148" s="81">
        <v>46275</v>
      </c>
      <c r="B148" s="82" t="s">
        <v>2466</v>
      </c>
      <c r="C148" s="82"/>
      <c r="D148" s="83"/>
      <c r="E148" s="82"/>
      <c r="F148" s="83"/>
      <c r="G148" s="83">
        <v>21</v>
      </c>
      <c r="H148" s="82" t="s">
        <v>112</v>
      </c>
      <c r="I148" s="82" t="s">
        <v>2475</v>
      </c>
    </row>
    <row r="149" spans="1:10">
      <c r="A149" s="77">
        <v>46275</v>
      </c>
      <c r="B149" s="78" t="s">
        <v>2476</v>
      </c>
      <c r="C149" s="78"/>
      <c r="D149" s="79"/>
      <c r="E149" s="78"/>
      <c r="F149" s="79"/>
      <c r="G149" s="79">
        <v>964</v>
      </c>
      <c r="H149" s="78" t="s">
        <v>112</v>
      </c>
      <c r="I149" s="78" t="s">
        <v>2475</v>
      </c>
      <c r="J149" s="78"/>
    </row>
    <row r="150" spans="1:10">
      <c r="A150" s="81">
        <v>46279</v>
      </c>
      <c r="B150" s="82" t="s">
        <v>2477</v>
      </c>
      <c r="C150" s="82"/>
      <c r="D150" s="83"/>
      <c r="E150" s="82"/>
      <c r="F150" s="83"/>
      <c r="G150" s="83">
        <v>100</v>
      </c>
      <c r="H150" s="82" t="s">
        <v>112</v>
      </c>
      <c r="I150" s="82" t="s">
        <v>2478</v>
      </c>
    </row>
    <row r="151" spans="1:10">
      <c r="A151" s="77">
        <v>46280</v>
      </c>
      <c r="B151" s="78" t="s">
        <v>2479</v>
      </c>
      <c r="C151" s="78"/>
      <c r="D151" s="79"/>
      <c r="E151" s="78"/>
      <c r="F151" s="79"/>
      <c r="G151" s="79">
        <v>50</v>
      </c>
      <c r="H151" s="78" t="s">
        <v>112</v>
      </c>
      <c r="I151" s="78" t="s">
        <v>2480</v>
      </c>
      <c r="J151" s="78"/>
    </row>
    <row r="152" spans="1:10">
      <c r="A152" s="81">
        <v>46280</v>
      </c>
      <c r="B152" s="82" t="s">
        <v>2481</v>
      </c>
      <c r="C152" s="82"/>
      <c r="D152" s="83"/>
      <c r="E152" s="82"/>
      <c r="F152" s="83"/>
      <c r="G152" s="83">
        <v>50</v>
      </c>
      <c r="H152" s="82" t="s">
        <v>112</v>
      </c>
      <c r="I152" s="82" t="s">
        <v>2480</v>
      </c>
    </row>
    <row r="153" spans="1:10">
      <c r="A153" s="77">
        <v>46280</v>
      </c>
      <c r="B153" s="78" t="s">
        <v>2482</v>
      </c>
      <c r="C153" s="78"/>
      <c r="D153" s="79"/>
      <c r="E153" s="78"/>
      <c r="F153" s="79"/>
      <c r="G153" s="79">
        <v>48.8</v>
      </c>
      <c r="H153" s="78" t="s">
        <v>112</v>
      </c>
      <c r="I153" s="78" t="s">
        <v>2480</v>
      </c>
      <c r="J153" s="78"/>
    </row>
    <row r="154" spans="1:10">
      <c r="A154" s="81">
        <v>46280</v>
      </c>
      <c r="B154" s="82" t="s">
        <v>2466</v>
      </c>
      <c r="C154" s="82"/>
      <c r="D154" s="83"/>
      <c r="E154" s="82"/>
      <c r="F154" s="83"/>
      <c r="G154" s="83">
        <v>28</v>
      </c>
      <c r="H154" s="82" t="s">
        <v>112</v>
      </c>
      <c r="I154" s="82" t="s">
        <v>2480</v>
      </c>
    </row>
    <row r="155" spans="1:10">
      <c r="A155" s="77">
        <v>46280</v>
      </c>
      <c r="B155" s="78" t="s">
        <v>2198</v>
      </c>
      <c r="C155" s="78"/>
      <c r="D155" s="79"/>
      <c r="E155" s="78"/>
      <c r="F155" s="79"/>
      <c r="G155" s="79">
        <v>140</v>
      </c>
      <c r="H155" s="78" t="s">
        <v>112</v>
      </c>
      <c r="I155" s="78" t="s">
        <v>2480</v>
      </c>
      <c r="J155" s="78"/>
    </row>
    <row r="156" spans="1:10">
      <c r="A156" s="81">
        <v>46281</v>
      </c>
      <c r="B156" s="82" t="s">
        <v>2212</v>
      </c>
      <c r="C156" s="82"/>
      <c r="D156" s="83"/>
      <c r="E156" s="82"/>
      <c r="F156" s="83"/>
      <c r="G156" s="83">
        <v>44.98</v>
      </c>
      <c r="H156" s="82" t="s">
        <v>112</v>
      </c>
      <c r="I156" s="82" t="s">
        <v>2483</v>
      </c>
    </row>
    <row r="157" spans="1:10">
      <c r="A157" s="77">
        <v>46283</v>
      </c>
      <c r="B157" s="78" t="s">
        <v>2203</v>
      </c>
      <c r="C157" s="78"/>
      <c r="D157" s="79"/>
      <c r="E157" s="78"/>
      <c r="F157" s="79"/>
      <c r="G157" s="79">
        <v>62.19</v>
      </c>
      <c r="H157" s="78" t="s">
        <v>112</v>
      </c>
      <c r="I157" s="78" t="s">
        <v>2484</v>
      </c>
      <c r="J157" s="78"/>
    </row>
    <row r="158" spans="1:10">
      <c r="A158" s="81">
        <v>46283</v>
      </c>
      <c r="B158" s="82" t="s">
        <v>2485</v>
      </c>
      <c r="C158" s="82"/>
      <c r="D158" s="83"/>
      <c r="E158" s="82"/>
      <c r="F158" s="83"/>
      <c r="G158" s="83">
        <v>130</v>
      </c>
      <c r="H158" s="82" t="s">
        <v>112</v>
      </c>
      <c r="I158" s="82" t="s">
        <v>2484</v>
      </c>
    </row>
    <row r="159" spans="1:10">
      <c r="A159" s="77">
        <v>46283</v>
      </c>
      <c r="B159" s="78" t="s">
        <v>2394</v>
      </c>
      <c r="C159" s="78"/>
      <c r="D159" s="79"/>
      <c r="E159" s="78"/>
      <c r="F159" s="79"/>
      <c r="G159" s="79">
        <v>40</v>
      </c>
      <c r="H159" s="78" t="s">
        <v>112</v>
      </c>
      <c r="I159" s="78" t="s">
        <v>2484</v>
      </c>
      <c r="J159" s="78"/>
    </row>
    <row r="160" spans="1:10">
      <c r="A160" s="81">
        <v>46273</v>
      </c>
      <c r="B160" s="82" t="s">
        <v>2486</v>
      </c>
      <c r="C160" s="82"/>
      <c r="D160" s="83"/>
      <c r="E160" s="82"/>
      <c r="F160" s="83"/>
      <c r="G160" s="83">
        <v>25</v>
      </c>
      <c r="H160" s="82" t="s">
        <v>112</v>
      </c>
      <c r="I160" s="82" t="s">
        <v>2471</v>
      </c>
    </row>
    <row r="161" spans="1:10">
      <c r="A161" s="77">
        <v>46281</v>
      </c>
      <c r="B161" s="78" t="s">
        <v>233</v>
      </c>
      <c r="C161" s="78"/>
      <c r="D161" s="79"/>
      <c r="E161" s="78"/>
      <c r="F161" s="79"/>
      <c r="G161" s="79">
        <v>136</v>
      </c>
      <c r="H161" s="78" t="s">
        <v>102</v>
      </c>
      <c r="I161" s="78" t="s">
        <v>2487</v>
      </c>
      <c r="J161" s="78"/>
    </row>
    <row r="162" spans="1:10">
      <c r="A162" s="81">
        <v>46281</v>
      </c>
      <c r="B162" s="82" t="s">
        <v>2488</v>
      </c>
      <c r="C162" s="82"/>
      <c r="D162" s="83"/>
      <c r="E162" s="82"/>
      <c r="F162" s="83"/>
      <c r="G162" s="83">
        <v>306.99</v>
      </c>
      <c r="H162" s="82" t="s">
        <v>102</v>
      </c>
      <c r="I162" s="82" t="s">
        <v>2489</v>
      </c>
    </row>
    <row r="163" spans="1:10">
      <c r="A163" s="77">
        <v>46286</v>
      </c>
      <c r="B163" s="78" t="s">
        <v>434</v>
      </c>
      <c r="C163" s="78" t="s">
        <v>344</v>
      </c>
      <c r="D163" s="79">
        <v>140</v>
      </c>
      <c r="E163" s="78" t="s">
        <v>2067</v>
      </c>
      <c r="F163" s="79"/>
      <c r="G163" s="79"/>
      <c r="H163" s="78"/>
      <c r="I163" s="78"/>
      <c r="J163" s="78" t="s">
        <v>2490</v>
      </c>
    </row>
    <row r="164" spans="1:10">
      <c r="A164" s="81">
        <v>46286</v>
      </c>
      <c r="B164" s="82" t="s">
        <v>2491</v>
      </c>
      <c r="C164" s="82" t="s">
        <v>344</v>
      </c>
      <c r="D164" s="83">
        <v>140</v>
      </c>
      <c r="E164" s="82" t="s">
        <v>2060</v>
      </c>
      <c r="F164" s="83"/>
      <c r="G164" s="83"/>
      <c r="H164" s="82"/>
      <c r="I164" s="82"/>
      <c r="J164" t="s">
        <v>2492</v>
      </c>
    </row>
    <row r="165" spans="1:10">
      <c r="A165" s="77">
        <v>46286</v>
      </c>
      <c r="B165" s="78" t="s">
        <v>436</v>
      </c>
      <c r="C165" s="78" t="s">
        <v>344</v>
      </c>
      <c r="D165" s="79">
        <v>140</v>
      </c>
      <c r="E165" s="78" t="s">
        <v>2060</v>
      </c>
      <c r="F165" s="79"/>
      <c r="G165" s="79"/>
      <c r="H165" s="78"/>
      <c r="I165" s="78"/>
      <c r="J165" s="78" t="s">
        <v>2493</v>
      </c>
    </row>
    <row r="166" spans="1:10">
      <c r="A166" s="81">
        <v>46286</v>
      </c>
      <c r="B166" s="82" t="s">
        <v>2494</v>
      </c>
      <c r="C166" s="82"/>
      <c r="D166" s="83"/>
      <c r="E166" s="82"/>
      <c r="F166" s="83"/>
      <c r="G166" s="83">
        <v>50</v>
      </c>
      <c r="H166" s="82" t="s">
        <v>104</v>
      </c>
      <c r="I166" s="82" t="s">
        <v>2495</v>
      </c>
    </row>
    <row r="167" spans="1:10">
      <c r="A167" s="77">
        <v>46286</v>
      </c>
      <c r="B167" s="78" t="s">
        <v>454</v>
      </c>
      <c r="C167" s="78"/>
      <c r="D167" s="79"/>
      <c r="E167" s="78"/>
      <c r="F167" s="79"/>
      <c r="G167" s="79">
        <v>592.89</v>
      </c>
      <c r="H167" s="78" t="s">
        <v>99</v>
      </c>
      <c r="I167" s="78" t="s">
        <v>2496</v>
      </c>
      <c r="J167" s="78"/>
    </row>
    <row r="168" spans="1:10">
      <c r="A168" s="81">
        <v>46286</v>
      </c>
      <c r="B168" s="82" t="s">
        <v>316</v>
      </c>
      <c r="C168" s="82"/>
      <c r="D168" s="83"/>
      <c r="E168" s="82"/>
      <c r="F168" s="83"/>
      <c r="G168" s="83">
        <v>1958.02</v>
      </c>
      <c r="H168" s="82" t="s">
        <v>102</v>
      </c>
      <c r="I168" s="82" t="s">
        <v>2497</v>
      </c>
    </row>
    <row r="169" spans="1:10">
      <c r="A169" s="77">
        <v>46286</v>
      </c>
      <c r="B169" s="78" t="s">
        <v>690</v>
      </c>
      <c r="C169" s="78"/>
      <c r="D169" s="79"/>
      <c r="E169" s="78"/>
      <c r="F169" s="79"/>
      <c r="G169" s="79">
        <v>874.68</v>
      </c>
      <c r="H169" s="78" t="s">
        <v>99</v>
      </c>
      <c r="I169" s="78" t="s">
        <v>2498</v>
      </c>
      <c r="J169" s="78"/>
    </row>
    <row r="170" spans="1:10">
      <c r="A170" s="81">
        <v>46286</v>
      </c>
      <c r="B170" s="82" t="s">
        <v>2499</v>
      </c>
      <c r="C170" s="82"/>
      <c r="D170" s="83"/>
      <c r="E170" s="82"/>
      <c r="F170" s="83"/>
      <c r="G170" s="83">
        <v>340</v>
      </c>
      <c r="H170" s="82" t="s">
        <v>112</v>
      </c>
      <c r="I170" s="82" t="s">
        <v>2500</v>
      </c>
    </row>
    <row r="171" spans="1:10">
      <c r="A171" s="77">
        <v>46286</v>
      </c>
      <c r="B171" s="78" t="s">
        <v>649</v>
      </c>
      <c r="C171" s="78"/>
      <c r="D171" s="79">
        <v>500</v>
      </c>
      <c r="E171" s="78" t="s">
        <v>2052</v>
      </c>
      <c r="F171" s="79"/>
      <c r="G171" s="79"/>
      <c r="H171" s="78"/>
      <c r="I171" s="78"/>
      <c r="J171" s="78"/>
    </row>
    <row r="172" spans="1:10">
      <c r="A172" s="81">
        <v>46286</v>
      </c>
      <c r="B172" s="82" t="s">
        <v>2318</v>
      </c>
      <c r="C172" s="82" t="s">
        <v>2501</v>
      </c>
      <c r="D172" s="83">
        <v>10</v>
      </c>
      <c r="E172" s="82" t="s">
        <v>2078</v>
      </c>
      <c r="F172" s="83">
        <v>0.14000000000000001</v>
      </c>
      <c r="G172" s="83"/>
      <c r="H172" s="82"/>
      <c r="I172" s="82"/>
    </row>
    <row r="173" spans="1:10">
      <c r="A173" s="77">
        <v>46286</v>
      </c>
      <c r="B173" s="78" t="s">
        <v>2318</v>
      </c>
      <c r="C173" s="78" t="s">
        <v>2502</v>
      </c>
      <c r="D173" s="79">
        <v>17</v>
      </c>
      <c r="E173" s="78" t="s">
        <v>2048</v>
      </c>
      <c r="F173" s="79">
        <v>0.6</v>
      </c>
      <c r="G173" s="79"/>
      <c r="H173" s="78"/>
      <c r="I173" s="78"/>
      <c r="J173" s="78"/>
    </row>
    <row r="174" spans="1:10">
      <c r="A174" s="81">
        <v>46286</v>
      </c>
      <c r="B174" s="82" t="s">
        <v>2318</v>
      </c>
      <c r="C174" s="82" t="s">
        <v>2502</v>
      </c>
      <c r="D174" s="83">
        <v>15</v>
      </c>
      <c r="E174" s="82" t="s">
        <v>2060</v>
      </c>
      <c r="F174" s="83"/>
      <c r="G174" s="83"/>
      <c r="H174" s="82"/>
      <c r="I174" s="82"/>
    </row>
    <row r="175" spans="1:10">
      <c r="A175" s="77">
        <v>46287</v>
      </c>
      <c r="B175" s="78" t="s">
        <v>2503</v>
      </c>
      <c r="C175" s="78" t="s">
        <v>2504</v>
      </c>
      <c r="D175" s="79">
        <v>990</v>
      </c>
      <c r="E175" s="78" t="s">
        <v>2048</v>
      </c>
      <c r="F175" s="79">
        <v>34.75</v>
      </c>
      <c r="G175" s="79"/>
      <c r="H175" s="78"/>
      <c r="I175" s="78"/>
      <c r="J175" s="78" t="s">
        <v>2505</v>
      </c>
    </row>
    <row r="176" spans="1:10">
      <c r="A176" s="44">
        <v>46287</v>
      </c>
      <c r="B176" s="45" t="s">
        <v>2506</v>
      </c>
      <c r="C176" s="45" t="s">
        <v>344</v>
      </c>
      <c r="D176" s="46">
        <v>140</v>
      </c>
      <c r="E176" s="45" t="s">
        <v>2052</v>
      </c>
      <c r="F176" s="47"/>
      <c r="G176" s="48"/>
      <c r="H176" s="49"/>
      <c r="I176" s="45"/>
      <c r="J176" t="s">
        <v>2507</v>
      </c>
    </row>
    <row r="177" spans="1:10">
      <c r="A177" s="17">
        <v>46287</v>
      </c>
      <c r="B177" s="18" t="s">
        <v>2508</v>
      </c>
      <c r="C177" s="18" t="s">
        <v>2509</v>
      </c>
      <c r="D177" s="27">
        <v>160</v>
      </c>
      <c r="E177" s="18" t="s">
        <v>2052</v>
      </c>
      <c r="F177" s="19"/>
      <c r="G177" s="19"/>
      <c r="H177" s="21"/>
      <c r="I177" s="18"/>
      <c r="J177" s="18" t="s">
        <v>1524</v>
      </c>
    </row>
    <row r="178" spans="1:10">
      <c r="A178" s="44">
        <v>46287</v>
      </c>
      <c r="B178" s="45" t="s">
        <v>2510</v>
      </c>
      <c r="C178" s="45" t="s">
        <v>344</v>
      </c>
      <c r="D178" s="46">
        <v>140</v>
      </c>
      <c r="E178" s="45" t="s">
        <v>2052</v>
      </c>
      <c r="F178" s="47"/>
      <c r="G178" s="48"/>
      <c r="H178" s="49"/>
      <c r="I178" s="45"/>
      <c r="J178" t="s">
        <v>2511</v>
      </c>
    </row>
    <row r="179" spans="1:10">
      <c r="A179" s="17">
        <v>46287</v>
      </c>
      <c r="B179" s="18" t="s">
        <v>2318</v>
      </c>
      <c r="C179" s="18" t="s">
        <v>2512</v>
      </c>
      <c r="D179" s="27">
        <v>190</v>
      </c>
      <c r="E179" s="18" t="s">
        <v>2060</v>
      </c>
      <c r="F179" s="19"/>
      <c r="G179" s="19"/>
      <c r="H179" s="21"/>
      <c r="I179" s="18"/>
      <c r="J179" s="18"/>
    </row>
    <row r="180" spans="1:10">
      <c r="A180" s="44"/>
      <c r="B180" s="45"/>
      <c r="C180" s="45"/>
      <c r="D180" s="46"/>
      <c r="E180" s="45"/>
      <c r="F180" s="47"/>
      <c r="G180" s="48"/>
      <c r="H180" s="49"/>
      <c r="I180" s="45"/>
    </row>
    <row r="181" spans="1:10">
      <c r="A181" s="17"/>
      <c r="B181" s="18"/>
      <c r="C181" s="18"/>
      <c r="D181" s="27"/>
      <c r="E181" s="18"/>
      <c r="F181" s="19"/>
      <c r="G181" s="19"/>
      <c r="H181" s="21"/>
      <c r="I181" s="18"/>
      <c r="J181" s="18"/>
    </row>
    <row r="182" spans="1:10">
      <c r="A182" s="44"/>
      <c r="B182" s="45"/>
      <c r="C182" s="45"/>
      <c r="D182" s="46"/>
      <c r="E182" s="45"/>
      <c r="F182" s="47"/>
      <c r="G182" s="48"/>
      <c r="H182" s="49"/>
      <c r="I182" s="45"/>
    </row>
    <row r="183" spans="1:10">
      <c r="A183" s="17"/>
      <c r="B183" s="18"/>
      <c r="C183" s="18"/>
      <c r="D183" s="27"/>
      <c r="E183" s="18"/>
      <c r="F183" s="19"/>
      <c r="G183" s="19"/>
      <c r="H183" s="21"/>
      <c r="I183" s="18"/>
      <c r="J183" s="18"/>
    </row>
    <row r="184" spans="1:10">
      <c r="A184" s="44"/>
      <c r="B184" s="45"/>
      <c r="C184" s="45"/>
      <c r="D184" s="46"/>
      <c r="E184" s="45"/>
      <c r="F184" s="47"/>
      <c r="G184" s="48"/>
      <c r="H184" s="49"/>
      <c r="I184" s="45"/>
    </row>
    <row r="185" spans="1:10">
      <c r="A185" s="17"/>
      <c r="B185" s="18"/>
      <c r="C185" s="18"/>
      <c r="D185" s="27"/>
      <c r="E185" s="18"/>
      <c r="F185" s="19"/>
      <c r="G185" s="19"/>
      <c r="H185" s="21"/>
      <c r="I185" s="18"/>
      <c r="J185" s="18"/>
    </row>
    <row r="186" spans="1:10">
      <c r="A186" s="44"/>
      <c r="B186" s="45"/>
      <c r="C186" s="45"/>
      <c r="D186" s="46"/>
      <c r="E186" s="45"/>
      <c r="F186" s="47"/>
      <c r="G186" s="48"/>
      <c r="H186" s="49"/>
      <c r="I186" s="45"/>
    </row>
    <row r="187" spans="1:10">
      <c r="A187" s="17"/>
      <c r="B187" s="18"/>
      <c r="C187" s="18"/>
      <c r="D187" s="27"/>
      <c r="E187" s="18"/>
      <c r="F187" s="19"/>
      <c r="G187" s="19"/>
      <c r="H187" s="21"/>
      <c r="I187" s="18"/>
      <c r="J187" s="18"/>
    </row>
    <row r="188" spans="1:10">
      <c r="A188" s="44"/>
      <c r="B188" s="45"/>
      <c r="C188" s="45"/>
      <c r="D188" s="46"/>
      <c r="E188" s="45"/>
      <c r="F188" s="47"/>
      <c r="G188" s="48"/>
      <c r="H188" s="49"/>
      <c r="I188" s="45"/>
    </row>
    <row r="189" spans="1:10">
      <c r="A189" s="17"/>
      <c r="B189" s="18"/>
      <c r="C189" s="18"/>
      <c r="D189" s="27"/>
      <c r="E189" s="18"/>
      <c r="F189" s="19"/>
      <c r="G189" s="19"/>
      <c r="H189" s="21"/>
      <c r="I189" s="18"/>
      <c r="J189" s="18"/>
    </row>
    <row r="190" spans="1:10">
      <c r="A190" s="44"/>
      <c r="B190" s="45"/>
      <c r="C190" s="45"/>
      <c r="D190" s="46"/>
      <c r="E190" s="45"/>
      <c r="F190" s="47"/>
      <c r="G190" s="48"/>
      <c r="H190" s="49"/>
      <c r="I190" s="45"/>
    </row>
    <row r="191" spans="1:10">
      <c r="A191" s="17"/>
      <c r="B191" s="18"/>
      <c r="C191" s="18"/>
      <c r="D191" s="27"/>
      <c r="E191" s="18"/>
      <c r="F191" s="19"/>
      <c r="G191" s="19"/>
      <c r="H191" s="21"/>
      <c r="I191" s="18"/>
      <c r="J191" s="18"/>
    </row>
    <row r="192" spans="1:10">
      <c r="A192" s="44"/>
      <c r="B192" s="45"/>
      <c r="C192" s="45"/>
      <c r="D192" s="46"/>
      <c r="E192" s="45"/>
      <c r="F192" s="47"/>
      <c r="G192" s="48"/>
      <c r="H192" s="49"/>
      <c r="I192" s="45"/>
    </row>
    <row r="193" spans="1:10">
      <c r="A193" s="17"/>
      <c r="B193" s="18"/>
      <c r="C193" s="18"/>
      <c r="D193" s="27"/>
      <c r="E193" s="18"/>
      <c r="F193" s="19"/>
      <c r="G193" s="19"/>
      <c r="H193" s="21"/>
      <c r="I193" s="18"/>
      <c r="J193" s="18"/>
    </row>
    <row r="194" spans="1:10">
      <c r="A194" s="44"/>
      <c r="B194" s="45"/>
      <c r="C194" s="45"/>
      <c r="D194" s="46"/>
      <c r="E194" s="45"/>
      <c r="F194" s="47"/>
      <c r="G194" s="48"/>
      <c r="H194" s="49"/>
      <c r="I194" s="45"/>
    </row>
    <row r="195" spans="1:10">
      <c r="A195" s="17"/>
      <c r="B195" s="18"/>
      <c r="C195" s="18"/>
      <c r="D195" s="27"/>
      <c r="E195" s="18"/>
      <c r="F195" s="19"/>
      <c r="G195" s="19"/>
      <c r="H195" s="21"/>
      <c r="I195" s="18"/>
      <c r="J195" s="18"/>
    </row>
    <row r="196" spans="1:10">
      <c r="A196" s="44"/>
      <c r="B196" s="45"/>
      <c r="C196" s="45"/>
      <c r="D196" s="46"/>
      <c r="E196" s="45"/>
      <c r="F196" s="47"/>
      <c r="G196" s="48"/>
      <c r="H196" s="49"/>
      <c r="I196" s="45"/>
    </row>
    <row r="197" spans="1:10">
      <c r="A197" s="17"/>
      <c r="B197" s="18"/>
      <c r="C197" s="18"/>
      <c r="D197" s="27"/>
      <c r="E197" s="18"/>
      <c r="F197" s="19"/>
      <c r="G197" s="19"/>
      <c r="H197" s="21"/>
      <c r="I197" s="18"/>
      <c r="J197" s="18"/>
    </row>
    <row r="198" spans="1:10">
      <c r="A198" s="44"/>
      <c r="B198" s="45"/>
      <c r="C198" s="45"/>
      <c r="D198" s="46"/>
      <c r="E198" s="45"/>
      <c r="F198" s="47"/>
      <c r="G198" s="48"/>
      <c r="H198" s="49"/>
      <c r="I198" s="45"/>
    </row>
    <row r="199" spans="1:10">
      <c r="A199" s="17"/>
      <c r="B199" s="18"/>
      <c r="C199" s="18"/>
      <c r="D199" s="27"/>
      <c r="E199" s="18"/>
      <c r="F199" s="19"/>
      <c r="G199" s="19"/>
      <c r="H199" s="21"/>
      <c r="I199" s="18"/>
      <c r="J199" s="18"/>
    </row>
    <row r="200" spans="1:10">
      <c r="A200" s="44"/>
      <c r="B200" s="45"/>
      <c r="C200" s="45"/>
      <c r="D200" s="46"/>
      <c r="E200" s="45"/>
      <c r="F200" s="47"/>
      <c r="G200" s="48"/>
      <c r="H200" s="49"/>
      <c r="I200" s="45"/>
    </row>
    <row r="201" spans="1:10">
      <c r="A201" s="17"/>
      <c r="B201" s="18"/>
      <c r="C201" s="18"/>
      <c r="D201" s="27"/>
      <c r="E201" s="18"/>
      <c r="F201" s="19"/>
      <c r="G201" s="19"/>
      <c r="H201" s="21"/>
      <c r="I201" s="18"/>
      <c r="J201" s="18"/>
    </row>
    <row r="202" spans="1:10">
      <c r="A202" s="44"/>
      <c r="B202" s="45"/>
      <c r="C202" s="45"/>
      <c r="D202" s="46"/>
      <c r="E202" s="45"/>
      <c r="F202" s="47"/>
      <c r="G202" s="48"/>
      <c r="H202" s="49"/>
      <c r="I202" s="45"/>
    </row>
    <row r="203" spans="1:10">
      <c r="A203" s="17"/>
      <c r="B203" s="18"/>
      <c r="C203" s="18"/>
      <c r="D203" s="27"/>
      <c r="E203" s="18"/>
      <c r="F203" s="19"/>
      <c r="G203" s="19"/>
      <c r="H203" s="21"/>
      <c r="I203" s="18"/>
      <c r="J203" s="18"/>
    </row>
    <row r="204" spans="1:10">
      <c r="A204" s="44"/>
      <c r="B204" s="45"/>
      <c r="C204" s="45"/>
      <c r="D204" s="46"/>
      <c r="E204" s="45"/>
      <c r="F204" s="47"/>
      <c r="G204" s="48"/>
      <c r="H204" s="49"/>
      <c r="I204" s="45"/>
    </row>
    <row r="205" spans="1:10">
      <c r="A205" s="17"/>
      <c r="B205" s="18"/>
      <c r="C205" s="18"/>
      <c r="D205" s="27"/>
      <c r="E205" s="18"/>
      <c r="F205" s="19"/>
      <c r="G205" s="19"/>
      <c r="H205" s="21"/>
      <c r="I205" s="18"/>
      <c r="J205" s="18"/>
    </row>
    <row r="206" spans="1:10">
      <c r="A206" s="44"/>
      <c r="B206" s="45"/>
      <c r="C206" s="45"/>
      <c r="D206" s="46"/>
      <c r="E206" s="45"/>
      <c r="F206" s="47"/>
      <c r="G206" s="48"/>
      <c r="H206" s="49"/>
      <c r="I206" s="45"/>
    </row>
    <row r="207" spans="1:10">
      <c r="A207" s="17"/>
      <c r="B207" s="18"/>
      <c r="C207" s="18"/>
      <c r="D207" s="27"/>
      <c r="E207" s="18"/>
      <c r="F207" s="19"/>
      <c r="G207" s="19"/>
      <c r="H207" s="21"/>
      <c r="I207" s="18"/>
      <c r="J207" s="18"/>
    </row>
    <row r="208" spans="1:10">
      <c r="A208" s="44"/>
      <c r="B208" s="45"/>
      <c r="C208" s="45"/>
      <c r="D208" s="46"/>
      <c r="E208" s="45"/>
      <c r="F208" s="47"/>
      <c r="G208" s="48"/>
      <c r="H208" s="49"/>
      <c r="I208" s="45"/>
    </row>
    <row r="209" spans="1:10">
      <c r="A209" s="17"/>
      <c r="B209" s="18"/>
      <c r="C209" s="18"/>
      <c r="D209" s="27"/>
      <c r="E209" s="18"/>
      <c r="F209" s="19"/>
      <c r="G209" s="19"/>
      <c r="H209" s="21"/>
      <c r="I209" s="18"/>
      <c r="J209" s="18"/>
    </row>
    <row r="210" spans="1:10">
      <c r="A210" s="44"/>
      <c r="B210" s="45"/>
      <c r="C210" s="45"/>
      <c r="D210" s="46"/>
      <c r="E210" s="45"/>
      <c r="F210" s="47"/>
      <c r="G210" s="48"/>
      <c r="H210" s="49"/>
      <c r="I210" s="45"/>
    </row>
    <row r="211" spans="1:10">
      <c r="A211" s="17"/>
      <c r="B211" s="18"/>
      <c r="C211" s="18"/>
      <c r="D211" s="27"/>
      <c r="E211" s="18"/>
      <c r="F211" s="19"/>
      <c r="G211" s="19"/>
      <c r="H211" s="21"/>
      <c r="I211" s="18"/>
      <c r="J211" s="18"/>
    </row>
    <row r="212" spans="1:10">
      <c r="A212" s="44"/>
      <c r="B212" s="45"/>
      <c r="C212" s="45"/>
      <c r="D212" s="46"/>
      <c r="E212" s="45"/>
      <c r="F212" s="47"/>
      <c r="G212" s="48"/>
      <c r="H212" s="49"/>
      <c r="I212" s="45"/>
    </row>
    <row r="213" spans="1:10">
      <c r="A213" s="17"/>
      <c r="B213" s="18"/>
      <c r="C213" s="18"/>
      <c r="D213" s="27"/>
      <c r="E213" s="18"/>
      <c r="F213" s="19"/>
      <c r="G213" s="19"/>
      <c r="H213" s="21"/>
      <c r="I213" s="18"/>
      <c r="J213" s="18"/>
    </row>
    <row r="214" spans="1:10">
      <c r="A214" s="44"/>
      <c r="B214" s="45"/>
      <c r="C214" s="45"/>
      <c r="D214" s="46"/>
      <c r="E214" s="45"/>
      <c r="F214" s="47"/>
      <c r="G214" s="48"/>
      <c r="H214" s="49"/>
      <c r="I214" s="45"/>
    </row>
    <row r="215" spans="1:10">
      <c r="A215" s="17"/>
      <c r="B215" s="18"/>
      <c r="C215" s="18"/>
      <c r="D215" s="27"/>
      <c r="E215" s="18"/>
      <c r="F215" s="19"/>
      <c r="G215" s="19"/>
      <c r="H215" s="21"/>
      <c r="I215" s="18"/>
      <c r="J215" s="18"/>
    </row>
    <row r="216" spans="1:10">
      <c r="A216" s="44"/>
      <c r="B216" s="45"/>
      <c r="C216" s="45"/>
      <c r="D216" s="46"/>
      <c r="E216" s="45"/>
      <c r="F216" s="47"/>
      <c r="G216" s="48"/>
      <c r="H216" s="49"/>
      <c r="I216" s="45"/>
    </row>
    <row r="217" spans="1:10">
      <c r="A217" s="17"/>
      <c r="B217" s="18"/>
      <c r="C217" s="18"/>
      <c r="D217" s="27"/>
      <c r="E217" s="18"/>
      <c r="F217" s="19"/>
      <c r="G217" s="19"/>
      <c r="H217" s="21"/>
      <c r="I217" s="18"/>
      <c r="J217" s="18"/>
    </row>
    <row r="218" spans="1:10">
      <c r="A218" s="44"/>
      <c r="B218" s="45"/>
      <c r="C218" s="45"/>
      <c r="D218" s="46"/>
      <c r="E218" s="45"/>
      <c r="F218" s="47"/>
      <c r="G218" s="48"/>
      <c r="H218" s="49"/>
      <c r="I218" s="45"/>
    </row>
    <row r="219" spans="1:10">
      <c r="A219" s="17"/>
      <c r="B219" s="18"/>
      <c r="C219" s="18"/>
      <c r="D219" s="27"/>
      <c r="E219" s="18"/>
      <c r="F219" s="19"/>
      <c r="G219" s="19"/>
      <c r="H219" s="21"/>
      <c r="I219" s="18"/>
      <c r="J219" s="18"/>
    </row>
    <row r="220" spans="1:10">
      <c r="A220" s="44"/>
      <c r="B220" s="45"/>
      <c r="C220" s="45"/>
      <c r="D220" s="46"/>
      <c r="E220" s="45"/>
      <c r="F220" s="47"/>
      <c r="G220" s="48"/>
      <c r="H220" s="49"/>
      <c r="I220" s="45"/>
    </row>
    <row r="221" spans="1:10">
      <c r="A221" s="17"/>
      <c r="B221" s="18"/>
      <c r="C221" s="18"/>
      <c r="D221" s="27"/>
      <c r="E221" s="18"/>
      <c r="F221" s="19"/>
      <c r="G221" s="19"/>
      <c r="H221" s="21"/>
      <c r="I221" s="18"/>
      <c r="J221" s="18"/>
    </row>
    <row r="222" spans="1:10">
      <c r="A222" s="44"/>
      <c r="B222" s="45"/>
      <c r="C222" s="45"/>
      <c r="D222" s="46"/>
      <c r="E222" s="45"/>
      <c r="F222" s="47"/>
      <c r="G222" s="48"/>
      <c r="H222" s="49"/>
      <c r="I222" s="45"/>
    </row>
    <row r="223" spans="1:10">
      <c r="A223" s="17"/>
      <c r="B223" s="18"/>
      <c r="C223" s="18"/>
      <c r="D223" s="27"/>
      <c r="E223" s="18"/>
      <c r="F223" s="19"/>
      <c r="G223" s="19"/>
      <c r="H223" s="21"/>
      <c r="I223" s="18"/>
      <c r="J223" s="18"/>
    </row>
    <row r="224" spans="1:10">
      <c r="A224" s="44"/>
      <c r="B224" s="45"/>
      <c r="C224" s="45"/>
      <c r="D224" s="46"/>
      <c r="E224" s="45"/>
      <c r="F224" s="47"/>
      <c r="G224" s="48"/>
      <c r="H224" s="49"/>
      <c r="I224" s="45"/>
    </row>
    <row r="225" spans="1:10">
      <c r="A225" s="17"/>
      <c r="B225" s="18"/>
      <c r="C225" s="18"/>
      <c r="D225" s="27"/>
      <c r="E225" s="18"/>
      <c r="F225" s="19"/>
      <c r="G225" s="19"/>
      <c r="H225" s="21"/>
      <c r="I225" s="18"/>
      <c r="J225" s="18"/>
    </row>
    <row r="226" spans="1:10">
      <c r="A226" s="44"/>
      <c r="B226" s="45"/>
      <c r="C226" s="45"/>
      <c r="D226" s="46"/>
      <c r="E226" s="45"/>
      <c r="F226" s="47"/>
      <c r="G226" s="48"/>
      <c r="H226" s="49"/>
      <c r="I226" s="45"/>
    </row>
    <row r="227" spans="1:10">
      <c r="A227" s="17"/>
      <c r="B227" s="18"/>
      <c r="C227" s="18"/>
      <c r="D227" s="27"/>
      <c r="E227" s="18"/>
      <c r="F227" s="19"/>
      <c r="G227" s="19"/>
      <c r="H227" s="21"/>
      <c r="I227" s="18"/>
      <c r="J227" s="18"/>
    </row>
    <row r="228" spans="1:10">
      <c r="A228" s="44"/>
      <c r="B228" s="45"/>
      <c r="C228" s="45"/>
      <c r="D228" s="46"/>
      <c r="E228" s="45"/>
      <c r="F228" s="47"/>
      <c r="G228" s="48"/>
      <c r="H228" s="49"/>
      <c r="I228" s="45"/>
    </row>
    <row r="229" spans="1:10">
      <c r="A229" s="17"/>
      <c r="B229" s="18"/>
      <c r="C229" s="18"/>
      <c r="D229" s="27"/>
      <c r="E229" s="18"/>
      <c r="F229" s="19"/>
      <c r="G229" s="19"/>
      <c r="H229" s="21"/>
      <c r="I229" s="18"/>
      <c r="J229" s="18"/>
    </row>
    <row r="230" spans="1:10">
      <c r="A230" s="44"/>
      <c r="B230" s="45"/>
      <c r="C230" s="45"/>
      <c r="D230" s="46"/>
      <c r="E230" s="45"/>
      <c r="F230" s="47"/>
      <c r="G230" s="48"/>
      <c r="H230" s="49"/>
      <c r="I230" s="45"/>
    </row>
    <row r="231" spans="1:10">
      <c r="A231" s="17"/>
      <c r="B231" s="18"/>
      <c r="C231" s="18"/>
      <c r="D231" s="27"/>
      <c r="E231" s="18"/>
      <c r="F231" s="19"/>
      <c r="G231" s="19"/>
      <c r="H231" s="21"/>
      <c r="I231" s="18"/>
      <c r="J231" s="18"/>
    </row>
    <row r="232" spans="1:10">
      <c r="A232" s="44"/>
      <c r="B232" s="45"/>
      <c r="C232" s="45"/>
      <c r="D232" s="46"/>
      <c r="E232" s="45"/>
      <c r="F232" s="47"/>
      <c r="G232" s="48"/>
      <c r="H232" s="49"/>
      <c r="I232" s="45"/>
    </row>
    <row r="233" spans="1:10">
      <c r="A233" s="17"/>
      <c r="B233" s="18"/>
      <c r="C233" s="18"/>
      <c r="D233" s="27"/>
      <c r="E233" s="18"/>
      <c r="F233" s="19"/>
      <c r="G233" s="19"/>
      <c r="H233" s="21"/>
      <c r="I233" s="18"/>
      <c r="J233" s="18"/>
    </row>
    <row r="234" spans="1:10">
      <c r="A234" s="44"/>
      <c r="B234" s="45"/>
      <c r="C234" s="45"/>
      <c r="D234" s="46"/>
      <c r="E234" s="45"/>
      <c r="F234" s="47"/>
      <c r="G234" s="48"/>
      <c r="H234" s="49"/>
      <c r="I234" s="45"/>
    </row>
    <row r="235" spans="1:10">
      <c r="A235" s="17"/>
      <c r="B235" s="18"/>
      <c r="C235" s="18"/>
      <c r="D235" s="27"/>
      <c r="E235" s="18"/>
      <c r="F235" s="19"/>
      <c r="G235" s="19"/>
      <c r="H235" s="21"/>
      <c r="I235" s="18"/>
      <c r="J235" s="18"/>
    </row>
    <row r="236" spans="1:10">
      <c r="A236" s="44"/>
      <c r="B236" s="45"/>
      <c r="C236" s="45"/>
      <c r="D236" s="46"/>
      <c r="E236" s="45"/>
      <c r="F236" s="47"/>
      <c r="G236" s="48"/>
      <c r="H236" s="49"/>
      <c r="I236" s="45"/>
    </row>
    <row r="237" spans="1:10">
      <c r="A237" s="17"/>
      <c r="B237" s="18"/>
      <c r="C237" s="18"/>
      <c r="D237" s="27"/>
      <c r="E237" s="18"/>
      <c r="F237" s="19"/>
      <c r="G237" s="19"/>
      <c r="H237" s="21"/>
      <c r="I237" s="18"/>
      <c r="J237" s="18"/>
    </row>
    <row r="238" spans="1:10">
      <c r="A238" s="44"/>
      <c r="B238" s="45"/>
      <c r="C238" s="45"/>
      <c r="D238" s="46"/>
      <c r="E238" s="45"/>
      <c r="F238" s="47"/>
      <c r="G238" s="48"/>
      <c r="H238" s="49"/>
      <c r="I238" s="45"/>
    </row>
    <row r="239" spans="1:10">
      <c r="A239" s="17"/>
      <c r="B239" s="18"/>
      <c r="C239" s="18"/>
      <c r="D239" s="27"/>
      <c r="E239" s="18"/>
      <c r="F239" s="19"/>
      <c r="G239" s="19"/>
      <c r="H239" s="21"/>
      <c r="I239" s="18"/>
      <c r="J239" s="18"/>
    </row>
    <row r="240" spans="1:10">
      <c r="A240" s="44"/>
      <c r="B240" s="45"/>
      <c r="C240" s="45"/>
      <c r="D240" s="46"/>
      <c r="E240" s="45"/>
      <c r="F240" s="47"/>
      <c r="G240" s="48"/>
      <c r="H240" s="49"/>
      <c r="I240" s="45"/>
    </row>
    <row r="241" spans="1:10">
      <c r="A241" s="17"/>
      <c r="B241" s="18"/>
      <c r="C241" s="18"/>
      <c r="D241" s="27"/>
      <c r="E241" s="18"/>
      <c r="F241" s="19"/>
      <c r="G241" s="19"/>
      <c r="H241" s="21"/>
      <c r="I241" s="18"/>
      <c r="J241" s="18"/>
    </row>
    <row r="242" spans="1:10">
      <c r="A242" s="44"/>
      <c r="B242" s="45"/>
      <c r="C242" s="45"/>
      <c r="D242" s="46"/>
      <c r="E242" s="45"/>
      <c r="F242" s="47"/>
      <c r="G242" s="48"/>
      <c r="H242" s="49"/>
      <c r="I242" s="45"/>
    </row>
    <row r="243" spans="1:10">
      <c r="A243" s="17"/>
      <c r="B243" s="18"/>
      <c r="C243" s="18"/>
      <c r="D243" s="27"/>
      <c r="E243" s="18"/>
      <c r="F243" s="19"/>
      <c r="G243" s="19"/>
      <c r="H243" s="21"/>
      <c r="I243" s="18"/>
      <c r="J243" s="18"/>
    </row>
    <row r="244" spans="1:10">
      <c r="A244" s="44"/>
      <c r="B244" s="45"/>
      <c r="C244" s="45"/>
      <c r="D244" s="46"/>
      <c r="E244" s="45"/>
      <c r="F244" s="47"/>
      <c r="G244" s="48"/>
      <c r="H244" s="49"/>
      <c r="I244" s="45"/>
    </row>
    <row r="245" spans="1:10">
      <c r="A245" s="17"/>
      <c r="B245" s="18"/>
      <c r="C245" s="18"/>
      <c r="D245" s="27"/>
      <c r="E245" s="18"/>
      <c r="F245" s="19"/>
      <c r="G245" s="19"/>
      <c r="H245" s="21"/>
      <c r="I245" s="18"/>
      <c r="J245" s="18"/>
    </row>
    <row r="246" spans="1:10">
      <c r="A246" s="44"/>
      <c r="B246" s="45"/>
      <c r="C246" s="45"/>
      <c r="D246" s="46"/>
      <c r="E246" s="45"/>
      <c r="F246" s="47"/>
      <c r="G246" s="48"/>
      <c r="H246" s="49"/>
      <c r="I246" s="45"/>
    </row>
    <row r="247" spans="1:10">
      <c r="A247" s="17"/>
      <c r="B247" s="18"/>
      <c r="C247" s="18"/>
      <c r="D247" s="27"/>
      <c r="E247" s="18"/>
      <c r="F247" s="19"/>
      <c r="G247" s="19"/>
      <c r="H247" s="21"/>
      <c r="I247" s="18"/>
      <c r="J247" s="18"/>
    </row>
    <row r="248" spans="1:10">
      <c r="A248" s="44"/>
      <c r="B248" s="45"/>
      <c r="C248" s="45"/>
      <c r="D248" s="46"/>
      <c r="E248" s="45"/>
      <c r="F248" s="47"/>
      <c r="G248" s="48"/>
      <c r="H248" s="49"/>
      <c r="I248" s="45"/>
    </row>
    <row r="249" spans="1:10">
      <c r="A249" s="17"/>
      <c r="B249" s="18"/>
      <c r="C249" s="18"/>
      <c r="D249" s="27"/>
      <c r="E249" s="18"/>
      <c r="F249" s="19"/>
      <c r="G249" s="19"/>
      <c r="H249" s="21"/>
      <c r="I249" s="18"/>
      <c r="J249" s="18"/>
    </row>
    <row r="250" spans="1:10">
      <c r="A250" s="44"/>
      <c r="B250" s="45"/>
      <c r="C250" s="45"/>
      <c r="D250" s="46"/>
      <c r="E250" s="45"/>
      <c r="F250" s="47"/>
      <c r="G250" s="48"/>
      <c r="H250" s="49"/>
      <c r="I250" s="45"/>
    </row>
    <row r="251" spans="1:10">
      <c r="A251" s="17"/>
      <c r="B251" s="18"/>
      <c r="C251" s="18"/>
      <c r="D251" s="27"/>
      <c r="E251" s="18"/>
      <c r="F251" s="19"/>
      <c r="G251" s="19"/>
      <c r="H251" s="21"/>
      <c r="I251" s="18"/>
      <c r="J251" s="18"/>
    </row>
    <row r="252" spans="1:10">
      <c r="A252" s="44"/>
      <c r="B252" s="45"/>
      <c r="C252" s="45"/>
      <c r="D252" s="46"/>
      <c r="E252" s="45"/>
      <c r="F252" s="47"/>
      <c r="G252" s="48"/>
      <c r="H252" s="49"/>
      <c r="I252" s="45"/>
    </row>
    <row r="253" spans="1:10">
      <c r="A253" s="17"/>
      <c r="B253" s="18"/>
      <c r="C253" s="18"/>
      <c r="D253" s="27"/>
      <c r="E253" s="18"/>
      <c r="F253" s="19"/>
      <c r="G253" s="19"/>
      <c r="H253" s="21"/>
      <c r="I253" s="18"/>
      <c r="J253" s="18"/>
    </row>
    <row r="254" spans="1:10">
      <c r="A254" s="44"/>
      <c r="B254" s="45"/>
      <c r="C254" s="45"/>
      <c r="D254" s="46"/>
      <c r="E254" s="45"/>
      <c r="F254" s="47"/>
      <c r="G254" s="48"/>
      <c r="H254" s="49"/>
      <c r="I254" s="45"/>
    </row>
    <row r="255" spans="1:10">
      <c r="A255" s="29"/>
      <c r="B255" s="43" t="s">
        <v>925</v>
      </c>
      <c r="C255" s="150"/>
      <c r="D255" s="8">
        <f>SUM(D5:D254)</f>
        <v>35506.800000000003</v>
      </c>
      <c r="E255" s="8"/>
      <c r="F255" s="29">
        <f>SUM(F5:F254)</f>
        <v>810.93000000000006</v>
      </c>
      <c r="G255" s="8">
        <f>SUM(G5:G254)</f>
        <v>20685.29</v>
      </c>
      <c r="H255" s="29"/>
      <c r="I255" s="29"/>
    </row>
    <row r="256" spans="1:10" ht="15.75">
      <c r="A256" s="30"/>
      <c r="B256" s="133" t="s">
        <v>2260</v>
      </c>
      <c r="D256" s="132">
        <f>(D255-F255-T5)-(L18-L19)</f>
        <v>14500.11</v>
      </c>
      <c r="F256" s="30"/>
      <c r="H256" s="30"/>
      <c r="I256" s="30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type="list" allowBlank="1" sqref="E5:E254">
      <formula1>"Dinheiro,Pix,Débito,Crédito à Vista,Crédito Parcelado,Aguardando Pagamento"</formula1>
    </dataValidation>
    <dataValidation type="list" allowBlank="1" sqref="H5:H254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9D8B"/>
  </sheetPr>
  <dimension ref="A1:U256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3" style="147" customWidth="1"/>
    <col min="2" max="2" width="42" style="147" customWidth="1"/>
    <col min="3" max="3" width="26" style="147" customWidth="1"/>
    <col min="4" max="4" width="14" style="147" customWidth="1"/>
    <col min="5" max="5" width="20" style="147" customWidth="1"/>
    <col min="6" max="6" width="16" style="147" customWidth="1"/>
    <col min="7" max="7" width="14" style="147" customWidth="1"/>
    <col min="8" max="8" width="26" style="147" customWidth="1"/>
    <col min="9" max="9" width="30" style="147" customWidth="1"/>
    <col min="10" max="10" width="11" style="147" customWidth="1"/>
    <col min="11" max="11" width="30" style="147" customWidth="1"/>
    <col min="12" max="12" width="14" style="147" customWidth="1"/>
    <col min="13" max="13" width="3" style="147" customWidth="1"/>
    <col min="14" max="21" width="13" style="147" customWidth="1"/>
  </cols>
  <sheetData>
    <row r="1" spans="1:21" ht="21" customHeight="1">
      <c r="A1" s="234" t="s">
        <v>2513</v>
      </c>
      <c r="B1" s="157"/>
      <c r="C1" s="157"/>
      <c r="D1" s="157"/>
      <c r="E1" s="157"/>
      <c r="F1" s="157"/>
      <c r="G1" s="157"/>
      <c r="H1" s="157"/>
      <c r="I1" s="157"/>
    </row>
    <row r="2" spans="1:21">
      <c r="A2" s="195" t="s">
        <v>2262</v>
      </c>
      <c r="B2" s="157"/>
      <c r="C2" s="157"/>
      <c r="D2" s="157"/>
      <c r="E2" s="157"/>
      <c r="F2" s="157"/>
      <c r="G2" s="157"/>
      <c r="H2" s="157"/>
      <c r="I2" s="157"/>
    </row>
    <row r="3" spans="1:21">
      <c r="A3" s="127" t="s">
        <v>64</v>
      </c>
    </row>
    <row r="4" spans="1:21" ht="30" customHeight="1">
      <c r="A4" s="76" t="s">
        <v>445</v>
      </c>
      <c r="B4" s="76" t="s">
        <v>2041</v>
      </c>
      <c r="C4" s="76" t="s">
        <v>2042</v>
      </c>
      <c r="D4" s="76" t="s">
        <v>700</v>
      </c>
      <c r="E4" s="76" t="s">
        <v>2043</v>
      </c>
      <c r="F4" s="76" t="s">
        <v>2044</v>
      </c>
      <c r="G4" s="76" t="s">
        <v>701</v>
      </c>
      <c r="H4" s="76" t="s">
        <v>702</v>
      </c>
      <c r="I4" s="76" t="s">
        <v>189</v>
      </c>
      <c r="J4" s="76" t="s">
        <v>703</v>
      </c>
      <c r="K4" s="235" t="s">
        <v>704</v>
      </c>
      <c r="L4" s="157"/>
      <c r="N4" s="237" t="s">
        <v>532</v>
      </c>
      <c r="O4" s="157"/>
      <c r="P4" s="198" t="s">
        <v>705</v>
      </c>
      <c r="Q4" s="157"/>
      <c r="R4" s="199" t="s">
        <v>706</v>
      </c>
      <c r="S4" s="157"/>
      <c r="T4" s="206" t="s">
        <v>6</v>
      </c>
      <c r="U4" s="157"/>
    </row>
    <row r="5" spans="1:21">
      <c r="A5" s="77">
        <v>46305</v>
      </c>
      <c r="B5" s="78" t="s">
        <v>394</v>
      </c>
      <c r="C5" s="78" t="s">
        <v>370</v>
      </c>
      <c r="D5" s="79">
        <v>1188.25</v>
      </c>
      <c r="E5" s="78" t="s">
        <v>2067</v>
      </c>
      <c r="F5" s="79"/>
      <c r="G5" s="79"/>
      <c r="H5" s="78"/>
      <c r="I5" s="78" t="s">
        <v>2514</v>
      </c>
      <c r="J5" s="78" t="s">
        <v>2515</v>
      </c>
      <c r="K5" s="78" t="s">
        <v>99</v>
      </c>
      <c r="L5" s="80">
        <f>SUMIF(H5:H254,K5,G5:G254)</f>
        <v>0</v>
      </c>
      <c r="N5" s="236">
        <f>D255-F255-T5</f>
        <v>0</v>
      </c>
      <c r="O5" s="157"/>
      <c r="P5" s="189">
        <f>L18-L19</f>
        <v>0</v>
      </c>
      <c r="Q5" s="157"/>
      <c r="R5" s="205">
        <f>D256</f>
        <v>0</v>
      </c>
      <c r="S5" s="157"/>
      <c r="T5" s="204">
        <f>SUMIF(E5:E254,"Aguardando Pagamento",D5:D254)</f>
        <v>1188.25</v>
      </c>
      <c r="U5" s="157"/>
    </row>
    <row r="6" spans="1:21">
      <c r="A6" s="44"/>
      <c r="B6" s="45"/>
      <c r="C6" s="45"/>
      <c r="D6" s="46"/>
      <c r="E6" s="45"/>
      <c r="F6" s="47"/>
      <c r="G6" s="48"/>
      <c r="H6" s="49"/>
      <c r="I6" s="45"/>
      <c r="K6" s="78" t="s">
        <v>100</v>
      </c>
      <c r="L6" s="80">
        <f>SUMIF(H5:H254,K6,G5:G254)</f>
        <v>0</v>
      </c>
      <c r="N6" s="157"/>
      <c r="O6" s="157"/>
      <c r="P6" s="157"/>
      <c r="Q6" s="157"/>
      <c r="R6" s="157"/>
      <c r="S6" s="157"/>
      <c r="T6" s="157"/>
      <c r="U6" s="157"/>
    </row>
    <row r="7" spans="1:21">
      <c r="A7" s="17"/>
      <c r="B7" s="18"/>
      <c r="C7" s="18"/>
      <c r="D7" s="27"/>
      <c r="E7" s="18"/>
      <c r="F7" s="19"/>
      <c r="G7" s="19"/>
      <c r="H7" s="21"/>
      <c r="I7" s="18"/>
      <c r="J7" s="18"/>
      <c r="K7" s="78" t="s">
        <v>101</v>
      </c>
      <c r="L7" s="80">
        <f>SUMIF(H5:H254,K7,G5:G254)</f>
        <v>0</v>
      </c>
    </row>
    <row r="8" spans="1:21">
      <c r="A8" s="44"/>
      <c r="B8" s="45"/>
      <c r="C8" s="45"/>
      <c r="D8" s="46"/>
      <c r="E8" s="45"/>
      <c r="F8" s="47"/>
      <c r="G8" s="48"/>
      <c r="H8" s="49"/>
      <c r="I8" s="45"/>
      <c r="K8" s="78" t="s">
        <v>102</v>
      </c>
      <c r="L8" s="80">
        <f>SUMIF(H5:H254,K8,G5:G254)</f>
        <v>0</v>
      </c>
    </row>
    <row r="9" spans="1:21">
      <c r="A9" s="17"/>
      <c r="B9" s="18"/>
      <c r="C9" s="18"/>
      <c r="D9" s="27"/>
      <c r="E9" s="18"/>
      <c r="F9" s="19"/>
      <c r="G9" s="19"/>
      <c r="H9" s="21"/>
      <c r="I9" s="18"/>
      <c r="J9" s="18"/>
      <c r="K9" s="78" t="s">
        <v>103</v>
      </c>
      <c r="L9" s="80">
        <f>SUMIF(H5:H254,K9,G5:G254)</f>
        <v>0</v>
      </c>
    </row>
    <row r="10" spans="1:21">
      <c r="A10" s="44"/>
      <c r="B10" s="45"/>
      <c r="C10" s="45"/>
      <c r="D10" s="46"/>
      <c r="E10" s="45"/>
      <c r="F10" s="47"/>
      <c r="G10" s="48"/>
      <c r="H10" s="49"/>
      <c r="I10" s="45"/>
      <c r="K10" s="78" t="s">
        <v>104</v>
      </c>
      <c r="L10" s="80">
        <f>SUMIF(H5:H254,K10,G5:G254)</f>
        <v>0</v>
      </c>
    </row>
    <row r="11" spans="1:21">
      <c r="A11" s="17"/>
      <c r="B11" s="18"/>
      <c r="C11" s="18"/>
      <c r="D11" s="27"/>
      <c r="E11" s="18"/>
      <c r="F11" s="19"/>
      <c r="G11" s="19"/>
      <c r="H11" s="21"/>
      <c r="I11" s="18"/>
      <c r="J11" s="18"/>
      <c r="K11" s="78" t="s">
        <v>106</v>
      </c>
      <c r="L11" s="80">
        <f>SUMIF(H5:H254,K11,G5:G254)</f>
        <v>0</v>
      </c>
    </row>
    <row r="12" spans="1:21">
      <c r="A12" s="44"/>
      <c r="B12" s="45"/>
      <c r="C12" s="45"/>
      <c r="D12" s="46"/>
      <c r="E12" s="45"/>
      <c r="F12" s="47"/>
      <c r="G12" s="48"/>
      <c r="H12" s="49"/>
      <c r="I12" s="45"/>
      <c r="K12" s="78" t="s">
        <v>107</v>
      </c>
      <c r="L12" s="80">
        <f>SUMIF(H5:H254,K12,G5:G254)</f>
        <v>0</v>
      </c>
    </row>
    <row r="13" spans="1:21">
      <c r="A13" s="17"/>
      <c r="B13" s="18"/>
      <c r="C13" s="18"/>
      <c r="D13" s="27"/>
      <c r="E13" s="18"/>
      <c r="F13" s="19"/>
      <c r="G13" s="19"/>
      <c r="H13" s="21"/>
      <c r="I13" s="18"/>
      <c r="J13" s="18"/>
      <c r="K13" s="78" t="s">
        <v>108</v>
      </c>
      <c r="L13" s="80">
        <f>SUMIF(H5:H254,K13,G5:G254)</f>
        <v>0</v>
      </c>
    </row>
    <row r="14" spans="1:21">
      <c r="A14" s="44"/>
      <c r="B14" s="45"/>
      <c r="C14" s="45"/>
      <c r="D14" s="46"/>
      <c r="E14" s="45"/>
      <c r="F14" s="47"/>
      <c r="G14" s="48"/>
      <c r="H14" s="49"/>
      <c r="I14" s="45"/>
      <c r="K14" s="78" t="s">
        <v>109</v>
      </c>
      <c r="L14" s="80">
        <f>SUMIF(H5:H254,K14,G5:G254)</f>
        <v>0</v>
      </c>
    </row>
    <row r="15" spans="1:21">
      <c r="A15" s="17"/>
      <c r="B15" s="18"/>
      <c r="C15" s="18"/>
      <c r="D15" s="27"/>
      <c r="E15" s="18"/>
      <c r="F15" s="19"/>
      <c r="G15" s="19"/>
      <c r="H15" s="21"/>
      <c r="I15" s="18"/>
      <c r="J15" s="18"/>
      <c r="K15" s="78" t="s">
        <v>110</v>
      </c>
      <c r="L15" s="80">
        <f>SUMIF(H5:H254,K15,G5:G254)</f>
        <v>0</v>
      </c>
    </row>
    <row r="16" spans="1:21">
      <c r="A16" s="44"/>
      <c r="B16" s="45"/>
      <c r="C16" s="45"/>
      <c r="D16" s="46"/>
      <c r="E16" s="45"/>
      <c r="F16" s="47"/>
      <c r="G16" s="48"/>
      <c r="H16" s="49"/>
      <c r="I16" s="45"/>
      <c r="K16" s="78" t="s">
        <v>111</v>
      </c>
      <c r="L16" s="80">
        <f>SUMIF(H5:H254,K16,G5:G254)</f>
        <v>0</v>
      </c>
    </row>
    <row r="17" spans="1:12">
      <c r="A17" s="17"/>
      <c r="B17" s="18"/>
      <c r="C17" s="18"/>
      <c r="D17" s="27"/>
      <c r="E17" s="18"/>
      <c r="F17" s="19"/>
      <c r="G17" s="19"/>
      <c r="H17" s="21"/>
      <c r="I17" s="18"/>
      <c r="J17" s="18"/>
      <c r="K17" s="84" t="s">
        <v>112</v>
      </c>
      <c r="L17" s="85">
        <f>SUMIF(H5:H254,K17,G5:G254)</f>
        <v>0</v>
      </c>
    </row>
    <row r="18" spans="1:12">
      <c r="A18" s="44"/>
      <c r="B18" s="45"/>
      <c r="C18" s="45"/>
      <c r="D18" s="46"/>
      <c r="E18" s="45"/>
      <c r="F18" s="47"/>
      <c r="G18" s="48"/>
      <c r="H18" s="49"/>
      <c r="I18" s="45"/>
      <c r="K18" s="86" t="s">
        <v>113</v>
      </c>
      <c r="L18" s="87">
        <f>SUM(L5:L16)</f>
        <v>0</v>
      </c>
    </row>
    <row r="19" spans="1:12">
      <c r="A19" s="17"/>
      <c r="B19" s="18"/>
      <c r="C19" s="18"/>
      <c r="D19" s="27"/>
      <c r="E19" s="18"/>
      <c r="F19" s="19"/>
      <c r="G19" s="19"/>
      <c r="H19" s="21"/>
      <c r="I19" s="18"/>
      <c r="J19" s="18"/>
      <c r="K19" s="88" t="s">
        <v>2058</v>
      </c>
      <c r="L19" s="89">
        <f>SUMIFS('Capital de Giro (BB)'!D9:D200,'Capital de Giro (BB)'!A9:A200,"&gt;="&amp;DATE(2026,10,1),'Capital de Giro (BB)'!A9:A200,"&lt;="&amp;DATE(2026,10,31),'Capital de Giro (BB)'!E9:E200,"A Devolver")</f>
        <v>0</v>
      </c>
    </row>
    <row r="20" spans="1:12">
      <c r="A20" s="44"/>
      <c r="B20" s="45"/>
      <c r="C20" s="45"/>
      <c r="D20" s="46"/>
      <c r="E20" s="45"/>
      <c r="F20" s="47"/>
      <c r="G20" s="48"/>
      <c r="H20" s="49"/>
      <c r="I20" s="45"/>
    </row>
    <row r="21" spans="1:12">
      <c r="A21" s="17"/>
      <c r="B21" s="18"/>
      <c r="C21" s="18"/>
      <c r="D21" s="27"/>
      <c r="E21" s="18"/>
      <c r="F21" s="19"/>
      <c r="G21" s="19"/>
      <c r="H21" s="21"/>
      <c r="I21" s="18"/>
      <c r="J21" s="18"/>
    </row>
    <row r="22" spans="1:12">
      <c r="A22" s="44"/>
      <c r="B22" s="45"/>
      <c r="C22" s="45"/>
      <c r="D22" s="46"/>
      <c r="E22" s="45"/>
      <c r="F22" s="47"/>
      <c r="G22" s="48"/>
      <c r="H22" s="49"/>
      <c r="I22" s="45"/>
    </row>
    <row r="23" spans="1:12">
      <c r="A23" s="17"/>
      <c r="B23" s="18"/>
      <c r="C23" s="18"/>
      <c r="D23" s="27"/>
      <c r="E23" s="18"/>
      <c r="F23" s="19"/>
      <c r="G23" s="19"/>
      <c r="H23" s="21"/>
      <c r="I23" s="18"/>
      <c r="J23" s="18"/>
    </row>
    <row r="24" spans="1:12">
      <c r="A24" s="44"/>
      <c r="B24" s="45"/>
      <c r="C24" s="45"/>
      <c r="D24" s="46"/>
      <c r="E24" s="45"/>
      <c r="F24" s="47"/>
      <c r="G24" s="48"/>
      <c r="H24" s="49"/>
      <c r="I24" s="45"/>
    </row>
    <row r="25" spans="1:12">
      <c r="A25" s="17"/>
      <c r="B25" s="18"/>
      <c r="C25" s="18"/>
      <c r="D25" s="27"/>
      <c r="E25" s="18"/>
      <c r="F25" s="19"/>
      <c r="G25" s="19"/>
      <c r="H25" s="21"/>
      <c r="I25" s="18"/>
      <c r="J25" s="18"/>
    </row>
    <row r="26" spans="1:12">
      <c r="A26" s="44"/>
      <c r="B26" s="45"/>
      <c r="C26" s="45"/>
      <c r="D26" s="46"/>
      <c r="E26" s="45"/>
      <c r="F26" s="47"/>
      <c r="G26" s="48"/>
      <c r="H26" s="49"/>
      <c r="I26" s="45"/>
    </row>
    <row r="27" spans="1:12">
      <c r="A27" s="17"/>
      <c r="B27" s="18"/>
      <c r="C27" s="18"/>
      <c r="D27" s="27"/>
      <c r="E27" s="18"/>
      <c r="F27" s="19"/>
      <c r="G27" s="19"/>
      <c r="H27" s="21"/>
      <c r="I27" s="18"/>
      <c r="J27" s="18"/>
    </row>
    <row r="28" spans="1:12">
      <c r="A28" s="44"/>
      <c r="B28" s="45"/>
      <c r="C28" s="45"/>
      <c r="D28" s="46"/>
      <c r="E28" s="45"/>
      <c r="F28" s="47"/>
      <c r="G28" s="48"/>
      <c r="H28" s="49"/>
      <c r="I28" s="45"/>
    </row>
    <row r="29" spans="1:12">
      <c r="A29" s="17"/>
      <c r="B29" s="18"/>
      <c r="C29" s="18"/>
      <c r="D29" s="27"/>
      <c r="E29" s="18"/>
      <c r="F29" s="19"/>
      <c r="G29" s="19"/>
      <c r="H29" s="21"/>
      <c r="I29" s="18"/>
      <c r="J29" s="18"/>
    </row>
    <row r="30" spans="1:12">
      <c r="A30" s="44"/>
      <c r="B30" s="45"/>
      <c r="C30" s="45"/>
      <c r="D30" s="46"/>
      <c r="E30" s="45"/>
      <c r="F30" s="47"/>
      <c r="G30" s="48"/>
      <c r="H30" s="49"/>
      <c r="I30" s="45"/>
    </row>
    <row r="31" spans="1:12">
      <c r="A31" s="17"/>
      <c r="B31" s="18"/>
      <c r="C31" s="18"/>
      <c r="D31" s="27"/>
      <c r="E31" s="18"/>
      <c r="F31" s="19"/>
      <c r="G31" s="19"/>
      <c r="H31" s="21"/>
      <c r="I31" s="18"/>
      <c r="J31" s="18"/>
    </row>
    <row r="32" spans="1:12">
      <c r="A32" s="44"/>
      <c r="B32" s="45"/>
      <c r="C32" s="45"/>
      <c r="D32" s="46"/>
      <c r="E32" s="45"/>
      <c r="F32" s="47"/>
      <c r="G32" s="48"/>
      <c r="H32" s="49"/>
      <c r="I32" s="45"/>
    </row>
    <row r="33" spans="1:10">
      <c r="A33" s="17"/>
      <c r="B33" s="18"/>
      <c r="C33" s="18"/>
      <c r="D33" s="27"/>
      <c r="E33" s="18"/>
      <c r="F33" s="19"/>
      <c r="G33" s="19"/>
      <c r="H33" s="21"/>
      <c r="I33" s="18"/>
      <c r="J33" s="18"/>
    </row>
    <row r="34" spans="1:10">
      <c r="A34" s="44"/>
      <c r="B34" s="45"/>
      <c r="C34" s="45"/>
      <c r="D34" s="46"/>
      <c r="E34" s="45"/>
      <c r="F34" s="47"/>
      <c r="G34" s="48"/>
      <c r="H34" s="49"/>
      <c r="I34" s="45"/>
    </row>
    <row r="35" spans="1:10">
      <c r="A35" s="17"/>
      <c r="B35" s="18"/>
      <c r="C35" s="18"/>
      <c r="D35" s="27"/>
      <c r="E35" s="18"/>
      <c r="F35" s="19"/>
      <c r="G35" s="19"/>
      <c r="H35" s="21"/>
      <c r="I35" s="18"/>
      <c r="J35" s="18"/>
    </row>
    <row r="36" spans="1:10">
      <c r="A36" s="44"/>
      <c r="B36" s="45"/>
      <c r="C36" s="45"/>
      <c r="D36" s="46"/>
      <c r="E36" s="45"/>
      <c r="F36" s="47"/>
      <c r="G36" s="48"/>
      <c r="H36" s="49"/>
      <c r="I36" s="45"/>
    </row>
    <row r="37" spans="1:10">
      <c r="A37" s="17"/>
      <c r="B37" s="18"/>
      <c r="C37" s="18"/>
      <c r="D37" s="27"/>
      <c r="E37" s="18"/>
      <c r="F37" s="19"/>
      <c r="G37" s="19"/>
      <c r="H37" s="21"/>
      <c r="I37" s="18"/>
      <c r="J37" s="18"/>
    </row>
    <row r="38" spans="1:10">
      <c r="A38" s="44"/>
      <c r="B38" s="45"/>
      <c r="C38" s="45"/>
      <c r="D38" s="46"/>
      <c r="E38" s="45"/>
      <c r="F38" s="47"/>
      <c r="G38" s="48"/>
      <c r="H38" s="49"/>
      <c r="I38" s="45"/>
    </row>
    <row r="39" spans="1:10">
      <c r="A39" s="17"/>
      <c r="B39" s="18"/>
      <c r="C39" s="18"/>
      <c r="D39" s="27"/>
      <c r="E39" s="18"/>
      <c r="F39" s="19"/>
      <c r="G39" s="19"/>
      <c r="H39" s="21"/>
      <c r="I39" s="18"/>
      <c r="J39" s="18"/>
    </row>
    <row r="40" spans="1:10">
      <c r="A40" s="44"/>
      <c r="B40" s="45"/>
      <c r="C40" s="45"/>
      <c r="D40" s="46"/>
      <c r="E40" s="45"/>
      <c r="F40" s="47"/>
      <c r="G40" s="48"/>
      <c r="H40" s="49"/>
      <c r="I40" s="45"/>
    </row>
    <row r="41" spans="1:10">
      <c r="A41" s="17"/>
      <c r="B41" s="18"/>
      <c r="C41" s="18"/>
      <c r="D41" s="27"/>
      <c r="E41" s="18"/>
      <c r="F41" s="19"/>
      <c r="G41" s="19"/>
      <c r="H41" s="21"/>
      <c r="I41" s="18"/>
      <c r="J41" s="18"/>
    </row>
    <row r="42" spans="1:10">
      <c r="A42" s="44"/>
      <c r="B42" s="45"/>
      <c r="C42" s="45"/>
      <c r="D42" s="46"/>
      <c r="E42" s="45"/>
      <c r="F42" s="47"/>
      <c r="G42" s="48"/>
      <c r="H42" s="49"/>
      <c r="I42" s="45"/>
    </row>
    <row r="43" spans="1:10">
      <c r="A43" s="17"/>
      <c r="B43" s="18"/>
      <c r="C43" s="18"/>
      <c r="D43" s="27"/>
      <c r="E43" s="18"/>
      <c r="F43" s="19"/>
      <c r="G43" s="19"/>
      <c r="H43" s="21"/>
      <c r="I43" s="18"/>
      <c r="J43" s="18"/>
    </row>
    <row r="44" spans="1:10">
      <c r="A44" s="44"/>
      <c r="B44" s="45"/>
      <c r="C44" s="45"/>
      <c r="D44" s="46"/>
      <c r="E44" s="45"/>
      <c r="F44" s="47"/>
      <c r="G44" s="48"/>
      <c r="H44" s="49"/>
      <c r="I44" s="45"/>
    </row>
    <row r="45" spans="1:10">
      <c r="A45" s="17"/>
      <c r="B45" s="18"/>
      <c r="C45" s="18"/>
      <c r="D45" s="27"/>
      <c r="E45" s="18"/>
      <c r="F45" s="19"/>
      <c r="G45" s="19"/>
      <c r="H45" s="21"/>
      <c r="I45" s="18"/>
      <c r="J45" s="18"/>
    </row>
    <row r="46" spans="1:10">
      <c r="A46" s="44"/>
      <c r="B46" s="45"/>
      <c r="C46" s="45"/>
      <c r="D46" s="46"/>
      <c r="E46" s="45"/>
      <c r="F46" s="47"/>
      <c r="G46" s="48"/>
      <c r="H46" s="49"/>
      <c r="I46" s="45"/>
    </row>
    <row r="47" spans="1:10">
      <c r="A47" s="17"/>
      <c r="B47" s="18"/>
      <c r="C47" s="18"/>
      <c r="D47" s="27"/>
      <c r="E47" s="18"/>
      <c r="F47" s="19"/>
      <c r="G47" s="19"/>
      <c r="H47" s="21"/>
      <c r="I47" s="18"/>
      <c r="J47" s="18"/>
    </row>
    <row r="48" spans="1:10">
      <c r="A48" s="44"/>
      <c r="B48" s="45"/>
      <c r="C48" s="45"/>
      <c r="D48" s="46"/>
      <c r="E48" s="45"/>
      <c r="F48" s="47"/>
      <c r="G48" s="48"/>
      <c r="H48" s="49"/>
      <c r="I48" s="45"/>
    </row>
    <row r="49" spans="1:10">
      <c r="A49" s="17"/>
      <c r="B49" s="18"/>
      <c r="C49" s="18"/>
      <c r="D49" s="27"/>
      <c r="E49" s="18"/>
      <c r="F49" s="19"/>
      <c r="G49" s="19"/>
      <c r="H49" s="21"/>
      <c r="I49" s="18"/>
      <c r="J49" s="18"/>
    </row>
    <row r="50" spans="1:10">
      <c r="A50" s="44"/>
      <c r="B50" s="45"/>
      <c r="C50" s="45"/>
      <c r="D50" s="46"/>
      <c r="E50" s="45"/>
      <c r="F50" s="47"/>
      <c r="G50" s="48"/>
      <c r="H50" s="49"/>
      <c r="I50" s="45"/>
    </row>
    <row r="51" spans="1:10">
      <c r="A51" s="17"/>
      <c r="B51" s="18"/>
      <c r="C51" s="18"/>
      <c r="D51" s="27"/>
      <c r="E51" s="18"/>
      <c r="F51" s="19"/>
      <c r="G51" s="19"/>
      <c r="H51" s="21"/>
      <c r="I51" s="18"/>
      <c r="J51" s="18"/>
    </row>
    <row r="52" spans="1:10">
      <c r="A52" s="44"/>
      <c r="B52" s="45"/>
      <c r="C52" s="45"/>
      <c r="D52" s="46"/>
      <c r="E52" s="45"/>
      <c r="F52" s="47"/>
      <c r="G52" s="48"/>
      <c r="H52" s="49"/>
      <c r="I52" s="45"/>
    </row>
    <row r="53" spans="1:10">
      <c r="A53" s="17"/>
      <c r="B53" s="18"/>
      <c r="C53" s="18"/>
      <c r="D53" s="27"/>
      <c r="E53" s="18"/>
      <c r="F53" s="19"/>
      <c r="G53" s="19"/>
      <c r="H53" s="21"/>
      <c r="I53" s="18"/>
      <c r="J53" s="18"/>
    </row>
    <row r="54" spans="1:10">
      <c r="A54" s="44"/>
      <c r="B54" s="45"/>
      <c r="C54" s="45"/>
      <c r="D54" s="46"/>
      <c r="E54" s="45"/>
      <c r="F54" s="47"/>
      <c r="G54" s="48"/>
      <c r="H54" s="49"/>
      <c r="I54" s="45"/>
    </row>
    <row r="55" spans="1:10">
      <c r="A55" s="17"/>
      <c r="B55" s="18"/>
      <c r="C55" s="18"/>
      <c r="D55" s="27"/>
      <c r="E55" s="18"/>
      <c r="F55" s="19"/>
      <c r="G55" s="19"/>
      <c r="H55" s="21"/>
      <c r="I55" s="18"/>
      <c r="J55" s="18"/>
    </row>
    <row r="56" spans="1:10">
      <c r="A56" s="44"/>
      <c r="B56" s="45"/>
      <c r="C56" s="45"/>
      <c r="D56" s="46"/>
      <c r="E56" s="45"/>
      <c r="F56" s="47"/>
      <c r="G56" s="48"/>
      <c r="H56" s="49"/>
      <c r="I56" s="45"/>
    </row>
    <row r="57" spans="1:10">
      <c r="A57" s="17"/>
      <c r="B57" s="18"/>
      <c r="C57" s="18"/>
      <c r="D57" s="27"/>
      <c r="E57" s="18"/>
      <c r="F57" s="19"/>
      <c r="G57" s="19"/>
      <c r="H57" s="21"/>
      <c r="I57" s="18"/>
      <c r="J57" s="18"/>
    </row>
    <row r="58" spans="1:10">
      <c r="A58" s="44"/>
      <c r="B58" s="45"/>
      <c r="C58" s="45"/>
      <c r="D58" s="46"/>
      <c r="E58" s="45"/>
      <c r="F58" s="47"/>
      <c r="G58" s="48"/>
      <c r="H58" s="49"/>
      <c r="I58" s="45"/>
    </row>
    <row r="59" spans="1:10">
      <c r="A59" s="17"/>
      <c r="B59" s="18"/>
      <c r="C59" s="18"/>
      <c r="D59" s="27"/>
      <c r="E59" s="18"/>
      <c r="F59" s="19"/>
      <c r="G59" s="19"/>
      <c r="H59" s="21"/>
      <c r="I59" s="18"/>
      <c r="J59" s="18"/>
    </row>
    <row r="60" spans="1:10">
      <c r="A60" s="44"/>
      <c r="B60" s="45"/>
      <c r="C60" s="45"/>
      <c r="D60" s="46"/>
      <c r="E60" s="45"/>
      <c r="F60" s="47"/>
      <c r="G60" s="48"/>
      <c r="H60" s="49"/>
      <c r="I60" s="45"/>
    </row>
    <row r="61" spans="1:10">
      <c r="A61" s="17"/>
      <c r="B61" s="18"/>
      <c r="C61" s="18"/>
      <c r="D61" s="27"/>
      <c r="E61" s="18"/>
      <c r="F61" s="19"/>
      <c r="G61" s="19"/>
      <c r="H61" s="21"/>
      <c r="I61" s="18"/>
      <c r="J61" s="18"/>
    </row>
    <row r="62" spans="1:10">
      <c r="A62" s="44"/>
      <c r="B62" s="45"/>
      <c r="C62" s="45"/>
      <c r="D62" s="46"/>
      <c r="E62" s="45"/>
      <c r="F62" s="47"/>
      <c r="G62" s="48"/>
      <c r="H62" s="49"/>
      <c r="I62" s="45"/>
    </row>
    <row r="63" spans="1:10">
      <c r="A63" s="17"/>
      <c r="B63" s="18"/>
      <c r="C63" s="18"/>
      <c r="D63" s="27"/>
      <c r="E63" s="18"/>
      <c r="F63" s="19"/>
      <c r="G63" s="19"/>
      <c r="H63" s="21"/>
      <c r="I63" s="18"/>
      <c r="J63" s="18"/>
    </row>
    <row r="64" spans="1:10">
      <c r="A64" s="44"/>
      <c r="B64" s="45"/>
      <c r="C64" s="45"/>
      <c r="D64" s="46"/>
      <c r="E64" s="45"/>
      <c r="F64" s="47"/>
      <c r="G64" s="48"/>
      <c r="H64" s="49"/>
      <c r="I64" s="45"/>
    </row>
    <row r="65" spans="1:10">
      <c r="A65" s="17"/>
      <c r="B65" s="18"/>
      <c r="C65" s="18"/>
      <c r="D65" s="27"/>
      <c r="E65" s="18"/>
      <c r="F65" s="19"/>
      <c r="G65" s="19"/>
      <c r="H65" s="21"/>
      <c r="I65" s="18"/>
      <c r="J65" s="18"/>
    </row>
    <row r="66" spans="1:10">
      <c r="A66" s="44"/>
      <c r="B66" s="45"/>
      <c r="C66" s="45"/>
      <c r="D66" s="46"/>
      <c r="E66" s="45"/>
      <c r="F66" s="47"/>
      <c r="G66" s="48"/>
      <c r="H66" s="49"/>
      <c r="I66" s="45"/>
    </row>
    <row r="67" spans="1:10">
      <c r="A67" s="17"/>
      <c r="B67" s="18"/>
      <c r="C67" s="18"/>
      <c r="D67" s="27"/>
      <c r="E67" s="18"/>
      <c r="F67" s="19"/>
      <c r="G67" s="19"/>
      <c r="H67" s="21"/>
      <c r="I67" s="18"/>
      <c r="J67" s="18"/>
    </row>
    <row r="68" spans="1:10">
      <c r="A68" s="44"/>
      <c r="B68" s="45"/>
      <c r="C68" s="45"/>
      <c r="D68" s="46"/>
      <c r="E68" s="45"/>
      <c r="F68" s="47"/>
      <c r="G68" s="48"/>
      <c r="H68" s="49"/>
      <c r="I68" s="45"/>
    </row>
    <row r="69" spans="1:10">
      <c r="A69" s="17"/>
      <c r="B69" s="18"/>
      <c r="C69" s="18"/>
      <c r="D69" s="27"/>
      <c r="E69" s="18"/>
      <c r="F69" s="19"/>
      <c r="G69" s="19"/>
      <c r="H69" s="21"/>
      <c r="I69" s="18"/>
      <c r="J69" s="18"/>
    </row>
    <row r="70" spans="1:10">
      <c r="A70" s="44"/>
      <c r="B70" s="45"/>
      <c r="C70" s="45"/>
      <c r="D70" s="46"/>
      <c r="E70" s="45"/>
      <c r="F70" s="47"/>
      <c r="G70" s="48"/>
      <c r="H70" s="49"/>
      <c r="I70" s="45"/>
    </row>
    <row r="71" spans="1:10">
      <c r="A71" s="17"/>
      <c r="B71" s="18"/>
      <c r="C71" s="18"/>
      <c r="D71" s="27"/>
      <c r="E71" s="18"/>
      <c r="F71" s="19"/>
      <c r="G71" s="19"/>
      <c r="H71" s="21"/>
      <c r="I71" s="18"/>
      <c r="J71" s="18"/>
    </row>
    <row r="72" spans="1:10">
      <c r="A72" s="44"/>
      <c r="B72" s="45"/>
      <c r="C72" s="45"/>
      <c r="D72" s="46"/>
      <c r="E72" s="45"/>
      <c r="F72" s="47"/>
      <c r="G72" s="48"/>
      <c r="H72" s="49"/>
      <c r="I72" s="45"/>
    </row>
    <row r="73" spans="1:10">
      <c r="A73" s="17"/>
      <c r="B73" s="18"/>
      <c r="C73" s="18"/>
      <c r="D73" s="27"/>
      <c r="E73" s="18"/>
      <c r="F73" s="19"/>
      <c r="G73" s="19"/>
      <c r="H73" s="21"/>
      <c r="I73" s="18"/>
      <c r="J73" s="18"/>
    </row>
    <row r="74" spans="1:10">
      <c r="A74" s="44"/>
      <c r="B74" s="45"/>
      <c r="C74" s="45"/>
      <c r="D74" s="46"/>
      <c r="E74" s="45"/>
      <c r="F74" s="47"/>
      <c r="G74" s="48"/>
      <c r="H74" s="49"/>
      <c r="I74" s="45"/>
    </row>
    <row r="75" spans="1:10">
      <c r="A75" s="17"/>
      <c r="B75" s="18"/>
      <c r="C75" s="18"/>
      <c r="D75" s="27"/>
      <c r="E75" s="18"/>
      <c r="F75" s="19"/>
      <c r="G75" s="19"/>
      <c r="H75" s="21"/>
      <c r="I75" s="18"/>
      <c r="J75" s="18"/>
    </row>
    <row r="76" spans="1:10">
      <c r="A76" s="44"/>
      <c r="B76" s="45"/>
      <c r="C76" s="45"/>
      <c r="D76" s="46"/>
      <c r="E76" s="45"/>
      <c r="F76" s="47"/>
      <c r="G76" s="48"/>
      <c r="H76" s="49"/>
      <c r="I76" s="45"/>
    </row>
    <row r="77" spans="1:10">
      <c r="A77" s="17"/>
      <c r="B77" s="18"/>
      <c r="C77" s="18"/>
      <c r="D77" s="27"/>
      <c r="E77" s="18"/>
      <c r="F77" s="19"/>
      <c r="G77" s="19"/>
      <c r="H77" s="21"/>
      <c r="I77" s="18"/>
      <c r="J77" s="18"/>
    </row>
    <row r="78" spans="1:10">
      <c r="A78" s="44"/>
      <c r="B78" s="45"/>
      <c r="C78" s="45"/>
      <c r="D78" s="46"/>
      <c r="E78" s="45"/>
      <c r="F78" s="47"/>
      <c r="G78" s="48"/>
      <c r="H78" s="49"/>
      <c r="I78" s="45"/>
    </row>
    <row r="79" spans="1:10">
      <c r="A79" s="17"/>
      <c r="B79" s="18"/>
      <c r="C79" s="18"/>
      <c r="D79" s="27"/>
      <c r="E79" s="18"/>
      <c r="F79" s="19"/>
      <c r="G79" s="19"/>
      <c r="H79" s="21"/>
      <c r="I79" s="18"/>
      <c r="J79" s="18"/>
    </row>
    <row r="80" spans="1:10">
      <c r="A80" s="44"/>
      <c r="B80" s="45"/>
      <c r="C80" s="45"/>
      <c r="D80" s="46"/>
      <c r="E80" s="45"/>
      <c r="F80" s="47"/>
      <c r="G80" s="48"/>
      <c r="H80" s="49"/>
      <c r="I80" s="45"/>
    </row>
    <row r="81" spans="1:10">
      <c r="A81" s="17"/>
      <c r="B81" s="18"/>
      <c r="C81" s="18"/>
      <c r="D81" s="27"/>
      <c r="E81" s="18"/>
      <c r="F81" s="19"/>
      <c r="G81" s="19"/>
      <c r="H81" s="21"/>
      <c r="I81" s="18"/>
      <c r="J81" s="18"/>
    </row>
    <row r="82" spans="1:10">
      <c r="A82" s="44"/>
      <c r="B82" s="45"/>
      <c r="C82" s="45"/>
      <c r="D82" s="46"/>
      <c r="E82" s="45"/>
      <c r="F82" s="47"/>
      <c r="G82" s="48"/>
      <c r="H82" s="49"/>
      <c r="I82" s="45"/>
    </row>
    <row r="83" spans="1:10">
      <c r="A83" s="17"/>
      <c r="B83" s="18"/>
      <c r="C83" s="18"/>
      <c r="D83" s="27"/>
      <c r="E83" s="18"/>
      <c r="F83" s="19"/>
      <c r="G83" s="19"/>
      <c r="H83" s="21"/>
      <c r="I83" s="18"/>
      <c r="J83" s="18"/>
    </row>
    <row r="84" spans="1:10">
      <c r="A84" s="44"/>
      <c r="B84" s="45"/>
      <c r="C84" s="45"/>
      <c r="D84" s="46"/>
      <c r="E84" s="45"/>
      <c r="F84" s="47"/>
      <c r="G84" s="48"/>
      <c r="H84" s="49"/>
      <c r="I84" s="45"/>
    </row>
    <row r="85" spans="1:10">
      <c r="A85" s="17"/>
      <c r="B85" s="18"/>
      <c r="C85" s="18"/>
      <c r="D85" s="27"/>
      <c r="E85" s="18"/>
      <c r="F85" s="19"/>
      <c r="G85" s="19"/>
      <c r="H85" s="21"/>
      <c r="I85" s="18"/>
      <c r="J85" s="18"/>
    </row>
    <row r="86" spans="1:10">
      <c r="A86" s="44"/>
      <c r="B86" s="45"/>
      <c r="C86" s="45"/>
      <c r="D86" s="46"/>
      <c r="E86" s="45"/>
      <c r="F86" s="47"/>
      <c r="G86" s="48"/>
      <c r="H86" s="49"/>
      <c r="I86" s="45"/>
    </row>
    <row r="87" spans="1:10">
      <c r="A87" s="17"/>
      <c r="B87" s="18"/>
      <c r="C87" s="18"/>
      <c r="D87" s="27"/>
      <c r="E87" s="18"/>
      <c r="F87" s="19"/>
      <c r="G87" s="19"/>
      <c r="H87" s="21"/>
      <c r="I87" s="18"/>
      <c r="J87" s="18"/>
    </row>
    <row r="88" spans="1:10">
      <c r="A88" s="44"/>
      <c r="B88" s="45"/>
      <c r="C88" s="45"/>
      <c r="D88" s="46"/>
      <c r="E88" s="45"/>
      <c r="F88" s="47"/>
      <c r="G88" s="48"/>
      <c r="H88" s="49"/>
      <c r="I88" s="45"/>
    </row>
    <row r="89" spans="1:10">
      <c r="A89" s="17"/>
      <c r="B89" s="18"/>
      <c r="C89" s="18"/>
      <c r="D89" s="27"/>
      <c r="E89" s="18"/>
      <c r="F89" s="19"/>
      <c r="G89" s="19"/>
      <c r="H89" s="21"/>
      <c r="I89" s="18"/>
      <c r="J89" s="18"/>
    </row>
    <row r="90" spans="1:10">
      <c r="A90" s="44"/>
      <c r="B90" s="45"/>
      <c r="C90" s="45"/>
      <c r="D90" s="46"/>
      <c r="E90" s="45"/>
      <c r="F90" s="47"/>
      <c r="G90" s="48"/>
      <c r="H90" s="49"/>
      <c r="I90" s="45"/>
    </row>
    <row r="91" spans="1:10">
      <c r="A91" s="17"/>
      <c r="B91" s="18"/>
      <c r="C91" s="18"/>
      <c r="D91" s="27"/>
      <c r="E91" s="18"/>
      <c r="F91" s="19"/>
      <c r="G91" s="19"/>
      <c r="H91" s="21"/>
      <c r="I91" s="18"/>
      <c r="J91" s="18"/>
    </row>
    <row r="92" spans="1:10">
      <c r="A92" s="44"/>
      <c r="B92" s="45"/>
      <c r="C92" s="45"/>
      <c r="D92" s="46"/>
      <c r="E92" s="45"/>
      <c r="F92" s="47"/>
      <c r="G92" s="48"/>
      <c r="H92" s="49"/>
      <c r="I92" s="45"/>
    </row>
    <row r="93" spans="1:10">
      <c r="A93" s="17"/>
      <c r="B93" s="18"/>
      <c r="C93" s="18"/>
      <c r="D93" s="27"/>
      <c r="E93" s="18"/>
      <c r="F93" s="19"/>
      <c r="G93" s="19"/>
      <c r="H93" s="21"/>
      <c r="I93" s="18"/>
      <c r="J93" s="18"/>
    </row>
    <row r="94" spans="1:10">
      <c r="A94" s="44"/>
      <c r="B94" s="45"/>
      <c r="C94" s="45"/>
      <c r="D94" s="46"/>
      <c r="E94" s="45"/>
      <c r="F94" s="47"/>
      <c r="G94" s="48"/>
      <c r="H94" s="49"/>
      <c r="I94" s="45"/>
    </row>
    <row r="95" spans="1:10">
      <c r="A95" s="17"/>
      <c r="B95" s="18"/>
      <c r="C95" s="18"/>
      <c r="D95" s="27"/>
      <c r="E95" s="18"/>
      <c r="F95" s="19"/>
      <c r="G95" s="19"/>
      <c r="H95" s="21"/>
      <c r="I95" s="18"/>
      <c r="J95" s="18"/>
    </row>
    <row r="96" spans="1:10">
      <c r="A96" s="44"/>
      <c r="B96" s="45"/>
      <c r="C96" s="45"/>
      <c r="D96" s="46"/>
      <c r="E96" s="45"/>
      <c r="F96" s="47"/>
      <c r="G96" s="48"/>
      <c r="H96" s="49"/>
      <c r="I96" s="45"/>
    </row>
    <row r="97" spans="1:10">
      <c r="A97" s="17"/>
      <c r="B97" s="18"/>
      <c r="C97" s="18"/>
      <c r="D97" s="27"/>
      <c r="E97" s="18"/>
      <c r="F97" s="19"/>
      <c r="G97" s="19"/>
      <c r="H97" s="21"/>
      <c r="I97" s="18"/>
      <c r="J97" s="18"/>
    </row>
    <row r="98" spans="1:10">
      <c r="A98" s="44"/>
      <c r="B98" s="45"/>
      <c r="C98" s="45"/>
      <c r="D98" s="46"/>
      <c r="E98" s="45"/>
      <c r="F98" s="47"/>
      <c r="G98" s="48"/>
      <c r="H98" s="49"/>
      <c r="I98" s="45"/>
    </row>
    <row r="99" spans="1:10">
      <c r="A99" s="17"/>
      <c r="B99" s="18"/>
      <c r="C99" s="18"/>
      <c r="D99" s="27"/>
      <c r="E99" s="18"/>
      <c r="F99" s="19"/>
      <c r="G99" s="19"/>
      <c r="H99" s="21"/>
      <c r="I99" s="18"/>
      <c r="J99" s="18"/>
    </row>
    <row r="100" spans="1:10">
      <c r="A100" s="44"/>
      <c r="B100" s="45"/>
      <c r="C100" s="45"/>
      <c r="D100" s="46"/>
      <c r="E100" s="45"/>
      <c r="F100" s="47"/>
      <c r="G100" s="48"/>
      <c r="H100" s="49"/>
      <c r="I100" s="45"/>
    </row>
    <row r="101" spans="1:10">
      <c r="A101" s="17"/>
      <c r="B101" s="18"/>
      <c r="C101" s="18"/>
      <c r="D101" s="27"/>
      <c r="E101" s="18"/>
      <c r="F101" s="19"/>
      <c r="G101" s="19"/>
      <c r="H101" s="21"/>
      <c r="I101" s="18"/>
      <c r="J101" s="18"/>
    </row>
    <row r="102" spans="1:10">
      <c r="A102" s="44"/>
      <c r="B102" s="45"/>
      <c r="C102" s="45"/>
      <c r="D102" s="46"/>
      <c r="E102" s="45"/>
      <c r="F102" s="47"/>
      <c r="G102" s="48"/>
      <c r="H102" s="49"/>
      <c r="I102" s="45"/>
    </row>
    <row r="103" spans="1:10">
      <c r="A103" s="17"/>
      <c r="B103" s="18"/>
      <c r="C103" s="18"/>
      <c r="D103" s="27"/>
      <c r="E103" s="18"/>
      <c r="F103" s="19"/>
      <c r="G103" s="19"/>
      <c r="H103" s="21"/>
      <c r="I103" s="18"/>
      <c r="J103" s="18"/>
    </row>
    <row r="104" spans="1:10">
      <c r="A104" s="44"/>
      <c r="B104" s="45"/>
      <c r="C104" s="45"/>
      <c r="D104" s="46"/>
      <c r="E104" s="45"/>
      <c r="F104" s="47"/>
      <c r="G104" s="48"/>
      <c r="H104" s="49"/>
      <c r="I104" s="45"/>
    </row>
    <row r="105" spans="1:10">
      <c r="A105" s="17"/>
      <c r="B105" s="18"/>
      <c r="C105" s="18"/>
      <c r="D105" s="27"/>
      <c r="E105" s="18"/>
      <c r="F105" s="19"/>
      <c r="G105" s="19"/>
      <c r="H105" s="21"/>
      <c r="I105" s="18"/>
      <c r="J105" s="18"/>
    </row>
    <row r="106" spans="1:10">
      <c r="A106" s="44"/>
      <c r="B106" s="45"/>
      <c r="C106" s="45"/>
      <c r="D106" s="46"/>
      <c r="E106" s="45"/>
      <c r="F106" s="47"/>
      <c r="G106" s="48"/>
      <c r="H106" s="49"/>
      <c r="I106" s="45"/>
    </row>
    <row r="107" spans="1:10">
      <c r="A107" s="17"/>
      <c r="B107" s="18"/>
      <c r="C107" s="18"/>
      <c r="D107" s="27"/>
      <c r="E107" s="18"/>
      <c r="F107" s="19"/>
      <c r="G107" s="19"/>
      <c r="H107" s="21"/>
      <c r="I107" s="18"/>
      <c r="J107" s="18"/>
    </row>
    <row r="108" spans="1:10">
      <c r="A108" s="44"/>
      <c r="B108" s="45"/>
      <c r="C108" s="45"/>
      <c r="D108" s="46"/>
      <c r="E108" s="45"/>
      <c r="F108" s="47"/>
      <c r="G108" s="48"/>
      <c r="H108" s="49"/>
      <c r="I108" s="45"/>
    </row>
    <row r="109" spans="1:10">
      <c r="A109" s="17"/>
      <c r="B109" s="18"/>
      <c r="C109" s="18"/>
      <c r="D109" s="27"/>
      <c r="E109" s="18"/>
      <c r="F109" s="19"/>
      <c r="G109" s="19"/>
      <c r="H109" s="21"/>
      <c r="I109" s="18"/>
      <c r="J109" s="18"/>
    </row>
    <row r="110" spans="1:10">
      <c r="A110" s="44"/>
      <c r="B110" s="45"/>
      <c r="C110" s="45"/>
      <c r="D110" s="46"/>
      <c r="E110" s="45"/>
      <c r="F110" s="47"/>
      <c r="G110" s="48"/>
      <c r="H110" s="49"/>
      <c r="I110" s="45"/>
    </row>
    <row r="111" spans="1:10">
      <c r="A111" s="17"/>
      <c r="B111" s="18"/>
      <c r="C111" s="18"/>
      <c r="D111" s="27"/>
      <c r="E111" s="18"/>
      <c r="F111" s="19"/>
      <c r="G111" s="19"/>
      <c r="H111" s="21"/>
      <c r="I111" s="18"/>
      <c r="J111" s="18"/>
    </row>
    <row r="112" spans="1:10">
      <c r="A112" s="44"/>
      <c r="B112" s="45"/>
      <c r="C112" s="45"/>
      <c r="D112" s="46"/>
      <c r="E112" s="45"/>
      <c r="F112" s="47"/>
      <c r="G112" s="48"/>
      <c r="H112" s="49"/>
      <c r="I112" s="45"/>
    </row>
    <row r="113" spans="1:10">
      <c r="A113" s="17"/>
      <c r="B113" s="18"/>
      <c r="C113" s="18"/>
      <c r="D113" s="27"/>
      <c r="E113" s="18"/>
      <c r="F113" s="19"/>
      <c r="G113" s="19"/>
      <c r="H113" s="21"/>
      <c r="I113" s="18"/>
      <c r="J113" s="18"/>
    </row>
    <row r="114" spans="1:10">
      <c r="A114" s="44"/>
      <c r="B114" s="45"/>
      <c r="C114" s="45"/>
      <c r="D114" s="46"/>
      <c r="E114" s="45"/>
      <c r="F114" s="47"/>
      <c r="G114" s="48"/>
      <c r="H114" s="49"/>
      <c r="I114" s="45"/>
    </row>
    <row r="115" spans="1:10">
      <c r="A115" s="17"/>
      <c r="B115" s="18"/>
      <c r="C115" s="18"/>
      <c r="D115" s="27"/>
      <c r="E115" s="18"/>
      <c r="F115" s="19"/>
      <c r="G115" s="19"/>
      <c r="H115" s="21"/>
      <c r="I115" s="18"/>
      <c r="J115" s="18"/>
    </row>
    <row r="116" spans="1:10">
      <c r="A116" s="44"/>
      <c r="B116" s="45"/>
      <c r="C116" s="45"/>
      <c r="D116" s="46"/>
      <c r="E116" s="45"/>
      <c r="F116" s="47"/>
      <c r="G116" s="48"/>
      <c r="H116" s="49"/>
      <c r="I116" s="45"/>
    </row>
    <row r="117" spans="1:10">
      <c r="A117" s="17"/>
      <c r="B117" s="18"/>
      <c r="C117" s="18"/>
      <c r="D117" s="27"/>
      <c r="E117" s="18"/>
      <c r="F117" s="19"/>
      <c r="G117" s="19"/>
      <c r="H117" s="21"/>
      <c r="I117" s="18"/>
      <c r="J117" s="18"/>
    </row>
    <row r="118" spans="1:10">
      <c r="A118" s="44"/>
      <c r="B118" s="45"/>
      <c r="C118" s="45"/>
      <c r="D118" s="46"/>
      <c r="E118" s="45"/>
      <c r="F118" s="47"/>
      <c r="G118" s="48"/>
      <c r="H118" s="49"/>
      <c r="I118" s="45"/>
    </row>
    <row r="119" spans="1:10">
      <c r="A119" s="17"/>
      <c r="B119" s="18"/>
      <c r="C119" s="18"/>
      <c r="D119" s="27"/>
      <c r="E119" s="18"/>
      <c r="F119" s="19"/>
      <c r="G119" s="19"/>
      <c r="H119" s="21"/>
      <c r="I119" s="18"/>
      <c r="J119" s="18"/>
    </row>
    <row r="120" spans="1:10">
      <c r="A120" s="44"/>
      <c r="B120" s="45"/>
      <c r="C120" s="45"/>
      <c r="D120" s="46"/>
      <c r="E120" s="45"/>
      <c r="F120" s="47"/>
      <c r="G120" s="48"/>
      <c r="H120" s="49"/>
      <c r="I120" s="45"/>
    </row>
    <row r="121" spans="1:10">
      <c r="A121" s="17"/>
      <c r="B121" s="18"/>
      <c r="C121" s="18"/>
      <c r="D121" s="27"/>
      <c r="E121" s="18"/>
      <c r="F121" s="19"/>
      <c r="G121" s="19"/>
      <c r="H121" s="21"/>
      <c r="I121" s="18"/>
      <c r="J121" s="18"/>
    </row>
    <row r="122" spans="1:10">
      <c r="A122" s="44"/>
      <c r="B122" s="45"/>
      <c r="C122" s="45"/>
      <c r="D122" s="46"/>
      <c r="E122" s="45"/>
      <c r="F122" s="47"/>
      <c r="G122" s="48"/>
      <c r="H122" s="49"/>
      <c r="I122" s="45"/>
    </row>
    <row r="123" spans="1:10">
      <c r="A123" s="17"/>
      <c r="B123" s="18"/>
      <c r="C123" s="18"/>
      <c r="D123" s="27"/>
      <c r="E123" s="18"/>
      <c r="F123" s="19"/>
      <c r="G123" s="19"/>
      <c r="H123" s="21"/>
      <c r="I123" s="18"/>
      <c r="J123" s="18"/>
    </row>
    <row r="124" spans="1:10">
      <c r="A124" s="44"/>
      <c r="B124" s="45"/>
      <c r="C124" s="45"/>
      <c r="D124" s="46"/>
      <c r="E124" s="45"/>
      <c r="F124" s="47"/>
      <c r="G124" s="48"/>
      <c r="H124" s="49"/>
      <c r="I124" s="45"/>
    </row>
    <row r="125" spans="1:10">
      <c r="A125" s="17"/>
      <c r="B125" s="18"/>
      <c r="C125" s="18"/>
      <c r="D125" s="27"/>
      <c r="E125" s="18"/>
      <c r="F125" s="19"/>
      <c r="G125" s="19"/>
      <c r="H125" s="21"/>
      <c r="I125" s="18"/>
      <c r="J125" s="18"/>
    </row>
    <row r="126" spans="1:10">
      <c r="A126" s="44"/>
      <c r="B126" s="45"/>
      <c r="C126" s="45"/>
      <c r="D126" s="46"/>
      <c r="E126" s="45"/>
      <c r="F126" s="47"/>
      <c r="G126" s="48"/>
      <c r="H126" s="49"/>
      <c r="I126" s="45"/>
    </row>
    <row r="127" spans="1:10">
      <c r="A127" s="17"/>
      <c r="B127" s="18"/>
      <c r="C127" s="18"/>
      <c r="D127" s="27"/>
      <c r="E127" s="18"/>
      <c r="F127" s="19"/>
      <c r="G127" s="19"/>
      <c r="H127" s="21"/>
      <c r="I127" s="18"/>
      <c r="J127" s="18"/>
    </row>
    <row r="128" spans="1:10">
      <c r="A128" s="44"/>
      <c r="B128" s="45"/>
      <c r="C128" s="45"/>
      <c r="D128" s="46"/>
      <c r="E128" s="45"/>
      <c r="F128" s="47"/>
      <c r="G128" s="48"/>
      <c r="H128" s="49"/>
      <c r="I128" s="45"/>
    </row>
    <row r="129" spans="1:10">
      <c r="A129" s="17"/>
      <c r="B129" s="18"/>
      <c r="C129" s="18"/>
      <c r="D129" s="27"/>
      <c r="E129" s="18"/>
      <c r="F129" s="19"/>
      <c r="G129" s="19"/>
      <c r="H129" s="21"/>
      <c r="I129" s="18"/>
      <c r="J129" s="18"/>
    </row>
    <row r="130" spans="1:10">
      <c r="A130" s="44"/>
      <c r="B130" s="45"/>
      <c r="C130" s="45"/>
      <c r="D130" s="46"/>
      <c r="E130" s="45"/>
      <c r="F130" s="47"/>
      <c r="G130" s="48"/>
      <c r="H130" s="49"/>
      <c r="I130" s="45"/>
    </row>
    <row r="131" spans="1:10">
      <c r="A131" s="17"/>
      <c r="B131" s="18"/>
      <c r="C131" s="18"/>
      <c r="D131" s="27"/>
      <c r="E131" s="18"/>
      <c r="F131" s="19"/>
      <c r="G131" s="19"/>
      <c r="H131" s="21"/>
      <c r="I131" s="18"/>
      <c r="J131" s="18"/>
    </row>
    <row r="132" spans="1:10">
      <c r="A132" s="44"/>
      <c r="B132" s="45"/>
      <c r="C132" s="45"/>
      <c r="D132" s="46"/>
      <c r="E132" s="45"/>
      <c r="F132" s="47"/>
      <c r="G132" s="48"/>
      <c r="H132" s="49"/>
      <c r="I132" s="45"/>
    </row>
    <row r="133" spans="1:10">
      <c r="A133" s="17"/>
      <c r="B133" s="18"/>
      <c r="C133" s="18"/>
      <c r="D133" s="27"/>
      <c r="E133" s="18"/>
      <c r="F133" s="19"/>
      <c r="G133" s="19"/>
      <c r="H133" s="21"/>
      <c r="I133" s="18"/>
      <c r="J133" s="18"/>
    </row>
    <row r="134" spans="1:10">
      <c r="A134" s="44"/>
      <c r="B134" s="45"/>
      <c r="C134" s="45"/>
      <c r="D134" s="46"/>
      <c r="E134" s="45"/>
      <c r="F134" s="47"/>
      <c r="G134" s="48"/>
      <c r="H134" s="49"/>
      <c r="I134" s="45"/>
    </row>
    <row r="135" spans="1:10">
      <c r="A135" s="17"/>
      <c r="B135" s="18"/>
      <c r="C135" s="18"/>
      <c r="D135" s="27"/>
      <c r="E135" s="18"/>
      <c r="F135" s="19"/>
      <c r="G135" s="19"/>
      <c r="H135" s="21"/>
      <c r="I135" s="18"/>
      <c r="J135" s="18"/>
    </row>
    <row r="136" spans="1:10">
      <c r="A136" s="44"/>
      <c r="B136" s="45"/>
      <c r="C136" s="45"/>
      <c r="D136" s="46"/>
      <c r="E136" s="45"/>
      <c r="F136" s="47"/>
      <c r="G136" s="48"/>
      <c r="H136" s="49"/>
      <c r="I136" s="45"/>
    </row>
    <row r="137" spans="1:10">
      <c r="A137" s="17"/>
      <c r="B137" s="18"/>
      <c r="C137" s="18"/>
      <c r="D137" s="27"/>
      <c r="E137" s="18"/>
      <c r="F137" s="19"/>
      <c r="G137" s="19"/>
      <c r="H137" s="21"/>
      <c r="I137" s="18"/>
      <c r="J137" s="18"/>
    </row>
    <row r="138" spans="1:10">
      <c r="A138" s="44"/>
      <c r="B138" s="45"/>
      <c r="C138" s="45"/>
      <c r="D138" s="46"/>
      <c r="E138" s="45"/>
      <c r="F138" s="47"/>
      <c r="G138" s="48"/>
      <c r="H138" s="49"/>
      <c r="I138" s="45"/>
    </row>
    <row r="139" spans="1:10">
      <c r="A139" s="17"/>
      <c r="B139" s="18"/>
      <c r="C139" s="18"/>
      <c r="D139" s="27"/>
      <c r="E139" s="18"/>
      <c r="F139" s="19"/>
      <c r="G139" s="19"/>
      <c r="H139" s="21"/>
      <c r="I139" s="18"/>
      <c r="J139" s="18"/>
    </row>
    <row r="140" spans="1:10">
      <c r="A140" s="44"/>
      <c r="B140" s="45"/>
      <c r="C140" s="45"/>
      <c r="D140" s="46"/>
      <c r="E140" s="45"/>
      <c r="F140" s="47"/>
      <c r="G140" s="48"/>
      <c r="H140" s="49"/>
      <c r="I140" s="45"/>
    </row>
    <row r="141" spans="1:10">
      <c r="A141" s="17"/>
      <c r="B141" s="18"/>
      <c r="C141" s="18"/>
      <c r="D141" s="27"/>
      <c r="E141" s="18"/>
      <c r="F141" s="19"/>
      <c r="G141" s="19"/>
      <c r="H141" s="21"/>
      <c r="I141" s="18"/>
      <c r="J141" s="18"/>
    </row>
    <row r="142" spans="1:10">
      <c r="A142" s="44"/>
      <c r="B142" s="45"/>
      <c r="C142" s="45"/>
      <c r="D142" s="46"/>
      <c r="E142" s="45"/>
      <c r="F142" s="47"/>
      <c r="G142" s="48"/>
      <c r="H142" s="49"/>
      <c r="I142" s="45"/>
    </row>
    <row r="143" spans="1:10">
      <c r="A143" s="17"/>
      <c r="B143" s="18"/>
      <c r="C143" s="18"/>
      <c r="D143" s="27"/>
      <c r="E143" s="18"/>
      <c r="F143" s="19"/>
      <c r="G143" s="19"/>
      <c r="H143" s="21"/>
      <c r="I143" s="18"/>
      <c r="J143" s="18"/>
    </row>
    <row r="144" spans="1:10">
      <c r="A144" s="44"/>
      <c r="B144" s="45"/>
      <c r="C144" s="45"/>
      <c r="D144" s="46"/>
      <c r="E144" s="45"/>
      <c r="F144" s="47"/>
      <c r="G144" s="48"/>
      <c r="H144" s="49"/>
      <c r="I144" s="45"/>
    </row>
    <row r="145" spans="1:10">
      <c r="A145" s="17"/>
      <c r="B145" s="18"/>
      <c r="C145" s="18"/>
      <c r="D145" s="27"/>
      <c r="E145" s="18"/>
      <c r="F145" s="19"/>
      <c r="G145" s="19"/>
      <c r="H145" s="21"/>
      <c r="I145" s="18"/>
      <c r="J145" s="18"/>
    </row>
    <row r="146" spans="1:10">
      <c r="A146" s="44"/>
      <c r="B146" s="45"/>
      <c r="C146" s="45"/>
      <c r="D146" s="46"/>
      <c r="E146" s="45"/>
      <c r="F146" s="47"/>
      <c r="G146" s="48"/>
      <c r="H146" s="49"/>
      <c r="I146" s="45"/>
    </row>
    <row r="147" spans="1:10">
      <c r="A147" s="17"/>
      <c r="B147" s="18"/>
      <c r="C147" s="18"/>
      <c r="D147" s="27"/>
      <c r="E147" s="18"/>
      <c r="F147" s="19"/>
      <c r="G147" s="19"/>
      <c r="H147" s="21"/>
      <c r="I147" s="18"/>
      <c r="J147" s="18"/>
    </row>
    <row r="148" spans="1:10">
      <c r="A148" s="44"/>
      <c r="B148" s="45"/>
      <c r="C148" s="45"/>
      <c r="D148" s="46"/>
      <c r="E148" s="45"/>
      <c r="F148" s="47"/>
      <c r="G148" s="48"/>
      <c r="H148" s="49"/>
      <c r="I148" s="45"/>
    </row>
    <row r="149" spans="1:10">
      <c r="A149" s="17"/>
      <c r="B149" s="18"/>
      <c r="C149" s="18"/>
      <c r="D149" s="27"/>
      <c r="E149" s="18"/>
      <c r="F149" s="19"/>
      <c r="G149" s="19"/>
      <c r="H149" s="21"/>
      <c r="I149" s="18"/>
      <c r="J149" s="18"/>
    </row>
    <row r="150" spans="1:10">
      <c r="A150" s="44"/>
      <c r="B150" s="45"/>
      <c r="C150" s="45"/>
      <c r="D150" s="46"/>
      <c r="E150" s="45"/>
      <c r="F150" s="47"/>
      <c r="G150" s="48"/>
      <c r="H150" s="49"/>
      <c r="I150" s="45"/>
    </row>
    <row r="151" spans="1:10">
      <c r="A151" s="17"/>
      <c r="B151" s="18"/>
      <c r="C151" s="18"/>
      <c r="D151" s="27"/>
      <c r="E151" s="18"/>
      <c r="F151" s="19"/>
      <c r="G151" s="19"/>
      <c r="H151" s="21"/>
      <c r="I151" s="18"/>
      <c r="J151" s="18"/>
    </row>
    <row r="152" spans="1:10">
      <c r="A152" s="44"/>
      <c r="B152" s="45"/>
      <c r="C152" s="45"/>
      <c r="D152" s="46"/>
      <c r="E152" s="45"/>
      <c r="F152" s="47"/>
      <c r="G152" s="48"/>
      <c r="H152" s="49"/>
      <c r="I152" s="45"/>
    </row>
    <row r="153" spans="1:10">
      <c r="A153" s="17"/>
      <c r="B153" s="18"/>
      <c r="C153" s="18"/>
      <c r="D153" s="27"/>
      <c r="E153" s="18"/>
      <c r="F153" s="19"/>
      <c r="G153" s="19"/>
      <c r="H153" s="21"/>
      <c r="I153" s="18"/>
      <c r="J153" s="18"/>
    </row>
    <row r="154" spans="1:10">
      <c r="A154" s="44"/>
      <c r="B154" s="45"/>
      <c r="C154" s="45"/>
      <c r="D154" s="46"/>
      <c r="E154" s="45"/>
      <c r="F154" s="47"/>
      <c r="G154" s="48"/>
      <c r="H154" s="49"/>
      <c r="I154" s="45"/>
    </row>
    <row r="155" spans="1:10">
      <c r="A155" s="17"/>
      <c r="B155" s="18"/>
      <c r="C155" s="18"/>
      <c r="D155" s="27"/>
      <c r="E155" s="18"/>
      <c r="F155" s="19"/>
      <c r="G155" s="19"/>
      <c r="H155" s="21"/>
      <c r="I155" s="18"/>
      <c r="J155" s="18"/>
    </row>
    <row r="156" spans="1:10">
      <c r="A156" s="44"/>
      <c r="B156" s="45"/>
      <c r="C156" s="45"/>
      <c r="D156" s="46"/>
      <c r="E156" s="45"/>
      <c r="F156" s="47"/>
      <c r="G156" s="48"/>
      <c r="H156" s="49"/>
      <c r="I156" s="45"/>
    </row>
    <row r="157" spans="1:10">
      <c r="A157" s="17"/>
      <c r="B157" s="18"/>
      <c r="C157" s="18"/>
      <c r="D157" s="27"/>
      <c r="E157" s="18"/>
      <c r="F157" s="19"/>
      <c r="G157" s="19"/>
      <c r="H157" s="21"/>
      <c r="I157" s="18"/>
      <c r="J157" s="18"/>
    </row>
    <row r="158" spans="1:10">
      <c r="A158" s="44"/>
      <c r="B158" s="45"/>
      <c r="C158" s="45"/>
      <c r="D158" s="46"/>
      <c r="E158" s="45"/>
      <c r="F158" s="47"/>
      <c r="G158" s="48"/>
      <c r="H158" s="49"/>
      <c r="I158" s="45"/>
    </row>
    <row r="159" spans="1:10">
      <c r="A159" s="17"/>
      <c r="B159" s="18"/>
      <c r="C159" s="18"/>
      <c r="D159" s="27"/>
      <c r="E159" s="18"/>
      <c r="F159" s="19"/>
      <c r="G159" s="19"/>
      <c r="H159" s="21"/>
      <c r="I159" s="18"/>
      <c r="J159" s="18"/>
    </row>
    <row r="160" spans="1:10">
      <c r="A160" s="44"/>
      <c r="B160" s="45"/>
      <c r="C160" s="45"/>
      <c r="D160" s="46"/>
      <c r="E160" s="45"/>
      <c r="F160" s="47"/>
      <c r="G160" s="48"/>
      <c r="H160" s="49"/>
      <c r="I160" s="45"/>
    </row>
    <row r="161" spans="1:10">
      <c r="A161" s="17"/>
      <c r="B161" s="18"/>
      <c r="C161" s="18"/>
      <c r="D161" s="27"/>
      <c r="E161" s="18"/>
      <c r="F161" s="19"/>
      <c r="G161" s="19"/>
      <c r="H161" s="21"/>
      <c r="I161" s="18"/>
      <c r="J161" s="18"/>
    </row>
    <row r="162" spans="1:10">
      <c r="A162" s="44"/>
      <c r="B162" s="45"/>
      <c r="C162" s="45"/>
      <c r="D162" s="46"/>
      <c r="E162" s="45"/>
      <c r="F162" s="47"/>
      <c r="G162" s="48"/>
      <c r="H162" s="49"/>
      <c r="I162" s="45"/>
    </row>
    <row r="163" spans="1:10">
      <c r="A163" s="17"/>
      <c r="B163" s="18"/>
      <c r="C163" s="18"/>
      <c r="D163" s="27"/>
      <c r="E163" s="18"/>
      <c r="F163" s="19"/>
      <c r="G163" s="19"/>
      <c r="H163" s="21"/>
      <c r="I163" s="18"/>
      <c r="J163" s="18"/>
    </row>
    <row r="164" spans="1:10">
      <c r="A164" s="44"/>
      <c r="B164" s="45"/>
      <c r="C164" s="45"/>
      <c r="D164" s="46"/>
      <c r="E164" s="45"/>
      <c r="F164" s="47"/>
      <c r="G164" s="48"/>
      <c r="H164" s="49"/>
      <c r="I164" s="45"/>
    </row>
    <row r="165" spans="1:10">
      <c r="A165" s="17"/>
      <c r="B165" s="18"/>
      <c r="C165" s="18"/>
      <c r="D165" s="27"/>
      <c r="E165" s="18"/>
      <c r="F165" s="19"/>
      <c r="G165" s="19"/>
      <c r="H165" s="21"/>
      <c r="I165" s="18"/>
      <c r="J165" s="18"/>
    </row>
    <row r="166" spans="1:10">
      <c r="A166" s="44"/>
      <c r="B166" s="45"/>
      <c r="C166" s="45"/>
      <c r="D166" s="46"/>
      <c r="E166" s="45"/>
      <c r="F166" s="47"/>
      <c r="G166" s="48"/>
      <c r="H166" s="49"/>
      <c r="I166" s="45"/>
    </row>
    <row r="167" spans="1:10">
      <c r="A167" s="17"/>
      <c r="B167" s="18"/>
      <c r="C167" s="18"/>
      <c r="D167" s="27"/>
      <c r="E167" s="18"/>
      <c r="F167" s="19"/>
      <c r="G167" s="19"/>
      <c r="H167" s="21"/>
      <c r="I167" s="18"/>
      <c r="J167" s="18"/>
    </row>
    <row r="168" spans="1:10">
      <c r="A168" s="44"/>
      <c r="B168" s="45"/>
      <c r="C168" s="45"/>
      <c r="D168" s="46"/>
      <c r="E168" s="45"/>
      <c r="F168" s="47"/>
      <c r="G168" s="48"/>
      <c r="H168" s="49"/>
      <c r="I168" s="45"/>
    </row>
    <row r="169" spans="1:10">
      <c r="A169" s="17"/>
      <c r="B169" s="18"/>
      <c r="C169" s="18"/>
      <c r="D169" s="27"/>
      <c r="E169" s="18"/>
      <c r="F169" s="19"/>
      <c r="G169" s="19"/>
      <c r="H169" s="21"/>
      <c r="I169" s="18"/>
      <c r="J169" s="18"/>
    </row>
    <row r="170" spans="1:10">
      <c r="A170" s="44"/>
      <c r="B170" s="45"/>
      <c r="C170" s="45"/>
      <c r="D170" s="46"/>
      <c r="E170" s="45"/>
      <c r="F170" s="47"/>
      <c r="G170" s="48"/>
      <c r="H170" s="49"/>
      <c r="I170" s="45"/>
    </row>
    <row r="171" spans="1:10">
      <c r="A171" s="17"/>
      <c r="B171" s="18"/>
      <c r="C171" s="18"/>
      <c r="D171" s="27"/>
      <c r="E171" s="18"/>
      <c r="F171" s="19"/>
      <c r="G171" s="19"/>
      <c r="H171" s="21"/>
      <c r="I171" s="18"/>
      <c r="J171" s="18"/>
    </row>
    <row r="172" spans="1:10">
      <c r="A172" s="44"/>
      <c r="B172" s="45"/>
      <c r="C172" s="45"/>
      <c r="D172" s="46"/>
      <c r="E172" s="45"/>
      <c r="F172" s="47"/>
      <c r="G172" s="48"/>
      <c r="H172" s="49"/>
      <c r="I172" s="45"/>
    </row>
    <row r="173" spans="1:10">
      <c r="A173" s="17"/>
      <c r="B173" s="18"/>
      <c r="C173" s="18"/>
      <c r="D173" s="27"/>
      <c r="E173" s="18"/>
      <c r="F173" s="19"/>
      <c r="G173" s="19"/>
      <c r="H173" s="21"/>
      <c r="I173" s="18"/>
      <c r="J173" s="18"/>
    </row>
    <row r="174" spans="1:10">
      <c r="A174" s="44"/>
      <c r="B174" s="45"/>
      <c r="C174" s="45"/>
      <c r="D174" s="46"/>
      <c r="E174" s="45"/>
      <c r="F174" s="47"/>
      <c r="G174" s="48"/>
      <c r="H174" s="49"/>
      <c r="I174" s="45"/>
    </row>
    <row r="175" spans="1:10">
      <c r="A175" s="17"/>
      <c r="B175" s="18"/>
      <c r="C175" s="18"/>
      <c r="D175" s="27"/>
      <c r="E175" s="18"/>
      <c r="F175" s="19"/>
      <c r="G175" s="19"/>
      <c r="H175" s="21"/>
      <c r="I175" s="18"/>
      <c r="J175" s="18"/>
    </row>
    <row r="176" spans="1:10">
      <c r="A176" s="44"/>
      <c r="B176" s="45"/>
      <c r="C176" s="45"/>
      <c r="D176" s="46"/>
      <c r="E176" s="45"/>
      <c r="F176" s="47"/>
      <c r="G176" s="48"/>
      <c r="H176" s="49"/>
      <c r="I176" s="45"/>
    </row>
    <row r="177" spans="1:10">
      <c r="A177" s="17"/>
      <c r="B177" s="18"/>
      <c r="C177" s="18"/>
      <c r="D177" s="27"/>
      <c r="E177" s="18"/>
      <c r="F177" s="19"/>
      <c r="G177" s="19"/>
      <c r="H177" s="21"/>
      <c r="I177" s="18"/>
      <c r="J177" s="18"/>
    </row>
    <row r="178" spans="1:10">
      <c r="A178" s="44"/>
      <c r="B178" s="45"/>
      <c r="C178" s="45"/>
      <c r="D178" s="46"/>
      <c r="E178" s="45"/>
      <c r="F178" s="47"/>
      <c r="G178" s="48"/>
      <c r="H178" s="49"/>
      <c r="I178" s="45"/>
    </row>
    <row r="179" spans="1:10">
      <c r="A179" s="17"/>
      <c r="B179" s="18"/>
      <c r="C179" s="18"/>
      <c r="D179" s="27"/>
      <c r="E179" s="18"/>
      <c r="F179" s="19"/>
      <c r="G179" s="19"/>
      <c r="H179" s="21"/>
      <c r="I179" s="18"/>
      <c r="J179" s="18"/>
    </row>
    <row r="180" spans="1:10">
      <c r="A180" s="44"/>
      <c r="B180" s="45"/>
      <c r="C180" s="45"/>
      <c r="D180" s="46"/>
      <c r="E180" s="45"/>
      <c r="F180" s="47"/>
      <c r="G180" s="48"/>
      <c r="H180" s="49"/>
      <c r="I180" s="45"/>
    </row>
    <row r="181" spans="1:10">
      <c r="A181" s="17"/>
      <c r="B181" s="18"/>
      <c r="C181" s="18"/>
      <c r="D181" s="27"/>
      <c r="E181" s="18"/>
      <c r="F181" s="19"/>
      <c r="G181" s="19"/>
      <c r="H181" s="21"/>
      <c r="I181" s="18"/>
      <c r="J181" s="18"/>
    </row>
    <row r="182" spans="1:10">
      <c r="A182" s="44"/>
      <c r="B182" s="45"/>
      <c r="C182" s="45"/>
      <c r="D182" s="46"/>
      <c r="E182" s="45"/>
      <c r="F182" s="47"/>
      <c r="G182" s="48"/>
      <c r="H182" s="49"/>
      <c r="I182" s="45"/>
    </row>
    <row r="183" spans="1:10">
      <c r="A183" s="17"/>
      <c r="B183" s="18"/>
      <c r="C183" s="18"/>
      <c r="D183" s="27"/>
      <c r="E183" s="18"/>
      <c r="F183" s="19"/>
      <c r="G183" s="19"/>
      <c r="H183" s="21"/>
      <c r="I183" s="18"/>
      <c r="J183" s="18"/>
    </row>
    <row r="184" spans="1:10">
      <c r="A184" s="44"/>
      <c r="B184" s="45"/>
      <c r="C184" s="45"/>
      <c r="D184" s="46"/>
      <c r="E184" s="45"/>
      <c r="F184" s="47"/>
      <c r="G184" s="48"/>
      <c r="H184" s="49"/>
      <c r="I184" s="45"/>
    </row>
    <row r="185" spans="1:10">
      <c r="A185" s="17"/>
      <c r="B185" s="18"/>
      <c r="C185" s="18"/>
      <c r="D185" s="27"/>
      <c r="E185" s="18"/>
      <c r="F185" s="19"/>
      <c r="G185" s="19"/>
      <c r="H185" s="21"/>
      <c r="I185" s="18"/>
      <c r="J185" s="18"/>
    </row>
    <row r="186" spans="1:10">
      <c r="A186" s="44"/>
      <c r="B186" s="45"/>
      <c r="C186" s="45"/>
      <c r="D186" s="46"/>
      <c r="E186" s="45"/>
      <c r="F186" s="47"/>
      <c r="G186" s="48"/>
      <c r="H186" s="49"/>
      <c r="I186" s="45"/>
    </row>
    <row r="187" spans="1:10">
      <c r="A187" s="17"/>
      <c r="B187" s="18"/>
      <c r="C187" s="18"/>
      <c r="D187" s="27"/>
      <c r="E187" s="18"/>
      <c r="F187" s="19"/>
      <c r="G187" s="19"/>
      <c r="H187" s="21"/>
      <c r="I187" s="18"/>
      <c r="J187" s="18"/>
    </row>
    <row r="188" spans="1:10">
      <c r="A188" s="44"/>
      <c r="B188" s="45"/>
      <c r="C188" s="45"/>
      <c r="D188" s="46"/>
      <c r="E188" s="45"/>
      <c r="F188" s="47"/>
      <c r="G188" s="48"/>
      <c r="H188" s="49"/>
      <c r="I188" s="45"/>
    </row>
    <row r="189" spans="1:10">
      <c r="A189" s="17"/>
      <c r="B189" s="18"/>
      <c r="C189" s="18"/>
      <c r="D189" s="27"/>
      <c r="E189" s="18"/>
      <c r="F189" s="19"/>
      <c r="G189" s="19"/>
      <c r="H189" s="21"/>
      <c r="I189" s="18"/>
      <c r="J189" s="18"/>
    </row>
    <row r="190" spans="1:10">
      <c r="A190" s="44"/>
      <c r="B190" s="45"/>
      <c r="C190" s="45"/>
      <c r="D190" s="46"/>
      <c r="E190" s="45"/>
      <c r="F190" s="47"/>
      <c r="G190" s="48"/>
      <c r="H190" s="49"/>
      <c r="I190" s="45"/>
    </row>
    <row r="191" spans="1:10">
      <c r="A191" s="17"/>
      <c r="B191" s="18"/>
      <c r="C191" s="18"/>
      <c r="D191" s="27"/>
      <c r="E191" s="18"/>
      <c r="F191" s="19"/>
      <c r="G191" s="19"/>
      <c r="H191" s="21"/>
      <c r="I191" s="18"/>
      <c r="J191" s="18"/>
    </row>
    <row r="192" spans="1:10">
      <c r="A192" s="44"/>
      <c r="B192" s="45"/>
      <c r="C192" s="45"/>
      <c r="D192" s="46"/>
      <c r="E192" s="45"/>
      <c r="F192" s="47"/>
      <c r="G192" s="48"/>
      <c r="H192" s="49"/>
      <c r="I192" s="45"/>
    </row>
    <row r="193" spans="1:10">
      <c r="A193" s="17"/>
      <c r="B193" s="18"/>
      <c r="C193" s="18"/>
      <c r="D193" s="27"/>
      <c r="E193" s="18"/>
      <c r="F193" s="19"/>
      <c r="G193" s="19"/>
      <c r="H193" s="21"/>
      <c r="I193" s="18"/>
      <c r="J193" s="18"/>
    </row>
    <row r="194" spans="1:10">
      <c r="A194" s="44"/>
      <c r="B194" s="45"/>
      <c r="C194" s="45"/>
      <c r="D194" s="46"/>
      <c r="E194" s="45"/>
      <c r="F194" s="47"/>
      <c r="G194" s="48"/>
      <c r="H194" s="49"/>
      <c r="I194" s="45"/>
    </row>
    <row r="195" spans="1:10">
      <c r="A195" s="17"/>
      <c r="B195" s="18"/>
      <c r="C195" s="18"/>
      <c r="D195" s="27"/>
      <c r="E195" s="18"/>
      <c r="F195" s="19"/>
      <c r="G195" s="19"/>
      <c r="H195" s="21"/>
      <c r="I195" s="18"/>
      <c r="J195" s="18"/>
    </row>
    <row r="196" spans="1:10">
      <c r="A196" s="44"/>
      <c r="B196" s="45"/>
      <c r="C196" s="45"/>
      <c r="D196" s="46"/>
      <c r="E196" s="45"/>
      <c r="F196" s="47"/>
      <c r="G196" s="48"/>
      <c r="H196" s="49"/>
      <c r="I196" s="45"/>
    </row>
    <row r="197" spans="1:10">
      <c r="A197" s="17"/>
      <c r="B197" s="18"/>
      <c r="C197" s="18"/>
      <c r="D197" s="27"/>
      <c r="E197" s="18"/>
      <c r="F197" s="19"/>
      <c r="G197" s="19"/>
      <c r="H197" s="21"/>
      <c r="I197" s="18"/>
      <c r="J197" s="18"/>
    </row>
    <row r="198" spans="1:10">
      <c r="A198" s="44"/>
      <c r="B198" s="45"/>
      <c r="C198" s="45"/>
      <c r="D198" s="46"/>
      <c r="E198" s="45"/>
      <c r="F198" s="47"/>
      <c r="G198" s="48"/>
      <c r="H198" s="49"/>
      <c r="I198" s="45"/>
    </row>
    <row r="199" spans="1:10">
      <c r="A199" s="17"/>
      <c r="B199" s="18"/>
      <c r="C199" s="18"/>
      <c r="D199" s="27"/>
      <c r="E199" s="18"/>
      <c r="F199" s="19"/>
      <c r="G199" s="19"/>
      <c r="H199" s="21"/>
      <c r="I199" s="18"/>
      <c r="J199" s="18"/>
    </row>
    <row r="200" spans="1:10">
      <c r="A200" s="44"/>
      <c r="B200" s="45"/>
      <c r="C200" s="45"/>
      <c r="D200" s="46"/>
      <c r="E200" s="45"/>
      <c r="F200" s="47"/>
      <c r="G200" s="48"/>
      <c r="H200" s="49"/>
      <c r="I200" s="45"/>
    </row>
    <row r="201" spans="1:10">
      <c r="A201" s="17"/>
      <c r="B201" s="18"/>
      <c r="C201" s="18"/>
      <c r="D201" s="27"/>
      <c r="E201" s="18"/>
      <c r="F201" s="19"/>
      <c r="G201" s="19"/>
      <c r="H201" s="21"/>
      <c r="I201" s="18"/>
      <c r="J201" s="18"/>
    </row>
    <row r="202" spans="1:10">
      <c r="A202" s="44"/>
      <c r="B202" s="45"/>
      <c r="C202" s="45"/>
      <c r="D202" s="46"/>
      <c r="E202" s="45"/>
      <c r="F202" s="47"/>
      <c r="G202" s="48"/>
      <c r="H202" s="49"/>
      <c r="I202" s="45"/>
    </row>
    <row r="203" spans="1:10">
      <c r="A203" s="17"/>
      <c r="B203" s="18"/>
      <c r="C203" s="18"/>
      <c r="D203" s="27"/>
      <c r="E203" s="18"/>
      <c r="F203" s="19"/>
      <c r="G203" s="19"/>
      <c r="H203" s="21"/>
      <c r="I203" s="18"/>
      <c r="J203" s="18"/>
    </row>
    <row r="204" spans="1:10">
      <c r="A204" s="44"/>
      <c r="B204" s="45"/>
      <c r="C204" s="45"/>
      <c r="D204" s="46"/>
      <c r="E204" s="45"/>
      <c r="F204" s="47"/>
      <c r="G204" s="48"/>
      <c r="H204" s="49"/>
      <c r="I204" s="45"/>
    </row>
    <row r="205" spans="1:10">
      <c r="A205" s="17"/>
      <c r="B205" s="18"/>
      <c r="C205" s="18"/>
      <c r="D205" s="27"/>
      <c r="E205" s="18"/>
      <c r="F205" s="19"/>
      <c r="G205" s="19"/>
      <c r="H205" s="21"/>
      <c r="I205" s="18"/>
      <c r="J205" s="18"/>
    </row>
    <row r="206" spans="1:10">
      <c r="A206" s="44"/>
      <c r="B206" s="45"/>
      <c r="C206" s="45"/>
      <c r="D206" s="46"/>
      <c r="E206" s="45"/>
      <c r="F206" s="47"/>
      <c r="G206" s="48"/>
      <c r="H206" s="49"/>
      <c r="I206" s="45"/>
    </row>
    <row r="207" spans="1:10">
      <c r="A207" s="17"/>
      <c r="B207" s="18"/>
      <c r="C207" s="18"/>
      <c r="D207" s="27"/>
      <c r="E207" s="18"/>
      <c r="F207" s="19"/>
      <c r="G207" s="19"/>
      <c r="H207" s="21"/>
      <c r="I207" s="18"/>
      <c r="J207" s="18"/>
    </row>
    <row r="208" spans="1:10">
      <c r="A208" s="44"/>
      <c r="B208" s="45"/>
      <c r="C208" s="45"/>
      <c r="D208" s="46"/>
      <c r="E208" s="45"/>
      <c r="F208" s="47"/>
      <c r="G208" s="48"/>
      <c r="H208" s="49"/>
      <c r="I208" s="45"/>
    </row>
    <row r="209" spans="1:10">
      <c r="A209" s="17"/>
      <c r="B209" s="18"/>
      <c r="C209" s="18"/>
      <c r="D209" s="27"/>
      <c r="E209" s="18"/>
      <c r="F209" s="19"/>
      <c r="G209" s="19"/>
      <c r="H209" s="21"/>
      <c r="I209" s="18"/>
      <c r="J209" s="18"/>
    </row>
    <row r="210" spans="1:10">
      <c r="A210" s="44"/>
      <c r="B210" s="45"/>
      <c r="C210" s="45"/>
      <c r="D210" s="46"/>
      <c r="E210" s="45"/>
      <c r="F210" s="47"/>
      <c r="G210" s="48"/>
      <c r="H210" s="49"/>
      <c r="I210" s="45"/>
    </row>
    <row r="211" spans="1:10">
      <c r="A211" s="17"/>
      <c r="B211" s="18"/>
      <c r="C211" s="18"/>
      <c r="D211" s="27"/>
      <c r="E211" s="18"/>
      <c r="F211" s="19"/>
      <c r="G211" s="19"/>
      <c r="H211" s="21"/>
      <c r="I211" s="18"/>
      <c r="J211" s="18"/>
    </row>
    <row r="212" spans="1:10">
      <c r="A212" s="44"/>
      <c r="B212" s="45"/>
      <c r="C212" s="45"/>
      <c r="D212" s="46"/>
      <c r="E212" s="45"/>
      <c r="F212" s="47"/>
      <c r="G212" s="48"/>
      <c r="H212" s="49"/>
      <c r="I212" s="45"/>
    </row>
    <row r="213" spans="1:10">
      <c r="A213" s="17"/>
      <c r="B213" s="18"/>
      <c r="C213" s="18"/>
      <c r="D213" s="27"/>
      <c r="E213" s="18"/>
      <c r="F213" s="19"/>
      <c r="G213" s="19"/>
      <c r="H213" s="21"/>
      <c r="I213" s="18"/>
      <c r="J213" s="18"/>
    </row>
    <row r="214" spans="1:10">
      <c r="A214" s="44"/>
      <c r="B214" s="45"/>
      <c r="C214" s="45"/>
      <c r="D214" s="46"/>
      <c r="E214" s="45"/>
      <c r="F214" s="47"/>
      <c r="G214" s="48"/>
      <c r="H214" s="49"/>
      <c r="I214" s="45"/>
    </row>
    <row r="215" spans="1:10">
      <c r="A215" s="17"/>
      <c r="B215" s="18"/>
      <c r="C215" s="18"/>
      <c r="D215" s="27"/>
      <c r="E215" s="18"/>
      <c r="F215" s="19"/>
      <c r="G215" s="19"/>
      <c r="H215" s="21"/>
      <c r="I215" s="18"/>
      <c r="J215" s="18"/>
    </row>
    <row r="216" spans="1:10">
      <c r="A216" s="44"/>
      <c r="B216" s="45"/>
      <c r="C216" s="45"/>
      <c r="D216" s="46"/>
      <c r="E216" s="45"/>
      <c r="F216" s="47"/>
      <c r="G216" s="48"/>
      <c r="H216" s="49"/>
      <c r="I216" s="45"/>
    </row>
    <row r="217" spans="1:10">
      <c r="A217" s="17"/>
      <c r="B217" s="18"/>
      <c r="C217" s="18"/>
      <c r="D217" s="27"/>
      <c r="E217" s="18"/>
      <c r="F217" s="19"/>
      <c r="G217" s="19"/>
      <c r="H217" s="21"/>
      <c r="I217" s="18"/>
      <c r="J217" s="18"/>
    </row>
    <row r="218" spans="1:10">
      <c r="A218" s="44"/>
      <c r="B218" s="45"/>
      <c r="C218" s="45"/>
      <c r="D218" s="46"/>
      <c r="E218" s="45"/>
      <c r="F218" s="47"/>
      <c r="G218" s="48"/>
      <c r="H218" s="49"/>
      <c r="I218" s="45"/>
    </row>
    <row r="219" spans="1:10">
      <c r="A219" s="17"/>
      <c r="B219" s="18"/>
      <c r="C219" s="18"/>
      <c r="D219" s="27"/>
      <c r="E219" s="18"/>
      <c r="F219" s="19"/>
      <c r="G219" s="19"/>
      <c r="H219" s="21"/>
      <c r="I219" s="18"/>
      <c r="J219" s="18"/>
    </row>
    <row r="220" spans="1:10">
      <c r="A220" s="44"/>
      <c r="B220" s="45"/>
      <c r="C220" s="45"/>
      <c r="D220" s="46"/>
      <c r="E220" s="45"/>
      <c r="F220" s="47"/>
      <c r="G220" s="48"/>
      <c r="H220" s="49"/>
      <c r="I220" s="45"/>
    </row>
    <row r="221" spans="1:10">
      <c r="A221" s="17"/>
      <c r="B221" s="18"/>
      <c r="C221" s="18"/>
      <c r="D221" s="27"/>
      <c r="E221" s="18"/>
      <c r="F221" s="19"/>
      <c r="G221" s="19"/>
      <c r="H221" s="21"/>
      <c r="I221" s="18"/>
      <c r="J221" s="18"/>
    </row>
    <row r="222" spans="1:10">
      <c r="A222" s="44"/>
      <c r="B222" s="45"/>
      <c r="C222" s="45"/>
      <c r="D222" s="46"/>
      <c r="E222" s="45"/>
      <c r="F222" s="47"/>
      <c r="G222" s="48"/>
      <c r="H222" s="49"/>
      <c r="I222" s="45"/>
    </row>
    <row r="223" spans="1:10">
      <c r="A223" s="17"/>
      <c r="B223" s="18"/>
      <c r="C223" s="18"/>
      <c r="D223" s="27"/>
      <c r="E223" s="18"/>
      <c r="F223" s="19"/>
      <c r="G223" s="19"/>
      <c r="H223" s="21"/>
      <c r="I223" s="18"/>
      <c r="J223" s="18"/>
    </row>
    <row r="224" spans="1:10">
      <c r="A224" s="44"/>
      <c r="B224" s="45"/>
      <c r="C224" s="45"/>
      <c r="D224" s="46"/>
      <c r="E224" s="45"/>
      <c r="F224" s="47"/>
      <c r="G224" s="48"/>
      <c r="H224" s="49"/>
      <c r="I224" s="45"/>
    </row>
    <row r="225" spans="1:10">
      <c r="A225" s="17"/>
      <c r="B225" s="18"/>
      <c r="C225" s="18"/>
      <c r="D225" s="27"/>
      <c r="E225" s="18"/>
      <c r="F225" s="19"/>
      <c r="G225" s="19"/>
      <c r="H225" s="21"/>
      <c r="I225" s="18"/>
      <c r="J225" s="18"/>
    </row>
    <row r="226" spans="1:10">
      <c r="A226" s="44"/>
      <c r="B226" s="45"/>
      <c r="C226" s="45"/>
      <c r="D226" s="46"/>
      <c r="E226" s="45"/>
      <c r="F226" s="47"/>
      <c r="G226" s="48"/>
      <c r="H226" s="49"/>
      <c r="I226" s="45"/>
    </row>
    <row r="227" spans="1:10">
      <c r="A227" s="17"/>
      <c r="B227" s="18"/>
      <c r="C227" s="18"/>
      <c r="D227" s="27"/>
      <c r="E227" s="18"/>
      <c r="F227" s="19"/>
      <c r="G227" s="19"/>
      <c r="H227" s="21"/>
      <c r="I227" s="18"/>
      <c r="J227" s="18"/>
    </row>
    <row r="228" spans="1:10">
      <c r="A228" s="44"/>
      <c r="B228" s="45"/>
      <c r="C228" s="45"/>
      <c r="D228" s="46"/>
      <c r="E228" s="45"/>
      <c r="F228" s="47"/>
      <c r="G228" s="48"/>
      <c r="H228" s="49"/>
      <c r="I228" s="45"/>
    </row>
    <row r="229" spans="1:10">
      <c r="A229" s="17"/>
      <c r="B229" s="18"/>
      <c r="C229" s="18"/>
      <c r="D229" s="27"/>
      <c r="E229" s="18"/>
      <c r="F229" s="19"/>
      <c r="G229" s="19"/>
      <c r="H229" s="21"/>
      <c r="I229" s="18"/>
      <c r="J229" s="18"/>
    </row>
    <row r="230" spans="1:10">
      <c r="A230" s="44"/>
      <c r="B230" s="45"/>
      <c r="C230" s="45"/>
      <c r="D230" s="46"/>
      <c r="E230" s="45"/>
      <c r="F230" s="47"/>
      <c r="G230" s="48"/>
      <c r="H230" s="49"/>
      <c r="I230" s="45"/>
    </row>
    <row r="231" spans="1:10">
      <c r="A231" s="17"/>
      <c r="B231" s="18"/>
      <c r="C231" s="18"/>
      <c r="D231" s="27"/>
      <c r="E231" s="18"/>
      <c r="F231" s="19"/>
      <c r="G231" s="19"/>
      <c r="H231" s="21"/>
      <c r="I231" s="18"/>
      <c r="J231" s="18"/>
    </row>
    <row r="232" spans="1:10">
      <c r="A232" s="44"/>
      <c r="B232" s="45"/>
      <c r="C232" s="45"/>
      <c r="D232" s="46"/>
      <c r="E232" s="45"/>
      <c r="F232" s="47"/>
      <c r="G232" s="48"/>
      <c r="H232" s="49"/>
      <c r="I232" s="45"/>
    </row>
    <row r="233" spans="1:10">
      <c r="A233" s="17"/>
      <c r="B233" s="18"/>
      <c r="C233" s="18"/>
      <c r="D233" s="27"/>
      <c r="E233" s="18"/>
      <c r="F233" s="19"/>
      <c r="G233" s="19"/>
      <c r="H233" s="21"/>
      <c r="I233" s="18"/>
      <c r="J233" s="18"/>
    </row>
    <row r="234" spans="1:10">
      <c r="A234" s="44"/>
      <c r="B234" s="45"/>
      <c r="C234" s="45"/>
      <c r="D234" s="46"/>
      <c r="E234" s="45"/>
      <c r="F234" s="47"/>
      <c r="G234" s="48"/>
      <c r="H234" s="49"/>
      <c r="I234" s="45"/>
    </row>
    <row r="235" spans="1:10">
      <c r="A235" s="17"/>
      <c r="B235" s="18"/>
      <c r="C235" s="18"/>
      <c r="D235" s="27"/>
      <c r="E235" s="18"/>
      <c r="F235" s="19"/>
      <c r="G235" s="19"/>
      <c r="H235" s="21"/>
      <c r="I235" s="18"/>
      <c r="J235" s="18"/>
    </row>
    <row r="236" spans="1:10">
      <c r="A236" s="44"/>
      <c r="B236" s="45"/>
      <c r="C236" s="45"/>
      <c r="D236" s="46"/>
      <c r="E236" s="45"/>
      <c r="F236" s="47"/>
      <c r="G236" s="48"/>
      <c r="H236" s="49"/>
      <c r="I236" s="45"/>
    </row>
    <row r="237" spans="1:10">
      <c r="A237" s="17"/>
      <c r="B237" s="18"/>
      <c r="C237" s="18"/>
      <c r="D237" s="27"/>
      <c r="E237" s="18"/>
      <c r="F237" s="19"/>
      <c r="G237" s="19"/>
      <c r="H237" s="21"/>
      <c r="I237" s="18"/>
      <c r="J237" s="18"/>
    </row>
    <row r="238" spans="1:10">
      <c r="A238" s="44"/>
      <c r="B238" s="45"/>
      <c r="C238" s="45"/>
      <c r="D238" s="46"/>
      <c r="E238" s="45"/>
      <c r="F238" s="47"/>
      <c r="G238" s="48"/>
      <c r="H238" s="49"/>
      <c r="I238" s="45"/>
    </row>
    <row r="239" spans="1:10">
      <c r="A239" s="17"/>
      <c r="B239" s="18"/>
      <c r="C239" s="18"/>
      <c r="D239" s="27"/>
      <c r="E239" s="18"/>
      <c r="F239" s="19"/>
      <c r="G239" s="19"/>
      <c r="H239" s="21"/>
      <c r="I239" s="18"/>
      <c r="J239" s="18"/>
    </row>
    <row r="240" spans="1:10">
      <c r="A240" s="44"/>
      <c r="B240" s="45"/>
      <c r="C240" s="45"/>
      <c r="D240" s="46"/>
      <c r="E240" s="45"/>
      <c r="F240" s="47"/>
      <c r="G240" s="48"/>
      <c r="H240" s="49"/>
      <c r="I240" s="45"/>
    </row>
    <row r="241" spans="1:10">
      <c r="A241" s="17"/>
      <c r="B241" s="18"/>
      <c r="C241" s="18"/>
      <c r="D241" s="27"/>
      <c r="E241" s="18"/>
      <c r="F241" s="19"/>
      <c r="G241" s="19"/>
      <c r="H241" s="21"/>
      <c r="I241" s="18"/>
      <c r="J241" s="18"/>
    </row>
    <row r="242" spans="1:10">
      <c r="A242" s="44"/>
      <c r="B242" s="45"/>
      <c r="C242" s="45"/>
      <c r="D242" s="46"/>
      <c r="E242" s="45"/>
      <c r="F242" s="47"/>
      <c r="G242" s="48"/>
      <c r="H242" s="49"/>
      <c r="I242" s="45"/>
    </row>
    <row r="243" spans="1:10">
      <c r="A243" s="17"/>
      <c r="B243" s="18"/>
      <c r="C243" s="18"/>
      <c r="D243" s="27"/>
      <c r="E243" s="18"/>
      <c r="F243" s="19"/>
      <c r="G243" s="19"/>
      <c r="H243" s="21"/>
      <c r="I243" s="18"/>
      <c r="J243" s="18"/>
    </row>
    <row r="244" spans="1:10">
      <c r="A244" s="44"/>
      <c r="B244" s="45"/>
      <c r="C244" s="45"/>
      <c r="D244" s="46"/>
      <c r="E244" s="45"/>
      <c r="F244" s="47"/>
      <c r="G244" s="48"/>
      <c r="H244" s="49"/>
      <c r="I244" s="45"/>
    </row>
    <row r="245" spans="1:10">
      <c r="A245" s="17"/>
      <c r="B245" s="18"/>
      <c r="C245" s="18"/>
      <c r="D245" s="27"/>
      <c r="E245" s="18"/>
      <c r="F245" s="19"/>
      <c r="G245" s="19"/>
      <c r="H245" s="21"/>
      <c r="I245" s="18"/>
      <c r="J245" s="18"/>
    </row>
    <row r="246" spans="1:10">
      <c r="A246" s="44"/>
      <c r="B246" s="45"/>
      <c r="C246" s="45"/>
      <c r="D246" s="46"/>
      <c r="E246" s="45"/>
      <c r="F246" s="47"/>
      <c r="G246" s="48"/>
      <c r="H246" s="49"/>
      <c r="I246" s="45"/>
    </row>
    <row r="247" spans="1:10">
      <c r="A247" s="17"/>
      <c r="B247" s="18"/>
      <c r="C247" s="18"/>
      <c r="D247" s="27"/>
      <c r="E247" s="18"/>
      <c r="F247" s="19"/>
      <c r="G247" s="19"/>
      <c r="H247" s="21"/>
      <c r="I247" s="18"/>
      <c r="J247" s="18"/>
    </row>
    <row r="248" spans="1:10">
      <c r="A248" s="44"/>
      <c r="B248" s="45"/>
      <c r="C248" s="45"/>
      <c r="D248" s="46"/>
      <c r="E248" s="45"/>
      <c r="F248" s="47"/>
      <c r="G248" s="48"/>
      <c r="H248" s="49"/>
      <c r="I248" s="45"/>
    </row>
    <row r="249" spans="1:10">
      <c r="A249" s="17"/>
      <c r="B249" s="18"/>
      <c r="C249" s="18"/>
      <c r="D249" s="27"/>
      <c r="E249" s="18"/>
      <c r="F249" s="19"/>
      <c r="G249" s="19"/>
      <c r="H249" s="21"/>
      <c r="I249" s="18"/>
      <c r="J249" s="18"/>
    </row>
    <row r="250" spans="1:10">
      <c r="A250" s="44"/>
      <c r="B250" s="45"/>
      <c r="C250" s="45"/>
      <c r="D250" s="46"/>
      <c r="E250" s="45"/>
      <c r="F250" s="47"/>
      <c r="G250" s="48"/>
      <c r="H250" s="49"/>
      <c r="I250" s="45"/>
    </row>
    <row r="251" spans="1:10">
      <c r="A251" s="17"/>
      <c r="B251" s="18"/>
      <c r="C251" s="18"/>
      <c r="D251" s="27"/>
      <c r="E251" s="18"/>
      <c r="F251" s="19"/>
      <c r="G251" s="19"/>
      <c r="H251" s="21"/>
      <c r="I251" s="18"/>
      <c r="J251" s="18"/>
    </row>
    <row r="252" spans="1:10">
      <c r="A252" s="44"/>
      <c r="B252" s="45"/>
      <c r="C252" s="45"/>
      <c r="D252" s="46"/>
      <c r="E252" s="45"/>
      <c r="F252" s="47"/>
      <c r="G252" s="48"/>
      <c r="H252" s="49"/>
      <c r="I252" s="45"/>
    </row>
    <row r="253" spans="1:10">
      <c r="A253" s="17"/>
      <c r="B253" s="18"/>
      <c r="C253" s="18"/>
      <c r="D253" s="27"/>
      <c r="E253" s="18"/>
      <c r="F253" s="19"/>
      <c r="G253" s="19"/>
      <c r="H253" s="21"/>
      <c r="I253" s="18"/>
      <c r="J253" s="18"/>
    </row>
    <row r="254" spans="1:10">
      <c r="A254" s="44"/>
      <c r="B254" s="45"/>
      <c r="C254" s="45"/>
      <c r="D254" s="46"/>
      <c r="E254" s="45"/>
      <c r="F254" s="47"/>
      <c r="G254" s="48"/>
      <c r="H254" s="49"/>
      <c r="I254" s="45"/>
    </row>
    <row r="255" spans="1:10">
      <c r="A255" s="90"/>
      <c r="B255" s="90" t="s">
        <v>925</v>
      </c>
      <c r="C255" s="90"/>
      <c r="D255" s="91">
        <f>SUM(D5:D254)</f>
        <v>1188.25</v>
      </c>
      <c r="E255" s="90"/>
      <c r="F255" s="91">
        <f>SUM(F5:F254)</f>
        <v>0</v>
      </c>
      <c r="G255" s="91">
        <f>SUM(G5:G254)</f>
        <v>0</v>
      </c>
      <c r="H255" s="90"/>
      <c r="I255" s="90"/>
    </row>
    <row r="256" spans="1:10">
      <c r="A256" s="92"/>
      <c r="B256" s="92" t="s">
        <v>2260</v>
      </c>
      <c r="C256" s="92"/>
      <c r="D256" s="93">
        <f>(D255-F255-T5)-(L18-L19)</f>
        <v>0</v>
      </c>
      <c r="E256" s="92"/>
      <c r="F256" s="93"/>
      <c r="G256" s="93"/>
      <c r="H256" s="92"/>
      <c r="I256" s="92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type="list" allowBlank="1" sqref="E5:E254">
      <formula1>"Dinheiro,Pix,Débito,Crédito à Vista,Crédito Parcelado,Aguardando Pagamento"</formula1>
    </dataValidation>
    <dataValidation type="list" allowBlank="1" sqref="H5:H254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9D8B"/>
  </sheetPr>
  <dimension ref="A1:U256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3" style="147" customWidth="1"/>
    <col min="2" max="2" width="42" style="147" customWidth="1"/>
    <col min="3" max="3" width="26" style="147" customWidth="1"/>
    <col min="4" max="4" width="14" style="147" customWidth="1"/>
    <col min="5" max="5" width="20" style="147" customWidth="1"/>
    <col min="6" max="6" width="16" style="147" customWidth="1"/>
    <col min="7" max="7" width="14" style="147" customWidth="1"/>
    <col min="8" max="8" width="26" style="147" customWidth="1"/>
    <col min="9" max="9" width="30" style="147" customWidth="1"/>
    <col min="10" max="10" width="11" style="147" customWidth="1"/>
    <col min="11" max="11" width="30" style="147" customWidth="1"/>
    <col min="12" max="12" width="14" style="147" customWidth="1"/>
    <col min="13" max="13" width="3" style="147" customWidth="1"/>
    <col min="14" max="21" width="13" style="147" customWidth="1"/>
  </cols>
  <sheetData>
    <row r="1" spans="1:21" ht="21" customHeight="1">
      <c r="A1" s="234" t="s">
        <v>2516</v>
      </c>
      <c r="B1" s="157"/>
      <c r="C1" s="157"/>
      <c r="D1" s="157"/>
      <c r="E1" s="157"/>
      <c r="F1" s="157"/>
      <c r="G1" s="157"/>
      <c r="H1" s="157"/>
      <c r="I1" s="157"/>
    </row>
    <row r="2" spans="1:21">
      <c r="A2" s="195" t="s">
        <v>2262</v>
      </c>
      <c r="B2" s="157"/>
      <c r="C2" s="157"/>
      <c r="D2" s="157"/>
      <c r="E2" s="157"/>
      <c r="F2" s="157"/>
      <c r="G2" s="157"/>
      <c r="H2" s="157"/>
      <c r="I2" s="157"/>
    </row>
    <row r="3" spans="1:21">
      <c r="A3" s="127" t="s">
        <v>64</v>
      </c>
    </row>
    <row r="4" spans="1:21" ht="30" customHeight="1">
      <c r="A4" s="76" t="s">
        <v>445</v>
      </c>
      <c r="B4" s="76" t="s">
        <v>2041</v>
      </c>
      <c r="C4" s="76" t="s">
        <v>2042</v>
      </c>
      <c r="D4" s="76" t="s">
        <v>700</v>
      </c>
      <c r="E4" s="76" t="s">
        <v>2043</v>
      </c>
      <c r="F4" s="76" t="s">
        <v>2044</v>
      </c>
      <c r="G4" s="76" t="s">
        <v>701</v>
      </c>
      <c r="H4" s="76" t="s">
        <v>702</v>
      </c>
      <c r="I4" s="76" t="s">
        <v>189</v>
      </c>
      <c r="J4" s="76" t="s">
        <v>703</v>
      </c>
      <c r="K4" s="235" t="s">
        <v>704</v>
      </c>
      <c r="L4" s="157"/>
      <c r="N4" s="237" t="s">
        <v>532</v>
      </c>
      <c r="O4" s="157"/>
      <c r="P4" s="198" t="s">
        <v>705</v>
      </c>
      <c r="Q4" s="157"/>
      <c r="R4" s="199" t="s">
        <v>706</v>
      </c>
      <c r="S4" s="157"/>
      <c r="T4" s="206" t="s">
        <v>6</v>
      </c>
      <c r="U4" s="157"/>
    </row>
    <row r="5" spans="1:21">
      <c r="A5" s="17"/>
      <c r="B5" s="18"/>
      <c r="C5" s="18"/>
      <c r="D5" s="27"/>
      <c r="E5" s="18"/>
      <c r="F5" s="19"/>
      <c r="G5" s="19"/>
      <c r="H5" s="21"/>
      <c r="I5" s="18"/>
      <c r="J5" s="18"/>
      <c r="K5" s="78" t="s">
        <v>99</v>
      </c>
      <c r="L5" s="80">
        <f>SUMIF(H5:H254,K5,G5:G254)</f>
        <v>0</v>
      </c>
      <c r="N5" s="236">
        <f>D255-F255-T5</f>
        <v>0</v>
      </c>
      <c r="O5" s="157"/>
      <c r="P5" s="189">
        <f>L18-L19</f>
        <v>0</v>
      </c>
      <c r="Q5" s="157"/>
      <c r="R5" s="205">
        <f>D256</f>
        <v>0</v>
      </c>
      <c r="S5" s="157"/>
      <c r="T5" s="204">
        <f>SUMIF(E5:E254,"Aguardando Pagamento",D5:D254)</f>
        <v>0</v>
      </c>
      <c r="U5" s="157"/>
    </row>
    <row r="6" spans="1:21">
      <c r="A6" s="44"/>
      <c r="B6" s="45"/>
      <c r="C6" s="45"/>
      <c r="D6" s="46"/>
      <c r="E6" s="45"/>
      <c r="F6" s="47"/>
      <c r="G6" s="48"/>
      <c r="H6" s="49"/>
      <c r="I6" s="45"/>
      <c r="K6" s="78" t="s">
        <v>100</v>
      </c>
      <c r="L6" s="80">
        <f>SUMIF(H5:H254,K6,G5:G254)</f>
        <v>0</v>
      </c>
      <c r="N6" s="157"/>
      <c r="O6" s="157"/>
      <c r="P6" s="157"/>
      <c r="Q6" s="157"/>
      <c r="R6" s="157"/>
      <c r="S6" s="157"/>
      <c r="T6" s="157"/>
      <c r="U6" s="157"/>
    </row>
    <row r="7" spans="1:21">
      <c r="A7" s="17"/>
      <c r="B7" s="18"/>
      <c r="C7" s="18"/>
      <c r="D7" s="27"/>
      <c r="E7" s="18"/>
      <c r="F7" s="19"/>
      <c r="G7" s="19"/>
      <c r="H7" s="21"/>
      <c r="I7" s="18"/>
      <c r="J7" s="18"/>
      <c r="K7" s="78" t="s">
        <v>101</v>
      </c>
      <c r="L7" s="80">
        <f>SUMIF(H5:H254,K7,G5:G254)</f>
        <v>0</v>
      </c>
    </row>
    <row r="8" spans="1:21">
      <c r="A8" s="44"/>
      <c r="B8" s="45"/>
      <c r="C8" s="45"/>
      <c r="D8" s="46"/>
      <c r="E8" s="45"/>
      <c r="F8" s="47"/>
      <c r="G8" s="48"/>
      <c r="H8" s="49"/>
      <c r="I8" s="45"/>
      <c r="K8" s="78" t="s">
        <v>102</v>
      </c>
      <c r="L8" s="80">
        <f>SUMIF(H5:H254,K8,G5:G254)</f>
        <v>0</v>
      </c>
    </row>
    <row r="9" spans="1:21">
      <c r="A9" s="17"/>
      <c r="B9" s="18"/>
      <c r="C9" s="18"/>
      <c r="D9" s="27"/>
      <c r="E9" s="18"/>
      <c r="F9" s="19"/>
      <c r="G9" s="19"/>
      <c r="H9" s="21"/>
      <c r="I9" s="18"/>
      <c r="J9" s="18"/>
      <c r="K9" s="78" t="s">
        <v>103</v>
      </c>
      <c r="L9" s="80">
        <f>SUMIF(H5:H254,K9,G5:G254)</f>
        <v>0</v>
      </c>
    </row>
    <row r="10" spans="1:21">
      <c r="A10" s="44"/>
      <c r="B10" s="45"/>
      <c r="C10" s="45"/>
      <c r="D10" s="46"/>
      <c r="E10" s="45"/>
      <c r="F10" s="47"/>
      <c r="G10" s="48"/>
      <c r="H10" s="49"/>
      <c r="I10" s="45"/>
      <c r="K10" s="78" t="s">
        <v>104</v>
      </c>
      <c r="L10" s="80">
        <f>SUMIF(H5:H254,K10,G5:G254)</f>
        <v>0</v>
      </c>
    </row>
    <row r="11" spans="1:21">
      <c r="A11" s="17"/>
      <c r="B11" s="18"/>
      <c r="C11" s="18"/>
      <c r="D11" s="27"/>
      <c r="E11" s="18"/>
      <c r="F11" s="19"/>
      <c r="G11" s="19"/>
      <c r="H11" s="21"/>
      <c r="I11" s="18"/>
      <c r="J11" s="18"/>
      <c r="K11" s="78" t="s">
        <v>106</v>
      </c>
      <c r="L11" s="80">
        <f>SUMIF(H5:H254,K11,G5:G254)</f>
        <v>0</v>
      </c>
    </row>
    <row r="12" spans="1:21">
      <c r="A12" s="44"/>
      <c r="B12" s="45"/>
      <c r="C12" s="45"/>
      <c r="D12" s="46"/>
      <c r="E12" s="45"/>
      <c r="F12" s="47"/>
      <c r="G12" s="48"/>
      <c r="H12" s="49"/>
      <c r="I12" s="45"/>
      <c r="K12" s="78" t="s">
        <v>107</v>
      </c>
      <c r="L12" s="80">
        <f>SUMIF(H5:H254,K12,G5:G254)</f>
        <v>0</v>
      </c>
    </row>
    <row r="13" spans="1:21">
      <c r="A13" s="17"/>
      <c r="B13" s="18"/>
      <c r="C13" s="18"/>
      <c r="D13" s="27"/>
      <c r="E13" s="18"/>
      <c r="F13" s="19"/>
      <c r="G13" s="19"/>
      <c r="H13" s="21"/>
      <c r="I13" s="18"/>
      <c r="J13" s="18"/>
      <c r="K13" s="78" t="s">
        <v>108</v>
      </c>
      <c r="L13" s="80">
        <f>SUMIF(H5:H254,K13,G5:G254)</f>
        <v>0</v>
      </c>
    </row>
    <row r="14" spans="1:21">
      <c r="A14" s="44"/>
      <c r="B14" s="45"/>
      <c r="C14" s="45"/>
      <c r="D14" s="46"/>
      <c r="E14" s="45"/>
      <c r="F14" s="47"/>
      <c r="G14" s="48"/>
      <c r="H14" s="49"/>
      <c r="I14" s="45"/>
      <c r="K14" s="78" t="s">
        <v>109</v>
      </c>
      <c r="L14" s="80">
        <f>SUMIF(H5:H254,K14,G5:G254)</f>
        <v>0</v>
      </c>
    </row>
    <row r="15" spans="1:21">
      <c r="A15" s="17"/>
      <c r="B15" s="18"/>
      <c r="C15" s="18"/>
      <c r="D15" s="27"/>
      <c r="E15" s="18"/>
      <c r="F15" s="19"/>
      <c r="G15" s="19"/>
      <c r="H15" s="21"/>
      <c r="I15" s="18"/>
      <c r="J15" s="18"/>
      <c r="K15" s="78" t="s">
        <v>110</v>
      </c>
      <c r="L15" s="80">
        <f>SUMIF(H5:H254,K15,G5:G254)</f>
        <v>0</v>
      </c>
    </row>
    <row r="16" spans="1:21">
      <c r="A16" s="44"/>
      <c r="B16" s="45"/>
      <c r="C16" s="45"/>
      <c r="D16" s="46"/>
      <c r="E16" s="45"/>
      <c r="F16" s="47"/>
      <c r="G16" s="48"/>
      <c r="H16" s="49"/>
      <c r="I16" s="45"/>
      <c r="K16" s="78" t="s">
        <v>111</v>
      </c>
      <c r="L16" s="80">
        <f>SUMIF(H5:H254,K16,G5:G254)</f>
        <v>0</v>
      </c>
    </row>
    <row r="17" spans="1:12">
      <c r="A17" s="17"/>
      <c r="B17" s="18"/>
      <c r="C17" s="18"/>
      <c r="D17" s="27"/>
      <c r="E17" s="18"/>
      <c r="F17" s="19"/>
      <c r="G17" s="19"/>
      <c r="H17" s="21"/>
      <c r="I17" s="18"/>
      <c r="J17" s="18"/>
      <c r="K17" s="84" t="s">
        <v>112</v>
      </c>
      <c r="L17" s="85">
        <f>SUMIF(H5:H254,K17,G5:G254)</f>
        <v>0</v>
      </c>
    </row>
    <row r="18" spans="1:12">
      <c r="A18" s="44"/>
      <c r="B18" s="45"/>
      <c r="C18" s="45"/>
      <c r="D18" s="46"/>
      <c r="E18" s="45"/>
      <c r="F18" s="47"/>
      <c r="G18" s="48"/>
      <c r="H18" s="49"/>
      <c r="I18" s="45"/>
      <c r="K18" s="86" t="s">
        <v>113</v>
      </c>
      <c r="L18" s="87">
        <f>SUM(L5:L16)</f>
        <v>0</v>
      </c>
    </row>
    <row r="19" spans="1:12">
      <c r="A19" s="17"/>
      <c r="B19" s="18"/>
      <c r="C19" s="18"/>
      <c r="D19" s="27"/>
      <c r="E19" s="18"/>
      <c r="F19" s="19"/>
      <c r="G19" s="19"/>
      <c r="H19" s="21"/>
      <c r="I19" s="18"/>
      <c r="J19" s="18"/>
      <c r="K19" s="88" t="s">
        <v>2058</v>
      </c>
      <c r="L19" s="89">
        <f>SUMIFS('Capital de Giro (BB)'!D9:D200,'Capital de Giro (BB)'!A9:A200,"&gt;="&amp;DATE(2026,11,1),'Capital de Giro (BB)'!A9:A200,"&lt;="&amp;DATE(2026,11,30),'Capital de Giro (BB)'!E9:E200,"A Devolver")</f>
        <v>0</v>
      </c>
    </row>
    <row r="20" spans="1:12">
      <c r="A20" s="44"/>
      <c r="B20" s="45"/>
      <c r="C20" s="45"/>
      <c r="D20" s="46"/>
      <c r="E20" s="45"/>
      <c r="F20" s="47"/>
      <c r="G20" s="48"/>
      <c r="H20" s="49"/>
      <c r="I20" s="45"/>
    </row>
    <row r="21" spans="1:12">
      <c r="A21" s="17"/>
      <c r="B21" s="18"/>
      <c r="C21" s="18"/>
      <c r="D21" s="27"/>
      <c r="E21" s="18"/>
      <c r="F21" s="19"/>
      <c r="G21" s="19"/>
      <c r="H21" s="21"/>
      <c r="I21" s="18"/>
      <c r="J21" s="18"/>
    </row>
    <row r="22" spans="1:12">
      <c r="A22" s="44"/>
      <c r="B22" s="45"/>
      <c r="C22" s="45"/>
      <c r="D22" s="46"/>
      <c r="E22" s="45"/>
      <c r="F22" s="47"/>
      <c r="G22" s="48"/>
      <c r="H22" s="49"/>
      <c r="I22" s="45"/>
    </row>
    <row r="23" spans="1:12">
      <c r="A23" s="17"/>
      <c r="B23" s="18"/>
      <c r="C23" s="18"/>
      <c r="D23" s="27"/>
      <c r="E23" s="18"/>
      <c r="F23" s="19"/>
      <c r="G23" s="19"/>
      <c r="H23" s="21"/>
      <c r="I23" s="18"/>
      <c r="J23" s="18"/>
    </row>
    <row r="24" spans="1:12">
      <c r="A24" s="44"/>
      <c r="B24" s="45"/>
      <c r="C24" s="45"/>
      <c r="D24" s="46"/>
      <c r="E24" s="45"/>
      <c r="F24" s="47"/>
      <c r="G24" s="48"/>
      <c r="H24" s="49"/>
      <c r="I24" s="45"/>
    </row>
    <row r="25" spans="1:12">
      <c r="A25" s="17"/>
      <c r="B25" s="18"/>
      <c r="C25" s="18"/>
      <c r="D25" s="27"/>
      <c r="E25" s="18"/>
      <c r="F25" s="19"/>
      <c r="G25" s="19"/>
      <c r="H25" s="21"/>
      <c r="I25" s="18"/>
      <c r="J25" s="18"/>
    </row>
    <row r="26" spans="1:12">
      <c r="A26" s="44"/>
      <c r="B26" s="45"/>
      <c r="C26" s="45"/>
      <c r="D26" s="46"/>
      <c r="E26" s="45"/>
      <c r="F26" s="47"/>
      <c r="G26" s="48"/>
      <c r="H26" s="49"/>
      <c r="I26" s="45"/>
    </row>
    <row r="27" spans="1:12">
      <c r="A27" s="17"/>
      <c r="B27" s="18"/>
      <c r="C27" s="18"/>
      <c r="D27" s="27"/>
      <c r="E27" s="18"/>
      <c r="F27" s="19"/>
      <c r="G27" s="19"/>
      <c r="H27" s="21"/>
      <c r="I27" s="18"/>
      <c r="J27" s="18"/>
    </row>
    <row r="28" spans="1:12">
      <c r="A28" s="44"/>
      <c r="B28" s="45"/>
      <c r="C28" s="45"/>
      <c r="D28" s="46"/>
      <c r="E28" s="45"/>
      <c r="F28" s="47"/>
      <c r="G28" s="48"/>
      <c r="H28" s="49"/>
      <c r="I28" s="45"/>
    </row>
    <row r="29" spans="1:12">
      <c r="A29" s="17"/>
      <c r="B29" s="18"/>
      <c r="C29" s="18"/>
      <c r="D29" s="27"/>
      <c r="E29" s="18"/>
      <c r="F29" s="19"/>
      <c r="G29" s="19"/>
      <c r="H29" s="21"/>
      <c r="I29" s="18"/>
      <c r="J29" s="18"/>
    </row>
    <row r="30" spans="1:12">
      <c r="A30" s="44"/>
      <c r="B30" s="45"/>
      <c r="C30" s="45"/>
      <c r="D30" s="46"/>
      <c r="E30" s="45"/>
      <c r="F30" s="47"/>
      <c r="G30" s="48"/>
      <c r="H30" s="49"/>
      <c r="I30" s="45"/>
    </row>
    <row r="31" spans="1:12">
      <c r="A31" s="17"/>
      <c r="B31" s="18"/>
      <c r="C31" s="18"/>
      <c r="D31" s="27"/>
      <c r="E31" s="18"/>
      <c r="F31" s="19"/>
      <c r="G31" s="19"/>
      <c r="H31" s="21"/>
      <c r="I31" s="18"/>
      <c r="J31" s="18"/>
    </row>
    <row r="32" spans="1:12">
      <c r="A32" s="44"/>
      <c r="B32" s="45"/>
      <c r="C32" s="45"/>
      <c r="D32" s="46"/>
      <c r="E32" s="45"/>
      <c r="F32" s="47"/>
      <c r="G32" s="48"/>
      <c r="H32" s="49"/>
      <c r="I32" s="45"/>
    </row>
    <row r="33" spans="1:10">
      <c r="A33" s="17"/>
      <c r="B33" s="18"/>
      <c r="C33" s="18"/>
      <c r="D33" s="27"/>
      <c r="E33" s="18"/>
      <c r="F33" s="19"/>
      <c r="G33" s="19"/>
      <c r="H33" s="21"/>
      <c r="I33" s="18"/>
      <c r="J33" s="18"/>
    </row>
    <row r="34" spans="1:10">
      <c r="A34" s="44"/>
      <c r="B34" s="45"/>
      <c r="C34" s="45"/>
      <c r="D34" s="46"/>
      <c r="E34" s="45"/>
      <c r="F34" s="47"/>
      <c r="G34" s="48"/>
      <c r="H34" s="49"/>
      <c r="I34" s="45"/>
    </row>
    <row r="35" spans="1:10">
      <c r="A35" s="17"/>
      <c r="B35" s="18"/>
      <c r="C35" s="18"/>
      <c r="D35" s="27"/>
      <c r="E35" s="18"/>
      <c r="F35" s="19"/>
      <c r="G35" s="19"/>
      <c r="H35" s="21"/>
      <c r="I35" s="18"/>
      <c r="J35" s="18"/>
    </row>
    <row r="36" spans="1:10">
      <c r="A36" s="44"/>
      <c r="B36" s="45"/>
      <c r="C36" s="45"/>
      <c r="D36" s="46"/>
      <c r="E36" s="45"/>
      <c r="F36" s="47"/>
      <c r="G36" s="48"/>
      <c r="H36" s="49"/>
      <c r="I36" s="45"/>
    </row>
    <row r="37" spans="1:10">
      <c r="A37" s="17"/>
      <c r="B37" s="18"/>
      <c r="C37" s="18"/>
      <c r="D37" s="27"/>
      <c r="E37" s="18"/>
      <c r="F37" s="19"/>
      <c r="G37" s="19"/>
      <c r="H37" s="21"/>
      <c r="I37" s="18"/>
      <c r="J37" s="18"/>
    </row>
    <row r="38" spans="1:10">
      <c r="A38" s="44"/>
      <c r="B38" s="45"/>
      <c r="C38" s="45"/>
      <c r="D38" s="46"/>
      <c r="E38" s="45"/>
      <c r="F38" s="47"/>
      <c r="G38" s="48"/>
      <c r="H38" s="49"/>
      <c r="I38" s="45"/>
    </row>
    <row r="39" spans="1:10">
      <c r="A39" s="17"/>
      <c r="B39" s="18"/>
      <c r="C39" s="18"/>
      <c r="D39" s="27"/>
      <c r="E39" s="18"/>
      <c r="F39" s="19"/>
      <c r="G39" s="19"/>
      <c r="H39" s="21"/>
      <c r="I39" s="18"/>
      <c r="J39" s="18"/>
    </row>
    <row r="40" spans="1:10">
      <c r="A40" s="44"/>
      <c r="B40" s="45"/>
      <c r="C40" s="45"/>
      <c r="D40" s="46"/>
      <c r="E40" s="45"/>
      <c r="F40" s="47"/>
      <c r="G40" s="48"/>
      <c r="H40" s="49"/>
      <c r="I40" s="45"/>
    </row>
    <row r="41" spans="1:10">
      <c r="A41" s="17"/>
      <c r="B41" s="18"/>
      <c r="C41" s="18"/>
      <c r="D41" s="27"/>
      <c r="E41" s="18"/>
      <c r="F41" s="19"/>
      <c r="G41" s="19"/>
      <c r="H41" s="21"/>
      <c r="I41" s="18"/>
      <c r="J41" s="18"/>
    </row>
    <row r="42" spans="1:10">
      <c r="A42" s="44"/>
      <c r="B42" s="45"/>
      <c r="C42" s="45"/>
      <c r="D42" s="46"/>
      <c r="E42" s="45"/>
      <c r="F42" s="47"/>
      <c r="G42" s="48"/>
      <c r="H42" s="49"/>
      <c r="I42" s="45"/>
    </row>
    <row r="43" spans="1:10">
      <c r="A43" s="17"/>
      <c r="B43" s="18"/>
      <c r="C43" s="18"/>
      <c r="D43" s="27"/>
      <c r="E43" s="18"/>
      <c r="F43" s="19"/>
      <c r="G43" s="19"/>
      <c r="H43" s="21"/>
      <c r="I43" s="18"/>
      <c r="J43" s="18"/>
    </row>
    <row r="44" spans="1:10">
      <c r="A44" s="44"/>
      <c r="B44" s="45"/>
      <c r="C44" s="45"/>
      <c r="D44" s="46"/>
      <c r="E44" s="45"/>
      <c r="F44" s="47"/>
      <c r="G44" s="48"/>
      <c r="H44" s="49"/>
      <c r="I44" s="45"/>
    </row>
    <row r="45" spans="1:10">
      <c r="A45" s="17"/>
      <c r="B45" s="18"/>
      <c r="C45" s="18"/>
      <c r="D45" s="27"/>
      <c r="E45" s="18"/>
      <c r="F45" s="19"/>
      <c r="G45" s="19"/>
      <c r="H45" s="21"/>
      <c r="I45" s="18"/>
      <c r="J45" s="18"/>
    </row>
    <row r="46" spans="1:10">
      <c r="A46" s="44"/>
      <c r="B46" s="45"/>
      <c r="C46" s="45"/>
      <c r="D46" s="46"/>
      <c r="E46" s="45"/>
      <c r="F46" s="47"/>
      <c r="G46" s="48"/>
      <c r="H46" s="49"/>
      <c r="I46" s="45"/>
    </row>
    <row r="47" spans="1:10">
      <c r="A47" s="17"/>
      <c r="B47" s="18"/>
      <c r="C47" s="18"/>
      <c r="D47" s="27"/>
      <c r="E47" s="18"/>
      <c r="F47" s="19"/>
      <c r="G47" s="19"/>
      <c r="H47" s="21"/>
      <c r="I47" s="18"/>
      <c r="J47" s="18"/>
    </row>
    <row r="48" spans="1:10">
      <c r="A48" s="44"/>
      <c r="B48" s="45"/>
      <c r="C48" s="45"/>
      <c r="D48" s="46"/>
      <c r="E48" s="45"/>
      <c r="F48" s="47"/>
      <c r="G48" s="48"/>
      <c r="H48" s="49"/>
      <c r="I48" s="45"/>
    </row>
    <row r="49" spans="1:10">
      <c r="A49" s="17"/>
      <c r="B49" s="18"/>
      <c r="C49" s="18"/>
      <c r="D49" s="27"/>
      <c r="E49" s="18"/>
      <c r="F49" s="19"/>
      <c r="G49" s="19"/>
      <c r="H49" s="21"/>
      <c r="I49" s="18"/>
      <c r="J49" s="18"/>
    </row>
    <row r="50" spans="1:10">
      <c r="A50" s="44"/>
      <c r="B50" s="45"/>
      <c r="C50" s="45"/>
      <c r="D50" s="46"/>
      <c r="E50" s="45"/>
      <c r="F50" s="47"/>
      <c r="G50" s="48"/>
      <c r="H50" s="49"/>
      <c r="I50" s="45"/>
    </row>
    <row r="51" spans="1:10">
      <c r="A51" s="17"/>
      <c r="B51" s="18"/>
      <c r="C51" s="18"/>
      <c r="D51" s="27"/>
      <c r="E51" s="18"/>
      <c r="F51" s="19"/>
      <c r="G51" s="19"/>
      <c r="H51" s="21"/>
      <c r="I51" s="18"/>
      <c r="J51" s="18"/>
    </row>
    <row r="52" spans="1:10">
      <c r="A52" s="44"/>
      <c r="B52" s="45"/>
      <c r="C52" s="45"/>
      <c r="D52" s="46"/>
      <c r="E52" s="45"/>
      <c r="F52" s="47"/>
      <c r="G52" s="48"/>
      <c r="H52" s="49"/>
      <c r="I52" s="45"/>
    </row>
    <row r="53" spans="1:10">
      <c r="A53" s="17"/>
      <c r="B53" s="18"/>
      <c r="C53" s="18"/>
      <c r="D53" s="27"/>
      <c r="E53" s="18"/>
      <c r="F53" s="19"/>
      <c r="G53" s="19"/>
      <c r="H53" s="21"/>
      <c r="I53" s="18"/>
      <c r="J53" s="18"/>
    </row>
    <row r="54" spans="1:10">
      <c r="A54" s="44"/>
      <c r="B54" s="45"/>
      <c r="C54" s="45"/>
      <c r="D54" s="46"/>
      <c r="E54" s="45"/>
      <c r="F54" s="47"/>
      <c r="G54" s="48"/>
      <c r="H54" s="49"/>
      <c r="I54" s="45"/>
    </row>
    <row r="55" spans="1:10">
      <c r="A55" s="17"/>
      <c r="B55" s="18"/>
      <c r="C55" s="18"/>
      <c r="D55" s="27"/>
      <c r="E55" s="18"/>
      <c r="F55" s="19"/>
      <c r="G55" s="19"/>
      <c r="H55" s="21"/>
      <c r="I55" s="18"/>
      <c r="J55" s="18"/>
    </row>
    <row r="56" spans="1:10">
      <c r="A56" s="44"/>
      <c r="B56" s="45"/>
      <c r="C56" s="45"/>
      <c r="D56" s="46"/>
      <c r="E56" s="45"/>
      <c r="F56" s="47"/>
      <c r="G56" s="48"/>
      <c r="H56" s="49"/>
      <c r="I56" s="45"/>
    </row>
    <row r="57" spans="1:10">
      <c r="A57" s="17"/>
      <c r="B57" s="18"/>
      <c r="C57" s="18"/>
      <c r="D57" s="27"/>
      <c r="E57" s="18"/>
      <c r="F57" s="19"/>
      <c r="G57" s="19"/>
      <c r="H57" s="21"/>
      <c r="I57" s="18"/>
      <c r="J57" s="18"/>
    </row>
    <row r="58" spans="1:10">
      <c r="A58" s="44"/>
      <c r="B58" s="45"/>
      <c r="C58" s="45"/>
      <c r="D58" s="46"/>
      <c r="E58" s="45"/>
      <c r="F58" s="47"/>
      <c r="G58" s="48"/>
      <c r="H58" s="49"/>
      <c r="I58" s="45"/>
    </row>
    <row r="59" spans="1:10">
      <c r="A59" s="17"/>
      <c r="B59" s="18"/>
      <c r="C59" s="18"/>
      <c r="D59" s="27"/>
      <c r="E59" s="18"/>
      <c r="F59" s="19"/>
      <c r="G59" s="19"/>
      <c r="H59" s="21"/>
      <c r="I59" s="18"/>
      <c r="J59" s="18"/>
    </row>
    <row r="60" spans="1:10">
      <c r="A60" s="44"/>
      <c r="B60" s="45"/>
      <c r="C60" s="45"/>
      <c r="D60" s="46"/>
      <c r="E60" s="45"/>
      <c r="F60" s="47"/>
      <c r="G60" s="48"/>
      <c r="H60" s="49"/>
      <c r="I60" s="45"/>
    </row>
    <row r="61" spans="1:10">
      <c r="A61" s="17"/>
      <c r="B61" s="18"/>
      <c r="C61" s="18"/>
      <c r="D61" s="27"/>
      <c r="E61" s="18"/>
      <c r="F61" s="19"/>
      <c r="G61" s="19"/>
      <c r="H61" s="21"/>
      <c r="I61" s="18"/>
      <c r="J61" s="18"/>
    </row>
    <row r="62" spans="1:10">
      <c r="A62" s="44"/>
      <c r="B62" s="45"/>
      <c r="C62" s="45"/>
      <c r="D62" s="46"/>
      <c r="E62" s="45"/>
      <c r="F62" s="47"/>
      <c r="G62" s="48"/>
      <c r="H62" s="49"/>
      <c r="I62" s="45"/>
    </row>
    <row r="63" spans="1:10">
      <c r="A63" s="17"/>
      <c r="B63" s="18"/>
      <c r="C63" s="18"/>
      <c r="D63" s="27"/>
      <c r="E63" s="18"/>
      <c r="F63" s="19"/>
      <c r="G63" s="19"/>
      <c r="H63" s="21"/>
      <c r="I63" s="18"/>
      <c r="J63" s="18"/>
    </row>
    <row r="64" spans="1:10">
      <c r="A64" s="44"/>
      <c r="B64" s="45"/>
      <c r="C64" s="45"/>
      <c r="D64" s="46"/>
      <c r="E64" s="45"/>
      <c r="F64" s="47"/>
      <c r="G64" s="48"/>
      <c r="H64" s="49"/>
      <c r="I64" s="45"/>
    </row>
    <row r="65" spans="1:10">
      <c r="A65" s="17"/>
      <c r="B65" s="18"/>
      <c r="C65" s="18"/>
      <c r="D65" s="27"/>
      <c r="E65" s="18"/>
      <c r="F65" s="19"/>
      <c r="G65" s="19"/>
      <c r="H65" s="21"/>
      <c r="I65" s="18"/>
      <c r="J65" s="18"/>
    </row>
    <row r="66" spans="1:10">
      <c r="A66" s="44"/>
      <c r="B66" s="45"/>
      <c r="C66" s="45"/>
      <c r="D66" s="46"/>
      <c r="E66" s="45"/>
      <c r="F66" s="47"/>
      <c r="G66" s="48"/>
      <c r="H66" s="49"/>
      <c r="I66" s="45"/>
    </row>
    <row r="67" spans="1:10">
      <c r="A67" s="17"/>
      <c r="B67" s="18"/>
      <c r="C67" s="18"/>
      <c r="D67" s="27"/>
      <c r="E67" s="18"/>
      <c r="F67" s="19"/>
      <c r="G67" s="19"/>
      <c r="H67" s="21"/>
      <c r="I67" s="18"/>
      <c r="J67" s="18"/>
    </row>
    <row r="68" spans="1:10">
      <c r="A68" s="44"/>
      <c r="B68" s="45"/>
      <c r="C68" s="45"/>
      <c r="D68" s="46"/>
      <c r="E68" s="45"/>
      <c r="F68" s="47"/>
      <c r="G68" s="48"/>
      <c r="H68" s="49"/>
      <c r="I68" s="45"/>
    </row>
    <row r="69" spans="1:10">
      <c r="A69" s="17"/>
      <c r="B69" s="18"/>
      <c r="C69" s="18"/>
      <c r="D69" s="27"/>
      <c r="E69" s="18"/>
      <c r="F69" s="19"/>
      <c r="G69" s="19"/>
      <c r="H69" s="21"/>
      <c r="I69" s="18"/>
      <c r="J69" s="18"/>
    </row>
    <row r="70" spans="1:10">
      <c r="A70" s="44"/>
      <c r="B70" s="45"/>
      <c r="C70" s="45"/>
      <c r="D70" s="46"/>
      <c r="E70" s="45"/>
      <c r="F70" s="47"/>
      <c r="G70" s="48"/>
      <c r="H70" s="49"/>
      <c r="I70" s="45"/>
    </row>
    <row r="71" spans="1:10">
      <c r="A71" s="17"/>
      <c r="B71" s="18"/>
      <c r="C71" s="18"/>
      <c r="D71" s="27"/>
      <c r="E71" s="18"/>
      <c r="F71" s="19"/>
      <c r="G71" s="19"/>
      <c r="H71" s="21"/>
      <c r="I71" s="18"/>
      <c r="J71" s="18"/>
    </row>
    <row r="72" spans="1:10">
      <c r="A72" s="44"/>
      <c r="B72" s="45"/>
      <c r="C72" s="45"/>
      <c r="D72" s="46"/>
      <c r="E72" s="45"/>
      <c r="F72" s="47"/>
      <c r="G72" s="48"/>
      <c r="H72" s="49"/>
      <c r="I72" s="45"/>
    </row>
    <row r="73" spans="1:10">
      <c r="A73" s="17"/>
      <c r="B73" s="18"/>
      <c r="C73" s="18"/>
      <c r="D73" s="27"/>
      <c r="E73" s="18"/>
      <c r="F73" s="19"/>
      <c r="G73" s="19"/>
      <c r="H73" s="21"/>
      <c r="I73" s="18"/>
      <c r="J73" s="18"/>
    </row>
    <row r="74" spans="1:10">
      <c r="A74" s="44"/>
      <c r="B74" s="45"/>
      <c r="C74" s="45"/>
      <c r="D74" s="46"/>
      <c r="E74" s="45"/>
      <c r="F74" s="47"/>
      <c r="G74" s="48"/>
      <c r="H74" s="49"/>
      <c r="I74" s="45"/>
    </row>
    <row r="75" spans="1:10">
      <c r="A75" s="17"/>
      <c r="B75" s="18"/>
      <c r="C75" s="18"/>
      <c r="D75" s="27"/>
      <c r="E75" s="18"/>
      <c r="F75" s="19"/>
      <c r="G75" s="19"/>
      <c r="H75" s="21"/>
      <c r="I75" s="18"/>
      <c r="J75" s="18"/>
    </row>
    <row r="76" spans="1:10">
      <c r="A76" s="44"/>
      <c r="B76" s="45"/>
      <c r="C76" s="45"/>
      <c r="D76" s="46"/>
      <c r="E76" s="45"/>
      <c r="F76" s="47"/>
      <c r="G76" s="48"/>
      <c r="H76" s="49"/>
      <c r="I76" s="45"/>
    </row>
    <row r="77" spans="1:10">
      <c r="A77" s="17"/>
      <c r="B77" s="18"/>
      <c r="C77" s="18"/>
      <c r="D77" s="27"/>
      <c r="E77" s="18"/>
      <c r="F77" s="19"/>
      <c r="G77" s="19"/>
      <c r="H77" s="21"/>
      <c r="I77" s="18"/>
      <c r="J77" s="18"/>
    </row>
    <row r="78" spans="1:10">
      <c r="A78" s="44"/>
      <c r="B78" s="45"/>
      <c r="C78" s="45"/>
      <c r="D78" s="46"/>
      <c r="E78" s="45"/>
      <c r="F78" s="47"/>
      <c r="G78" s="48"/>
      <c r="H78" s="49"/>
      <c r="I78" s="45"/>
    </row>
    <row r="79" spans="1:10">
      <c r="A79" s="17"/>
      <c r="B79" s="18"/>
      <c r="C79" s="18"/>
      <c r="D79" s="27"/>
      <c r="E79" s="18"/>
      <c r="F79" s="19"/>
      <c r="G79" s="19"/>
      <c r="H79" s="21"/>
      <c r="I79" s="18"/>
      <c r="J79" s="18"/>
    </row>
    <row r="80" spans="1:10">
      <c r="A80" s="44"/>
      <c r="B80" s="45"/>
      <c r="C80" s="45"/>
      <c r="D80" s="46"/>
      <c r="E80" s="45"/>
      <c r="F80" s="47"/>
      <c r="G80" s="48"/>
      <c r="H80" s="49"/>
      <c r="I80" s="45"/>
    </row>
    <row r="81" spans="1:10">
      <c r="A81" s="17"/>
      <c r="B81" s="18"/>
      <c r="C81" s="18"/>
      <c r="D81" s="27"/>
      <c r="E81" s="18"/>
      <c r="F81" s="19"/>
      <c r="G81" s="19"/>
      <c r="H81" s="21"/>
      <c r="I81" s="18"/>
      <c r="J81" s="18"/>
    </row>
    <row r="82" spans="1:10">
      <c r="A82" s="44"/>
      <c r="B82" s="45"/>
      <c r="C82" s="45"/>
      <c r="D82" s="46"/>
      <c r="E82" s="45"/>
      <c r="F82" s="47"/>
      <c r="G82" s="48"/>
      <c r="H82" s="49"/>
      <c r="I82" s="45"/>
    </row>
    <row r="83" spans="1:10">
      <c r="A83" s="17"/>
      <c r="B83" s="18"/>
      <c r="C83" s="18"/>
      <c r="D83" s="27"/>
      <c r="E83" s="18"/>
      <c r="F83" s="19"/>
      <c r="G83" s="19"/>
      <c r="H83" s="21"/>
      <c r="I83" s="18"/>
      <c r="J83" s="18"/>
    </row>
    <row r="84" spans="1:10">
      <c r="A84" s="44"/>
      <c r="B84" s="45"/>
      <c r="C84" s="45"/>
      <c r="D84" s="46"/>
      <c r="E84" s="45"/>
      <c r="F84" s="47"/>
      <c r="G84" s="48"/>
      <c r="H84" s="49"/>
      <c r="I84" s="45"/>
    </row>
    <row r="85" spans="1:10">
      <c r="A85" s="17"/>
      <c r="B85" s="18"/>
      <c r="C85" s="18"/>
      <c r="D85" s="27"/>
      <c r="E85" s="18"/>
      <c r="F85" s="19"/>
      <c r="G85" s="19"/>
      <c r="H85" s="21"/>
      <c r="I85" s="18"/>
      <c r="J85" s="18"/>
    </row>
    <row r="86" spans="1:10">
      <c r="A86" s="44"/>
      <c r="B86" s="45"/>
      <c r="C86" s="45"/>
      <c r="D86" s="46"/>
      <c r="E86" s="45"/>
      <c r="F86" s="47"/>
      <c r="G86" s="48"/>
      <c r="H86" s="49"/>
      <c r="I86" s="45"/>
    </row>
    <row r="87" spans="1:10">
      <c r="A87" s="17"/>
      <c r="B87" s="18"/>
      <c r="C87" s="18"/>
      <c r="D87" s="27"/>
      <c r="E87" s="18"/>
      <c r="F87" s="19"/>
      <c r="G87" s="19"/>
      <c r="H87" s="21"/>
      <c r="I87" s="18"/>
      <c r="J87" s="18"/>
    </row>
    <row r="88" spans="1:10">
      <c r="A88" s="44"/>
      <c r="B88" s="45"/>
      <c r="C88" s="45"/>
      <c r="D88" s="46"/>
      <c r="E88" s="45"/>
      <c r="F88" s="47"/>
      <c r="G88" s="48"/>
      <c r="H88" s="49"/>
      <c r="I88" s="45"/>
    </row>
    <row r="89" spans="1:10">
      <c r="A89" s="17"/>
      <c r="B89" s="18"/>
      <c r="C89" s="18"/>
      <c r="D89" s="27"/>
      <c r="E89" s="18"/>
      <c r="F89" s="19"/>
      <c r="G89" s="19"/>
      <c r="H89" s="21"/>
      <c r="I89" s="18"/>
      <c r="J89" s="18"/>
    </row>
    <row r="90" spans="1:10">
      <c r="A90" s="44"/>
      <c r="B90" s="45"/>
      <c r="C90" s="45"/>
      <c r="D90" s="46"/>
      <c r="E90" s="45"/>
      <c r="F90" s="47"/>
      <c r="G90" s="48"/>
      <c r="H90" s="49"/>
      <c r="I90" s="45"/>
    </row>
    <row r="91" spans="1:10">
      <c r="A91" s="17"/>
      <c r="B91" s="18"/>
      <c r="C91" s="18"/>
      <c r="D91" s="27"/>
      <c r="E91" s="18"/>
      <c r="F91" s="19"/>
      <c r="G91" s="19"/>
      <c r="H91" s="21"/>
      <c r="I91" s="18"/>
      <c r="J91" s="18"/>
    </row>
    <row r="92" spans="1:10">
      <c r="A92" s="44"/>
      <c r="B92" s="45"/>
      <c r="C92" s="45"/>
      <c r="D92" s="46"/>
      <c r="E92" s="45"/>
      <c r="F92" s="47"/>
      <c r="G92" s="48"/>
      <c r="H92" s="49"/>
      <c r="I92" s="45"/>
    </row>
    <row r="93" spans="1:10">
      <c r="A93" s="17"/>
      <c r="B93" s="18"/>
      <c r="C93" s="18"/>
      <c r="D93" s="27"/>
      <c r="E93" s="18"/>
      <c r="F93" s="19"/>
      <c r="G93" s="19"/>
      <c r="H93" s="21"/>
      <c r="I93" s="18"/>
      <c r="J93" s="18"/>
    </row>
    <row r="94" spans="1:10">
      <c r="A94" s="44"/>
      <c r="B94" s="45"/>
      <c r="C94" s="45"/>
      <c r="D94" s="46"/>
      <c r="E94" s="45"/>
      <c r="F94" s="47"/>
      <c r="G94" s="48"/>
      <c r="H94" s="49"/>
      <c r="I94" s="45"/>
    </row>
    <row r="95" spans="1:10">
      <c r="A95" s="17"/>
      <c r="B95" s="18"/>
      <c r="C95" s="18"/>
      <c r="D95" s="27"/>
      <c r="E95" s="18"/>
      <c r="F95" s="19"/>
      <c r="G95" s="19"/>
      <c r="H95" s="21"/>
      <c r="I95" s="18"/>
      <c r="J95" s="18"/>
    </row>
    <row r="96" spans="1:10">
      <c r="A96" s="44"/>
      <c r="B96" s="45"/>
      <c r="C96" s="45"/>
      <c r="D96" s="46"/>
      <c r="E96" s="45"/>
      <c r="F96" s="47"/>
      <c r="G96" s="48"/>
      <c r="H96" s="49"/>
      <c r="I96" s="45"/>
    </row>
    <row r="97" spans="1:10">
      <c r="A97" s="17"/>
      <c r="B97" s="18"/>
      <c r="C97" s="18"/>
      <c r="D97" s="27"/>
      <c r="E97" s="18"/>
      <c r="F97" s="19"/>
      <c r="G97" s="19"/>
      <c r="H97" s="21"/>
      <c r="I97" s="18"/>
      <c r="J97" s="18"/>
    </row>
    <row r="98" spans="1:10">
      <c r="A98" s="44"/>
      <c r="B98" s="45"/>
      <c r="C98" s="45"/>
      <c r="D98" s="46"/>
      <c r="E98" s="45"/>
      <c r="F98" s="47"/>
      <c r="G98" s="48"/>
      <c r="H98" s="49"/>
      <c r="I98" s="45"/>
    </row>
    <row r="99" spans="1:10">
      <c r="A99" s="17"/>
      <c r="B99" s="18"/>
      <c r="C99" s="18"/>
      <c r="D99" s="27"/>
      <c r="E99" s="18"/>
      <c r="F99" s="19"/>
      <c r="G99" s="19"/>
      <c r="H99" s="21"/>
      <c r="I99" s="18"/>
      <c r="J99" s="18"/>
    </row>
    <row r="100" spans="1:10">
      <c r="A100" s="44"/>
      <c r="B100" s="45"/>
      <c r="C100" s="45"/>
      <c r="D100" s="46"/>
      <c r="E100" s="45"/>
      <c r="F100" s="47"/>
      <c r="G100" s="48"/>
      <c r="H100" s="49"/>
      <c r="I100" s="45"/>
    </row>
    <row r="101" spans="1:10">
      <c r="A101" s="17"/>
      <c r="B101" s="18"/>
      <c r="C101" s="18"/>
      <c r="D101" s="27"/>
      <c r="E101" s="18"/>
      <c r="F101" s="19"/>
      <c r="G101" s="19"/>
      <c r="H101" s="21"/>
      <c r="I101" s="18"/>
      <c r="J101" s="18"/>
    </row>
    <row r="102" spans="1:10">
      <c r="A102" s="44"/>
      <c r="B102" s="45"/>
      <c r="C102" s="45"/>
      <c r="D102" s="46"/>
      <c r="E102" s="45"/>
      <c r="F102" s="47"/>
      <c r="G102" s="48"/>
      <c r="H102" s="49"/>
      <c r="I102" s="45"/>
    </row>
    <row r="103" spans="1:10">
      <c r="A103" s="17"/>
      <c r="B103" s="18"/>
      <c r="C103" s="18"/>
      <c r="D103" s="27"/>
      <c r="E103" s="18"/>
      <c r="F103" s="19"/>
      <c r="G103" s="19"/>
      <c r="H103" s="21"/>
      <c r="I103" s="18"/>
      <c r="J103" s="18"/>
    </row>
    <row r="104" spans="1:10">
      <c r="A104" s="44"/>
      <c r="B104" s="45"/>
      <c r="C104" s="45"/>
      <c r="D104" s="46"/>
      <c r="E104" s="45"/>
      <c r="F104" s="47"/>
      <c r="G104" s="48"/>
      <c r="H104" s="49"/>
      <c r="I104" s="45"/>
    </row>
    <row r="105" spans="1:10">
      <c r="A105" s="17"/>
      <c r="B105" s="18"/>
      <c r="C105" s="18"/>
      <c r="D105" s="27"/>
      <c r="E105" s="18"/>
      <c r="F105" s="19"/>
      <c r="G105" s="19"/>
      <c r="H105" s="21"/>
      <c r="I105" s="18"/>
      <c r="J105" s="18"/>
    </row>
    <row r="106" spans="1:10">
      <c r="A106" s="44"/>
      <c r="B106" s="45"/>
      <c r="C106" s="45"/>
      <c r="D106" s="46"/>
      <c r="E106" s="45"/>
      <c r="F106" s="47"/>
      <c r="G106" s="48"/>
      <c r="H106" s="49"/>
      <c r="I106" s="45"/>
    </row>
    <row r="107" spans="1:10">
      <c r="A107" s="17"/>
      <c r="B107" s="18"/>
      <c r="C107" s="18"/>
      <c r="D107" s="27"/>
      <c r="E107" s="18"/>
      <c r="F107" s="19"/>
      <c r="G107" s="19"/>
      <c r="H107" s="21"/>
      <c r="I107" s="18"/>
      <c r="J107" s="18"/>
    </row>
    <row r="108" spans="1:10">
      <c r="A108" s="44"/>
      <c r="B108" s="45"/>
      <c r="C108" s="45"/>
      <c r="D108" s="46"/>
      <c r="E108" s="45"/>
      <c r="F108" s="47"/>
      <c r="G108" s="48"/>
      <c r="H108" s="49"/>
      <c r="I108" s="45"/>
    </row>
    <row r="109" spans="1:10">
      <c r="A109" s="17"/>
      <c r="B109" s="18"/>
      <c r="C109" s="18"/>
      <c r="D109" s="27"/>
      <c r="E109" s="18"/>
      <c r="F109" s="19"/>
      <c r="G109" s="19"/>
      <c r="H109" s="21"/>
      <c r="I109" s="18"/>
      <c r="J109" s="18"/>
    </row>
    <row r="110" spans="1:10">
      <c r="A110" s="44"/>
      <c r="B110" s="45"/>
      <c r="C110" s="45"/>
      <c r="D110" s="46"/>
      <c r="E110" s="45"/>
      <c r="F110" s="47"/>
      <c r="G110" s="48"/>
      <c r="H110" s="49"/>
      <c r="I110" s="45"/>
    </row>
    <row r="111" spans="1:10">
      <c r="A111" s="17"/>
      <c r="B111" s="18"/>
      <c r="C111" s="18"/>
      <c r="D111" s="27"/>
      <c r="E111" s="18"/>
      <c r="F111" s="19"/>
      <c r="G111" s="19"/>
      <c r="H111" s="21"/>
      <c r="I111" s="18"/>
      <c r="J111" s="18"/>
    </row>
    <row r="112" spans="1:10">
      <c r="A112" s="44"/>
      <c r="B112" s="45"/>
      <c r="C112" s="45"/>
      <c r="D112" s="46"/>
      <c r="E112" s="45"/>
      <c r="F112" s="47"/>
      <c r="G112" s="48"/>
      <c r="H112" s="49"/>
      <c r="I112" s="45"/>
    </row>
    <row r="113" spans="1:10">
      <c r="A113" s="17"/>
      <c r="B113" s="18"/>
      <c r="C113" s="18"/>
      <c r="D113" s="27"/>
      <c r="E113" s="18"/>
      <c r="F113" s="19"/>
      <c r="G113" s="19"/>
      <c r="H113" s="21"/>
      <c r="I113" s="18"/>
      <c r="J113" s="18"/>
    </row>
    <row r="114" spans="1:10">
      <c r="A114" s="44"/>
      <c r="B114" s="45"/>
      <c r="C114" s="45"/>
      <c r="D114" s="46"/>
      <c r="E114" s="45"/>
      <c r="F114" s="47"/>
      <c r="G114" s="48"/>
      <c r="H114" s="49"/>
      <c r="I114" s="45"/>
    </row>
    <row r="115" spans="1:10">
      <c r="A115" s="17"/>
      <c r="B115" s="18"/>
      <c r="C115" s="18"/>
      <c r="D115" s="27"/>
      <c r="E115" s="18"/>
      <c r="F115" s="19"/>
      <c r="G115" s="19"/>
      <c r="H115" s="21"/>
      <c r="I115" s="18"/>
      <c r="J115" s="18"/>
    </row>
    <row r="116" spans="1:10">
      <c r="A116" s="44"/>
      <c r="B116" s="45"/>
      <c r="C116" s="45"/>
      <c r="D116" s="46"/>
      <c r="E116" s="45"/>
      <c r="F116" s="47"/>
      <c r="G116" s="48"/>
      <c r="H116" s="49"/>
      <c r="I116" s="45"/>
    </row>
    <row r="117" spans="1:10">
      <c r="A117" s="17"/>
      <c r="B117" s="18"/>
      <c r="C117" s="18"/>
      <c r="D117" s="27"/>
      <c r="E117" s="18"/>
      <c r="F117" s="19"/>
      <c r="G117" s="19"/>
      <c r="H117" s="21"/>
      <c r="I117" s="18"/>
      <c r="J117" s="18"/>
    </row>
    <row r="118" spans="1:10">
      <c r="A118" s="44"/>
      <c r="B118" s="45"/>
      <c r="C118" s="45"/>
      <c r="D118" s="46"/>
      <c r="E118" s="45"/>
      <c r="F118" s="47"/>
      <c r="G118" s="48"/>
      <c r="H118" s="49"/>
      <c r="I118" s="45"/>
    </row>
    <row r="119" spans="1:10">
      <c r="A119" s="17"/>
      <c r="B119" s="18"/>
      <c r="C119" s="18"/>
      <c r="D119" s="27"/>
      <c r="E119" s="18"/>
      <c r="F119" s="19"/>
      <c r="G119" s="19"/>
      <c r="H119" s="21"/>
      <c r="I119" s="18"/>
      <c r="J119" s="18"/>
    </row>
    <row r="120" spans="1:10">
      <c r="A120" s="44"/>
      <c r="B120" s="45"/>
      <c r="C120" s="45"/>
      <c r="D120" s="46"/>
      <c r="E120" s="45"/>
      <c r="F120" s="47"/>
      <c r="G120" s="48"/>
      <c r="H120" s="49"/>
      <c r="I120" s="45"/>
    </row>
    <row r="121" spans="1:10">
      <c r="A121" s="17"/>
      <c r="B121" s="18"/>
      <c r="C121" s="18"/>
      <c r="D121" s="27"/>
      <c r="E121" s="18"/>
      <c r="F121" s="19"/>
      <c r="G121" s="19"/>
      <c r="H121" s="21"/>
      <c r="I121" s="18"/>
      <c r="J121" s="18"/>
    </row>
    <row r="122" spans="1:10">
      <c r="A122" s="44"/>
      <c r="B122" s="45"/>
      <c r="C122" s="45"/>
      <c r="D122" s="46"/>
      <c r="E122" s="45"/>
      <c r="F122" s="47"/>
      <c r="G122" s="48"/>
      <c r="H122" s="49"/>
      <c r="I122" s="45"/>
    </row>
    <row r="123" spans="1:10">
      <c r="A123" s="17"/>
      <c r="B123" s="18"/>
      <c r="C123" s="18"/>
      <c r="D123" s="27"/>
      <c r="E123" s="18"/>
      <c r="F123" s="19"/>
      <c r="G123" s="19"/>
      <c r="H123" s="21"/>
      <c r="I123" s="18"/>
      <c r="J123" s="18"/>
    </row>
    <row r="124" spans="1:10">
      <c r="A124" s="44"/>
      <c r="B124" s="45"/>
      <c r="C124" s="45"/>
      <c r="D124" s="46"/>
      <c r="E124" s="45"/>
      <c r="F124" s="47"/>
      <c r="G124" s="48"/>
      <c r="H124" s="49"/>
      <c r="I124" s="45"/>
    </row>
    <row r="125" spans="1:10">
      <c r="A125" s="17"/>
      <c r="B125" s="18"/>
      <c r="C125" s="18"/>
      <c r="D125" s="27"/>
      <c r="E125" s="18"/>
      <c r="F125" s="19"/>
      <c r="G125" s="19"/>
      <c r="H125" s="21"/>
      <c r="I125" s="18"/>
      <c r="J125" s="18"/>
    </row>
    <row r="126" spans="1:10">
      <c r="A126" s="44"/>
      <c r="B126" s="45"/>
      <c r="C126" s="45"/>
      <c r="D126" s="46"/>
      <c r="E126" s="45"/>
      <c r="F126" s="47"/>
      <c r="G126" s="48"/>
      <c r="H126" s="49"/>
      <c r="I126" s="45"/>
    </row>
    <row r="127" spans="1:10">
      <c r="A127" s="17"/>
      <c r="B127" s="18"/>
      <c r="C127" s="18"/>
      <c r="D127" s="27"/>
      <c r="E127" s="18"/>
      <c r="F127" s="19"/>
      <c r="G127" s="19"/>
      <c r="H127" s="21"/>
      <c r="I127" s="18"/>
      <c r="J127" s="18"/>
    </row>
    <row r="128" spans="1:10">
      <c r="A128" s="44"/>
      <c r="B128" s="45"/>
      <c r="C128" s="45"/>
      <c r="D128" s="46"/>
      <c r="E128" s="45"/>
      <c r="F128" s="47"/>
      <c r="G128" s="48"/>
      <c r="H128" s="49"/>
      <c r="I128" s="45"/>
    </row>
    <row r="129" spans="1:10">
      <c r="A129" s="17"/>
      <c r="B129" s="18"/>
      <c r="C129" s="18"/>
      <c r="D129" s="27"/>
      <c r="E129" s="18"/>
      <c r="F129" s="19"/>
      <c r="G129" s="19"/>
      <c r="H129" s="21"/>
      <c r="I129" s="18"/>
      <c r="J129" s="18"/>
    </row>
    <row r="130" spans="1:10">
      <c r="A130" s="44"/>
      <c r="B130" s="45"/>
      <c r="C130" s="45"/>
      <c r="D130" s="46"/>
      <c r="E130" s="45"/>
      <c r="F130" s="47"/>
      <c r="G130" s="48"/>
      <c r="H130" s="49"/>
      <c r="I130" s="45"/>
    </row>
    <row r="131" spans="1:10">
      <c r="A131" s="17"/>
      <c r="B131" s="18"/>
      <c r="C131" s="18"/>
      <c r="D131" s="27"/>
      <c r="E131" s="18"/>
      <c r="F131" s="19"/>
      <c r="G131" s="19"/>
      <c r="H131" s="21"/>
      <c r="I131" s="18"/>
      <c r="J131" s="18"/>
    </row>
    <row r="132" spans="1:10">
      <c r="A132" s="44"/>
      <c r="B132" s="45"/>
      <c r="C132" s="45"/>
      <c r="D132" s="46"/>
      <c r="E132" s="45"/>
      <c r="F132" s="47"/>
      <c r="G132" s="48"/>
      <c r="H132" s="49"/>
      <c r="I132" s="45"/>
    </row>
    <row r="133" spans="1:10">
      <c r="A133" s="17"/>
      <c r="B133" s="18"/>
      <c r="C133" s="18"/>
      <c r="D133" s="27"/>
      <c r="E133" s="18"/>
      <c r="F133" s="19"/>
      <c r="G133" s="19"/>
      <c r="H133" s="21"/>
      <c r="I133" s="18"/>
      <c r="J133" s="18"/>
    </row>
    <row r="134" spans="1:10">
      <c r="A134" s="44"/>
      <c r="B134" s="45"/>
      <c r="C134" s="45"/>
      <c r="D134" s="46"/>
      <c r="E134" s="45"/>
      <c r="F134" s="47"/>
      <c r="G134" s="48"/>
      <c r="H134" s="49"/>
      <c r="I134" s="45"/>
    </row>
    <row r="135" spans="1:10">
      <c r="A135" s="17"/>
      <c r="B135" s="18"/>
      <c r="C135" s="18"/>
      <c r="D135" s="27"/>
      <c r="E135" s="18"/>
      <c r="F135" s="19"/>
      <c r="G135" s="19"/>
      <c r="H135" s="21"/>
      <c r="I135" s="18"/>
      <c r="J135" s="18"/>
    </row>
    <row r="136" spans="1:10">
      <c r="A136" s="44"/>
      <c r="B136" s="45"/>
      <c r="C136" s="45"/>
      <c r="D136" s="46"/>
      <c r="E136" s="45"/>
      <c r="F136" s="47"/>
      <c r="G136" s="48"/>
      <c r="H136" s="49"/>
      <c r="I136" s="45"/>
    </row>
    <row r="137" spans="1:10">
      <c r="A137" s="17"/>
      <c r="B137" s="18"/>
      <c r="C137" s="18"/>
      <c r="D137" s="27"/>
      <c r="E137" s="18"/>
      <c r="F137" s="19"/>
      <c r="G137" s="19"/>
      <c r="H137" s="21"/>
      <c r="I137" s="18"/>
      <c r="J137" s="18"/>
    </row>
    <row r="138" spans="1:10">
      <c r="A138" s="44"/>
      <c r="B138" s="45"/>
      <c r="C138" s="45"/>
      <c r="D138" s="46"/>
      <c r="E138" s="45"/>
      <c r="F138" s="47"/>
      <c r="G138" s="48"/>
      <c r="H138" s="49"/>
      <c r="I138" s="45"/>
    </row>
    <row r="139" spans="1:10">
      <c r="A139" s="17"/>
      <c r="B139" s="18"/>
      <c r="C139" s="18"/>
      <c r="D139" s="27"/>
      <c r="E139" s="18"/>
      <c r="F139" s="19"/>
      <c r="G139" s="19"/>
      <c r="H139" s="21"/>
      <c r="I139" s="18"/>
      <c r="J139" s="18"/>
    </row>
    <row r="140" spans="1:10">
      <c r="A140" s="44"/>
      <c r="B140" s="45"/>
      <c r="C140" s="45"/>
      <c r="D140" s="46"/>
      <c r="E140" s="45"/>
      <c r="F140" s="47"/>
      <c r="G140" s="48"/>
      <c r="H140" s="49"/>
      <c r="I140" s="45"/>
    </row>
    <row r="141" spans="1:10">
      <c r="A141" s="17"/>
      <c r="B141" s="18"/>
      <c r="C141" s="18"/>
      <c r="D141" s="27"/>
      <c r="E141" s="18"/>
      <c r="F141" s="19"/>
      <c r="G141" s="19"/>
      <c r="H141" s="21"/>
      <c r="I141" s="18"/>
      <c r="J141" s="18"/>
    </row>
    <row r="142" spans="1:10">
      <c r="A142" s="44"/>
      <c r="B142" s="45"/>
      <c r="C142" s="45"/>
      <c r="D142" s="46"/>
      <c r="E142" s="45"/>
      <c r="F142" s="47"/>
      <c r="G142" s="48"/>
      <c r="H142" s="49"/>
      <c r="I142" s="45"/>
    </row>
    <row r="143" spans="1:10">
      <c r="A143" s="17"/>
      <c r="B143" s="18"/>
      <c r="C143" s="18"/>
      <c r="D143" s="27"/>
      <c r="E143" s="18"/>
      <c r="F143" s="19"/>
      <c r="G143" s="19"/>
      <c r="H143" s="21"/>
      <c r="I143" s="18"/>
      <c r="J143" s="18"/>
    </row>
    <row r="144" spans="1:10">
      <c r="A144" s="44"/>
      <c r="B144" s="45"/>
      <c r="C144" s="45"/>
      <c r="D144" s="46"/>
      <c r="E144" s="45"/>
      <c r="F144" s="47"/>
      <c r="G144" s="48"/>
      <c r="H144" s="49"/>
      <c r="I144" s="45"/>
    </row>
    <row r="145" spans="1:10">
      <c r="A145" s="17"/>
      <c r="B145" s="18"/>
      <c r="C145" s="18"/>
      <c r="D145" s="27"/>
      <c r="E145" s="18"/>
      <c r="F145" s="19"/>
      <c r="G145" s="19"/>
      <c r="H145" s="21"/>
      <c r="I145" s="18"/>
      <c r="J145" s="18"/>
    </row>
    <row r="146" spans="1:10">
      <c r="A146" s="44"/>
      <c r="B146" s="45"/>
      <c r="C146" s="45"/>
      <c r="D146" s="46"/>
      <c r="E146" s="45"/>
      <c r="F146" s="47"/>
      <c r="G146" s="48"/>
      <c r="H146" s="49"/>
      <c r="I146" s="45"/>
    </row>
    <row r="147" spans="1:10">
      <c r="A147" s="17"/>
      <c r="B147" s="18"/>
      <c r="C147" s="18"/>
      <c r="D147" s="27"/>
      <c r="E147" s="18"/>
      <c r="F147" s="19"/>
      <c r="G147" s="19"/>
      <c r="H147" s="21"/>
      <c r="I147" s="18"/>
      <c r="J147" s="18"/>
    </row>
    <row r="148" spans="1:10">
      <c r="A148" s="44"/>
      <c r="B148" s="45"/>
      <c r="C148" s="45"/>
      <c r="D148" s="46"/>
      <c r="E148" s="45"/>
      <c r="F148" s="47"/>
      <c r="G148" s="48"/>
      <c r="H148" s="49"/>
      <c r="I148" s="45"/>
    </row>
    <row r="149" spans="1:10">
      <c r="A149" s="17"/>
      <c r="B149" s="18"/>
      <c r="C149" s="18"/>
      <c r="D149" s="27"/>
      <c r="E149" s="18"/>
      <c r="F149" s="19"/>
      <c r="G149" s="19"/>
      <c r="H149" s="21"/>
      <c r="I149" s="18"/>
      <c r="J149" s="18"/>
    </row>
    <row r="150" spans="1:10">
      <c r="A150" s="44"/>
      <c r="B150" s="45"/>
      <c r="C150" s="45"/>
      <c r="D150" s="46"/>
      <c r="E150" s="45"/>
      <c r="F150" s="47"/>
      <c r="G150" s="48"/>
      <c r="H150" s="49"/>
      <c r="I150" s="45"/>
    </row>
    <row r="151" spans="1:10">
      <c r="A151" s="17"/>
      <c r="B151" s="18"/>
      <c r="C151" s="18"/>
      <c r="D151" s="27"/>
      <c r="E151" s="18"/>
      <c r="F151" s="19"/>
      <c r="G151" s="19"/>
      <c r="H151" s="21"/>
      <c r="I151" s="18"/>
      <c r="J151" s="18"/>
    </row>
    <row r="152" spans="1:10">
      <c r="A152" s="44"/>
      <c r="B152" s="45"/>
      <c r="C152" s="45"/>
      <c r="D152" s="46"/>
      <c r="E152" s="45"/>
      <c r="F152" s="47"/>
      <c r="G152" s="48"/>
      <c r="H152" s="49"/>
      <c r="I152" s="45"/>
    </row>
    <row r="153" spans="1:10">
      <c r="A153" s="17"/>
      <c r="B153" s="18"/>
      <c r="C153" s="18"/>
      <c r="D153" s="27"/>
      <c r="E153" s="18"/>
      <c r="F153" s="19"/>
      <c r="G153" s="19"/>
      <c r="H153" s="21"/>
      <c r="I153" s="18"/>
      <c r="J153" s="18"/>
    </row>
    <row r="154" spans="1:10">
      <c r="A154" s="44"/>
      <c r="B154" s="45"/>
      <c r="C154" s="45"/>
      <c r="D154" s="46"/>
      <c r="E154" s="45"/>
      <c r="F154" s="47"/>
      <c r="G154" s="48"/>
      <c r="H154" s="49"/>
      <c r="I154" s="45"/>
    </row>
    <row r="155" spans="1:10">
      <c r="A155" s="17"/>
      <c r="B155" s="18"/>
      <c r="C155" s="18"/>
      <c r="D155" s="27"/>
      <c r="E155" s="18"/>
      <c r="F155" s="19"/>
      <c r="G155" s="19"/>
      <c r="H155" s="21"/>
      <c r="I155" s="18"/>
      <c r="J155" s="18"/>
    </row>
    <row r="156" spans="1:10">
      <c r="A156" s="44"/>
      <c r="B156" s="45"/>
      <c r="C156" s="45"/>
      <c r="D156" s="46"/>
      <c r="E156" s="45"/>
      <c r="F156" s="47"/>
      <c r="G156" s="48"/>
      <c r="H156" s="49"/>
      <c r="I156" s="45"/>
    </row>
    <row r="157" spans="1:10">
      <c r="A157" s="17"/>
      <c r="B157" s="18"/>
      <c r="C157" s="18"/>
      <c r="D157" s="27"/>
      <c r="E157" s="18"/>
      <c r="F157" s="19"/>
      <c r="G157" s="19"/>
      <c r="H157" s="21"/>
      <c r="I157" s="18"/>
      <c r="J157" s="18"/>
    </row>
    <row r="158" spans="1:10">
      <c r="A158" s="44"/>
      <c r="B158" s="45"/>
      <c r="C158" s="45"/>
      <c r="D158" s="46"/>
      <c r="E158" s="45"/>
      <c r="F158" s="47"/>
      <c r="G158" s="48"/>
      <c r="H158" s="49"/>
      <c r="I158" s="45"/>
    </row>
    <row r="159" spans="1:10">
      <c r="A159" s="17"/>
      <c r="B159" s="18"/>
      <c r="C159" s="18"/>
      <c r="D159" s="27"/>
      <c r="E159" s="18"/>
      <c r="F159" s="19"/>
      <c r="G159" s="19"/>
      <c r="H159" s="21"/>
      <c r="I159" s="18"/>
      <c r="J159" s="18"/>
    </row>
    <row r="160" spans="1:10">
      <c r="A160" s="44"/>
      <c r="B160" s="45"/>
      <c r="C160" s="45"/>
      <c r="D160" s="46"/>
      <c r="E160" s="45"/>
      <c r="F160" s="47"/>
      <c r="G160" s="48"/>
      <c r="H160" s="49"/>
      <c r="I160" s="45"/>
    </row>
    <row r="161" spans="1:10">
      <c r="A161" s="17"/>
      <c r="B161" s="18"/>
      <c r="C161" s="18"/>
      <c r="D161" s="27"/>
      <c r="E161" s="18"/>
      <c r="F161" s="19"/>
      <c r="G161" s="19"/>
      <c r="H161" s="21"/>
      <c r="I161" s="18"/>
      <c r="J161" s="18"/>
    </row>
    <row r="162" spans="1:10">
      <c r="A162" s="44"/>
      <c r="B162" s="45"/>
      <c r="C162" s="45"/>
      <c r="D162" s="46"/>
      <c r="E162" s="45"/>
      <c r="F162" s="47"/>
      <c r="G162" s="48"/>
      <c r="H162" s="49"/>
      <c r="I162" s="45"/>
    </row>
    <row r="163" spans="1:10">
      <c r="A163" s="17"/>
      <c r="B163" s="18"/>
      <c r="C163" s="18"/>
      <c r="D163" s="27"/>
      <c r="E163" s="18"/>
      <c r="F163" s="19"/>
      <c r="G163" s="19"/>
      <c r="H163" s="21"/>
      <c r="I163" s="18"/>
      <c r="J163" s="18"/>
    </row>
    <row r="164" spans="1:10">
      <c r="A164" s="44"/>
      <c r="B164" s="45"/>
      <c r="C164" s="45"/>
      <c r="D164" s="46"/>
      <c r="E164" s="45"/>
      <c r="F164" s="47"/>
      <c r="G164" s="48"/>
      <c r="H164" s="49"/>
      <c r="I164" s="45"/>
    </row>
    <row r="165" spans="1:10">
      <c r="A165" s="17"/>
      <c r="B165" s="18"/>
      <c r="C165" s="18"/>
      <c r="D165" s="27"/>
      <c r="E165" s="18"/>
      <c r="F165" s="19"/>
      <c r="G165" s="19"/>
      <c r="H165" s="21"/>
      <c r="I165" s="18"/>
      <c r="J165" s="18"/>
    </row>
    <row r="166" spans="1:10">
      <c r="A166" s="44"/>
      <c r="B166" s="45"/>
      <c r="C166" s="45"/>
      <c r="D166" s="46"/>
      <c r="E166" s="45"/>
      <c r="F166" s="47"/>
      <c r="G166" s="48"/>
      <c r="H166" s="49"/>
      <c r="I166" s="45"/>
    </row>
    <row r="167" spans="1:10">
      <c r="A167" s="17"/>
      <c r="B167" s="18"/>
      <c r="C167" s="18"/>
      <c r="D167" s="27"/>
      <c r="E167" s="18"/>
      <c r="F167" s="19"/>
      <c r="G167" s="19"/>
      <c r="H167" s="21"/>
      <c r="I167" s="18"/>
      <c r="J167" s="18"/>
    </row>
    <row r="168" spans="1:10">
      <c r="A168" s="44"/>
      <c r="B168" s="45"/>
      <c r="C168" s="45"/>
      <c r="D168" s="46"/>
      <c r="E168" s="45"/>
      <c r="F168" s="47"/>
      <c r="G168" s="48"/>
      <c r="H168" s="49"/>
      <c r="I168" s="45"/>
    </row>
    <row r="169" spans="1:10">
      <c r="A169" s="17"/>
      <c r="B169" s="18"/>
      <c r="C169" s="18"/>
      <c r="D169" s="27"/>
      <c r="E169" s="18"/>
      <c r="F169" s="19"/>
      <c r="G169" s="19"/>
      <c r="H169" s="21"/>
      <c r="I169" s="18"/>
      <c r="J169" s="18"/>
    </row>
    <row r="170" spans="1:10">
      <c r="A170" s="44"/>
      <c r="B170" s="45"/>
      <c r="C170" s="45"/>
      <c r="D170" s="46"/>
      <c r="E170" s="45"/>
      <c r="F170" s="47"/>
      <c r="G170" s="48"/>
      <c r="H170" s="49"/>
      <c r="I170" s="45"/>
    </row>
    <row r="171" spans="1:10">
      <c r="A171" s="17"/>
      <c r="B171" s="18"/>
      <c r="C171" s="18"/>
      <c r="D171" s="27"/>
      <c r="E171" s="18"/>
      <c r="F171" s="19"/>
      <c r="G171" s="19"/>
      <c r="H171" s="21"/>
      <c r="I171" s="18"/>
      <c r="J171" s="18"/>
    </row>
    <row r="172" spans="1:10">
      <c r="A172" s="44"/>
      <c r="B172" s="45"/>
      <c r="C172" s="45"/>
      <c r="D172" s="46"/>
      <c r="E172" s="45"/>
      <c r="F172" s="47"/>
      <c r="G172" s="48"/>
      <c r="H172" s="49"/>
      <c r="I172" s="45"/>
    </row>
    <row r="173" spans="1:10">
      <c r="A173" s="17"/>
      <c r="B173" s="18"/>
      <c r="C173" s="18"/>
      <c r="D173" s="27"/>
      <c r="E173" s="18"/>
      <c r="F173" s="19"/>
      <c r="G173" s="19"/>
      <c r="H173" s="21"/>
      <c r="I173" s="18"/>
      <c r="J173" s="18"/>
    </row>
    <row r="174" spans="1:10">
      <c r="A174" s="44"/>
      <c r="B174" s="45"/>
      <c r="C174" s="45"/>
      <c r="D174" s="46"/>
      <c r="E174" s="45"/>
      <c r="F174" s="47"/>
      <c r="G174" s="48"/>
      <c r="H174" s="49"/>
      <c r="I174" s="45"/>
    </row>
    <row r="175" spans="1:10">
      <c r="A175" s="17"/>
      <c r="B175" s="18"/>
      <c r="C175" s="18"/>
      <c r="D175" s="27"/>
      <c r="E175" s="18"/>
      <c r="F175" s="19"/>
      <c r="G175" s="19"/>
      <c r="H175" s="21"/>
      <c r="I175" s="18"/>
      <c r="J175" s="18"/>
    </row>
    <row r="176" spans="1:10">
      <c r="A176" s="44"/>
      <c r="B176" s="45"/>
      <c r="C176" s="45"/>
      <c r="D176" s="46"/>
      <c r="E176" s="45"/>
      <c r="F176" s="47"/>
      <c r="G176" s="48"/>
      <c r="H176" s="49"/>
      <c r="I176" s="45"/>
    </row>
    <row r="177" spans="1:10">
      <c r="A177" s="17"/>
      <c r="B177" s="18"/>
      <c r="C177" s="18"/>
      <c r="D177" s="27"/>
      <c r="E177" s="18"/>
      <c r="F177" s="19"/>
      <c r="G177" s="19"/>
      <c r="H177" s="21"/>
      <c r="I177" s="18"/>
      <c r="J177" s="18"/>
    </row>
    <row r="178" spans="1:10">
      <c r="A178" s="44"/>
      <c r="B178" s="45"/>
      <c r="C178" s="45"/>
      <c r="D178" s="46"/>
      <c r="E178" s="45"/>
      <c r="F178" s="47"/>
      <c r="G178" s="48"/>
      <c r="H178" s="49"/>
      <c r="I178" s="45"/>
    </row>
    <row r="179" spans="1:10">
      <c r="A179" s="17"/>
      <c r="B179" s="18"/>
      <c r="C179" s="18"/>
      <c r="D179" s="27"/>
      <c r="E179" s="18"/>
      <c r="F179" s="19"/>
      <c r="G179" s="19"/>
      <c r="H179" s="21"/>
      <c r="I179" s="18"/>
      <c r="J179" s="18"/>
    </row>
    <row r="180" spans="1:10">
      <c r="A180" s="44"/>
      <c r="B180" s="45"/>
      <c r="C180" s="45"/>
      <c r="D180" s="46"/>
      <c r="E180" s="45"/>
      <c r="F180" s="47"/>
      <c r="G180" s="48"/>
      <c r="H180" s="49"/>
      <c r="I180" s="45"/>
    </row>
    <row r="181" spans="1:10">
      <c r="A181" s="17"/>
      <c r="B181" s="18"/>
      <c r="C181" s="18"/>
      <c r="D181" s="27"/>
      <c r="E181" s="18"/>
      <c r="F181" s="19"/>
      <c r="G181" s="19"/>
      <c r="H181" s="21"/>
      <c r="I181" s="18"/>
      <c r="J181" s="18"/>
    </row>
    <row r="182" spans="1:10">
      <c r="A182" s="44"/>
      <c r="B182" s="45"/>
      <c r="C182" s="45"/>
      <c r="D182" s="46"/>
      <c r="E182" s="45"/>
      <c r="F182" s="47"/>
      <c r="G182" s="48"/>
      <c r="H182" s="49"/>
      <c r="I182" s="45"/>
    </row>
    <row r="183" spans="1:10">
      <c r="A183" s="17"/>
      <c r="B183" s="18"/>
      <c r="C183" s="18"/>
      <c r="D183" s="27"/>
      <c r="E183" s="18"/>
      <c r="F183" s="19"/>
      <c r="G183" s="19"/>
      <c r="H183" s="21"/>
      <c r="I183" s="18"/>
      <c r="J183" s="18"/>
    </row>
    <row r="184" spans="1:10">
      <c r="A184" s="44"/>
      <c r="B184" s="45"/>
      <c r="C184" s="45"/>
      <c r="D184" s="46"/>
      <c r="E184" s="45"/>
      <c r="F184" s="47"/>
      <c r="G184" s="48"/>
      <c r="H184" s="49"/>
      <c r="I184" s="45"/>
    </row>
    <row r="185" spans="1:10">
      <c r="A185" s="17"/>
      <c r="B185" s="18"/>
      <c r="C185" s="18"/>
      <c r="D185" s="27"/>
      <c r="E185" s="18"/>
      <c r="F185" s="19"/>
      <c r="G185" s="19"/>
      <c r="H185" s="21"/>
      <c r="I185" s="18"/>
      <c r="J185" s="18"/>
    </row>
    <row r="186" spans="1:10">
      <c r="A186" s="44"/>
      <c r="B186" s="45"/>
      <c r="C186" s="45"/>
      <c r="D186" s="46"/>
      <c r="E186" s="45"/>
      <c r="F186" s="47"/>
      <c r="G186" s="48"/>
      <c r="H186" s="49"/>
      <c r="I186" s="45"/>
    </row>
    <row r="187" spans="1:10">
      <c r="A187" s="17"/>
      <c r="B187" s="18"/>
      <c r="C187" s="18"/>
      <c r="D187" s="27"/>
      <c r="E187" s="18"/>
      <c r="F187" s="19"/>
      <c r="G187" s="19"/>
      <c r="H187" s="21"/>
      <c r="I187" s="18"/>
      <c r="J187" s="18"/>
    </row>
    <row r="188" spans="1:10">
      <c r="A188" s="44"/>
      <c r="B188" s="45"/>
      <c r="C188" s="45"/>
      <c r="D188" s="46"/>
      <c r="E188" s="45"/>
      <c r="F188" s="47"/>
      <c r="G188" s="48"/>
      <c r="H188" s="49"/>
      <c r="I188" s="45"/>
    </row>
    <row r="189" spans="1:10">
      <c r="A189" s="17"/>
      <c r="B189" s="18"/>
      <c r="C189" s="18"/>
      <c r="D189" s="27"/>
      <c r="E189" s="18"/>
      <c r="F189" s="19"/>
      <c r="G189" s="19"/>
      <c r="H189" s="21"/>
      <c r="I189" s="18"/>
      <c r="J189" s="18"/>
    </row>
    <row r="190" spans="1:10">
      <c r="A190" s="44"/>
      <c r="B190" s="45"/>
      <c r="C190" s="45"/>
      <c r="D190" s="46"/>
      <c r="E190" s="45"/>
      <c r="F190" s="47"/>
      <c r="G190" s="48"/>
      <c r="H190" s="49"/>
      <c r="I190" s="45"/>
    </row>
    <row r="191" spans="1:10">
      <c r="A191" s="17"/>
      <c r="B191" s="18"/>
      <c r="C191" s="18"/>
      <c r="D191" s="27"/>
      <c r="E191" s="18"/>
      <c r="F191" s="19"/>
      <c r="G191" s="19"/>
      <c r="H191" s="21"/>
      <c r="I191" s="18"/>
      <c r="J191" s="18"/>
    </row>
    <row r="192" spans="1:10">
      <c r="A192" s="44"/>
      <c r="B192" s="45"/>
      <c r="C192" s="45"/>
      <c r="D192" s="46"/>
      <c r="E192" s="45"/>
      <c r="F192" s="47"/>
      <c r="G192" s="48"/>
      <c r="H192" s="49"/>
      <c r="I192" s="45"/>
    </row>
    <row r="193" spans="1:10">
      <c r="A193" s="17"/>
      <c r="B193" s="18"/>
      <c r="C193" s="18"/>
      <c r="D193" s="27"/>
      <c r="E193" s="18"/>
      <c r="F193" s="19"/>
      <c r="G193" s="19"/>
      <c r="H193" s="21"/>
      <c r="I193" s="18"/>
      <c r="J193" s="18"/>
    </row>
    <row r="194" spans="1:10">
      <c r="A194" s="44"/>
      <c r="B194" s="45"/>
      <c r="C194" s="45"/>
      <c r="D194" s="46"/>
      <c r="E194" s="45"/>
      <c r="F194" s="47"/>
      <c r="G194" s="48"/>
      <c r="H194" s="49"/>
      <c r="I194" s="45"/>
    </row>
    <row r="195" spans="1:10">
      <c r="A195" s="17"/>
      <c r="B195" s="18"/>
      <c r="C195" s="18"/>
      <c r="D195" s="27"/>
      <c r="E195" s="18"/>
      <c r="F195" s="19"/>
      <c r="G195" s="19"/>
      <c r="H195" s="21"/>
      <c r="I195" s="18"/>
      <c r="J195" s="18"/>
    </row>
    <row r="196" spans="1:10">
      <c r="A196" s="44"/>
      <c r="B196" s="45"/>
      <c r="C196" s="45"/>
      <c r="D196" s="46"/>
      <c r="E196" s="45"/>
      <c r="F196" s="47"/>
      <c r="G196" s="48"/>
      <c r="H196" s="49"/>
      <c r="I196" s="45"/>
    </row>
    <row r="197" spans="1:10">
      <c r="A197" s="17"/>
      <c r="B197" s="18"/>
      <c r="C197" s="18"/>
      <c r="D197" s="27"/>
      <c r="E197" s="18"/>
      <c r="F197" s="19"/>
      <c r="G197" s="19"/>
      <c r="H197" s="21"/>
      <c r="I197" s="18"/>
      <c r="J197" s="18"/>
    </row>
    <row r="198" spans="1:10">
      <c r="A198" s="44"/>
      <c r="B198" s="45"/>
      <c r="C198" s="45"/>
      <c r="D198" s="46"/>
      <c r="E198" s="45"/>
      <c r="F198" s="47"/>
      <c r="G198" s="48"/>
      <c r="H198" s="49"/>
      <c r="I198" s="45"/>
    </row>
    <row r="199" spans="1:10">
      <c r="A199" s="17"/>
      <c r="B199" s="18"/>
      <c r="C199" s="18"/>
      <c r="D199" s="27"/>
      <c r="E199" s="18"/>
      <c r="F199" s="19"/>
      <c r="G199" s="19"/>
      <c r="H199" s="21"/>
      <c r="I199" s="18"/>
      <c r="J199" s="18"/>
    </row>
    <row r="200" spans="1:10">
      <c r="A200" s="44"/>
      <c r="B200" s="45"/>
      <c r="C200" s="45"/>
      <c r="D200" s="46"/>
      <c r="E200" s="45"/>
      <c r="F200" s="47"/>
      <c r="G200" s="48"/>
      <c r="H200" s="49"/>
      <c r="I200" s="45"/>
    </row>
    <row r="201" spans="1:10">
      <c r="A201" s="17"/>
      <c r="B201" s="18"/>
      <c r="C201" s="18"/>
      <c r="D201" s="27"/>
      <c r="E201" s="18"/>
      <c r="F201" s="19"/>
      <c r="G201" s="19"/>
      <c r="H201" s="21"/>
      <c r="I201" s="18"/>
      <c r="J201" s="18"/>
    </row>
    <row r="202" spans="1:10">
      <c r="A202" s="44"/>
      <c r="B202" s="45"/>
      <c r="C202" s="45"/>
      <c r="D202" s="46"/>
      <c r="E202" s="45"/>
      <c r="F202" s="47"/>
      <c r="G202" s="48"/>
      <c r="H202" s="49"/>
      <c r="I202" s="45"/>
    </row>
    <row r="203" spans="1:10">
      <c r="A203" s="17"/>
      <c r="B203" s="18"/>
      <c r="C203" s="18"/>
      <c r="D203" s="27"/>
      <c r="E203" s="18"/>
      <c r="F203" s="19"/>
      <c r="G203" s="19"/>
      <c r="H203" s="21"/>
      <c r="I203" s="18"/>
      <c r="J203" s="18"/>
    </row>
    <row r="204" spans="1:10">
      <c r="A204" s="44"/>
      <c r="B204" s="45"/>
      <c r="C204" s="45"/>
      <c r="D204" s="46"/>
      <c r="E204" s="45"/>
      <c r="F204" s="47"/>
      <c r="G204" s="48"/>
      <c r="H204" s="49"/>
      <c r="I204" s="45"/>
    </row>
    <row r="205" spans="1:10">
      <c r="A205" s="17"/>
      <c r="B205" s="18"/>
      <c r="C205" s="18"/>
      <c r="D205" s="27"/>
      <c r="E205" s="18"/>
      <c r="F205" s="19"/>
      <c r="G205" s="19"/>
      <c r="H205" s="21"/>
      <c r="I205" s="18"/>
      <c r="J205" s="18"/>
    </row>
    <row r="206" spans="1:10">
      <c r="A206" s="44"/>
      <c r="B206" s="45"/>
      <c r="C206" s="45"/>
      <c r="D206" s="46"/>
      <c r="E206" s="45"/>
      <c r="F206" s="47"/>
      <c r="G206" s="48"/>
      <c r="H206" s="49"/>
      <c r="I206" s="45"/>
    </row>
    <row r="207" spans="1:10">
      <c r="A207" s="17"/>
      <c r="B207" s="18"/>
      <c r="C207" s="18"/>
      <c r="D207" s="27"/>
      <c r="E207" s="18"/>
      <c r="F207" s="19"/>
      <c r="G207" s="19"/>
      <c r="H207" s="21"/>
      <c r="I207" s="18"/>
      <c r="J207" s="18"/>
    </row>
    <row r="208" spans="1:10">
      <c r="A208" s="44"/>
      <c r="B208" s="45"/>
      <c r="C208" s="45"/>
      <c r="D208" s="46"/>
      <c r="E208" s="45"/>
      <c r="F208" s="47"/>
      <c r="G208" s="48"/>
      <c r="H208" s="49"/>
      <c r="I208" s="45"/>
    </row>
    <row r="209" spans="1:10">
      <c r="A209" s="17"/>
      <c r="B209" s="18"/>
      <c r="C209" s="18"/>
      <c r="D209" s="27"/>
      <c r="E209" s="18"/>
      <c r="F209" s="19"/>
      <c r="G209" s="19"/>
      <c r="H209" s="21"/>
      <c r="I209" s="18"/>
      <c r="J209" s="18"/>
    </row>
    <row r="210" spans="1:10">
      <c r="A210" s="44"/>
      <c r="B210" s="45"/>
      <c r="C210" s="45"/>
      <c r="D210" s="46"/>
      <c r="E210" s="45"/>
      <c r="F210" s="47"/>
      <c r="G210" s="48"/>
      <c r="H210" s="49"/>
      <c r="I210" s="45"/>
    </row>
    <row r="211" spans="1:10">
      <c r="A211" s="17"/>
      <c r="B211" s="18"/>
      <c r="C211" s="18"/>
      <c r="D211" s="27"/>
      <c r="E211" s="18"/>
      <c r="F211" s="19"/>
      <c r="G211" s="19"/>
      <c r="H211" s="21"/>
      <c r="I211" s="18"/>
      <c r="J211" s="18"/>
    </row>
    <row r="212" spans="1:10">
      <c r="A212" s="44"/>
      <c r="B212" s="45"/>
      <c r="C212" s="45"/>
      <c r="D212" s="46"/>
      <c r="E212" s="45"/>
      <c r="F212" s="47"/>
      <c r="G212" s="48"/>
      <c r="H212" s="49"/>
      <c r="I212" s="45"/>
    </row>
    <row r="213" spans="1:10">
      <c r="A213" s="17"/>
      <c r="B213" s="18"/>
      <c r="C213" s="18"/>
      <c r="D213" s="27"/>
      <c r="E213" s="18"/>
      <c r="F213" s="19"/>
      <c r="G213" s="19"/>
      <c r="H213" s="21"/>
      <c r="I213" s="18"/>
      <c r="J213" s="18"/>
    </row>
    <row r="214" spans="1:10">
      <c r="A214" s="44"/>
      <c r="B214" s="45"/>
      <c r="C214" s="45"/>
      <c r="D214" s="46"/>
      <c r="E214" s="45"/>
      <c r="F214" s="47"/>
      <c r="G214" s="48"/>
      <c r="H214" s="49"/>
      <c r="I214" s="45"/>
    </row>
    <row r="215" spans="1:10">
      <c r="A215" s="17"/>
      <c r="B215" s="18"/>
      <c r="C215" s="18"/>
      <c r="D215" s="27"/>
      <c r="E215" s="18"/>
      <c r="F215" s="19"/>
      <c r="G215" s="19"/>
      <c r="H215" s="21"/>
      <c r="I215" s="18"/>
      <c r="J215" s="18"/>
    </row>
    <row r="216" spans="1:10">
      <c r="A216" s="44"/>
      <c r="B216" s="45"/>
      <c r="C216" s="45"/>
      <c r="D216" s="46"/>
      <c r="E216" s="45"/>
      <c r="F216" s="47"/>
      <c r="G216" s="48"/>
      <c r="H216" s="49"/>
      <c r="I216" s="45"/>
    </row>
    <row r="217" spans="1:10">
      <c r="A217" s="17"/>
      <c r="B217" s="18"/>
      <c r="C217" s="18"/>
      <c r="D217" s="27"/>
      <c r="E217" s="18"/>
      <c r="F217" s="19"/>
      <c r="G217" s="19"/>
      <c r="H217" s="21"/>
      <c r="I217" s="18"/>
      <c r="J217" s="18"/>
    </row>
    <row r="218" spans="1:10">
      <c r="A218" s="44"/>
      <c r="B218" s="45"/>
      <c r="C218" s="45"/>
      <c r="D218" s="46"/>
      <c r="E218" s="45"/>
      <c r="F218" s="47"/>
      <c r="G218" s="48"/>
      <c r="H218" s="49"/>
      <c r="I218" s="45"/>
    </row>
    <row r="219" spans="1:10">
      <c r="A219" s="17"/>
      <c r="B219" s="18"/>
      <c r="C219" s="18"/>
      <c r="D219" s="27"/>
      <c r="E219" s="18"/>
      <c r="F219" s="19"/>
      <c r="G219" s="19"/>
      <c r="H219" s="21"/>
      <c r="I219" s="18"/>
      <c r="J219" s="18"/>
    </row>
    <row r="220" spans="1:10">
      <c r="A220" s="44"/>
      <c r="B220" s="45"/>
      <c r="C220" s="45"/>
      <c r="D220" s="46"/>
      <c r="E220" s="45"/>
      <c r="F220" s="47"/>
      <c r="G220" s="48"/>
      <c r="H220" s="49"/>
      <c r="I220" s="45"/>
    </row>
    <row r="221" spans="1:10">
      <c r="A221" s="17"/>
      <c r="B221" s="18"/>
      <c r="C221" s="18"/>
      <c r="D221" s="27"/>
      <c r="E221" s="18"/>
      <c r="F221" s="19"/>
      <c r="G221" s="19"/>
      <c r="H221" s="21"/>
      <c r="I221" s="18"/>
      <c r="J221" s="18"/>
    </row>
    <row r="222" spans="1:10">
      <c r="A222" s="44"/>
      <c r="B222" s="45"/>
      <c r="C222" s="45"/>
      <c r="D222" s="46"/>
      <c r="E222" s="45"/>
      <c r="F222" s="47"/>
      <c r="G222" s="48"/>
      <c r="H222" s="49"/>
      <c r="I222" s="45"/>
    </row>
    <row r="223" spans="1:10">
      <c r="A223" s="17"/>
      <c r="B223" s="18"/>
      <c r="C223" s="18"/>
      <c r="D223" s="27"/>
      <c r="E223" s="18"/>
      <c r="F223" s="19"/>
      <c r="G223" s="19"/>
      <c r="H223" s="21"/>
      <c r="I223" s="18"/>
      <c r="J223" s="18"/>
    </row>
    <row r="224" spans="1:10">
      <c r="A224" s="44"/>
      <c r="B224" s="45"/>
      <c r="C224" s="45"/>
      <c r="D224" s="46"/>
      <c r="E224" s="45"/>
      <c r="F224" s="47"/>
      <c r="G224" s="48"/>
      <c r="H224" s="49"/>
      <c r="I224" s="45"/>
    </row>
    <row r="225" spans="1:10">
      <c r="A225" s="17"/>
      <c r="B225" s="18"/>
      <c r="C225" s="18"/>
      <c r="D225" s="27"/>
      <c r="E225" s="18"/>
      <c r="F225" s="19"/>
      <c r="G225" s="19"/>
      <c r="H225" s="21"/>
      <c r="I225" s="18"/>
      <c r="J225" s="18"/>
    </row>
    <row r="226" spans="1:10">
      <c r="A226" s="44"/>
      <c r="B226" s="45"/>
      <c r="C226" s="45"/>
      <c r="D226" s="46"/>
      <c r="E226" s="45"/>
      <c r="F226" s="47"/>
      <c r="G226" s="48"/>
      <c r="H226" s="49"/>
      <c r="I226" s="45"/>
    </row>
    <row r="227" spans="1:10">
      <c r="A227" s="17"/>
      <c r="B227" s="18"/>
      <c r="C227" s="18"/>
      <c r="D227" s="27"/>
      <c r="E227" s="18"/>
      <c r="F227" s="19"/>
      <c r="G227" s="19"/>
      <c r="H227" s="21"/>
      <c r="I227" s="18"/>
      <c r="J227" s="18"/>
    </row>
    <row r="228" spans="1:10">
      <c r="A228" s="44"/>
      <c r="B228" s="45"/>
      <c r="C228" s="45"/>
      <c r="D228" s="46"/>
      <c r="E228" s="45"/>
      <c r="F228" s="47"/>
      <c r="G228" s="48"/>
      <c r="H228" s="49"/>
      <c r="I228" s="45"/>
    </row>
    <row r="229" spans="1:10">
      <c r="A229" s="17"/>
      <c r="B229" s="18"/>
      <c r="C229" s="18"/>
      <c r="D229" s="27"/>
      <c r="E229" s="18"/>
      <c r="F229" s="19"/>
      <c r="G229" s="19"/>
      <c r="H229" s="21"/>
      <c r="I229" s="18"/>
      <c r="J229" s="18"/>
    </row>
    <row r="230" spans="1:10">
      <c r="A230" s="44"/>
      <c r="B230" s="45"/>
      <c r="C230" s="45"/>
      <c r="D230" s="46"/>
      <c r="E230" s="45"/>
      <c r="F230" s="47"/>
      <c r="G230" s="48"/>
      <c r="H230" s="49"/>
      <c r="I230" s="45"/>
    </row>
    <row r="231" spans="1:10">
      <c r="A231" s="17"/>
      <c r="B231" s="18"/>
      <c r="C231" s="18"/>
      <c r="D231" s="27"/>
      <c r="E231" s="18"/>
      <c r="F231" s="19"/>
      <c r="G231" s="19"/>
      <c r="H231" s="21"/>
      <c r="I231" s="18"/>
      <c r="J231" s="18"/>
    </row>
    <row r="232" spans="1:10">
      <c r="A232" s="44"/>
      <c r="B232" s="45"/>
      <c r="C232" s="45"/>
      <c r="D232" s="46"/>
      <c r="E232" s="45"/>
      <c r="F232" s="47"/>
      <c r="G232" s="48"/>
      <c r="H232" s="49"/>
      <c r="I232" s="45"/>
    </row>
    <row r="233" spans="1:10">
      <c r="A233" s="17"/>
      <c r="B233" s="18"/>
      <c r="C233" s="18"/>
      <c r="D233" s="27"/>
      <c r="E233" s="18"/>
      <c r="F233" s="19"/>
      <c r="G233" s="19"/>
      <c r="H233" s="21"/>
      <c r="I233" s="18"/>
      <c r="J233" s="18"/>
    </row>
    <row r="234" spans="1:10">
      <c r="A234" s="44"/>
      <c r="B234" s="45"/>
      <c r="C234" s="45"/>
      <c r="D234" s="46"/>
      <c r="E234" s="45"/>
      <c r="F234" s="47"/>
      <c r="G234" s="48"/>
      <c r="H234" s="49"/>
      <c r="I234" s="45"/>
    </row>
    <row r="235" spans="1:10">
      <c r="A235" s="17"/>
      <c r="B235" s="18"/>
      <c r="C235" s="18"/>
      <c r="D235" s="27"/>
      <c r="E235" s="18"/>
      <c r="F235" s="19"/>
      <c r="G235" s="19"/>
      <c r="H235" s="21"/>
      <c r="I235" s="18"/>
      <c r="J235" s="18"/>
    </row>
    <row r="236" spans="1:10">
      <c r="A236" s="44"/>
      <c r="B236" s="45"/>
      <c r="C236" s="45"/>
      <c r="D236" s="46"/>
      <c r="E236" s="45"/>
      <c r="F236" s="47"/>
      <c r="G236" s="48"/>
      <c r="H236" s="49"/>
      <c r="I236" s="45"/>
    </row>
    <row r="237" spans="1:10">
      <c r="A237" s="17"/>
      <c r="B237" s="18"/>
      <c r="C237" s="18"/>
      <c r="D237" s="27"/>
      <c r="E237" s="18"/>
      <c r="F237" s="19"/>
      <c r="G237" s="19"/>
      <c r="H237" s="21"/>
      <c r="I237" s="18"/>
      <c r="J237" s="18"/>
    </row>
    <row r="238" spans="1:10">
      <c r="A238" s="44"/>
      <c r="B238" s="45"/>
      <c r="C238" s="45"/>
      <c r="D238" s="46"/>
      <c r="E238" s="45"/>
      <c r="F238" s="47"/>
      <c r="G238" s="48"/>
      <c r="H238" s="49"/>
      <c r="I238" s="45"/>
    </row>
    <row r="239" spans="1:10">
      <c r="A239" s="17"/>
      <c r="B239" s="18"/>
      <c r="C239" s="18"/>
      <c r="D239" s="27"/>
      <c r="E239" s="18"/>
      <c r="F239" s="19"/>
      <c r="G239" s="19"/>
      <c r="H239" s="21"/>
      <c r="I239" s="18"/>
      <c r="J239" s="18"/>
    </row>
    <row r="240" spans="1:10">
      <c r="A240" s="44"/>
      <c r="B240" s="45"/>
      <c r="C240" s="45"/>
      <c r="D240" s="46"/>
      <c r="E240" s="45"/>
      <c r="F240" s="47"/>
      <c r="G240" s="48"/>
      <c r="H240" s="49"/>
      <c r="I240" s="45"/>
    </row>
    <row r="241" spans="1:10">
      <c r="A241" s="17"/>
      <c r="B241" s="18"/>
      <c r="C241" s="18"/>
      <c r="D241" s="27"/>
      <c r="E241" s="18"/>
      <c r="F241" s="19"/>
      <c r="G241" s="19"/>
      <c r="H241" s="21"/>
      <c r="I241" s="18"/>
      <c r="J241" s="18"/>
    </row>
    <row r="242" spans="1:10">
      <c r="A242" s="44"/>
      <c r="B242" s="45"/>
      <c r="C242" s="45"/>
      <c r="D242" s="46"/>
      <c r="E242" s="45"/>
      <c r="F242" s="47"/>
      <c r="G242" s="48"/>
      <c r="H242" s="49"/>
      <c r="I242" s="45"/>
    </row>
    <row r="243" spans="1:10">
      <c r="A243" s="17"/>
      <c r="B243" s="18"/>
      <c r="C243" s="18"/>
      <c r="D243" s="27"/>
      <c r="E243" s="18"/>
      <c r="F243" s="19"/>
      <c r="G243" s="19"/>
      <c r="H243" s="21"/>
      <c r="I243" s="18"/>
      <c r="J243" s="18"/>
    </row>
    <row r="244" spans="1:10">
      <c r="A244" s="44"/>
      <c r="B244" s="45"/>
      <c r="C244" s="45"/>
      <c r="D244" s="46"/>
      <c r="E244" s="45"/>
      <c r="F244" s="47"/>
      <c r="G244" s="48"/>
      <c r="H244" s="49"/>
      <c r="I244" s="45"/>
    </row>
    <row r="245" spans="1:10">
      <c r="A245" s="17"/>
      <c r="B245" s="18"/>
      <c r="C245" s="18"/>
      <c r="D245" s="27"/>
      <c r="E245" s="18"/>
      <c r="F245" s="19"/>
      <c r="G245" s="19"/>
      <c r="H245" s="21"/>
      <c r="I245" s="18"/>
      <c r="J245" s="18"/>
    </row>
    <row r="246" spans="1:10">
      <c r="A246" s="44"/>
      <c r="B246" s="45"/>
      <c r="C246" s="45"/>
      <c r="D246" s="46"/>
      <c r="E246" s="45"/>
      <c r="F246" s="47"/>
      <c r="G246" s="48"/>
      <c r="H246" s="49"/>
      <c r="I246" s="45"/>
    </row>
    <row r="247" spans="1:10">
      <c r="A247" s="17"/>
      <c r="B247" s="18"/>
      <c r="C247" s="18"/>
      <c r="D247" s="27"/>
      <c r="E247" s="18"/>
      <c r="F247" s="19"/>
      <c r="G247" s="19"/>
      <c r="H247" s="21"/>
      <c r="I247" s="18"/>
      <c r="J247" s="18"/>
    </row>
    <row r="248" spans="1:10">
      <c r="A248" s="44"/>
      <c r="B248" s="45"/>
      <c r="C248" s="45"/>
      <c r="D248" s="46"/>
      <c r="E248" s="45"/>
      <c r="F248" s="47"/>
      <c r="G248" s="48"/>
      <c r="H248" s="49"/>
      <c r="I248" s="45"/>
    </row>
    <row r="249" spans="1:10">
      <c r="A249" s="17"/>
      <c r="B249" s="18"/>
      <c r="C249" s="18"/>
      <c r="D249" s="27"/>
      <c r="E249" s="18"/>
      <c r="F249" s="19"/>
      <c r="G249" s="19"/>
      <c r="H249" s="21"/>
      <c r="I249" s="18"/>
      <c r="J249" s="18"/>
    </row>
    <row r="250" spans="1:10">
      <c r="A250" s="44"/>
      <c r="B250" s="45"/>
      <c r="C250" s="45"/>
      <c r="D250" s="46"/>
      <c r="E250" s="45"/>
      <c r="F250" s="47"/>
      <c r="G250" s="48"/>
      <c r="H250" s="49"/>
      <c r="I250" s="45"/>
    </row>
    <row r="251" spans="1:10">
      <c r="A251" s="17"/>
      <c r="B251" s="18"/>
      <c r="C251" s="18"/>
      <c r="D251" s="27"/>
      <c r="E251" s="18"/>
      <c r="F251" s="19"/>
      <c r="G251" s="19"/>
      <c r="H251" s="21"/>
      <c r="I251" s="18"/>
      <c r="J251" s="18"/>
    </row>
    <row r="252" spans="1:10">
      <c r="A252" s="44"/>
      <c r="B252" s="45"/>
      <c r="C252" s="45"/>
      <c r="D252" s="46"/>
      <c r="E252" s="45"/>
      <c r="F252" s="47"/>
      <c r="G252" s="48"/>
      <c r="H252" s="49"/>
      <c r="I252" s="45"/>
    </row>
    <row r="253" spans="1:10">
      <c r="A253" s="17"/>
      <c r="B253" s="18"/>
      <c r="C253" s="18"/>
      <c r="D253" s="27"/>
      <c r="E253" s="18"/>
      <c r="F253" s="19"/>
      <c r="G253" s="19"/>
      <c r="H253" s="21"/>
      <c r="I253" s="18"/>
      <c r="J253" s="18"/>
    </row>
    <row r="254" spans="1:10">
      <c r="A254" s="44"/>
      <c r="B254" s="45"/>
      <c r="C254" s="45"/>
      <c r="D254" s="46"/>
      <c r="E254" s="45"/>
      <c r="F254" s="47"/>
      <c r="G254" s="48"/>
      <c r="H254" s="49"/>
      <c r="I254" s="45"/>
    </row>
    <row r="255" spans="1:10">
      <c r="A255" s="90"/>
      <c r="B255" s="90" t="s">
        <v>925</v>
      </c>
      <c r="C255" s="90"/>
      <c r="D255" s="91">
        <f>SUM(D5:D254)</f>
        <v>0</v>
      </c>
      <c r="E255" s="90"/>
      <c r="F255" s="91">
        <f>SUM(F5:F254)</f>
        <v>0</v>
      </c>
      <c r="G255" s="91">
        <f>SUM(G5:G254)</f>
        <v>0</v>
      </c>
      <c r="H255" s="90"/>
      <c r="I255" s="90"/>
    </row>
    <row r="256" spans="1:10">
      <c r="A256" s="92"/>
      <c r="B256" s="92" t="s">
        <v>2260</v>
      </c>
      <c r="C256" s="92"/>
      <c r="D256" s="93">
        <f>(D255-F255-T5)-(L18-L19)</f>
        <v>0</v>
      </c>
      <c r="E256" s="92"/>
      <c r="F256" s="93"/>
      <c r="G256" s="93"/>
      <c r="H256" s="92"/>
      <c r="I256" s="92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type="list" allowBlank="1" sqref="E5:E254">
      <formula1>"Dinheiro,Pix,Débito,Crédito à Vista,Crédito Parcelado,Aguardando Pagamento"</formula1>
    </dataValidation>
    <dataValidation type="list" allowBlank="1" sqref="H5:H254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9D8B"/>
  </sheetPr>
  <dimension ref="A1:U256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3" style="147" customWidth="1"/>
    <col min="2" max="2" width="42" style="147" customWidth="1"/>
    <col min="3" max="3" width="26" style="147" customWidth="1"/>
    <col min="4" max="4" width="14" style="147" customWidth="1"/>
    <col min="5" max="5" width="20" style="147" customWidth="1"/>
    <col min="6" max="6" width="16" style="147" customWidth="1"/>
    <col min="7" max="7" width="14" style="147" customWidth="1"/>
    <col min="8" max="8" width="26" style="147" customWidth="1"/>
    <col min="9" max="9" width="30" style="147" customWidth="1"/>
    <col min="10" max="10" width="11" style="147" customWidth="1"/>
    <col min="11" max="11" width="30" style="147" customWidth="1"/>
    <col min="12" max="12" width="14" style="147" customWidth="1"/>
    <col min="13" max="13" width="3" style="147" customWidth="1"/>
    <col min="14" max="21" width="13" style="147" customWidth="1"/>
  </cols>
  <sheetData>
    <row r="1" spans="1:21" ht="21" customHeight="1">
      <c r="A1" s="234" t="s">
        <v>2517</v>
      </c>
      <c r="B1" s="157"/>
      <c r="C1" s="157"/>
      <c r="D1" s="157"/>
      <c r="E1" s="157"/>
      <c r="F1" s="157"/>
      <c r="G1" s="157"/>
      <c r="H1" s="157"/>
      <c r="I1" s="157"/>
    </row>
    <row r="2" spans="1:21">
      <c r="A2" s="195" t="s">
        <v>2262</v>
      </c>
      <c r="B2" s="157"/>
      <c r="C2" s="157"/>
      <c r="D2" s="157"/>
      <c r="E2" s="157"/>
      <c r="F2" s="157"/>
      <c r="G2" s="157"/>
      <c r="H2" s="157"/>
      <c r="I2" s="157"/>
    </row>
    <row r="3" spans="1:21">
      <c r="A3" s="127" t="s">
        <v>64</v>
      </c>
    </row>
    <row r="4" spans="1:21" ht="30" customHeight="1">
      <c r="A4" s="76" t="s">
        <v>445</v>
      </c>
      <c r="B4" s="76" t="s">
        <v>2041</v>
      </c>
      <c r="C4" s="76" t="s">
        <v>2042</v>
      </c>
      <c r="D4" s="76" t="s">
        <v>700</v>
      </c>
      <c r="E4" s="76" t="s">
        <v>2043</v>
      </c>
      <c r="F4" s="76" t="s">
        <v>2044</v>
      </c>
      <c r="G4" s="76" t="s">
        <v>701</v>
      </c>
      <c r="H4" s="76" t="s">
        <v>702</v>
      </c>
      <c r="I4" s="76" t="s">
        <v>189</v>
      </c>
      <c r="J4" s="76" t="s">
        <v>703</v>
      </c>
      <c r="K4" s="235" t="s">
        <v>704</v>
      </c>
      <c r="L4" s="157"/>
      <c r="N4" s="237" t="s">
        <v>532</v>
      </c>
      <c r="O4" s="157"/>
      <c r="P4" s="198" t="s">
        <v>705</v>
      </c>
      <c r="Q4" s="157"/>
      <c r="R4" s="199" t="s">
        <v>706</v>
      </c>
      <c r="S4" s="157"/>
      <c r="T4" s="206" t="s">
        <v>6</v>
      </c>
      <c r="U4" s="157"/>
    </row>
    <row r="5" spans="1:21">
      <c r="A5" s="17"/>
      <c r="B5" s="18"/>
      <c r="C5" s="18"/>
      <c r="D5" s="27"/>
      <c r="E5" s="18"/>
      <c r="F5" s="19"/>
      <c r="G5" s="19"/>
      <c r="H5" s="21"/>
      <c r="I5" s="18"/>
      <c r="J5" s="18"/>
      <c r="K5" s="78" t="s">
        <v>99</v>
      </c>
      <c r="L5" s="80">
        <f>SUMIF(H5:H254,K5,G5:G254)</f>
        <v>0</v>
      </c>
      <c r="N5" s="236">
        <f>D255-F255-T5</f>
        <v>0</v>
      </c>
      <c r="O5" s="157"/>
      <c r="P5" s="189">
        <f>L18-L19</f>
        <v>0</v>
      </c>
      <c r="Q5" s="157"/>
      <c r="R5" s="205">
        <f>D256</f>
        <v>0</v>
      </c>
      <c r="S5" s="157"/>
      <c r="T5" s="204">
        <f>SUMIF(E5:E254,"Aguardando Pagamento",D5:D254)</f>
        <v>0</v>
      </c>
      <c r="U5" s="157"/>
    </row>
    <row r="6" spans="1:21">
      <c r="A6" s="44"/>
      <c r="B6" s="45"/>
      <c r="C6" s="45"/>
      <c r="D6" s="46"/>
      <c r="E6" s="45"/>
      <c r="F6" s="47"/>
      <c r="G6" s="48"/>
      <c r="H6" s="49"/>
      <c r="I6" s="45"/>
      <c r="K6" s="78" t="s">
        <v>100</v>
      </c>
      <c r="L6" s="80">
        <f>SUMIF(H5:H254,K6,G5:G254)</f>
        <v>0</v>
      </c>
      <c r="N6" s="157"/>
      <c r="O6" s="157"/>
      <c r="P6" s="157"/>
      <c r="Q6" s="157"/>
      <c r="R6" s="157"/>
      <c r="S6" s="157"/>
      <c r="T6" s="157"/>
      <c r="U6" s="157"/>
    </row>
    <row r="7" spans="1:21">
      <c r="A7" s="17"/>
      <c r="B7" s="18"/>
      <c r="C7" s="18"/>
      <c r="D7" s="27"/>
      <c r="E7" s="18"/>
      <c r="F7" s="19"/>
      <c r="G7" s="19"/>
      <c r="H7" s="21"/>
      <c r="I7" s="18"/>
      <c r="J7" s="18"/>
      <c r="K7" s="78" t="s">
        <v>101</v>
      </c>
      <c r="L7" s="80">
        <f>SUMIF(H5:H254,K7,G5:G254)</f>
        <v>0</v>
      </c>
    </row>
    <row r="8" spans="1:21">
      <c r="A8" s="44"/>
      <c r="B8" s="45"/>
      <c r="C8" s="45"/>
      <c r="D8" s="46"/>
      <c r="E8" s="45"/>
      <c r="F8" s="47"/>
      <c r="G8" s="48"/>
      <c r="H8" s="49"/>
      <c r="I8" s="45"/>
      <c r="K8" s="78" t="s">
        <v>102</v>
      </c>
      <c r="L8" s="80">
        <f>SUMIF(H5:H254,K8,G5:G254)</f>
        <v>0</v>
      </c>
    </row>
    <row r="9" spans="1:21">
      <c r="A9" s="17"/>
      <c r="B9" s="18"/>
      <c r="C9" s="18"/>
      <c r="D9" s="27"/>
      <c r="E9" s="18"/>
      <c r="F9" s="19"/>
      <c r="G9" s="19"/>
      <c r="H9" s="21"/>
      <c r="I9" s="18"/>
      <c r="J9" s="18"/>
      <c r="K9" s="78" t="s">
        <v>103</v>
      </c>
      <c r="L9" s="80">
        <f>SUMIF(H5:H254,K9,G5:G254)</f>
        <v>0</v>
      </c>
    </row>
    <row r="10" spans="1:21">
      <c r="A10" s="44"/>
      <c r="B10" s="45"/>
      <c r="C10" s="45"/>
      <c r="D10" s="46"/>
      <c r="E10" s="45"/>
      <c r="F10" s="47"/>
      <c r="G10" s="48"/>
      <c r="H10" s="49"/>
      <c r="I10" s="45"/>
      <c r="K10" s="78" t="s">
        <v>104</v>
      </c>
      <c r="L10" s="80">
        <f>SUMIF(H5:H254,K10,G5:G254)</f>
        <v>0</v>
      </c>
    </row>
    <row r="11" spans="1:21">
      <c r="A11" s="17"/>
      <c r="B11" s="18"/>
      <c r="C11" s="18"/>
      <c r="D11" s="27"/>
      <c r="E11" s="18"/>
      <c r="F11" s="19"/>
      <c r="G11" s="19"/>
      <c r="H11" s="21"/>
      <c r="I11" s="18"/>
      <c r="J11" s="18"/>
      <c r="K11" s="78" t="s">
        <v>106</v>
      </c>
      <c r="L11" s="80">
        <f>SUMIF(H5:H254,K11,G5:G254)</f>
        <v>0</v>
      </c>
    </row>
    <row r="12" spans="1:21">
      <c r="A12" s="44"/>
      <c r="B12" s="45"/>
      <c r="C12" s="45"/>
      <c r="D12" s="46"/>
      <c r="E12" s="45"/>
      <c r="F12" s="47"/>
      <c r="G12" s="48"/>
      <c r="H12" s="49"/>
      <c r="I12" s="45"/>
      <c r="K12" s="78" t="s">
        <v>107</v>
      </c>
      <c r="L12" s="80">
        <f>SUMIF(H5:H254,K12,G5:G254)</f>
        <v>0</v>
      </c>
    </row>
    <row r="13" spans="1:21">
      <c r="A13" s="17"/>
      <c r="B13" s="18"/>
      <c r="C13" s="18"/>
      <c r="D13" s="27"/>
      <c r="E13" s="18"/>
      <c r="F13" s="19"/>
      <c r="G13" s="19"/>
      <c r="H13" s="21"/>
      <c r="I13" s="18"/>
      <c r="J13" s="18"/>
      <c r="K13" s="78" t="s">
        <v>108</v>
      </c>
      <c r="L13" s="80">
        <f>SUMIF(H5:H254,K13,G5:G254)</f>
        <v>0</v>
      </c>
    </row>
    <row r="14" spans="1:21">
      <c r="A14" s="44"/>
      <c r="B14" s="45"/>
      <c r="C14" s="45"/>
      <c r="D14" s="46"/>
      <c r="E14" s="45"/>
      <c r="F14" s="47"/>
      <c r="G14" s="48"/>
      <c r="H14" s="49"/>
      <c r="I14" s="45"/>
      <c r="K14" s="78" t="s">
        <v>109</v>
      </c>
      <c r="L14" s="80">
        <f>SUMIF(H5:H254,K14,G5:G254)</f>
        <v>0</v>
      </c>
    </row>
    <row r="15" spans="1:21">
      <c r="A15" s="17"/>
      <c r="B15" s="18"/>
      <c r="C15" s="18"/>
      <c r="D15" s="27"/>
      <c r="E15" s="18"/>
      <c r="F15" s="19"/>
      <c r="G15" s="19"/>
      <c r="H15" s="21"/>
      <c r="I15" s="18"/>
      <c r="J15" s="18"/>
      <c r="K15" s="78" t="s">
        <v>110</v>
      </c>
      <c r="L15" s="80">
        <f>SUMIF(H5:H254,K15,G5:G254)</f>
        <v>0</v>
      </c>
    </row>
    <row r="16" spans="1:21">
      <c r="A16" s="44"/>
      <c r="B16" s="45"/>
      <c r="C16" s="45"/>
      <c r="D16" s="46"/>
      <c r="E16" s="45"/>
      <c r="F16" s="47"/>
      <c r="G16" s="48"/>
      <c r="H16" s="49"/>
      <c r="I16" s="45"/>
      <c r="K16" s="78" t="s">
        <v>111</v>
      </c>
      <c r="L16" s="80">
        <f>SUMIF(H5:H254,K16,G5:G254)</f>
        <v>0</v>
      </c>
    </row>
    <row r="17" spans="1:12">
      <c r="A17" s="17"/>
      <c r="B17" s="18"/>
      <c r="C17" s="18"/>
      <c r="D17" s="27"/>
      <c r="E17" s="18"/>
      <c r="F17" s="19"/>
      <c r="G17" s="19"/>
      <c r="H17" s="21"/>
      <c r="I17" s="18"/>
      <c r="J17" s="18"/>
      <c r="K17" s="84" t="s">
        <v>112</v>
      </c>
      <c r="L17" s="85">
        <f>SUMIF(H5:H254,K17,G5:G254)</f>
        <v>0</v>
      </c>
    </row>
    <row r="18" spans="1:12">
      <c r="A18" s="44"/>
      <c r="B18" s="45"/>
      <c r="C18" s="45"/>
      <c r="D18" s="46"/>
      <c r="E18" s="45"/>
      <c r="F18" s="47"/>
      <c r="G18" s="48"/>
      <c r="H18" s="49"/>
      <c r="I18" s="45"/>
      <c r="K18" s="86" t="s">
        <v>113</v>
      </c>
      <c r="L18" s="87">
        <f>SUM(L5:L16)</f>
        <v>0</v>
      </c>
    </row>
    <row r="19" spans="1:12">
      <c r="A19" s="17"/>
      <c r="B19" s="18"/>
      <c r="C19" s="18"/>
      <c r="D19" s="27"/>
      <c r="E19" s="18"/>
      <c r="F19" s="19"/>
      <c r="G19" s="19"/>
      <c r="H19" s="21"/>
      <c r="I19" s="18"/>
      <c r="J19" s="18"/>
      <c r="K19" s="88" t="s">
        <v>2058</v>
      </c>
      <c r="L19" s="89">
        <f>SUMIFS('Capital de Giro (BB)'!D9:D200,'Capital de Giro (BB)'!A9:A200,"&gt;="&amp;DATE(2026,12,1),'Capital de Giro (BB)'!A9:A200,"&lt;="&amp;DATE(2026,12,31),'Capital de Giro (BB)'!E9:E200,"A Devolver")</f>
        <v>0</v>
      </c>
    </row>
    <row r="20" spans="1:12">
      <c r="A20" s="44"/>
      <c r="B20" s="45"/>
      <c r="C20" s="45"/>
      <c r="D20" s="46"/>
      <c r="E20" s="45"/>
      <c r="F20" s="47"/>
      <c r="G20" s="48"/>
      <c r="H20" s="49"/>
      <c r="I20" s="45"/>
    </row>
    <row r="21" spans="1:12">
      <c r="A21" s="17"/>
      <c r="B21" s="18"/>
      <c r="C21" s="18"/>
      <c r="D21" s="27"/>
      <c r="E21" s="18"/>
      <c r="F21" s="19"/>
      <c r="G21" s="19"/>
      <c r="H21" s="21"/>
      <c r="I21" s="18"/>
      <c r="J21" s="18"/>
    </row>
    <row r="22" spans="1:12">
      <c r="A22" s="44"/>
      <c r="B22" s="45"/>
      <c r="C22" s="45"/>
      <c r="D22" s="46"/>
      <c r="E22" s="45"/>
      <c r="F22" s="47"/>
      <c r="G22" s="48"/>
      <c r="H22" s="49"/>
      <c r="I22" s="45"/>
    </row>
    <row r="23" spans="1:12">
      <c r="A23" s="17"/>
      <c r="B23" s="18"/>
      <c r="C23" s="18"/>
      <c r="D23" s="27"/>
      <c r="E23" s="18"/>
      <c r="F23" s="19"/>
      <c r="G23" s="19"/>
      <c r="H23" s="21"/>
      <c r="I23" s="18"/>
      <c r="J23" s="18"/>
    </row>
    <row r="24" spans="1:12">
      <c r="A24" s="44"/>
      <c r="B24" s="45"/>
      <c r="C24" s="45"/>
      <c r="D24" s="46"/>
      <c r="E24" s="45"/>
      <c r="F24" s="47"/>
      <c r="G24" s="48"/>
      <c r="H24" s="49"/>
      <c r="I24" s="45"/>
    </row>
    <row r="25" spans="1:12">
      <c r="A25" s="17"/>
      <c r="B25" s="18"/>
      <c r="C25" s="18"/>
      <c r="D25" s="27"/>
      <c r="E25" s="18"/>
      <c r="F25" s="19"/>
      <c r="G25" s="19"/>
      <c r="H25" s="21"/>
      <c r="I25" s="18"/>
      <c r="J25" s="18"/>
    </row>
    <row r="26" spans="1:12">
      <c r="A26" s="44"/>
      <c r="B26" s="45"/>
      <c r="C26" s="45"/>
      <c r="D26" s="46"/>
      <c r="E26" s="45"/>
      <c r="F26" s="47"/>
      <c r="G26" s="48"/>
      <c r="H26" s="49"/>
      <c r="I26" s="45"/>
    </row>
    <row r="27" spans="1:12">
      <c r="A27" s="17"/>
      <c r="B27" s="18"/>
      <c r="C27" s="18"/>
      <c r="D27" s="27"/>
      <c r="E27" s="18"/>
      <c r="F27" s="19"/>
      <c r="G27" s="19"/>
      <c r="H27" s="21"/>
      <c r="I27" s="18"/>
      <c r="J27" s="18"/>
    </row>
    <row r="28" spans="1:12">
      <c r="A28" s="44"/>
      <c r="B28" s="45"/>
      <c r="C28" s="45"/>
      <c r="D28" s="46"/>
      <c r="E28" s="45"/>
      <c r="F28" s="47"/>
      <c r="G28" s="48"/>
      <c r="H28" s="49"/>
      <c r="I28" s="45"/>
    </row>
    <row r="29" spans="1:12">
      <c r="A29" s="17"/>
      <c r="B29" s="18"/>
      <c r="C29" s="18"/>
      <c r="D29" s="27"/>
      <c r="E29" s="18"/>
      <c r="F29" s="19"/>
      <c r="G29" s="19"/>
      <c r="H29" s="21"/>
      <c r="I29" s="18"/>
      <c r="J29" s="18"/>
    </row>
    <row r="30" spans="1:12">
      <c r="A30" s="44"/>
      <c r="B30" s="45"/>
      <c r="C30" s="45"/>
      <c r="D30" s="46"/>
      <c r="E30" s="45"/>
      <c r="F30" s="47"/>
      <c r="G30" s="48"/>
      <c r="H30" s="49"/>
      <c r="I30" s="45"/>
    </row>
    <row r="31" spans="1:12">
      <c r="A31" s="17"/>
      <c r="B31" s="18"/>
      <c r="C31" s="18"/>
      <c r="D31" s="27"/>
      <c r="E31" s="18"/>
      <c r="F31" s="19"/>
      <c r="G31" s="19"/>
      <c r="H31" s="21"/>
      <c r="I31" s="18"/>
      <c r="J31" s="18"/>
    </row>
    <row r="32" spans="1:12">
      <c r="A32" s="44"/>
      <c r="B32" s="45"/>
      <c r="C32" s="45"/>
      <c r="D32" s="46"/>
      <c r="E32" s="45"/>
      <c r="F32" s="47"/>
      <c r="G32" s="48"/>
      <c r="H32" s="49"/>
      <c r="I32" s="45"/>
    </row>
    <row r="33" spans="1:10">
      <c r="A33" s="17"/>
      <c r="B33" s="18"/>
      <c r="C33" s="18"/>
      <c r="D33" s="27"/>
      <c r="E33" s="18"/>
      <c r="F33" s="19"/>
      <c r="G33" s="19"/>
      <c r="H33" s="21"/>
      <c r="I33" s="18"/>
      <c r="J33" s="18"/>
    </row>
    <row r="34" spans="1:10">
      <c r="A34" s="44"/>
      <c r="B34" s="45"/>
      <c r="C34" s="45"/>
      <c r="D34" s="46"/>
      <c r="E34" s="45"/>
      <c r="F34" s="47"/>
      <c r="G34" s="48"/>
      <c r="H34" s="49"/>
      <c r="I34" s="45"/>
    </row>
    <row r="35" spans="1:10">
      <c r="A35" s="17"/>
      <c r="B35" s="18"/>
      <c r="C35" s="18"/>
      <c r="D35" s="27"/>
      <c r="E35" s="18"/>
      <c r="F35" s="19"/>
      <c r="G35" s="19"/>
      <c r="H35" s="21"/>
      <c r="I35" s="18"/>
      <c r="J35" s="18"/>
    </row>
    <row r="36" spans="1:10">
      <c r="A36" s="44"/>
      <c r="B36" s="45"/>
      <c r="C36" s="45"/>
      <c r="D36" s="46"/>
      <c r="E36" s="45"/>
      <c r="F36" s="47"/>
      <c r="G36" s="48"/>
      <c r="H36" s="49"/>
      <c r="I36" s="45"/>
    </row>
    <row r="37" spans="1:10">
      <c r="A37" s="17"/>
      <c r="B37" s="18"/>
      <c r="C37" s="18"/>
      <c r="D37" s="27"/>
      <c r="E37" s="18"/>
      <c r="F37" s="19"/>
      <c r="G37" s="19"/>
      <c r="H37" s="21"/>
      <c r="I37" s="18"/>
      <c r="J37" s="18"/>
    </row>
    <row r="38" spans="1:10">
      <c r="A38" s="44"/>
      <c r="B38" s="45"/>
      <c r="C38" s="45"/>
      <c r="D38" s="46"/>
      <c r="E38" s="45"/>
      <c r="F38" s="47"/>
      <c r="G38" s="48"/>
      <c r="H38" s="49"/>
      <c r="I38" s="45"/>
    </row>
    <row r="39" spans="1:10">
      <c r="A39" s="17"/>
      <c r="B39" s="18"/>
      <c r="C39" s="18"/>
      <c r="D39" s="27"/>
      <c r="E39" s="18"/>
      <c r="F39" s="19"/>
      <c r="G39" s="19"/>
      <c r="H39" s="21"/>
      <c r="I39" s="18"/>
      <c r="J39" s="18"/>
    </row>
    <row r="40" spans="1:10">
      <c r="A40" s="44"/>
      <c r="B40" s="45"/>
      <c r="C40" s="45"/>
      <c r="D40" s="46"/>
      <c r="E40" s="45"/>
      <c r="F40" s="47"/>
      <c r="G40" s="48"/>
      <c r="H40" s="49"/>
      <c r="I40" s="45"/>
    </row>
    <row r="41" spans="1:10">
      <c r="A41" s="17"/>
      <c r="B41" s="18"/>
      <c r="C41" s="18"/>
      <c r="D41" s="27"/>
      <c r="E41" s="18"/>
      <c r="F41" s="19"/>
      <c r="G41" s="19"/>
      <c r="H41" s="21"/>
      <c r="I41" s="18"/>
      <c r="J41" s="18"/>
    </row>
    <row r="42" spans="1:10">
      <c r="A42" s="44"/>
      <c r="B42" s="45"/>
      <c r="C42" s="45"/>
      <c r="D42" s="46"/>
      <c r="E42" s="45"/>
      <c r="F42" s="47"/>
      <c r="G42" s="48"/>
      <c r="H42" s="49"/>
      <c r="I42" s="45"/>
    </row>
    <row r="43" spans="1:10">
      <c r="A43" s="17"/>
      <c r="B43" s="18"/>
      <c r="C43" s="18"/>
      <c r="D43" s="27"/>
      <c r="E43" s="18"/>
      <c r="F43" s="19"/>
      <c r="G43" s="19"/>
      <c r="H43" s="21"/>
      <c r="I43" s="18"/>
      <c r="J43" s="18"/>
    </row>
    <row r="44" spans="1:10">
      <c r="A44" s="44"/>
      <c r="B44" s="45"/>
      <c r="C44" s="45"/>
      <c r="D44" s="46"/>
      <c r="E44" s="45"/>
      <c r="F44" s="47"/>
      <c r="G44" s="48"/>
      <c r="H44" s="49"/>
      <c r="I44" s="45"/>
    </row>
    <row r="45" spans="1:10">
      <c r="A45" s="17"/>
      <c r="B45" s="18"/>
      <c r="C45" s="18"/>
      <c r="D45" s="27"/>
      <c r="E45" s="18"/>
      <c r="F45" s="19"/>
      <c r="G45" s="19"/>
      <c r="H45" s="21"/>
      <c r="I45" s="18"/>
      <c r="J45" s="18"/>
    </row>
    <row r="46" spans="1:10">
      <c r="A46" s="44"/>
      <c r="B46" s="45"/>
      <c r="C46" s="45"/>
      <c r="D46" s="46"/>
      <c r="E46" s="45"/>
      <c r="F46" s="47"/>
      <c r="G46" s="48"/>
      <c r="H46" s="49"/>
      <c r="I46" s="45"/>
    </row>
    <row r="47" spans="1:10">
      <c r="A47" s="17"/>
      <c r="B47" s="18"/>
      <c r="C47" s="18"/>
      <c r="D47" s="27"/>
      <c r="E47" s="18"/>
      <c r="F47" s="19"/>
      <c r="G47" s="19"/>
      <c r="H47" s="21"/>
      <c r="I47" s="18"/>
      <c r="J47" s="18"/>
    </row>
    <row r="48" spans="1:10">
      <c r="A48" s="44"/>
      <c r="B48" s="45"/>
      <c r="C48" s="45"/>
      <c r="D48" s="46"/>
      <c r="E48" s="45"/>
      <c r="F48" s="47"/>
      <c r="G48" s="48"/>
      <c r="H48" s="49"/>
      <c r="I48" s="45"/>
    </row>
    <row r="49" spans="1:10">
      <c r="A49" s="17"/>
      <c r="B49" s="18"/>
      <c r="C49" s="18"/>
      <c r="D49" s="27"/>
      <c r="E49" s="18"/>
      <c r="F49" s="19"/>
      <c r="G49" s="19"/>
      <c r="H49" s="21"/>
      <c r="I49" s="18"/>
      <c r="J49" s="18"/>
    </row>
    <row r="50" spans="1:10">
      <c r="A50" s="44"/>
      <c r="B50" s="45"/>
      <c r="C50" s="45"/>
      <c r="D50" s="46"/>
      <c r="E50" s="45"/>
      <c r="F50" s="47"/>
      <c r="G50" s="48"/>
      <c r="H50" s="49"/>
      <c r="I50" s="45"/>
    </row>
    <row r="51" spans="1:10">
      <c r="A51" s="17"/>
      <c r="B51" s="18"/>
      <c r="C51" s="18"/>
      <c r="D51" s="27"/>
      <c r="E51" s="18"/>
      <c r="F51" s="19"/>
      <c r="G51" s="19"/>
      <c r="H51" s="21"/>
      <c r="I51" s="18"/>
      <c r="J51" s="18"/>
    </row>
    <row r="52" spans="1:10">
      <c r="A52" s="44"/>
      <c r="B52" s="45"/>
      <c r="C52" s="45"/>
      <c r="D52" s="46"/>
      <c r="E52" s="45"/>
      <c r="F52" s="47"/>
      <c r="G52" s="48"/>
      <c r="H52" s="49"/>
      <c r="I52" s="45"/>
    </row>
    <row r="53" spans="1:10">
      <c r="A53" s="17"/>
      <c r="B53" s="18"/>
      <c r="C53" s="18"/>
      <c r="D53" s="27"/>
      <c r="E53" s="18"/>
      <c r="F53" s="19"/>
      <c r="G53" s="19"/>
      <c r="H53" s="21"/>
      <c r="I53" s="18"/>
      <c r="J53" s="18"/>
    </row>
    <row r="54" spans="1:10">
      <c r="A54" s="44"/>
      <c r="B54" s="45"/>
      <c r="C54" s="45"/>
      <c r="D54" s="46"/>
      <c r="E54" s="45"/>
      <c r="F54" s="47"/>
      <c r="G54" s="48"/>
      <c r="H54" s="49"/>
      <c r="I54" s="45"/>
    </row>
    <row r="55" spans="1:10">
      <c r="A55" s="17"/>
      <c r="B55" s="18"/>
      <c r="C55" s="18"/>
      <c r="D55" s="27"/>
      <c r="E55" s="18"/>
      <c r="F55" s="19"/>
      <c r="G55" s="19"/>
      <c r="H55" s="21"/>
      <c r="I55" s="18"/>
      <c r="J55" s="18"/>
    </row>
    <row r="56" spans="1:10">
      <c r="A56" s="44"/>
      <c r="B56" s="45"/>
      <c r="C56" s="45"/>
      <c r="D56" s="46"/>
      <c r="E56" s="45"/>
      <c r="F56" s="47"/>
      <c r="G56" s="48"/>
      <c r="H56" s="49"/>
      <c r="I56" s="45"/>
    </row>
    <row r="57" spans="1:10">
      <c r="A57" s="17"/>
      <c r="B57" s="18"/>
      <c r="C57" s="18"/>
      <c r="D57" s="27"/>
      <c r="E57" s="18"/>
      <c r="F57" s="19"/>
      <c r="G57" s="19"/>
      <c r="H57" s="21"/>
      <c r="I57" s="18"/>
      <c r="J57" s="18"/>
    </row>
    <row r="58" spans="1:10">
      <c r="A58" s="44"/>
      <c r="B58" s="45"/>
      <c r="C58" s="45"/>
      <c r="D58" s="46"/>
      <c r="E58" s="45"/>
      <c r="F58" s="47"/>
      <c r="G58" s="48"/>
      <c r="H58" s="49"/>
      <c r="I58" s="45"/>
    </row>
    <row r="59" spans="1:10">
      <c r="A59" s="17"/>
      <c r="B59" s="18"/>
      <c r="C59" s="18"/>
      <c r="D59" s="27"/>
      <c r="E59" s="18"/>
      <c r="F59" s="19"/>
      <c r="G59" s="19"/>
      <c r="H59" s="21"/>
      <c r="I59" s="18"/>
      <c r="J59" s="18"/>
    </row>
    <row r="60" spans="1:10">
      <c r="A60" s="44"/>
      <c r="B60" s="45"/>
      <c r="C60" s="45"/>
      <c r="D60" s="46"/>
      <c r="E60" s="45"/>
      <c r="F60" s="47"/>
      <c r="G60" s="48"/>
      <c r="H60" s="49"/>
      <c r="I60" s="45"/>
    </row>
    <row r="61" spans="1:10">
      <c r="A61" s="17"/>
      <c r="B61" s="18"/>
      <c r="C61" s="18"/>
      <c r="D61" s="27"/>
      <c r="E61" s="18"/>
      <c r="F61" s="19"/>
      <c r="G61" s="19"/>
      <c r="H61" s="21"/>
      <c r="I61" s="18"/>
      <c r="J61" s="18"/>
    </row>
    <row r="62" spans="1:10">
      <c r="A62" s="44"/>
      <c r="B62" s="45"/>
      <c r="C62" s="45"/>
      <c r="D62" s="46"/>
      <c r="E62" s="45"/>
      <c r="F62" s="47"/>
      <c r="G62" s="48"/>
      <c r="H62" s="49"/>
      <c r="I62" s="45"/>
    </row>
    <row r="63" spans="1:10">
      <c r="A63" s="17"/>
      <c r="B63" s="18"/>
      <c r="C63" s="18"/>
      <c r="D63" s="27"/>
      <c r="E63" s="18"/>
      <c r="F63" s="19"/>
      <c r="G63" s="19"/>
      <c r="H63" s="21"/>
      <c r="I63" s="18"/>
      <c r="J63" s="18"/>
    </row>
    <row r="64" spans="1:10">
      <c r="A64" s="44"/>
      <c r="B64" s="45"/>
      <c r="C64" s="45"/>
      <c r="D64" s="46"/>
      <c r="E64" s="45"/>
      <c r="F64" s="47"/>
      <c r="G64" s="48"/>
      <c r="H64" s="49"/>
      <c r="I64" s="45"/>
    </row>
    <row r="65" spans="1:10">
      <c r="A65" s="17"/>
      <c r="B65" s="18"/>
      <c r="C65" s="18"/>
      <c r="D65" s="27"/>
      <c r="E65" s="18"/>
      <c r="F65" s="19"/>
      <c r="G65" s="19"/>
      <c r="H65" s="21"/>
      <c r="I65" s="18"/>
      <c r="J65" s="18"/>
    </row>
    <row r="66" spans="1:10">
      <c r="A66" s="44"/>
      <c r="B66" s="45"/>
      <c r="C66" s="45"/>
      <c r="D66" s="46"/>
      <c r="E66" s="45"/>
      <c r="F66" s="47"/>
      <c r="G66" s="48"/>
      <c r="H66" s="49"/>
      <c r="I66" s="45"/>
    </row>
    <row r="67" spans="1:10">
      <c r="A67" s="17"/>
      <c r="B67" s="18"/>
      <c r="C67" s="18"/>
      <c r="D67" s="27"/>
      <c r="E67" s="18"/>
      <c r="F67" s="19"/>
      <c r="G67" s="19"/>
      <c r="H67" s="21"/>
      <c r="I67" s="18"/>
      <c r="J67" s="18"/>
    </row>
    <row r="68" spans="1:10">
      <c r="A68" s="44"/>
      <c r="B68" s="45"/>
      <c r="C68" s="45"/>
      <c r="D68" s="46"/>
      <c r="E68" s="45"/>
      <c r="F68" s="47"/>
      <c r="G68" s="48"/>
      <c r="H68" s="49"/>
      <c r="I68" s="45"/>
    </row>
    <row r="69" spans="1:10">
      <c r="A69" s="17"/>
      <c r="B69" s="18"/>
      <c r="C69" s="18"/>
      <c r="D69" s="27"/>
      <c r="E69" s="18"/>
      <c r="F69" s="19"/>
      <c r="G69" s="19"/>
      <c r="H69" s="21"/>
      <c r="I69" s="18"/>
      <c r="J69" s="18"/>
    </row>
    <row r="70" spans="1:10">
      <c r="A70" s="44"/>
      <c r="B70" s="45"/>
      <c r="C70" s="45"/>
      <c r="D70" s="46"/>
      <c r="E70" s="45"/>
      <c r="F70" s="47"/>
      <c r="G70" s="48"/>
      <c r="H70" s="49"/>
      <c r="I70" s="45"/>
    </row>
    <row r="71" spans="1:10">
      <c r="A71" s="17"/>
      <c r="B71" s="18"/>
      <c r="C71" s="18"/>
      <c r="D71" s="27"/>
      <c r="E71" s="18"/>
      <c r="F71" s="19"/>
      <c r="G71" s="19"/>
      <c r="H71" s="21"/>
      <c r="I71" s="18"/>
      <c r="J71" s="18"/>
    </row>
    <row r="72" spans="1:10">
      <c r="A72" s="44"/>
      <c r="B72" s="45"/>
      <c r="C72" s="45"/>
      <c r="D72" s="46"/>
      <c r="E72" s="45"/>
      <c r="F72" s="47"/>
      <c r="G72" s="48"/>
      <c r="H72" s="49"/>
      <c r="I72" s="45"/>
    </row>
    <row r="73" spans="1:10">
      <c r="A73" s="17"/>
      <c r="B73" s="18"/>
      <c r="C73" s="18"/>
      <c r="D73" s="27"/>
      <c r="E73" s="18"/>
      <c r="F73" s="19"/>
      <c r="G73" s="19"/>
      <c r="H73" s="21"/>
      <c r="I73" s="18"/>
      <c r="J73" s="18"/>
    </row>
    <row r="74" spans="1:10">
      <c r="A74" s="44"/>
      <c r="B74" s="45"/>
      <c r="C74" s="45"/>
      <c r="D74" s="46"/>
      <c r="E74" s="45"/>
      <c r="F74" s="47"/>
      <c r="G74" s="48"/>
      <c r="H74" s="49"/>
      <c r="I74" s="45"/>
    </row>
    <row r="75" spans="1:10">
      <c r="A75" s="17"/>
      <c r="B75" s="18"/>
      <c r="C75" s="18"/>
      <c r="D75" s="27"/>
      <c r="E75" s="18"/>
      <c r="F75" s="19"/>
      <c r="G75" s="19"/>
      <c r="H75" s="21"/>
      <c r="I75" s="18"/>
      <c r="J75" s="18"/>
    </row>
    <row r="76" spans="1:10">
      <c r="A76" s="44"/>
      <c r="B76" s="45"/>
      <c r="C76" s="45"/>
      <c r="D76" s="46"/>
      <c r="E76" s="45"/>
      <c r="F76" s="47"/>
      <c r="G76" s="48"/>
      <c r="H76" s="49"/>
      <c r="I76" s="45"/>
    </row>
    <row r="77" spans="1:10">
      <c r="A77" s="17"/>
      <c r="B77" s="18"/>
      <c r="C77" s="18"/>
      <c r="D77" s="27"/>
      <c r="E77" s="18"/>
      <c r="F77" s="19"/>
      <c r="G77" s="19"/>
      <c r="H77" s="21"/>
      <c r="I77" s="18"/>
      <c r="J77" s="18"/>
    </row>
    <row r="78" spans="1:10">
      <c r="A78" s="44"/>
      <c r="B78" s="45"/>
      <c r="C78" s="45"/>
      <c r="D78" s="46"/>
      <c r="E78" s="45"/>
      <c r="F78" s="47"/>
      <c r="G78" s="48"/>
      <c r="H78" s="49"/>
      <c r="I78" s="45"/>
    </row>
    <row r="79" spans="1:10">
      <c r="A79" s="17"/>
      <c r="B79" s="18"/>
      <c r="C79" s="18"/>
      <c r="D79" s="27"/>
      <c r="E79" s="18"/>
      <c r="F79" s="19"/>
      <c r="G79" s="19"/>
      <c r="H79" s="21"/>
      <c r="I79" s="18"/>
      <c r="J79" s="18"/>
    </row>
    <row r="80" spans="1:10">
      <c r="A80" s="44"/>
      <c r="B80" s="45"/>
      <c r="C80" s="45"/>
      <c r="D80" s="46"/>
      <c r="E80" s="45"/>
      <c r="F80" s="47"/>
      <c r="G80" s="48"/>
      <c r="H80" s="49"/>
      <c r="I80" s="45"/>
    </row>
    <row r="81" spans="1:10">
      <c r="A81" s="17"/>
      <c r="B81" s="18"/>
      <c r="C81" s="18"/>
      <c r="D81" s="27"/>
      <c r="E81" s="18"/>
      <c r="F81" s="19"/>
      <c r="G81" s="19"/>
      <c r="H81" s="21"/>
      <c r="I81" s="18"/>
      <c r="J81" s="18"/>
    </row>
    <row r="82" spans="1:10">
      <c r="A82" s="44"/>
      <c r="B82" s="45"/>
      <c r="C82" s="45"/>
      <c r="D82" s="46"/>
      <c r="E82" s="45"/>
      <c r="F82" s="47"/>
      <c r="G82" s="48"/>
      <c r="H82" s="49"/>
      <c r="I82" s="45"/>
    </row>
    <row r="83" spans="1:10">
      <c r="A83" s="17"/>
      <c r="B83" s="18"/>
      <c r="C83" s="18"/>
      <c r="D83" s="27"/>
      <c r="E83" s="18"/>
      <c r="F83" s="19"/>
      <c r="G83" s="19"/>
      <c r="H83" s="21"/>
      <c r="I83" s="18"/>
      <c r="J83" s="18"/>
    </row>
    <row r="84" spans="1:10">
      <c r="A84" s="44"/>
      <c r="B84" s="45"/>
      <c r="C84" s="45"/>
      <c r="D84" s="46"/>
      <c r="E84" s="45"/>
      <c r="F84" s="47"/>
      <c r="G84" s="48"/>
      <c r="H84" s="49"/>
      <c r="I84" s="45"/>
    </row>
    <row r="85" spans="1:10">
      <c r="A85" s="17"/>
      <c r="B85" s="18"/>
      <c r="C85" s="18"/>
      <c r="D85" s="27"/>
      <c r="E85" s="18"/>
      <c r="F85" s="19"/>
      <c r="G85" s="19"/>
      <c r="H85" s="21"/>
      <c r="I85" s="18"/>
      <c r="J85" s="18"/>
    </row>
    <row r="86" spans="1:10">
      <c r="A86" s="44"/>
      <c r="B86" s="45"/>
      <c r="C86" s="45"/>
      <c r="D86" s="46"/>
      <c r="E86" s="45"/>
      <c r="F86" s="47"/>
      <c r="G86" s="48"/>
      <c r="H86" s="49"/>
      <c r="I86" s="45"/>
    </row>
    <row r="87" spans="1:10">
      <c r="A87" s="17"/>
      <c r="B87" s="18"/>
      <c r="C87" s="18"/>
      <c r="D87" s="27"/>
      <c r="E87" s="18"/>
      <c r="F87" s="19"/>
      <c r="G87" s="19"/>
      <c r="H87" s="21"/>
      <c r="I87" s="18"/>
      <c r="J87" s="18"/>
    </row>
    <row r="88" spans="1:10">
      <c r="A88" s="44"/>
      <c r="B88" s="45"/>
      <c r="C88" s="45"/>
      <c r="D88" s="46"/>
      <c r="E88" s="45"/>
      <c r="F88" s="47"/>
      <c r="G88" s="48"/>
      <c r="H88" s="49"/>
      <c r="I88" s="45"/>
    </row>
    <row r="89" spans="1:10">
      <c r="A89" s="17"/>
      <c r="B89" s="18"/>
      <c r="C89" s="18"/>
      <c r="D89" s="27"/>
      <c r="E89" s="18"/>
      <c r="F89" s="19"/>
      <c r="G89" s="19"/>
      <c r="H89" s="21"/>
      <c r="I89" s="18"/>
      <c r="J89" s="18"/>
    </row>
    <row r="90" spans="1:10">
      <c r="A90" s="44"/>
      <c r="B90" s="45"/>
      <c r="C90" s="45"/>
      <c r="D90" s="46"/>
      <c r="E90" s="45"/>
      <c r="F90" s="47"/>
      <c r="G90" s="48"/>
      <c r="H90" s="49"/>
      <c r="I90" s="45"/>
    </row>
    <row r="91" spans="1:10">
      <c r="A91" s="17"/>
      <c r="B91" s="18"/>
      <c r="C91" s="18"/>
      <c r="D91" s="27"/>
      <c r="E91" s="18"/>
      <c r="F91" s="19"/>
      <c r="G91" s="19"/>
      <c r="H91" s="21"/>
      <c r="I91" s="18"/>
      <c r="J91" s="18"/>
    </row>
    <row r="92" spans="1:10">
      <c r="A92" s="44"/>
      <c r="B92" s="45"/>
      <c r="C92" s="45"/>
      <c r="D92" s="46"/>
      <c r="E92" s="45"/>
      <c r="F92" s="47"/>
      <c r="G92" s="48"/>
      <c r="H92" s="49"/>
      <c r="I92" s="45"/>
    </row>
    <row r="93" spans="1:10">
      <c r="A93" s="17"/>
      <c r="B93" s="18"/>
      <c r="C93" s="18"/>
      <c r="D93" s="27"/>
      <c r="E93" s="18"/>
      <c r="F93" s="19"/>
      <c r="G93" s="19"/>
      <c r="H93" s="21"/>
      <c r="I93" s="18"/>
      <c r="J93" s="18"/>
    </row>
    <row r="94" spans="1:10">
      <c r="A94" s="44"/>
      <c r="B94" s="45"/>
      <c r="C94" s="45"/>
      <c r="D94" s="46"/>
      <c r="E94" s="45"/>
      <c r="F94" s="47"/>
      <c r="G94" s="48"/>
      <c r="H94" s="49"/>
      <c r="I94" s="45"/>
    </row>
    <row r="95" spans="1:10">
      <c r="A95" s="17"/>
      <c r="B95" s="18"/>
      <c r="C95" s="18"/>
      <c r="D95" s="27"/>
      <c r="E95" s="18"/>
      <c r="F95" s="19"/>
      <c r="G95" s="19"/>
      <c r="H95" s="21"/>
      <c r="I95" s="18"/>
      <c r="J95" s="18"/>
    </row>
    <row r="96" spans="1:10">
      <c r="A96" s="44"/>
      <c r="B96" s="45"/>
      <c r="C96" s="45"/>
      <c r="D96" s="46"/>
      <c r="E96" s="45"/>
      <c r="F96" s="47"/>
      <c r="G96" s="48"/>
      <c r="H96" s="49"/>
      <c r="I96" s="45"/>
    </row>
    <row r="97" spans="1:10">
      <c r="A97" s="17"/>
      <c r="B97" s="18"/>
      <c r="C97" s="18"/>
      <c r="D97" s="27"/>
      <c r="E97" s="18"/>
      <c r="F97" s="19"/>
      <c r="G97" s="19"/>
      <c r="H97" s="21"/>
      <c r="I97" s="18"/>
      <c r="J97" s="18"/>
    </row>
    <row r="98" spans="1:10">
      <c r="A98" s="44"/>
      <c r="B98" s="45"/>
      <c r="C98" s="45"/>
      <c r="D98" s="46"/>
      <c r="E98" s="45"/>
      <c r="F98" s="47"/>
      <c r="G98" s="48"/>
      <c r="H98" s="49"/>
      <c r="I98" s="45"/>
    </row>
    <row r="99" spans="1:10">
      <c r="A99" s="17"/>
      <c r="B99" s="18"/>
      <c r="C99" s="18"/>
      <c r="D99" s="27"/>
      <c r="E99" s="18"/>
      <c r="F99" s="19"/>
      <c r="G99" s="19"/>
      <c r="H99" s="21"/>
      <c r="I99" s="18"/>
      <c r="J99" s="18"/>
    </row>
    <row r="100" spans="1:10">
      <c r="A100" s="44"/>
      <c r="B100" s="45"/>
      <c r="C100" s="45"/>
      <c r="D100" s="46"/>
      <c r="E100" s="45"/>
      <c r="F100" s="47"/>
      <c r="G100" s="48"/>
      <c r="H100" s="49"/>
      <c r="I100" s="45"/>
    </row>
    <row r="101" spans="1:10">
      <c r="A101" s="17"/>
      <c r="B101" s="18"/>
      <c r="C101" s="18"/>
      <c r="D101" s="27"/>
      <c r="E101" s="18"/>
      <c r="F101" s="19"/>
      <c r="G101" s="19"/>
      <c r="H101" s="21"/>
      <c r="I101" s="18"/>
      <c r="J101" s="18"/>
    </row>
    <row r="102" spans="1:10">
      <c r="A102" s="44"/>
      <c r="B102" s="45"/>
      <c r="C102" s="45"/>
      <c r="D102" s="46"/>
      <c r="E102" s="45"/>
      <c r="F102" s="47"/>
      <c r="G102" s="48"/>
      <c r="H102" s="49"/>
      <c r="I102" s="45"/>
    </row>
    <row r="103" spans="1:10">
      <c r="A103" s="17"/>
      <c r="B103" s="18"/>
      <c r="C103" s="18"/>
      <c r="D103" s="27"/>
      <c r="E103" s="18"/>
      <c r="F103" s="19"/>
      <c r="G103" s="19"/>
      <c r="H103" s="21"/>
      <c r="I103" s="18"/>
      <c r="J103" s="18"/>
    </row>
    <row r="104" spans="1:10">
      <c r="A104" s="44"/>
      <c r="B104" s="45"/>
      <c r="C104" s="45"/>
      <c r="D104" s="46"/>
      <c r="E104" s="45"/>
      <c r="F104" s="47"/>
      <c r="G104" s="48"/>
      <c r="H104" s="49"/>
      <c r="I104" s="45"/>
    </row>
    <row r="105" spans="1:10">
      <c r="A105" s="17"/>
      <c r="B105" s="18"/>
      <c r="C105" s="18"/>
      <c r="D105" s="27"/>
      <c r="E105" s="18"/>
      <c r="F105" s="19"/>
      <c r="G105" s="19"/>
      <c r="H105" s="21"/>
      <c r="I105" s="18"/>
      <c r="J105" s="18"/>
    </row>
    <row r="106" spans="1:10">
      <c r="A106" s="44"/>
      <c r="B106" s="45"/>
      <c r="C106" s="45"/>
      <c r="D106" s="46"/>
      <c r="E106" s="45"/>
      <c r="F106" s="47"/>
      <c r="G106" s="48"/>
      <c r="H106" s="49"/>
      <c r="I106" s="45"/>
    </row>
    <row r="107" spans="1:10">
      <c r="A107" s="17"/>
      <c r="B107" s="18"/>
      <c r="C107" s="18"/>
      <c r="D107" s="27"/>
      <c r="E107" s="18"/>
      <c r="F107" s="19"/>
      <c r="G107" s="19"/>
      <c r="H107" s="21"/>
      <c r="I107" s="18"/>
      <c r="J107" s="18"/>
    </row>
    <row r="108" spans="1:10">
      <c r="A108" s="44"/>
      <c r="B108" s="45"/>
      <c r="C108" s="45"/>
      <c r="D108" s="46"/>
      <c r="E108" s="45"/>
      <c r="F108" s="47"/>
      <c r="G108" s="48"/>
      <c r="H108" s="49"/>
      <c r="I108" s="45"/>
    </row>
    <row r="109" spans="1:10">
      <c r="A109" s="17"/>
      <c r="B109" s="18"/>
      <c r="C109" s="18"/>
      <c r="D109" s="27"/>
      <c r="E109" s="18"/>
      <c r="F109" s="19"/>
      <c r="G109" s="19"/>
      <c r="H109" s="21"/>
      <c r="I109" s="18"/>
      <c r="J109" s="18"/>
    </row>
    <row r="110" spans="1:10">
      <c r="A110" s="44"/>
      <c r="B110" s="45"/>
      <c r="C110" s="45"/>
      <c r="D110" s="46"/>
      <c r="E110" s="45"/>
      <c r="F110" s="47"/>
      <c r="G110" s="48"/>
      <c r="H110" s="49"/>
      <c r="I110" s="45"/>
    </row>
    <row r="111" spans="1:10">
      <c r="A111" s="17"/>
      <c r="B111" s="18"/>
      <c r="C111" s="18"/>
      <c r="D111" s="27"/>
      <c r="E111" s="18"/>
      <c r="F111" s="19"/>
      <c r="G111" s="19"/>
      <c r="H111" s="21"/>
      <c r="I111" s="18"/>
      <c r="J111" s="18"/>
    </row>
    <row r="112" spans="1:10">
      <c r="A112" s="44"/>
      <c r="B112" s="45"/>
      <c r="C112" s="45"/>
      <c r="D112" s="46"/>
      <c r="E112" s="45"/>
      <c r="F112" s="47"/>
      <c r="G112" s="48"/>
      <c r="H112" s="49"/>
      <c r="I112" s="45"/>
    </row>
    <row r="113" spans="1:10">
      <c r="A113" s="17"/>
      <c r="B113" s="18"/>
      <c r="C113" s="18"/>
      <c r="D113" s="27"/>
      <c r="E113" s="18"/>
      <c r="F113" s="19"/>
      <c r="G113" s="19"/>
      <c r="H113" s="21"/>
      <c r="I113" s="18"/>
      <c r="J113" s="18"/>
    </row>
    <row r="114" spans="1:10">
      <c r="A114" s="44"/>
      <c r="B114" s="45"/>
      <c r="C114" s="45"/>
      <c r="D114" s="46"/>
      <c r="E114" s="45"/>
      <c r="F114" s="47"/>
      <c r="G114" s="48"/>
      <c r="H114" s="49"/>
      <c r="I114" s="45"/>
    </row>
    <row r="115" spans="1:10">
      <c r="A115" s="17"/>
      <c r="B115" s="18"/>
      <c r="C115" s="18"/>
      <c r="D115" s="27"/>
      <c r="E115" s="18"/>
      <c r="F115" s="19"/>
      <c r="G115" s="19"/>
      <c r="H115" s="21"/>
      <c r="I115" s="18"/>
      <c r="J115" s="18"/>
    </row>
    <row r="116" spans="1:10">
      <c r="A116" s="44"/>
      <c r="B116" s="45"/>
      <c r="C116" s="45"/>
      <c r="D116" s="46"/>
      <c r="E116" s="45"/>
      <c r="F116" s="47"/>
      <c r="G116" s="48"/>
      <c r="H116" s="49"/>
      <c r="I116" s="45"/>
    </row>
    <row r="117" spans="1:10">
      <c r="A117" s="17"/>
      <c r="B117" s="18"/>
      <c r="C117" s="18"/>
      <c r="D117" s="27"/>
      <c r="E117" s="18"/>
      <c r="F117" s="19"/>
      <c r="G117" s="19"/>
      <c r="H117" s="21"/>
      <c r="I117" s="18"/>
      <c r="J117" s="18"/>
    </row>
    <row r="118" spans="1:10">
      <c r="A118" s="44"/>
      <c r="B118" s="45"/>
      <c r="C118" s="45"/>
      <c r="D118" s="46"/>
      <c r="E118" s="45"/>
      <c r="F118" s="47"/>
      <c r="G118" s="48"/>
      <c r="H118" s="49"/>
      <c r="I118" s="45"/>
    </row>
    <row r="119" spans="1:10">
      <c r="A119" s="17"/>
      <c r="B119" s="18"/>
      <c r="C119" s="18"/>
      <c r="D119" s="27"/>
      <c r="E119" s="18"/>
      <c r="F119" s="19"/>
      <c r="G119" s="19"/>
      <c r="H119" s="21"/>
      <c r="I119" s="18"/>
      <c r="J119" s="18"/>
    </row>
    <row r="120" spans="1:10">
      <c r="A120" s="44"/>
      <c r="B120" s="45"/>
      <c r="C120" s="45"/>
      <c r="D120" s="46"/>
      <c r="E120" s="45"/>
      <c r="F120" s="47"/>
      <c r="G120" s="48"/>
      <c r="H120" s="49"/>
      <c r="I120" s="45"/>
    </row>
    <row r="121" spans="1:10">
      <c r="A121" s="17"/>
      <c r="B121" s="18"/>
      <c r="C121" s="18"/>
      <c r="D121" s="27"/>
      <c r="E121" s="18"/>
      <c r="F121" s="19"/>
      <c r="G121" s="19"/>
      <c r="H121" s="21"/>
      <c r="I121" s="18"/>
      <c r="J121" s="18"/>
    </row>
    <row r="122" spans="1:10">
      <c r="A122" s="44"/>
      <c r="B122" s="45"/>
      <c r="C122" s="45"/>
      <c r="D122" s="46"/>
      <c r="E122" s="45"/>
      <c r="F122" s="47"/>
      <c r="G122" s="48"/>
      <c r="H122" s="49"/>
      <c r="I122" s="45"/>
    </row>
    <row r="123" spans="1:10">
      <c r="A123" s="17"/>
      <c r="B123" s="18"/>
      <c r="C123" s="18"/>
      <c r="D123" s="27"/>
      <c r="E123" s="18"/>
      <c r="F123" s="19"/>
      <c r="G123" s="19"/>
      <c r="H123" s="21"/>
      <c r="I123" s="18"/>
      <c r="J123" s="18"/>
    </row>
    <row r="124" spans="1:10">
      <c r="A124" s="44"/>
      <c r="B124" s="45"/>
      <c r="C124" s="45"/>
      <c r="D124" s="46"/>
      <c r="E124" s="45"/>
      <c r="F124" s="47"/>
      <c r="G124" s="48"/>
      <c r="H124" s="49"/>
      <c r="I124" s="45"/>
    </row>
    <row r="125" spans="1:10">
      <c r="A125" s="17"/>
      <c r="B125" s="18"/>
      <c r="C125" s="18"/>
      <c r="D125" s="27"/>
      <c r="E125" s="18"/>
      <c r="F125" s="19"/>
      <c r="G125" s="19"/>
      <c r="H125" s="21"/>
      <c r="I125" s="18"/>
      <c r="J125" s="18"/>
    </row>
    <row r="126" spans="1:10">
      <c r="A126" s="44"/>
      <c r="B126" s="45"/>
      <c r="C126" s="45"/>
      <c r="D126" s="46"/>
      <c r="E126" s="45"/>
      <c r="F126" s="47"/>
      <c r="G126" s="48"/>
      <c r="H126" s="49"/>
      <c r="I126" s="45"/>
    </row>
    <row r="127" spans="1:10">
      <c r="A127" s="17"/>
      <c r="B127" s="18"/>
      <c r="C127" s="18"/>
      <c r="D127" s="27"/>
      <c r="E127" s="18"/>
      <c r="F127" s="19"/>
      <c r="G127" s="19"/>
      <c r="H127" s="21"/>
      <c r="I127" s="18"/>
      <c r="J127" s="18"/>
    </row>
    <row r="128" spans="1:10">
      <c r="A128" s="44"/>
      <c r="B128" s="45"/>
      <c r="C128" s="45"/>
      <c r="D128" s="46"/>
      <c r="E128" s="45"/>
      <c r="F128" s="47"/>
      <c r="G128" s="48"/>
      <c r="H128" s="49"/>
      <c r="I128" s="45"/>
    </row>
    <row r="129" spans="1:10">
      <c r="A129" s="17"/>
      <c r="B129" s="18"/>
      <c r="C129" s="18"/>
      <c r="D129" s="27"/>
      <c r="E129" s="18"/>
      <c r="F129" s="19"/>
      <c r="G129" s="19"/>
      <c r="H129" s="21"/>
      <c r="I129" s="18"/>
      <c r="J129" s="18"/>
    </row>
    <row r="130" spans="1:10">
      <c r="A130" s="44"/>
      <c r="B130" s="45"/>
      <c r="C130" s="45"/>
      <c r="D130" s="46"/>
      <c r="E130" s="45"/>
      <c r="F130" s="47"/>
      <c r="G130" s="48"/>
      <c r="H130" s="49"/>
      <c r="I130" s="45"/>
    </row>
    <row r="131" spans="1:10">
      <c r="A131" s="17"/>
      <c r="B131" s="18"/>
      <c r="C131" s="18"/>
      <c r="D131" s="27"/>
      <c r="E131" s="18"/>
      <c r="F131" s="19"/>
      <c r="G131" s="19"/>
      <c r="H131" s="21"/>
      <c r="I131" s="18"/>
      <c r="J131" s="18"/>
    </row>
    <row r="132" spans="1:10">
      <c r="A132" s="44"/>
      <c r="B132" s="45"/>
      <c r="C132" s="45"/>
      <c r="D132" s="46"/>
      <c r="E132" s="45"/>
      <c r="F132" s="47"/>
      <c r="G132" s="48"/>
      <c r="H132" s="49"/>
      <c r="I132" s="45"/>
    </row>
    <row r="133" spans="1:10">
      <c r="A133" s="17"/>
      <c r="B133" s="18"/>
      <c r="C133" s="18"/>
      <c r="D133" s="27"/>
      <c r="E133" s="18"/>
      <c r="F133" s="19"/>
      <c r="G133" s="19"/>
      <c r="H133" s="21"/>
      <c r="I133" s="18"/>
      <c r="J133" s="18"/>
    </row>
    <row r="134" spans="1:10">
      <c r="A134" s="44"/>
      <c r="B134" s="45"/>
      <c r="C134" s="45"/>
      <c r="D134" s="46"/>
      <c r="E134" s="45"/>
      <c r="F134" s="47"/>
      <c r="G134" s="48"/>
      <c r="H134" s="49"/>
      <c r="I134" s="45"/>
    </row>
    <row r="135" spans="1:10">
      <c r="A135" s="17"/>
      <c r="B135" s="18"/>
      <c r="C135" s="18"/>
      <c r="D135" s="27"/>
      <c r="E135" s="18"/>
      <c r="F135" s="19"/>
      <c r="G135" s="19"/>
      <c r="H135" s="21"/>
      <c r="I135" s="18"/>
      <c r="J135" s="18"/>
    </row>
    <row r="136" spans="1:10">
      <c r="A136" s="44"/>
      <c r="B136" s="45"/>
      <c r="C136" s="45"/>
      <c r="D136" s="46"/>
      <c r="E136" s="45"/>
      <c r="F136" s="47"/>
      <c r="G136" s="48"/>
      <c r="H136" s="49"/>
      <c r="I136" s="45"/>
    </row>
    <row r="137" spans="1:10">
      <c r="A137" s="17"/>
      <c r="B137" s="18"/>
      <c r="C137" s="18"/>
      <c r="D137" s="27"/>
      <c r="E137" s="18"/>
      <c r="F137" s="19"/>
      <c r="G137" s="19"/>
      <c r="H137" s="21"/>
      <c r="I137" s="18"/>
      <c r="J137" s="18"/>
    </row>
    <row r="138" spans="1:10">
      <c r="A138" s="44"/>
      <c r="B138" s="45"/>
      <c r="C138" s="45"/>
      <c r="D138" s="46"/>
      <c r="E138" s="45"/>
      <c r="F138" s="47"/>
      <c r="G138" s="48"/>
      <c r="H138" s="49"/>
      <c r="I138" s="45"/>
    </row>
    <row r="139" spans="1:10">
      <c r="A139" s="17"/>
      <c r="B139" s="18"/>
      <c r="C139" s="18"/>
      <c r="D139" s="27"/>
      <c r="E139" s="18"/>
      <c r="F139" s="19"/>
      <c r="G139" s="19"/>
      <c r="H139" s="21"/>
      <c r="I139" s="18"/>
      <c r="J139" s="18"/>
    </row>
    <row r="140" spans="1:10">
      <c r="A140" s="44"/>
      <c r="B140" s="45"/>
      <c r="C140" s="45"/>
      <c r="D140" s="46"/>
      <c r="E140" s="45"/>
      <c r="F140" s="47"/>
      <c r="G140" s="48"/>
      <c r="H140" s="49"/>
      <c r="I140" s="45"/>
    </row>
    <row r="141" spans="1:10">
      <c r="A141" s="17"/>
      <c r="B141" s="18"/>
      <c r="C141" s="18"/>
      <c r="D141" s="27"/>
      <c r="E141" s="18"/>
      <c r="F141" s="19"/>
      <c r="G141" s="19"/>
      <c r="H141" s="21"/>
      <c r="I141" s="18"/>
      <c r="J141" s="18"/>
    </row>
    <row r="142" spans="1:10">
      <c r="A142" s="44"/>
      <c r="B142" s="45"/>
      <c r="C142" s="45"/>
      <c r="D142" s="46"/>
      <c r="E142" s="45"/>
      <c r="F142" s="47"/>
      <c r="G142" s="48"/>
      <c r="H142" s="49"/>
      <c r="I142" s="45"/>
    </row>
    <row r="143" spans="1:10">
      <c r="A143" s="17"/>
      <c r="B143" s="18"/>
      <c r="C143" s="18"/>
      <c r="D143" s="27"/>
      <c r="E143" s="18"/>
      <c r="F143" s="19"/>
      <c r="G143" s="19"/>
      <c r="H143" s="21"/>
      <c r="I143" s="18"/>
      <c r="J143" s="18"/>
    </row>
    <row r="144" spans="1:10">
      <c r="A144" s="44"/>
      <c r="B144" s="45"/>
      <c r="C144" s="45"/>
      <c r="D144" s="46"/>
      <c r="E144" s="45"/>
      <c r="F144" s="47"/>
      <c r="G144" s="48"/>
      <c r="H144" s="49"/>
      <c r="I144" s="45"/>
    </row>
    <row r="145" spans="1:10">
      <c r="A145" s="17"/>
      <c r="B145" s="18"/>
      <c r="C145" s="18"/>
      <c r="D145" s="27"/>
      <c r="E145" s="18"/>
      <c r="F145" s="19"/>
      <c r="G145" s="19"/>
      <c r="H145" s="21"/>
      <c r="I145" s="18"/>
      <c r="J145" s="18"/>
    </row>
    <row r="146" spans="1:10">
      <c r="A146" s="44"/>
      <c r="B146" s="45"/>
      <c r="C146" s="45"/>
      <c r="D146" s="46"/>
      <c r="E146" s="45"/>
      <c r="F146" s="47"/>
      <c r="G146" s="48"/>
      <c r="H146" s="49"/>
      <c r="I146" s="45"/>
    </row>
    <row r="147" spans="1:10">
      <c r="A147" s="17"/>
      <c r="B147" s="18"/>
      <c r="C147" s="18"/>
      <c r="D147" s="27"/>
      <c r="E147" s="18"/>
      <c r="F147" s="19"/>
      <c r="G147" s="19"/>
      <c r="H147" s="21"/>
      <c r="I147" s="18"/>
      <c r="J147" s="18"/>
    </row>
    <row r="148" spans="1:10">
      <c r="A148" s="44"/>
      <c r="B148" s="45"/>
      <c r="C148" s="45"/>
      <c r="D148" s="46"/>
      <c r="E148" s="45"/>
      <c r="F148" s="47"/>
      <c r="G148" s="48"/>
      <c r="H148" s="49"/>
      <c r="I148" s="45"/>
    </row>
    <row r="149" spans="1:10">
      <c r="A149" s="17"/>
      <c r="B149" s="18"/>
      <c r="C149" s="18"/>
      <c r="D149" s="27"/>
      <c r="E149" s="18"/>
      <c r="F149" s="19"/>
      <c r="G149" s="19"/>
      <c r="H149" s="21"/>
      <c r="I149" s="18"/>
      <c r="J149" s="18"/>
    </row>
    <row r="150" spans="1:10">
      <c r="A150" s="44"/>
      <c r="B150" s="45"/>
      <c r="C150" s="45"/>
      <c r="D150" s="46"/>
      <c r="E150" s="45"/>
      <c r="F150" s="47"/>
      <c r="G150" s="48"/>
      <c r="H150" s="49"/>
      <c r="I150" s="45"/>
    </row>
    <row r="151" spans="1:10">
      <c r="A151" s="17"/>
      <c r="B151" s="18"/>
      <c r="C151" s="18"/>
      <c r="D151" s="27"/>
      <c r="E151" s="18"/>
      <c r="F151" s="19"/>
      <c r="G151" s="19"/>
      <c r="H151" s="21"/>
      <c r="I151" s="18"/>
      <c r="J151" s="18"/>
    </row>
    <row r="152" spans="1:10">
      <c r="A152" s="44"/>
      <c r="B152" s="45"/>
      <c r="C152" s="45"/>
      <c r="D152" s="46"/>
      <c r="E152" s="45"/>
      <c r="F152" s="47"/>
      <c r="G152" s="48"/>
      <c r="H152" s="49"/>
      <c r="I152" s="45"/>
    </row>
    <row r="153" spans="1:10">
      <c r="A153" s="17"/>
      <c r="B153" s="18"/>
      <c r="C153" s="18"/>
      <c r="D153" s="27"/>
      <c r="E153" s="18"/>
      <c r="F153" s="19"/>
      <c r="G153" s="19"/>
      <c r="H153" s="21"/>
      <c r="I153" s="18"/>
      <c r="J153" s="18"/>
    </row>
    <row r="154" spans="1:10">
      <c r="A154" s="44"/>
      <c r="B154" s="45"/>
      <c r="C154" s="45"/>
      <c r="D154" s="46"/>
      <c r="E154" s="45"/>
      <c r="F154" s="47"/>
      <c r="G154" s="48"/>
      <c r="H154" s="49"/>
      <c r="I154" s="45"/>
    </row>
    <row r="155" spans="1:10">
      <c r="A155" s="17"/>
      <c r="B155" s="18"/>
      <c r="C155" s="18"/>
      <c r="D155" s="27"/>
      <c r="E155" s="18"/>
      <c r="F155" s="19"/>
      <c r="G155" s="19"/>
      <c r="H155" s="21"/>
      <c r="I155" s="18"/>
      <c r="J155" s="18"/>
    </row>
    <row r="156" spans="1:10">
      <c r="A156" s="44"/>
      <c r="B156" s="45"/>
      <c r="C156" s="45"/>
      <c r="D156" s="46"/>
      <c r="E156" s="45"/>
      <c r="F156" s="47"/>
      <c r="G156" s="48"/>
      <c r="H156" s="49"/>
      <c r="I156" s="45"/>
    </row>
    <row r="157" spans="1:10">
      <c r="A157" s="17"/>
      <c r="B157" s="18"/>
      <c r="C157" s="18"/>
      <c r="D157" s="27"/>
      <c r="E157" s="18"/>
      <c r="F157" s="19"/>
      <c r="G157" s="19"/>
      <c r="H157" s="21"/>
      <c r="I157" s="18"/>
      <c r="J157" s="18"/>
    </row>
    <row r="158" spans="1:10">
      <c r="A158" s="44"/>
      <c r="B158" s="45"/>
      <c r="C158" s="45"/>
      <c r="D158" s="46"/>
      <c r="E158" s="45"/>
      <c r="F158" s="47"/>
      <c r="G158" s="48"/>
      <c r="H158" s="49"/>
      <c r="I158" s="45"/>
    </row>
    <row r="159" spans="1:10">
      <c r="A159" s="17"/>
      <c r="B159" s="18"/>
      <c r="C159" s="18"/>
      <c r="D159" s="27"/>
      <c r="E159" s="18"/>
      <c r="F159" s="19"/>
      <c r="G159" s="19"/>
      <c r="H159" s="21"/>
      <c r="I159" s="18"/>
      <c r="J159" s="18"/>
    </row>
    <row r="160" spans="1:10">
      <c r="A160" s="44"/>
      <c r="B160" s="45"/>
      <c r="C160" s="45"/>
      <c r="D160" s="46"/>
      <c r="E160" s="45"/>
      <c r="F160" s="47"/>
      <c r="G160" s="48"/>
      <c r="H160" s="49"/>
      <c r="I160" s="45"/>
    </row>
    <row r="161" spans="1:10">
      <c r="A161" s="17"/>
      <c r="B161" s="18"/>
      <c r="C161" s="18"/>
      <c r="D161" s="27"/>
      <c r="E161" s="18"/>
      <c r="F161" s="19"/>
      <c r="G161" s="19"/>
      <c r="H161" s="21"/>
      <c r="I161" s="18"/>
      <c r="J161" s="18"/>
    </row>
    <row r="162" spans="1:10">
      <c r="A162" s="44"/>
      <c r="B162" s="45"/>
      <c r="C162" s="45"/>
      <c r="D162" s="46"/>
      <c r="E162" s="45"/>
      <c r="F162" s="47"/>
      <c r="G162" s="48"/>
      <c r="H162" s="49"/>
      <c r="I162" s="45"/>
    </row>
    <row r="163" spans="1:10">
      <c r="A163" s="17"/>
      <c r="B163" s="18"/>
      <c r="C163" s="18"/>
      <c r="D163" s="27"/>
      <c r="E163" s="18"/>
      <c r="F163" s="19"/>
      <c r="G163" s="19"/>
      <c r="H163" s="21"/>
      <c r="I163" s="18"/>
      <c r="J163" s="18"/>
    </row>
    <row r="164" spans="1:10">
      <c r="A164" s="44"/>
      <c r="B164" s="45"/>
      <c r="C164" s="45"/>
      <c r="D164" s="46"/>
      <c r="E164" s="45"/>
      <c r="F164" s="47"/>
      <c r="G164" s="48"/>
      <c r="H164" s="49"/>
      <c r="I164" s="45"/>
    </row>
    <row r="165" spans="1:10">
      <c r="A165" s="17"/>
      <c r="B165" s="18"/>
      <c r="C165" s="18"/>
      <c r="D165" s="27"/>
      <c r="E165" s="18"/>
      <c r="F165" s="19"/>
      <c r="G165" s="19"/>
      <c r="H165" s="21"/>
      <c r="I165" s="18"/>
      <c r="J165" s="18"/>
    </row>
    <row r="166" spans="1:10">
      <c r="A166" s="44"/>
      <c r="B166" s="45"/>
      <c r="C166" s="45"/>
      <c r="D166" s="46"/>
      <c r="E166" s="45"/>
      <c r="F166" s="47"/>
      <c r="G166" s="48"/>
      <c r="H166" s="49"/>
      <c r="I166" s="45"/>
    </row>
    <row r="167" spans="1:10">
      <c r="A167" s="17"/>
      <c r="B167" s="18"/>
      <c r="C167" s="18"/>
      <c r="D167" s="27"/>
      <c r="E167" s="18"/>
      <c r="F167" s="19"/>
      <c r="G167" s="19"/>
      <c r="H167" s="21"/>
      <c r="I167" s="18"/>
      <c r="J167" s="18"/>
    </row>
    <row r="168" spans="1:10">
      <c r="A168" s="44"/>
      <c r="B168" s="45"/>
      <c r="C168" s="45"/>
      <c r="D168" s="46"/>
      <c r="E168" s="45"/>
      <c r="F168" s="47"/>
      <c r="G168" s="48"/>
      <c r="H168" s="49"/>
      <c r="I168" s="45"/>
    </row>
    <row r="169" spans="1:10">
      <c r="A169" s="17"/>
      <c r="B169" s="18"/>
      <c r="C169" s="18"/>
      <c r="D169" s="27"/>
      <c r="E169" s="18"/>
      <c r="F169" s="19"/>
      <c r="G169" s="19"/>
      <c r="H169" s="21"/>
      <c r="I169" s="18"/>
      <c r="J169" s="18"/>
    </row>
    <row r="170" spans="1:10">
      <c r="A170" s="44"/>
      <c r="B170" s="45"/>
      <c r="C170" s="45"/>
      <c r="D170" s="46"/>
      <c r="E170" s="45"/>
      <c r="F170" s="47"/>
      <c r="G170" s="48"/>
      <c r="H170" s="49"/>
      <c r="I170" s="45"/>
    </row>
    <row r="171" spans="1:10">
      <c r="A171" s="17"/>
      <c r="B171" s="18"/>
      <c r="C171" s="18"/>
      <c r="D171" s="27"/>
      <c r="E171" s="18"/>
      <c r="F171" s="19"/>
      <c r="G171" s="19"/>
      <c r="H171" s="21"/>
      <c r="I171" s="18"/>
      <c r="J171" s="18"/>
    </row>
    <row r="172" spans="1:10">
      <c r="A172" s="44"/>
      <c r="B172" s="45"/>
      <c r="C172" s="45"/>
      <c r="D172" s="46"/>
      <c r="E172" s="45"/>
      <c r="F172" s="47"/>
      <c r="G172" s="48"/>
      <c r="H172" s="49"/>
      <c r="I172" s="45"/>
    </row>
    <row r="173" spans="1:10">
      <c r="A173" s="17"/>
      <c r="B173" s="18"/>
      <c r="C173" s="18"/>
      <c r="D173" s="27"/>
      <c r="E173" s="18"/>
      <c r="F173" s="19"/>
      <c r="G173" s="19"/>
      <c r="H173" s="21"/>
      <c r="I173" s="18"/>
      <c r="J173" s="18"/>
    </row>
    <row r="174" spans="1:10">
      <c r="A174" s="44"/>
      <c r="B174" s="45"/>
      <c r="C174" s="45"/>
      <c r="D174" s="46"/>
      <c r="E174" s="45"/>
      <c r="F174" s="47"/>
      <c r="G174" s="48"/>
      <c r="H174" s="49"/>
      <c r="I174" s="45"/>
    </row>
    <row r="175" spans="1:10">
      <c r="A175" s="17"/>
      <c r="B175" s="18"/>
      <c r="C175" s="18"/>
      <c r="D175" s="27"/>
      <c r="E175" s="18"/>
      <c r="F175" s="19"/>
      <c r="G175" s="19"/>
      <c r="H175" s="21"/>
      <c r="I175" s="18"/>
      <c r="J175" s="18"/>
    </row>
    <row r="176" spans="1:10">
      <c r="A176" s="44"/>
      <c r="B176" s="45"/>
      <c r="C176" s="45"/>
      <c r="D176" s="46"/>
      <c r="E176" s="45"/>
      <c r="F176" s="47"/>
      <c r="G176" s="48"/>
      <c r="H176" s="49"/>
      <c r="I176" s="45"/>
    </row>
    <row r="177" spans="1:10">
      <c r="A177" s="17"/>
      <c r="B177" s="18"/>
      <c r="C177" s="18"/>
      <c r="D177" s="27"/>
      <c r="E177" s="18"/>
      <c r="F177" s="19"/>
      <c r="G177" s="19"/>
      <c r="H177" s="21"/>
      <c r="I177" s="18"/>
      <c r="J177" s="18"/>
    </row>
    <row r="178" spans="1:10">
      <c r="A178" s="44"/>
      <c r="B178" s="45"/>
      <c r="C178" s="45"/>
      <c r="D178" s="46"/>
      <c r="E178" s="45"/>
      <c r="F178" s="47"/>
      <c r="G178" s="48"/>
      <c r="H178" s="49"/>
      <c r="I178" s="45"/>
    </row>
    <row r="179" spans="1:10">
      <c r="A179" s="17"/>
      <c r="B179" s="18"/>
      <c r="C179" s="18"/>
      <c r="D179" s="27"/>
      <c r="E179" s="18"/>
      <c r="F179" s="19"/>
      <c r="G179" s="19"/>
      <c r="H179" s="21"/>
      <c r="I179" s="18"/>
      <c r="J179" s="18"/>
    </row>
    <row r="180" spans="1:10">
      <c r="A180" s="44"/>
      <c r="B180" s="45"/>
      <c r="C180" s="45"/>
      <c r="D180" s="46"/>
      <c r="E180" s="45"/>
      <c r="F180" s="47"/>
      <c r="G180" s="48"/>
      <c r="H180" s="49"/>
      <c r="I180" s="45"/>
    </row>
    <row r="181" spans="1:10">
      <c r="A181" s="17"/>
      <c r="B181" s="18"/>
      <c r="C181" s="18"/>
      <c r="D181" s="27"/>
      <c r="E181" s="18"/>
      <c r="F181" s="19"/>
      <c r="G181" s="19"/>
      <c r="H181" s="21"/>
      <c r="I181" s="18"/>
      <c r="J181" s="18"/>
    </row>
    <row r="182" spans="1:10">
      <c r="A182" s="44"/>
      <c r="B182" s="45"/>
      <c r="C182" s="45"/>
      <c r="D182" s="46"/>
      <c r="E182" s="45"/>
      <c r="F182" s="47"/>
      <c r="G182" s="48"/>
      <c r="H182" s="49"/>
      <c r="I182" s="45"/>
    </row>
    <row r="183" spans="1:10">
      <c r="A183" s="17"/>
      <c r="B183" s="18"/>
      <c r="C183" s="18"/>
      <c r="D183" s="27"/>
      <c r="E183" s="18"/>
      <c r="F183" s="19"/>
      <c r="G183" s="19"/>
      <c r="H183" s="21"/>
      <c r="I183" s="18"/>
      <c r="J183" s="18"/>
    </row>
    <row r="184" spans="1:10">
      <c r="A184" s="44"/>
      <c r="B184" s="45"/>
      <c r="C184" s="45"/>
      <c r="D184" s="46"/>
      <c r="E184" s="45"/>
      <c r="F184" s="47"/>
      <c r="G184" s="48"/>
      <c r="H184" s="49"/>
      <c r="I184" s="45"/>
    </row>
    <row r="185" spans="1:10">
      <c r="A185" s="17"/>
      <c r="B185" s="18"/>
      <c r="C185" s="18"/>
      <c r="D185" s="27"/>
      <c r="E185" s="18"/>
      <c r="F185" s="19"/>
      <c r="G185" s="19"/>
      <c r="H185" s="21"/>
      <c r="I185" s="18"/>
      <c r="J185" s="18"/>
    </row>
    <row r="186" spans="1:10">
      <c r="A186" s="44"/>
      <c r="B186" s="45"/>
      <c r="C186" s="45"/>
      <c r="D186" s="46"/>
      <c r="E186" s="45"/>
      <c r="F186" s="47"/>
      <c r="G186" s="48"/>
      <c r="H186" s="49"/>
      <c r="I186" s="45"/>
    </row>
    <row r="187" spans="1:10">
      <c r="A187" s="17"/>
      <c r="B187" s="18"/>
      <c r="C187" s="18"/>
      <c r="D187" s="27"/>
      <c r="E187" s="18"/>
      <c r="F187" s="19"/>
      <c r="G187" s="19"/>
      <c r="H187" s="21"/>
      <c r="I187" s="18"/>
      <c r="J187" s="18"/>
    </row>
    <row r="188" spans="1:10">
      <c r="A188" s="44"/>
      <c r="B188" s="45"/>
      <c r="C188" s="45"/>
      <c r="D188" s="46"/>
      <c r="E188" s="45"/>
      <c r="F188" s="47"/>
      <c r="G188" s="48"/>
      <c r="H188" s="49"/>
      <c r="I188" s="45"/>
    </row>
    <row r="189" spans="1:10">
      <c r="A189" s="17"/>
      <c r="B189" s="18"/>
      <c r="C189" s="18"/>
      <c r="D189" s="27"/>
      <c r="E189" s="18"/>
      <c r="F189" s="19"/>
      <c r="G189" s="19"/>
      <c r="H189" s="21"/>
      <c r="I189" s="18"/>
      <c r="J189" s="18"/>
    </row>
    <row r="190" spans="1:10">
      <c r="A190" s="44"/>
      <c r="B190" s="45"/>
      <c r="C190" s="45"/>
      <c r="D190" s="46"/>
      <c r="E190" s="45"/>
      <c r="F190" s="47"/>
      <c r="G190" s="48"/>
      <c r="H190" s="49"/>
      <c r="I190" s="45"/>
    </row>
    <row r="191" spans="1:10">
      <c r="A191" s="17"/>
      <c r="B191" s="18"/>
      <c r="C191" s="18"/>
      <c r="D191" s="27"/>
      <c r="E191" s="18"/>
      <c r="F191" s="19"/>
      <c r="G191" s="19"/>
      <c r="H191" s="21"/>
      <c r="I191" s="18"/>
      <c r="J191" s="18"/>
    </row>
    <row r="192" spans="1:10">
      <c r="A192" s="44"/>
      <c r="B192" s="45"/>
      <c r="C192" s="45"/>
      <c r="D192" s="46"/>
      <c r="E192" s="45"/>
      <c r="F192" s="47"/>
      <c r="G192" s="48"/>
      <c r="H192" s="49"/>
      <c r="I192" s="45"/>
    </row>
    <row r="193" spans="1:10">
      <c r="A193" s="17"/>
      <c r="B193" s="18"/>
      <c r="C193" s="18"/>
      <c r="D193" s="27"/>
      <c r="E193" s="18"/>
      <c r="F193" s="19"/>
      <c r="G193" s="19"/>
      <c r="H193" s="21"/>
      <c r="I193" s="18"/>
      <c r="J193" s="18"/>
    </row>
    <row r="194" spans="1:10">
      <c r="A194" s="44"/>
      <c r="B194" s="45"/>
      <c r="C194" s="45"/>
      <c r="D194" s="46"/>
      <c r="E194" s="45"/>
      <c r="F194" s="47"/>
      <c r="G194" s="48"/>
      <c r="H194" s="49"/>
      <c r="I194" s="45"/>
    </row>
    <row r="195" spans="1:10">
      <c r="A195" s="17"/>
      <c r="B195" s="18"/>
      <c r="C195" s="18"/>
      <c r="D195" s="27"/>
      <c r="E195" s="18"/>
      <c r="F195" s="19"/>
      <c r="G195" s="19"/>
      <c r="H195" s="21"/>
      <c r="I195" s="18"/>
      <c r="J195" s="18"/>
    </row>
    <row r="196" spans="1:10">
      <c r="A196" s="44"/>
      <c r="B196" s="45"/>
      <c r="C196" s="45"/>
      <c r="D196" s="46"/>
      <c r="E196" s="45"/>
      <c r="F196" s="47"/>
      <c r="G196" s="48"/>
      <c r="H196" s="49"/>
      <c r="I196" s="45"/>
    </row>
    <row r="197" spans="1:10">
      <c r="A197" s="17"/>
      <c r="B197" s="18"/>
      <c r="C197" s="18"/>
      <c r="D197" s="27"/>
      <c r="E197" s="18"/>
      <c r="F197" s="19"/>
      <c r="G197" s="19"/>
      <c r="H197" s="21"/>
      <c r="I197" s="18"/>
      <c r="J197" s="18"/>
    </row>
    <row r="198" spans="1:10">
      <c r="A198" s="44"/>
      <c r="B198" s="45"/>
      <c r="C198" s="45"/>
      <c r="D198" s="46"/>
      <c r="E198" s="45"/>
      <c r="F198" s="47"/>
      <c r="G198" s="48"/>
      <c r="H198" s="49"/>
      <c r="I198" s="45"/>
    </row>
    <row r="199" spans="1:10">
      <c r="A199" s="17"/>
      <c r="B199" s="18"/>
      <c r="C199" s="18"/>
      <c r="D199" s="27"/>
      <c r="E199" s="18"/>
      <c r="F199" s="19"/>
      <c r="G199" s="19"/>
      <c r="H199" s="21"/>
      <c r="I199" s="18"/>
      <c r="J199" s="18"/>
    </row>
    <row r="200" spans="1:10">
      <c r="A200" s="44"/>
      <c r="B200" s="45"/>
      <c r="C200" s="45"/>
      <c r="D200" s="46"/>
      <c r="E200" s="45"/>
      <c r="F200" s="47"/>
      <c r="G200" s="48"/>
      <c r="H200" s="49"/>
      <c r="I200" s="45"/>
    </row>
    <row r="201" spans="1:10">
      <c r="A201" s="17"/>
      <c r="B201" s="18"/>
      <c r="C201" s="18"/>
      <c r="D201" s="27"/>
      <c r="E201" s="18"/>
      <c r="F201" s="19"/>
      <c r="G201" s="19"/>
      <c r="H201" s="21"/>
      <c r="I201" s="18"/>
      <c r="J201" s="18"/>
    </row>
    <row r="202" spans="1:10">
      <c r="A202" s="44"/>
      <c r="B202" s="45"/>
      <c r="C202" s="45"/>
      <c r="D202" s="46"/>
      <c r="E202" s="45"/>
      <c r="F202" s="47"/>
      <c r="G202" s="48"/>
      <c r="H202" s="49"/>
      <c r="I202" s="45"/>
    </row>
    <row r="203" spans="1:10">
      <c r="A203" s="17"/>
      <c r="B203" s="18"/>
      <c r="C203" s="18"/>
      <c r="D203" s="27"/>
      <c r="E203" s="18"/>
      <c r="F203" s="19"/>
      <c r="G203" s="19"/>
      <c r="H203" s="21"/>
      <c r="I203" s="18"/>
      <c r="J203" s="18"/>
    </row>
    <row r="204" spans="1:10">
      <c r="A204" s="44"/>
      <c r="B204" s="45"/>
      <c r="C204" s="45"/>
      <c r="D204" s="46"/>
      <c r="E204" s="45"/>
      <c r="F204" s="47"/>
      <c r="G204" s="48"/>
      <c r="H204" s="49"/>
      <c r="I204" s="45"/>
    </row>
    <row r="205" spans="1:10">
      <c r="A205" s="17"/>
      <c r="B205" s="18"/>
      <c r="C205" s="18"/>
      <c r="D205" s="27"/>
      <c r="E205" s="18"/>
      <c r="F205" s="19"/>
      <c r="G205" s="19"/>
      <c r="H205" s="21"/>
      <c r="I205" s="18"/>
      <c r="J205" s="18"/>
    </row>
    <row r="206" spans="1:10">
      <c r="A206" s="44"/>
      <c r="B206" s="45"/>
      <c r="C206" s="45"/>
      <c r="D206" s="46"/>
      <c r="E206" s="45"/>
      <c r="F206" s="47"/>
      <c r="G206" s="48"/>
      <c r="H206" s="49"/>
      <c r="I206" s="45"/>
    </row>
    <row r="207" spans="1:10">
      <c r="A207" s="17"/>
      <c r="B207" s="18"/>
      <c r="C207" s="18"/>
      <c r="D207" s="27"/>
      <c r="E207" s="18"/>
      <c r="F207" s="19"/>
      <c r="G207" s="19"/>
      <c r="H207" s="21"/>
      <c r="I207" s="18"/>
      <c r="J207" s="18"/>
    </row>
    <row r="208" spans="1:10">
      <c r="A208" s="44"/>
      <c r="B208" s="45"/>
      <c r="C208" s="45"/>
      <c r="D208" s="46"/>
      <c r="E208" s="45"/>
      <c r="F208" s="47"/>
      <c r="G208" s="48"/>
      <c r="H208" s="49"/>
      <c r="I208" s="45"/>
    </row>
    <row r="209" spans="1:10">
      <c r="A209" s="17"/>
      <c r="B209" s="18"/>
      <c r="C209" s="18"/>
      <c r="D209" s="27"/>
      <c r="E209" s="18"/>
      <c r="F209" s="19"/>
      <c r="G209" s="19"/>
      <c r="H209" s="21"/>
      <c r="I209" s="18"/>
      <c r="J209" s="18"/>
    </row>
    <row r="210" spans="1:10">
      <c r="A210" s="44"/>
      <c r="B210" s="45"/>
      <c r="C210" s="45"/>
      <c r="D210" s="46"/>
      <c r="E210" s="45"/>
      <c r="F210" s="47"/>
      <c r="G210" s="48"/>
      <c r="H210" s="49"/>
      <c r="I210" s="45"/>
    </row>
    <row r="211" spans="1:10">
      <c r="A211" s="17"/>
      <c r="B211" s="18"/>
      <c r="C211" s="18"/>
      <c r="D211" s="27"/>
      <c r="E211" s="18"/>
      <c r="F211" s="19"/>
      <c r="G211" s="19"/>
      <c r="H211" s="21"/>
      <c r="I211" s="18"/>
      <c r="J211" s="18"/>
    </row>
    <row r="212" spans="1:10">
      <c r="A212" s="44"/>
      <c r="B212" s="45"/>
      <c r="C212" s="45"/>
      <c r="D212" s="46"/>
      <c r="E212" s="45"/>
      <c r="F212" s="47"/>
      <c r="G212" s="48"/>
      <c r="H212" s="49"/>
      <c r="I212" s="45"/>
    </row>
    <row r="213" spans="1:10">
      <c r="A213" s="17"/>
      <c r="B213" s="18"/>
      <c r="C213" s="18"/>
      <c r="D213" s="27"/>
      <c r="E213" s="18"/>
      <c r="F213" s="19"/>
      <c r="G213" s="19"/>
      <c r="H213" s="21"/>
      <c r="I213" s="18"/>
      <c r="J213" s="18"/>
    </row>
    <row r="214" spans="1:10">
      <c r="A214" s="44"/>
      <c r="B214" s="45"/>
      <c r="C214" s="45"/>
      <c r="D214" s="46"/>
      <c r="E214" s="45"/>
      <c r="F214" s="47"/>
      <c r="G214" s="48"/>
      <c r="H214" s="49"/>
      <c r="I214" s="45"/>
    </row>
    <row r="215" spans="1:10">
      <c r="A215" s="17"/>
      <c r="B215" s="18"/>
      <c r="C215" s="18"/>
      <c r="D215" s="27"/>
      <c r="E215" s="18"/>
      <c r="F215" s="19"/>
      <c r="G215" s="19"/>
      <c r="H215" s="21"/>
      <c r="I215" s="18"/>
      <c r="J215" s="18"/>
    </row>
    <row r="216" spans="1:10">
      <c r="A216" s="44"/>
      <c r="B216" s="45"/>
      <c r="C216" s="45"/>
      <c r="D216" s="46"/>
      <c r="E216" s="45"/>
      <c r="F216" s="47"/>
      <c r="G216" s="48"/>
      <c r="H216" s="49"/>
      <c r="I216" s="45"/>
    </row>
    <row r="217" spans="1:10">
      <c r="A217" s="17"/>
      <c r="B217" s="18"/>
      <c r="C217" s="18"/>
      <c r="D217" s="27"/>
      <c r="E217" s="18"/>
      <c r="F217" s="19"/>
      <c r="G217" s="19"/>
      <c r="H217" s="21"/>
      <c r="I217" s="18"/>
      <c r="J217" s="18"/>
    </row>
    <row r="218" spans="1:10">
      <c r="A218" s="44"/>
      <c r="B218" s="45"/>
      <c r="C218" s="45"/>
      <c r="D218" s="46"/>
      <c r="E218" s="45"/>
      <c r="F218" s="47"/>
      <c r="G218" s="48"/>
      <c r="H218" s="49"/>
      <c r="I218" s="45"/>
    </row>
    <row r="219" spans="1:10">
      <c r="A219" s="17"/>
      <c r="B219" s="18"/>
      <c r="C219" s="18"/>
      <c r="D219" s="27"/>
      <c r="E219" s="18"/>
      <c r="F219" s="19"/>
      <c r="G219" s="19"/>
      <c r="H219" s="21"/>
      <c r="I219" s="18"/>
      <c r="J219" s="18"/>
    </row>
    <row r="220" spans="1:10">
      <c r="A220" s="44"/>
      <c r="B220" s="45"/>
      <c r="C220" s="45"/>
      <c r="D220" s="46"/>
      <c r="E220" s="45"/>
      <c r="F220" s="47"/>
      <c r="G220" s="48"/>
      <c r="H220" s="49"/>
      <c r="I220" s="45"/>
    </row>
    <row r="221" spans="1:10">
      <c r="A221" s="17"/>
      <c r="B221" s="18"/>
      <c r="C221" s="18"/>
      <c r="D221" s="27"/>
      <c r="E221" s="18"/>
      <c r="F221" s="19"/>
      <c r="G221" s="19"/>
      <c r="H221" s="21"/>
      <c r="I221" s="18"/>
      <c r="J221" s="18"/>
    </row>
    <row r="222" spans="1:10">
      <c r="A222" s="44"/>
      <c r="B222" s="45"/>
      <c r="C222" s="45"/>
      <c r="D222" s="46"/>
      <c r="E222" s="45"/>
      <c r="F222" s="47"/>
      <c r="G222" s="48"/>
      <c r="H222" s="49"/>
      <c r="I222" s="45"/>
    </row>
    <row r="223" spans="1:10">
      <c r="A223" s="17"/>
      <c r="B223" s="18"/>
      <c r="C223" s="18"/>
      <c r="D223" s="27"/>
      <c r="E223" s="18"/>
      <c r="F223" s="19"/>
      <c r="G223" s="19"/>
      <c r="H223" s="21"/>
      <c r="I223" s="18"/>
      <c r="J223" s="18"/>
    </row>
    <row r="224" spans="1:10">
      <c r="A224" s="44"/>
      <c r="B224" s="45"/>
      <c r="C224" s="45"/>
      <c r="D224" s="46"/>
      <c r="E224" s="45"/>
      <c r="F224" s="47"/>
      <c r="G224" s="48"/>
      <c r="H224" s="49"/>
      <c r="I224" s="45"/>
    </row>
    <row r="225" spans="1:10">
      <c r="A225" s="17"/>
      <c r="B225" s="18"/>
      <c r="C225" s="18"/>
      <c r="D225" s="27"/>
      <c r="E225" s="18"/>
      <c r="F225" s="19"/>
      <c r="G225" s="19"/>
      <c r="H225" s="21"/>
      <c r="I225" s="18"/>
      <c r="J225" s="18"/>
    </row>
    <row r="226" spans="1:10">
      <c r="A226" s="44"/>
      <c r="B226" s="45"/>
      <c r="C226" s="45"/>
      <c r="D226" s="46"/>
      <c r="E226" s="45"/>
      <c r="F226" s="47"/>
      <c r="G226" s="48"/>
      <c r="H226" s="49"/>
      <c r="I226" s="45"/>
    </row>
    <row r="227" spans="1:10">
      <c r="A227" s="17"/>
      <c r="B227" s="18"/>
      <c r="C227" s="18"/>
      <c r="D227" s="27"/>
      <c r="E227" s="18"/>
      <c r="F227" s="19"/>
      <c r="G227" s="19"/>
      <c r="H227" s="21"/>
      <c r="I227" s="18"/>
      <c r="J227" s="18"/>
    </row>
    <row r="228" spans="1:10">
      <c r="A228" s="44"/>
      <c r="B228" s="45"/>
      <c r="C228" s="45"/>
      <c r="D228" s="46"/>
      <c r="E228" s="45"/>
      <c r="F228" s="47"/>
      <c r="G228" s="48"/>
      <c r="H228" s="49"/>
      <c r="I228" s="45"/>
    </row>
    <row r="229" spans="1:10">
      <c r="A229" s="17"/>
      <c r="B229" s="18"/>
      <c r="C229" s="18"/>
      <c r="D229" s="27"/>
      <c r="E229" s="18"/>
      <c r="F229" s="19"/>
      <c r="G229" s="19"/>
      <c r="H229" s="21"/>
      <c r="I229" s="18"/>
      <c r="J229" s="18"/>
    </row>
    <row r="230" spans="1:10">
      <c r="A230" s="44"/>
      <c r="B230" s="45"/>
      <c r="C230" s="45"/>
      <c r="D230" s="46"/>
      <c r="E230" s="45"/>
      <c r="F230" s="47"/>
      <c r="G230" s="48"/>
      <c r="H230" s="49"/>
      <c r="I230" s="45"/>
    </row>
    <row r="231" spans="1:10">
      <c r="A231" s="17"/>
      <c r="B231" s="18"/>
      <c r="C231" s="18"/>
      <c r="D231" s="27"/>
      <c r="E231" s="18"/>
      <c r="F231" s="19"/>
      <c r="G231" s="19"/>
      <c r="H231" s="21"/>
      <c r="I231" s="18"/>
      <c r="J231" s="18"/>
    </row>
    <row r="232" spans="1:10">
      <c r="A232" s="44"/>
      <c r="B232" s="45"/>
      <c r="C232" s="45"/>
      <c r="D232" s="46"/>
      <c r="E232" s="45"/>
      <c r="F232" s="47"/>
      <c r="G232" s="48"/>
      <c r="H232" s="49"/>
      <c r="I232" s="45"/>
    </row>
    <row r="233" spans="1:10">
      <c r="A233" s="17"/>
      <c r="B233" s="18"/>
      <c r="C233" s="18"/>
      <c r="D233" s="27"/>
      <c r="E233" s="18"/>
      <c r="F233" s="19"/>
      <c r="G233" s="19"/>
      <c r="H233" s="21"/>
      <c r="I233" s="18"/>
      <c r="J233" s="18"/>
    </row>
    <row r="234" spans="1:10">
      <c r="A234" s="44"/>
      <c r="B234" s="45"/>
      <c r="C234" s="45"/>
      <c r="D234" s="46"/>
      <c r="E234" s="45"/>
      <c r="F234" s="47"/>
      <c r="G234" s="48"/>
      <c r="H234" s="49"/>
      <c r="I234" s="45"/>
    </row>
    <row r="235" spans="1:10">
      <c r="A235" s="17"/>
      <c r="B235" s="18"/>
      <c r="C235" s="18"/>
      <c r="D235" s="27"/>
      <c r="E235" s="18"/>
      <c r="F235" s="19"/>
      <c r="G235" s="19"/>
      <c r="H235" s="21"/>
      <c r="I235" s="18"/>
      <c r="J235" s="18"/>
    </row>
    <row r="236" spans="1:10">
      <c r="A236" s="44"/>
      <c r="B236" s="45"/>
      <c r="C236" s="45"/>
      <c r="D236" s="46"/>
      <c r="E236" s="45"/>
      <c r="F236" s="47"/>
      <c r="G236" s="48"/>
      <c r="H236" s="49"/>
      <c r="I236" s="45"/>
    </row>
    <row r="237" spans="1:10">
      <c r="A237" s="17"/>
      <c r="B237" s="18"/>
      <c r="C237" s="18"/>
      <c r="D237" s="27"/>
      <c r="E237" s="18"/>
      <c r="F237" s="19"/>
      <c r="G237" s="19"/>
      <c r="H237" s="21"/>
      <c r="I237" s="18"/>
      <c r="J237" s="18"/>
    </row>
    <row r="238" spans="1:10">
      <c r="A238" s="44"/>
      <c r="B238" s="45"/>
      <c r="C238" s="45"/>
      <c r="D238" s="46"/>
      <c r="E238" s="45"/>
      <c r="F238" s="47"/>
      <c r="G238" s="48"/>
      <c r="H238" s="49"/>
      <c r="I238" s="45"/>
    </row>
    <row r="239" spans="1:10">
      <c r="A239" s="17"/>
      <c r="B239" s="18"/>
      <c r="C239" s="18"/>
      <c r="D239" s="27"/>
      <c r="E239" s="18"/>
      <c r="F239" s="19"/>
      <c r="G239" s="19"/>
      <c r="H239" s="21"/>
      <c r="I239" s="18"/>
      <c r="J239" s="18"/>
    </row>
    <row r="240" spans="1:10">
      <c r="A240" s="44"/>
      <c r="B240" s="45"/>
      <c r="C240" s="45"/>
      <c r="D240" s="46"/>
      <c r="E240" s="45"/>
      <c r="F240" s="47"/>
      <c r="G240" s="48"/>
      <c r="H240" s="49"/>
      <c r="I240" s="45"/>
    </row>
    <row r="241" spans="1:10">
      <c r="A241" s="17"/>
      <c r="B241" s="18"/>
      <c r="C241" s="18"/>
      <c r="D241" s="27"/>
      <c r="E241" s="18"/>
      <c r="F241" s="19"/>
      <c r="G241" s="19"/>
      <c r="H241" s="21"/>
      <c r="I241" s="18"/>
      <c r="J241" s="18"/>
    </row>
    <row r="242" spans="1:10">
      <c r="A242" s="44"/>
      <c r="B242" s="45"/>
      <c r="C242" s="45"/>
      <c r="D242" s="46"/>
      <c r="E242" s="45"/>
      <c r="F242" s="47"/>
      <c r="G242" s="48"/>
      <c r="H242" s="49"/>
      <c r="I242" s="45"/>
    </row>
    <row r="243" spans="1:10">
      <c r="A243" s="17"/>
      <c r="B243" s="18"/>
      <c r="C243" s="18"/>
      <c r="D243" s="27"/>
      <c r="E243" s="18"/>
      <c r="F243" s="19"/>
      <c r="G243" s="19"/>
      <c r="H243" s="21"/>
      <c r="I243" s="18"/>
      <c r="J243" s="18"/>
    </row>
    <row r="244" spans="1:10">
      <c r="A244" s="44"/>
      <c r="B244" s="45"/>
      <c r="C244" s="45"/>
      <c r="D244" s="46"/>
      <c r="E244" s="45"/>
      <c r="F244" s="47"/>
      <c r="G244" s="48"/>
      <c r="H244" s="49"/>
      <c r="I244" s="45"/>
    </row>
    <row r="245" spans="1:10">
      <c r="A245" s="17"/>
      <c r="B245" s="18"/>
      <c r="C245" s="18"/>
      <c r="D245" s="27"/>
      <c r="E245" s="18"/>
      <c r="F245" s="19"/>
      <c r="G245" s="19"/>
      <c r="H245" s="21"/>
      <c r="I245" s="18"/>
      <c r="J245" s="18"/>
    </row>
    <row r="246" spans="1:10">
      <c r="A246" s="44"/>
      <c r="B246" s="45"/>
      <c r="C246" s="45"/>
      <c r="D246" s="46"/>
      <c r="E246" s="45"/>
      <c r="F246" s="47"/>
      <c r="G246" s="48"/>
      <c r="H246" s="49"/>
      <c r="I246" s="45"/>
    </row>
    <row r="247" spans="1:10">
      <c r="A247" s="17"/>
      <c r="B247" s="18"/>
      <c r="C247" s="18"/>
      <c r="D247" s="27"/>
      <c r="E247" s="18"/>
      <c r="F247" s="19"/>
      <c r="G247" s="19"/>
      <c r="H247" s="21"/>
      <c r="I247" s="18"/>
      <c r="J247" s="18"/>
    </row>
    <row r="248" spans="1:10">
      <c r="A248" s="44"/>
      <c r="B248" s="45"/>
      <c r="C248" s="45"/>
      <c r="D248" s="46"/>
      <c r="E248" s="45"/>
      <c r="F248" s="47"/>
      <c r="G248" s="48"/>
      <c r="H248" s="49"/>
      <c r="I248" s="45"/>
    </row>
    <row r="249" spans="1:10">
      <c r="A249" s="17"/>
      <c r="B249" s="18"/>
      <c r="C249" s="18"/>
      <c r="D249" s="27"/>
      <c r="E249" s="18"/>
      <c r="F249" s="19"/>
      <c r="G249" s="19"/>
      <c r="H249" s="21"/>
      <c r="I249" s="18"/>
      <c r="J249" s="18"/>
    </row>
    <row r="250" spans="1:10">
      <c r="A250" s="44"/>
      <c r="B250" s="45"/>
      <c r="C250" s="45"/>
      <c r="D250" s="46"/>
      <c r="E250" s="45"/>
      <c r="F250" s="47"/>
      <c r="G250" s="48"/>
      <c r="H250" s="49"/>
      <c r="I250" s="45"/>
    </row>
    <row r="251" spans="1:10">
      <c r="A251" s="17"/>
      <c r="B251" s="18"/>
      <c r="C251" s="18"/>
      <c r="D251" s="27"/>
      <c r="E251" s="18"/>
      <c r="F251" s="19"/>
      <c r="G251" s="19"/>
      <c r="H251" s="21"/>
      <c r="I251" s="18"/>
      <c r="J251" s="18"/>
    </row>
    <row r="252" spans="1:10">
      <c r="A252" s="44"/>
      <c r="B252" s="45"/>
      <c r="C252" s="45"/>
      <c r="D252" s="46"/>
      <c r="E252" s="45"/>
      <c r="F252" s="47"/>
      <c r="G252" s="48"/>
      <c r="H252" s="49"/>
      <c r="I252" s="45"/>
    </row>
    <row r="253" spans="1:10">
      <c r="A253" s="17"/>
      <c r="B253" s="18"/>
      <c r="C253" s="18"/>
      <c r="D253" s="27"/>
      <c r="E253" s="18"/>
      <c r="F253" s="19"/>
      <c r="G253" s="19"/>
      <c r="H253" s="21"/>
      <c r="I253" s="18"/>
      <c r="J253" s="18"/>
    </row>
    <row r="254" spans="1:10">
      <c r="A254" s="44"/>
      <c r="B254" s="45"/>
      <c r="C254" s="45"/>
      <c r="D254" s="46"/>
      <c r="E254" s="45"/>
      <c r="F254" s="47"/>
      <c r="G254" s="48"/>
      <c r="H254" s="49"/>
      <c r="I254" s="45"/>
    </row>
    <row r="255" spans="1:10">
      <c r="A255" s="90"/>
      <c r="B255" s="90" t="s">
        <v>925</v>
      </c>
      <c r="C255" s="90"/>
      <c r="D255" s="91">
        <f>SUM(D5:D254)</f>
        <v>0</v>
      </c>
      <c r="E255" s="90"/>
      <c r="F255" s="91">
        <f>SUM(F5:F254)</f>
        <v>0</v>
      </c>
      <c r="G255" s="91">
        <f>SUM(G5:G254)</f>
        <v>0</v>
      </c>
      <c r="H255" s="90"/>
      <c r="I255" s="90"/>
    </row>
    <row r="256" spans="1:10">
      <c r="A256" s="92"/>
      <c r="B256" s="92" t="s">
        <v>2260</v>
      </c>
      <c r="C256" s="92"/>
      <c r="D256" s="93">
        <f>(D255-F255-T5)-(L18-L19)</f>
        <v>0</v>
      </c>
      <c r="E256" s="92"/>
      <c r="F256" s="93"/>
      <c r="G256" s="93"/>
      <c r="H256" s="92"/>
      <c r="I256" s="92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type="list" allowBlank="1" sqref="E5:E254">
      <formula1>"Dinheiro,Pix,Débito,Crédito à Vista,Crédito Parcelado,Aguardando Pagamento"</formula1>
    </dataValidation>
    <dataValidation type="list" allowBlank="1" sqref="H5:H254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Início</vt:lpstr>
      <vt:lpstr>Dashboard</vt:lpstr>
      <vt:lpstr>DRE Simplificado</vt:lpstr>
      <vt:lpstr>Contas a Pagar e Receber</vt:lpstr>
      <vt:lpstr>Capital de Giro (BB)</vt:lpstr>
      <vt:lpstr>Ponto de Equilíbrio</vt:lpstr>
      <vt:lpstr>Fluxo de Caixa Projetado</vt:lpstr>
      <vt:lpstr>Reserva e Impostos</vt:lpstr>
      <vt:lpstr>Orçado vs Realizado</vt:lpstr>
      <vt:lpstr>Precificação e Margem</vt:lpstr>
      <vt:lpstr>Conciliação Bancária</vt:lpstr>
      <vt:lpstr>Cadastro Clientes-Fornec</vt:lpstr>
      <vt:lpstr>Jan 2026</vt:lpstr>
      <vt:lpstr>Fev 2026</vt:lpstr>
      <vt:lpstr>Mar 2026</vt:lpstr>
      <vt:lpstr>Abr 2026</vt:lpstr>
      <vt:lpstr>Mai 2026</vt:lpstr>
      <vt:lpstr>Jun 2026</vt:lpstr>
      <vt:lpstr>Jul 2026</vt:lpstr>
      <vt:lpstr>Ago 2026</vt:lpstr>
      <vt:lpstr>Set 2026</vt:lpstr>
      <vt:lpstr>Out 2026</vt:lpstr>
      <vt:lpstr>Nov 2026</vt:lpstr>
      <vt:lpstr>Dez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Planeta</cp:lastModifiedBy>
  <cp:revision>1</cp:revision>
  <dcterms:created xsi:type="dcterms:W3CDTF">2026-07-27T20:24:43Z</dcterms:created>
  <dcterms:modified xsi:type="dcterms:W3CDTF">2026-09-22T20:00:34Z</dcterms:modified>
  <dc:language>en-US</dc:language>
</cp:coreProperties>
</file>