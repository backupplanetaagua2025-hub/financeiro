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0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D129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Pago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Pago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Financiamento — carro da loja</t>
        </is>
      </c>
      <c r="B107" s="82" t="inlineStr">
        <is>
          <t>Prestação do carro da loja — parcela 1/20</t>
        </is>
      </c>
      <c r="C107" s="81" t="n">
        <v>46336</v>
      </c>
      <c r="D107" s="83" t="n">
        <v>1000</v>
      </c>
      <c r="E107" s="113" t="inlineStr">
        <is>
          <t>Previsto</t>
        </is>
      </c>
      <c r="F107" s="113">
        <f>IF(OR($E107="Pago",$C107=""),"",MAX(0,TODAY()-$C107))</f>
        <v/>
      </c>
      <c r="G107" s="82" t="inlineStr">
        <is>
          <t>PREVISÃO — prestação mensal do carro da loja: 20x R$ 1.000,00, todo dia 10, de 10/11/2026 a 10/06/2028. Categoria quando pagar: Transporte e Entregas.</t>
        </is>
      </c>
    </row>
    <row r="108" s="157">
      <c r="A108" s="82" t="inlineStr">
        <is>
          <t>Financiamento — carro da loja</t>
        </is>
      </c>
      <c r="B108" s="82" t="inlineStr">
        <is>
          <t>Prestação do carro da loja — parcela 2/20</t>
        </is>
      </c>
      <c r="C108" s="81" t="n">
        <v>46366</v>
      </c>
      <c r="D108" s="83" t="n">
        <v>1000</v>
      </c>
      <c r="E108" s="113" t="inlineStr">
        <is>
          <t>Previsto</t>
        </is>
      </c>
      <c r="F108" s="113">
        <f>IF(OR($E108="Pago",$C108=""),"",MAX(0,TODAY()-$C108))</f>
        <v/>
      </c>
      <c r="G108" s="82" t="inlineStr">
        <is>
          <t>PREVISÃO — prestação mensal do carro da loja: 20x R$ 1.000,00, todo dia 10, de 10/11/2026 a 10/06/2028. Categoria quando pagar: Transporte e Entregas.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3/20</t>
        </is>
      </c>
      <c r="C109" s="81" t="n">
        <v>46397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4/20</t>
        </is>
      </c>
      <c r="C110" s="81" t="n">
        <v>46428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5/20</t>
        </is>
      </c>
      <c r="C111" s="81" t="n">
        <v>46456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6/20</t>
        </is>
      </c>
      <c r="C112" s="81" t="n">
        <v>46487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7/20</t>
        </is>
      </c>
      <c r="C113" s="81" t="n">
        <v>46517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8/20</t>
        </is>
      </c>
      <c r="C114" s="81" t="n">
        <v>46548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9/20</t>
        </is>
      </c>
      <c r="C115" s="81" t="n">
        <v>46578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10/20</t>
        </is>
      </c>
      <c r="C116" s="81" t="n">
        <v>46609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11/20</t>
        </is>
      </c>
      <c r="C117" s="81" t="n">
        <v>46640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12/20</t>
        </is>
      </c>
      <c r="C118" s="81" t="n">
        <v>46670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13/20</t>
        </is>
      </c>
      <c r="C119" s="81" t="n">
        <v>46701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14/20</t>
        </is>
      </c>
      <c r="C120" s="81" t="n">
        <v>46731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15/20</t>
        </is>
      </c>
      <c r="C121" s="81" t="n">
        <v>46762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16/20</t>
        </is>
      </c>
      <c r="C122" s="81" t="n">
        <v>46793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17/20</t>
        </is>
      </c>
      <c r="C123" s="81" t="n">
        <v>46822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18/20</t>
        </is>
      </c>
      <c r="C124" s="81" t="n">
        <v>46853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19/20</t>
        </is>
      </c>
      <c r="C125" s="81" t="n">
        <v>46883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20/20</t>
        </is>
      </c>
      <c r="C126" s="81" t="n">
        <v>46914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6" t="inlineStr">
        <is>
          <t>TOTAL A PAGAR — COM BOLETO EM MÃOS</t>
        </is>
      </c>
      <c r="B127" s="86" t="n"/>
      <c r="C127" s="114" t="n"/>
      <c r="D127" s="115">
        <f>SUMIF(E11:E126,"Pendente",D11:D126)</f>
        <v/>
      </c>
      <c r="E127" s="116" t="n"/>
      <c r="F127" s="116" t="n"/>
      <c r="G127" s="86" t="n"/>
    </row>
    <row r="128" s="157">
      <c r="A128" s="144" t="inlineStr">
        <is>
          <t>PREVISTO — compromisso certo que ainda não está documentado</t>
        </is>
      </c>
      <c r="B128" s="144" t="n"/>
      <c r="C128" s="145" t="n"/>
      <c r="D128" s="146">
        <f>SUMIF(E11:E126,"Previsto",D11:D126)</f>
        <v/>
      </c>
      <c r="E128" s="142" t="n"/>
      <c r="F128" s="142" t="n"/>
      <c r="G128" s="144" t="n"/>
    </row>
    <row r="129" s="157">
      <c r="A129" s="86" t="inlineStr">
        <is>
          <t>TOTAL GERAL A PAGAR (boletos + previsão)</t>
        </is>
      </c>
      <c r="B129" s="86" t="n"/>
      <c r="C129" s="114" t="n"/>
      <c r="D129" s="115">
        <f>D127+D128</f>
        <v/>
      </c>
      <c r="E129" s="116" t="n"/>
      <c r="F129" s="116" t="n"/>
      <c r="G129" s="86" t="n"/>
    </row>
    <row r="130" ht="15.75" customHeight="1" s="157"/>
    <row r="131" ht="15.75" customHeight="1" s="157">
      <c r="A131" s="200" t="inlineStr">
        <is>
          <t>CONTAS A RECEBER  —  vendas feitas e ainda não pagas</t>
        </is>
      </c>
    </row>
    <row r="132" s="157">
      <c r="A13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3" s="157">
      <c r="A133" s="111" t="inlineStr">
        <is>
          <t>Cliente</t>
        </is>
      </c>
      <c r="B133" s="111" t="inlineStr">
        <is>
          <t>Produto / Referência</t>
        </is>
      </c>
      <c r="C133" s="111" t="inlineStr">
        <is>
          <t>Data da Venda</t>
        </is>
      </c>
      <c r="D133" s="111" t="inlineStr">
        <is>
          <t>Valor (R$)</t>
        </is>
      </c>
      <c r="E133" s="111" t="inlineStr">
        <is>
          <t>Status</t>
        </is>
      </c>
      <c r="F133" s="111" t="inlineStr">
        <is>
          <t>Dias em Atraso</t>
        </is>
      </c>
      <c r="G133" s="111" t="inlineStr">
        <is>
          <t>Observações</t>
        </is>
      </c>
    </row>
    <row r="134" s="157">
      <c r="A134" s="78" t="inlineStr">
        <is>
          <t>Centro de Especialidades Odontomédicas</t>
        </is>
      </c>
      <c r="B134" s="78" t="inlineStr">
        <is>
          <t>Refil Everest</t>
        </is>
      </c>
      <c r="C134" s="77" t="n">
        <v>46239</v>
      </c>
      <c r="D134" s="79" t="n">
        <v>140</v>
      </c>
      <c r="E134" s="112" t="inlineStr">
        <is>
          <t>Pendente</t>
        </is>
      </c>
      <c r="F134" s="112">
        <f>IF(OR($E134="Recebido",$C134=""),"",MAX(0,TODAY()-$C134))</f>
        <v/>
      </c>
      <c r="G134" s="78" t="n"/>
    </row>
    <row r="135" s="157">
      <c r="A135" s="82" t="inlineStr">
        <is>
          <t>Supermercado Brasil</t>
        </is>
      </c>
      <c r="B135" s="82" t="inlineStr">
        <is>
          <t>2x Refil Pro Life</t>
        </is>
      </c>
      <c r="C135" s="81" t="n">
        <v>46239</v>
      </c>
      <c r="D135" s="83" t="n">
        <v>280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Recebido via Pix em 22/10/2026 — lançado em "Out 2026".</t>
        </is>
      </c>
    </row>
    <row r="136" s="157">
      <c r="A136" s="78" t="inlineStr">
        <is>
          <t>Tropical Motos LTDA</t>
        </is>
      </c>
      <c r="B136" s="78" t="inlineStr">
        <is>
          <t>3x Refil Everest + Refil Pro Life + 3x Pré Filtro + Válvula Reguladora de Pressão</t>
        </is>
      </c>
      <c r="C136" s="77" t="n">
        <v>46245</v>
      </c>
      <c r="D136" s="79" t="n">
        <v>820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TED em 25/08/2026. NF conferida: valor correto é R$820 (faltava a válvula no lançamento original de R$740).</t>
        </is>
      </c>
    </row>
    <row r="137" s="157">
      <c r="A137" s="82" t="inlineStr">
        <is>
          <t>Free Way</t>
        </is>
      </c>
      <c r="B137" s="82" t="inlineStr">
        <is>
          <t>5x Refil Everest</t>
        </is>
      </c>
      <c r="C137" s="81" t="n">
        <v>46251</v>
      </c>
      <c r="D137" s="83" t="n">
        <v>700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TED em 02/09/2026.</t>
        </is>
      </c>
    </row>
    <row r="138" s="157">
      <c r="A138" s="78" t="inlineStr">
        <is>
          <t>Neli Sena Rego</t>
        </is>
      </c>
      <c r="B138" s="78" t="inlineStr">
        <is>
          <t>Refil Pro Life</t>
        </is>
      </c>
      <c r="C138" s="77" t="n">
        <v>46254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em dinheiro em 01/09/2026 (R$ 170,00 pelas duas vendas)</t>
        </is>
      </c>
    </row>
    <row r="139" s="157">
      <c r="A139" s="82" t="inlineStr">
        <is>
          <t>Neli Sena Rego</t>
        </is>
      </c>
      <c r="B139" s="82" t="inlineStr">
        <is>
          <t>Conexão + Mangueira</t>
        </is>
      </c>
      <c r="C139" s="81" t="n">
        <v>46255</v>
      </c>
      <c r="D139" s="83" t="n">
        <v>40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em dinheiro em 01/09/2026 (R$ 170,00 pelas duas vendas)</t>
        </is>
      </c>
    </row>
    <row r="140" s="157">
      <c r="A140" s="78" t="inlineStr">
        <is>
          <t>Lapec</t>
        </is>
      </c>
      <c r="B140" s="78" t="inlineStr">
        <is>
          <t>4x Refil Everest</t>
        </is>
      </c>
      <c r="C140" s="77" t="n">
        <v>46258</v>
      </c>
      <c r="D140" s="79" t="n">
        <v>480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em dinheiro em 08/09/2026 — lançado em "Set 2026".</t>
        </is>
      </c>
    </row>
    <row r="141" s="157">
      <c r="A141" s="82" t="inlineStr">
        <is>
          <t>Cícero Lima</t>
        </is>
      </c>
      <c r="B141" s="82" t="inlineStr">
        <is>
          <t>Refil Everest</t>
        </is>
      </c>
      <c r="C141" s="81" t="n">
        <v>46261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27/08/2026</t>
        </is>
      </c>
    </row>
    <row r="142" s="157">
      <c r="A142" s="78" t="inlineStr">
        <is>
          <t>Promotoria Regional de Jacobina</t>
        </is>
      </c>
      <c r="B142" s="78" t="inlineStr">
        <is>
          <t>2x Carcaça 9" + 2x Refil Plissado 9" + Conexão Reta Rosca</t>
        </is>
      </c>
      <c r="C142" s="77" t="n">
        <v>46261</v>
      </c>
      <c r="D142" s="79" t="n">
        <v>470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Pago em 28/08/2026 em duas formas: R$ 270,00 Pix + R$ 200,00 crédito 2x</t>
        </is>
      </c>
    </row>
    <row r="143" s="157">
      <c r="A143" s="82" t="inlineStr">
        <is>
          <t>Lucas Souza</t>
        </is>
      </c>
      <c r="B143" s="82" t="inlineStr">
        <is>
          <t>Refil Everest + Pré Filtro</t>
        </is>
      </c>
      <c r="C143" s="81" t="n">
        <v>46261</v>
      </c>
      <c r="D143" s="83" t="n">
        <v>200</v>
      </c>
      <c r="E143" s="113" t="inlineStr">
        <is>
          <t>Recebido</t>
        </is>
      </c>
      <c r="F143" s="113">
        <f>IF(OR($E143="Recebido",$C143=""),"",MAX(0,TODAY()-$C143))</f>
        <v/>
      </c>
      <c r="G143" s="82" t="inlineStr">
        <is>
          <t>Recebido em dinheiro em 03/09/2026 — lançado em "Set 2026".</t>
        </is>
      </c>
    </row>
    <row r="144" s="157">
      <c r="A144" s="78" t="inlineStr">
        <is>
          <t>FG Boa Vista (Recife/PE)</t>
        </is>
      </c>
      <c r="B144" s="78" t="inlineStr">
        <is>
          <t>Refis — troca de julho/2026</t>
        </is>
      </c>
      <c r="C144" s="77" t="n">
        <v>46261</v>
      </c>
      <c r="D144" s="79" t="n">
        <v>1008.8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Grupo Ânima — NF 000.004.280 · recebido em 30/08/2026 (Nota Paga no portal V360)</t>
        </is>
      </c>
    </row>
    <row r="145" s="157">
      <c r="A145" s="82" t="inlineStr">
        <is>
          <t>UNIFG Guanambi (Guanambi/BA)</t>
        </is>
      </c>
      <c r="B145" s="82" t="inlineStr">
        <is>
          <t>Refis — troca de julho/2026</t>
        </is>
      </c>
      <c r="C145" s="81" t="n">
        <v>46261</v>
      </c>
      <c r="D145" s="83" t="n">
        <v>4534.75</v>
      </c>
      <c r="E145" s="113" t="inlineStr">
        <is>
          <t>Recebido</t>
        </is>
      </c>
      <c r="F145" s="113">
        <f>IF(OR($E145="Recebido",$C145=""),"",MAX(0,TODAY()-$C145))</f>
        <v/>
      </c>
      <c r="G145" s="82" t="inlineStr">
        <is>
          <t>Grupo Ânima — NF 000.004.281 · recebido em 30/08/2026 (Nota Paga no portal V360)</t>
        </is>
      </c>
    </row>
    <row r="146" s="157">
      <c r="A146" s="78" t="inlineStr">
        <is>
          <t>UNP Zona Norte (Natal/RN)</t>
        </is>
      </c>
      <c r="B146" s="78" t="inlineStr">
        <is>
          <t>Refis — troca de julho/2026</t>
        </is>
      </c>
      <c r="C146" s="77" t="n">
        <v>46261</v>
      </c>
      <c r="D146" s="79" t="n">
        <v>870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Grupo Ânima — NF 000.004.282 · recebido em 30/08/2026 (Nota Paga no portal V360)</t>
        </is>
      </c>
    </row>
    <row r="147" s="157">
      <c r="A147" s="82" t="inlineStr">
        <is>
          <t>UNP Caicó (Caicó/RN)</t>
        </is>
      </c>
      <c r="B147" s="82" t="inlineStr">
        <is>
          <t>Refis — troca de julho/2026</t>
        </is>
      </c>
      <c r="C147" s="81" t="n">
        <v>46261</v>
      </c>
      <c r="D147" s="83" t="n">
        <v>440</v>
      </c>
      <c r="E147" s="113" t="inlineStr">
        <is>
          <t>Recebido</t>
        </is>
      </c>
      <c r="F147" s="113">
        <f>IF(OR($E147="Recebido",$C147=""),"",MAX(0,TODAY()-$C147))</f>
        <v/>
      </c>
      <c r="G147" s="82" t="inlineStr">
        <is>
          <t>Grupo Ânima — NF 000.004.283 · recebido via Pix em 27/08/2026</t>
        </is>
      </c>
    </row>
    <row r="148" s="157">
      <c r="A148" s="78" t="inlineStr">
        <is>
          <t>AGES Irecê (Irecê/BA)</t>
        </is>
      </c>
      <c r="B148" s="78" t="inlineStr">
        <is>
          <t>Refis — troca de julho/2026</t>
        </is>
      </c>
      <c r="C148" s="77" t="n">
        <v>46269</v>
      </c>
      <c r="D148" s="79" t="n">
        <v>1338.6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Grupo Ânima — NF 000.004.294 · recebido via Pix em 04/09/2026.</t>
        </is>
      </c>
    </row>
    <row r="149" s="157">
      <c r="A149" s="82" t="inlineStr">
        <is>
          <t>CIS Irecê (Irecê/BA)</t>
        </is>
      </c>
      <c r="B149" s="82" t="inlineStr">
        <is>
          <t>Refis — troca de julho/2026</t>
        </is>
      </c>
      <c r="C149" s="81" t="n">
        <v>46269</v>
      </c>
      <c r="D149" s="83" t="n">
        <v>1358</v>
      </c>
      <c r="E149" s="113" t="inlineStr">
        <is>
          <t>Recebido</t>
        </is>
      </c>
      <c r="F149" s="113">
        <f>IF(OR($E149="Recebido",$C149=""),"",MAX(0,TODAY()-$C149))</f>
        <v/>
      </c>
      <c r="G149" s="82" t="inlineStr">
        <is>
          <t>Grupo Ânima — NF 000.004.295 · recebido via Pix em 04/09/2026.</t>
        </is>
      </c>
    </row>
    <row r="150" s="157">
      <c r="A150" s="78" t="inlineStr">
        <is>
          <t>AGES Senhor do Bonfim (S. do Bonfim/BA)</t>
        </is>
      </c>
      <c r="B150" s="78" t="inlineStr">
        <is>
          <t>Refis — troca de julho/2026</t>
        </is>
      </c>
      <c r="C150" s="77" t="n">
        <v>46270</v>
      </c>
      <c r="D150" s="79" t="n">
        <v>649.9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Grupo Ânima — NF 000.004.298 · recebido via Pix em 08/09/2026.</t>
        </is>
      </c>
    </row>
    <row r="151" s="157">
      <c r="A151" s="82" t="inlineStr">
        <is>
          <t>CIS Senhor do Bonfim (S. do Bonfim/BA)</t>
        </is>
      </c>
      <c r="B151" s="82" t="inlineStr">
        <is>
          <t>Refis — troca de julho/2026</t>
        </is>
      </c>
      <c r="C151" s="81" t="n">
        <v>46270</v>
      </c>
      <c r="D151" s="83" t="n">
        <v>562.6</v>
      </c>
      <c r="E151" s="113" t="inlineStr">
        <is>
          <t>Recebido</t>
        </is>
      </c>
      <c r="F151" s="113">
        <f>IF(OR($E151="Recebido",$C151=""),"",MAX(0,TODAY()-$C151))</f>
        <v/>
      </c>
      <c r="G151" s="82" t="inlineStr">
        <is>
          <t>Grupo Ânima — NF 000.004.299 · recebido via Pix em 08/09/2026.</t>
        </is>
      </c>
    </row>
    <row r="152" s="157">
      <c r="A152" s="78" t="inlineStr">
        <is>
          <t>AGES Paripiranga (Paripiranga/BA)</t>
        </is>
      </c>
      <c r="B152" s="78" t="inlineStr">
        <is>
          <t>Refis — troca de julho/2026</t>
        </is>
      </c>
      <c r="C152" s="77" t="n">
        <v>46270</v>
      </c>
      <c r="D152" s="79" t="n">
        <v>1086.4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Grupo Ânima — NF 000.004.300 · recebido via Pix em 08/09/2026.</t>
        </is>
      </c>
    </row>
    <row r="153" s="157">
      <c r="A153" s="82" t="inlineStr">
        <is>
          <t>Clínica Veterinária Paripiranga (Paripiranga/BA)</t>
        </is>
      </c>
      <c r="B153" s="82" t="inlineStr">
        <is>
          <t>Refis — troca de julho/2026</t>
        </is>
      </c>
      <c r="C153" s="81" t="n">
        <v>46270</v>
      </c>
      <c r="D153" s="83" t="n">
        <v>1265.85</v>
      </c>
      <c r="E153" s="113" t="inlineStr">
        <is>
          <t>Recebido</t>
        </is>
      </c>
      <c r="F153" s="113">
        <f>IF(OR($E153="Recebido",$C153=""),"",MAX(0,TODAY()-$C153))</f>
        <v/>
      </c>
      <c r="G153" s="82" t="inlineStr">
        <is>
          <t>Grupo Ânima — NF 000.004.301 · recebido via Pix em 08/09/2026.</t>
        </is>
      </c>
    </row>
    <row r="154" s="157">
      <c r="A154" s="78" t="inlineStr">
        <is>
          <t>UNP Mossoró (Mossoró/RN)</t>
        </is>
      </c>
      <c r="B154" s="78" t="inlineStr">
        <is>
          <t>Refis — troca de julho/2026</t>
        </is>
      </c>
      <c r="C154" s="77" t="n">
        <v>46270</v>
      </c>
      <c r="D154" s="79" t="n">
        <v>1867.25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Grupo Ânima — NF 000.004.302 · recebido via Pix em 08/09/2026.</t>
        </is>
      </c>
    </row>
    <row r="155" s="157">
      <c r="A155" s="82" t="inlineStr">
        <is>
          <t>CIS Jacobina (Jacobina/BA)</t>
        </is>
      </c>
      <c r="B155" s="82" t="inlineStr">
        <is>
          <t>Refis — troca de julho/2026</t>
        </is>
      </c>
      <c r="C155" s="81" t="n">
        <v>46290</v>
      </c>
      <c r="D155" s="83" t="n">
        <v>2095.2</v>
      </c>
      <c r="E155" s="113" t="inlineStr">
        <is>
          <t>Recebido</t>
        </is>
      </c>
      <c r="F155" s="113">
        <f>IF(OR($E155="Recebido",$C155=""),"",MAX(0,TODAY()-$C155))</f>
        <v/>
      </c>
      <c r="G155" s="82" t="inlineStr">
        <is>
          <t>Grupo Ânima — NF 000.004.333 de 26/08/2026 · OC AEMPPO00004452 · 30 dias · recebido via Pix em 25/09/2026 (Nota Paga no portal V360).</t>
        </is>
      </c>
    </row>
    <row r="156" s="157">
      <c r="A156" s="78" t="inlineStr">
        <is>
          <t>AGES Jacobina (Jacobina/BA)</t>
        </is>
      </c>
      <c r="B156" s="78" t="inlineStr">
        <is>
          <t>Refis — troca de julho/2026</t>
        </is>
      </c>
      <c r="C156" s="77" t="n">
        <v>46305</v>
      </c>
      <c r="D156" s="79" t="n">
        <v>1188.25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Grupo Ânima — NF 000.004.332 de 26/08/2026 · OC AEMPPO00004453 · 45 dias · Recebido em 13/10/2026 no BNB (Nota Paga no portal V360).</t>
        </is>
      </c>
    </row>
    <row r="157" s="157">
      <c r="A157" s="82" t="inlineStr">
        <is>
          <t>Instituto Paulo Leão</t>
        </is>
      </c>
      <c r="B157" s="82" t="inlineStr">
        <is>
          <t>Refil E3 + Pré Filtro</t>
        </is>
      </c>
      <c r="C157" s="81" t="n">
        <v>46265</v>
      </c>
      <c r="D157" s="83" t="n">
        <v>160</v>
      </c>
      <c r="E157" s="113" t="inlineStr">
        <is>
          <t>Recebido</t>
        </is>
      </c>
      <c r="F157" s="113">
        <f>IF(OR($E157="Recebido",$C157=""),"",MAX(0,TODAY()-$C157))</f>
        <v/>
      </c>
      <c r="G157" s="82" t="inlineStr">
        <is>
          <t>Recebido via Pix em 08/09/2026 — lançado em "Set 2026".</t>
        </is>
      </c>
    </row>
    <row r="158" s="157">
      <c r="A158" s="78" t="inlineStr">
        <is>
          <t>Eletronic Segurança Eletronica</t>
        </is>
      </c>
      <c r="B158" s="78" t="inlineStr">
        <is>
          <t>Pré Filtro</t>
        </is>
      </c>
      <c r="C158" s="77" t="n">
        <v>46265</v>
      </c>
      <c r="D158" s="79" t="n">
        <v>60</v>
      </c>
      <c r="E158" s="112" t="inlineStr">
        <is>
          <t>Recebido</t>
        </is>
      </c>
      <c r="F158" s="112">
        <f>IF(OR($E158="Recebido",$C158=""),"",MAX(0,TODAY()-$C158))</f>
        <v/>
      </c>
      <c r="G158" s="78" t="inlineStr">
        <is>
          <t>Recebido via Pix em 03/09/2026.</t>
        </is>
      </c>
    </row>
    <row r="159" s="157">
      <c r="A159" s="82" t="inlineStr">
        <is>
          <t>Clube dos Mineiros</t>
        </is>
      </c>
      <c r="B159" s="82" t="inlineStr">
        <is>
          <t>Refil Pro Life</t>
        </is>
      </c>
      <c r="C159" s="81" t="n">
        <v>46265</v>
      </c>
      <c r="D159" s="83" t="n">
        <v>150</v>
      </c>
      <c r="E159" s="113" t="inlineStr">
        <is>
          <t>Recebido</t>
        </is>
      </c>
      <c r="F159" s="113">
        <f>IF(OR($E159="Recebido",$C159=""),"",MAX(0,TODAY()-$C159))</f>
        <v/>
      </c>
      <c r="G159" s="82" t="inlineStr">
        <is>
          <t>Recebido via Pix em 01/09/2026 (pagador: Sindicato dos Mineiros de Jacobina).</t>
        </is>
      </c>
    </row>
    <row r="160" s="157">
      <c r="A160" s="78" t="inlineStr">
        <is>
          <t>Armazem Cecilio Mota</t>
        </is>
      </c>
      <c r="B160" s="78" t="inlineStr">
        <is>
          <t>Refil Everest + Refil Carbon 9"</t>
        </is>
      </c>
      <c r="C160" s="77" t="n">
        <v>46266</v>
      </c>
      <c r="D160" s="79" t="n">
        <v>225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Recebido via Pix em 10/09/2026 — lançado em "Set 2026".</t>
        </is>
      </c>
    </row>
    <row r="161" s="157">
      <c r="A161" s="82" t="inlineStr">
        <is>
          <t>Clebson Dantas Da Silva</t>
        </is>
      </c>
      <c r="B161" s="82" t="inlineStr">
        <is>
          <t>Refil Everest</t>
        </is>
      </c>
      <c r="C161" s="81" t="n">
        <v>46266</v>
      </c>
      <c r="D161" s="83" t="n">
        <v>140</v>
      </c>
      <c r="E161" s="113" t="inlineStr">
        <is>
          <t>Recebido</t>
        </is>
      </c>
      <c r="F161" s="113">
        <f>IF(OR($E161="Recebido",$C161=""),"",MAX(0,TODAY()-$C161))</f>
        <v/>
      </c>
      <c r="G161" s="82" t="inlineStr">
        <is>
          <t>Recebido via Pix em 02/09/2026</t>
        </is>
      </c>
    </row>
    <row r="162" s="157">
      <c r="A162" s="82" t="inlineStr">
        <is>
          <t>Tesla Imagem Medicina Diagnostica Ltda</t>
        </is>
      </c>
      <c r="B162" s="82" t="inlineStr">
        <is>
          <t>3x Refil Everest + 2x Pré Filtro</t>
        </is>
      </c>
      <c r="C162" s="81" t="n">
        <v>46267</v>
      </c>
      <c r="D162" s="83" t="n">
        <v>540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Troca do dia 02/09/2026 — 1º Andar, Térreo e Copa. Recebido via Pix em 08/09/2026 — lançado em "Set 2026".</t>
        </is>
      </c>
    </row>
    <row r="163" s="157">
      <c r="A163" s="78" t="inlineStr">
        <is>
          <t>Cecilio Mota Junior</t>
        </is>
      </c>
      <c r="B163" s="78" t="inlineStr">
        <is>
          <t>Refil Everest</t>
        </is>
      </c>
      <c r="C163" s="77" t="n">
        <v>46267</v>
      </c>
      <c r="D163" s="79" t="n">
        <v>140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78" t="inlineStr">
        <is>
          <t>Tereza Cristina Aquino Martins - Luiz Augusto</t>
        </is>
      </c>
      <c r="B164" s="78" t="inlineStr">
        <is>
          <t>Refil Everest + Pré Filtro</t>
        </is>
      </c>
      <c r="C164" s="77" t="n">
        <v>46268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Recebido via Pix em 04/09/2026.</t>
        </is>
      </c>
    </row>
    <row r="165" s="157">
      <c r="A165" s="78" t="inlineStr">
        <is>
          <t>Samille Fiscina Lima Lordello - Tiago (Cartório)</t>
        </is>
      </c>
      <c r="B165" s="78" t="inlineStr">
        <is>
          <t>Refil Pro Life</t>
        </is>
      </c>
      <c r="C165" s="77" t="n">
        <v>46269</v>
      </c>
      <c r="D165" s="79" t="n">
        <v>140</v>
      </c>
      <c r="E165" s="112" t="inlineStr">
        <is>
          <t>Recebido</t>
        </is>
      </c>
      <c r="F165" s="112">
        <f>IF(OR($E165="Recebido",$C165=""),"",MAX(0,TODAY()-$C165))</f>
        <v/>
      </c>
      <c r="G165" s="78" t="inlineStr">
        <is>
          <t>Recebido via Pix em 10/09/2026 — lançado em "Set 2026".</t>
        </is>
      </c>
    </row>
    <row r="166" s="157">
      <c r="A166" s="78" t="inlineStr">
        <is>
          <t>Bomboniere Doce Mania - Veronildo Basilio</t>
        </is>
      </c>
      <c r="B166" s="78" t="inlineStr">
        <is>
          <t>Refil Plissado + Refil BAG</t>
        </is>
      </c>
      <c r="C166" s="77" t="n">
        <v>46274</v>
      </c>
      <c r="D166" s="79" t="n">
        <v>150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em dinheiro em 16/09/2026 — lançado em "Set 2026".</t>
        </is>
      </c>
    </row>
    <row r="167" s="157">
      <c r="A167" s="78" t="inlineStr">
        <is>
          <t>Adriadne (Hotel Jovem Jota)</t>
        </is>
      </c>
      <c r="B167" s="78" t="inlineStr">
        <is>
          <t>Refil Everest</t>
        </is>
      </c>
      <c r="C167" s="77" t="n">
        <v>46275</v>
      </c>
      <c r="D167" s="79" t="n">
        <v>140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11/09/2026 — lançado em "Set 2026".</t>
        </is>
      </c>
    </row>
    <row r="168" s="157">
      <c r="A168" s="78" t="inlineStr">
        <is>
          <t>Pousada Triunfo Ltda (Hotel Triunfo)</t>
        </is>
      </c>
      <c r="B168" s="78" t="inlineStr">
        <is>
          <t>Refil Everest + Pré Filtro</t>
        </is>
      </c>
      <c r="C168" s="77" t="n">
        <v>46275</v>
      </c>
      <c r="D168" s="79" t="n">
        <v>200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11/09/2026 — lançado em "Set 2026".</t>
        </is>
      </c>
    </row>
    <row r="169" s="157">
      <c r="A169" s="78" t="inlineStr">
        <is>
          <t>Topvel Tropical Veiculos e Pecas</t>
        </is>
      </c>
      <c r="B169" s="78" t="inlineStr">
        <is>
          <t>2x Refil Everest + 2x Pré Filtro</t>
        </is>
      </c>
      <c r="C169" s="77" t="n">
        <v>46276</v>
      </c>
      <c r="D169" s="79" t="n">
        <v>370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11/09/2026 — dois purificadores. Recebido via TED no BNB em 05/10/2026 — lançado em "Out 2026".</t>
        </is>
      </c>
    </row>
    <row r="170" s="157">
      <c r="A170" s="78" t="inlineStr">
        <is>
          <t>J Diesel Motores e Reparos - Gilmara</t>
        </is>
      </c>
      <c r="B170" s="78" t="inlineStr">
        <is>
          <t>Refil Everest</t>
        </is>
      </c>
      <c r="C170" s="77" t="n">
        <v>46276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Troca do dia 11/09/2026.</t>
        </is>
      </c>
    </row>
    <row r="171" s="157">
      <c r="A171" s="78" t="inlineStr">
        <is>
          <t>IOB</t>
        </is>
      </c>
      <c r="B171" s="78" t="inlineStr">
        <is>
          <t>Refil Everest + Pré Filtro</t>
        </is>
      </c>
      <c r="C171" s="77" t="n">
        <v>46279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14/09/2026.</t>
        </is>
      </c>
    </row>
    <row r="172" s="157">
      <c r="A172" s="78" t="inlineStr">
        <is>
          <t>Clínica Santa Cecília</t>
        </is>
      </c>
      <c r="B172" s="78" t="inlineStr">
        <is>
          <t>Refil Everest + Termostato</t>
        </is>
      </c>
      <c r="C172" s="77" t="n">
        <v>46281</v>
      </c>
      <c r="D172" s="79" t="n">
        <v>310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16/09/2026 — refil + troca de termostato. Recebido via Pix em 29/09/2026.</t>
        </is>
      </c>
    </row>
    <row r="173" s="157">
      <c r="A173" s="78" t="inlineStr">
        <is>
          <t>Marilda Macedo / José Luciano Costa</t>
        </is>
      </c>
      <c r="B173" s="78" t="inlineStr">
        <is>
          <t>Refil Everest + Pré Filtro</t>
        </is>
      </c>
      <c r="C173" s="77" t="n">
        <v>46283</v>
      </c>
      <c r="D173" s="79" t="n">
        <v>200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Recebido via Pix em 19/09/2026 — lançado em "Set 2026".</t>
        </is>
      </c>
    </row>
    <row r="174" s="157">
      <c r="A174" s="78" t="inlineStr">
        <is>
          <t>Tatiana Rocha</t>
        </is>
      </c>
      <c r="B174" s="78" t="inlineStr">
        <is>
          <t>Refil Everest</t>
        </is>
      </c>
      <c r="C174" s="77" t="n">
        <v>46286</v>
      </c>
      <c r="D174" s="79" t="n">
        <v>140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21/09/2026. Recebido via Pix em 22/09/2026 — lançado em "Set 2026".</t>
        </is>
      </c>
    </row>
    <row r="175" s="157">
      <c r="A175" s="78" t="inlineStr">
        <is>
          <t>Cleone Gomes de Andrade</t>
        </is>
      </c>
      <c r="B175" s="78" t="inlineStr">
        <is>
          <t>Refil Everest</t>
        </is>
      </c>
      <c r="C175" s="77" t="n">
        <v>46286</v>
      </c>
      <c r="D175" s="79" t="n">
        <v>140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21/09/2026. Recebido via Pix em 21/09/2026.</t>
        </is>
      </c>
    </row>
    <row r="176" s="157">
      <c r="A176" s="78" t="inlineStr">
        <is>
          <t>Centro de Especialidades Odontomédicas</t>
        </is>
      </c>
      <c r="B176" s="78" t="inlineStr">
        <is>
          <t>2x Refil Everest</t>
        </is>
      </c>
      <c r="C176" s="77" t="n">
        <v>46044</v>
      </c>
      <c r="D176" s="79" t="n">
        <v>280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77" s="157">
      <c r="A177" s="78" t="inlineStr">
        <is>
          <t>Igreja Messiânica Mundial do Brasil</t>
        </is>
      </c>
      <c r="B177" s="78" t="inlineStr">
        <is>
          <t>Mangueira</t>
        </is>
      </c>
      <c r="C177" s="77" t="n">
        <v>46073</v>
      </c>
      <c r="D177" s="79" t="n">
        <v>30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NF-e 4075 de 20/02/2026 (CNPJ 62.647.383/0063-44). Conferido no DigiSat em 28/09/2026: não recebido.</t>
        </is>
      </c>
    </row>
    <row r="178" s="157">
      <c r="A178" s="78" t="inlineStr">
        <is>
          <t>Centro Médico de Jacobina</t>
        </is>
      </c>
      <c r="B178" s="78" t="inlineStr">
        <is>
          <t>2x Botão Completo</t>
        </is>
      </c>
      <c r="C178" s="77" t="n">
        <v>46203</v>
      </c>
      <c r="D178" s="79" t="n">
        <v>60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NF-e 4242 de 30/06/2026 (CNPJ 13.228.432/0001-04). Conferido no DigiSat em 28/09/2026: não recebido.</t>
        </is>
      </c>
    </row>
    <row r="179" s="157">
      <c r="A179" s="78" t="inlineStr">
        <is>
          <t>Vivencie Turismo Agencia de Viagens - Aneildes Rios</t>
        </is>
      </c>
      <c r="B179" s="78" t="inlineStr">
        <is>
          <t>Refil Everest</t>
        </is>
      </c>
      <c r="C179" s="77" t="n">
        <v>46294</v>
      </c>
      <c r="D179" s="79" t="n">
        <v>140</v>
      </c>
      <c r="E179" s="112" t="inlineStr">
        <is>
          <t>Recebido</t>
        </is>
      </c>
      <c r="F179" s="112">
        <f>IF(OR($E179="Recebido",$C179=""),"",MAX(0,TODAY()-$C179))</f>
        <v/>
      </c>
      <c r="G179" s="78" t="inlineStr">
        <is>
          <t>Troca do dia 29/09/2026. Recebido via Pix em 05/10/2026 — R$ 135,00 (Pix único de R$ 270,00 com as duas trocas; R$ 10,00 de desconto dividido).</t>
        </is>
      </c>
    </row>
    <row r="180" s="157">
      <c r="A180" s="78" t="inlineStr">
        <is>
          <t>Lapec</t>
        </is>
      </c>
      <c r="B180" s="78" t="inlineStr">
        <is>
          <t>Refil C+3</t>
        </is>
      </c>
      <c r="C180" s="77" t="n">
        <v>46294</v>
      </c>
      <c r="D180" s="79" t="n">
        <v>100</v>
      </c>
      <c r="E180" s="112" t="inlineStr">
        <is>
          <t>Recebido</t>
        </is>
      </c>
      <c r="F180" s="112">
        <f>IF(OR($E180="Recebido",$C180=""),"",MAX(0,TODAY()-$C180))</f>
        <v/>
      </c>
      <c r="G180" s="78" t="inlineStr">
        <is>
          <t>Pagamento previsto para 30/09/2026. Recebido em dinheiro em 14/10/2026 — lançado em "Set 2026".</t>
        </is>
      </c>
    </row>
    <row r="181" s="157">
      <c r="A181" s="78" t="inlineStr">
        <is>
          <t>PC Jacobina Administradora de Cartões LTDA - Cartão de Todos</t>
        </is>
      </c>
      <c r="B181" s="78" t="inlineStr">
        <is>
          <t>Refil Everest</t>
        </is>
      </c>
      <c r="C181" s="77" t="n">
        <v>46295</v>
      </c>
      <c r="D181" s="79" t="n">
        <v>140</v>
      </c>
      <c r="E181" s="112" t="inlineStr">
        <is>
          <t>Recebido</t>
        </is>
      </c>
      <c r="F181" s="112">
        <f>IF(OR($E181="Recebido",$C181=""),"",MAX(0,TODAY()-$C181))</f>
        <v/>
      </c>
      <c r="G181" s="78" t="inlineStr">
        <is>
          <t>Troca do dia 30/09/2026. Recebido via Pix em 01/10/2026 (comprovante enviado em 06/10/2026) — lançado em "Out 2026".</t>
        </is>
      </c>
    </row>
    <row r="182" s="157">
      <c r="A182" s="78" t="inlineStr">
        <is>
          <t>Aneilde Rios de Oliveira</t>
        </is>
      </c>
      <c r="B182" s="78" t="inlineStr">
        <is>
          <t>Refil Everest</t>
        </is>
      </c>
      <c r="C182" s="77" t="n">
        <v>46296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01/10/2026 (casa, Caeira). Recebido via Pix em 05/10/2026 — R$ 135,00 (Pix único de R$ 270,00 com as duas trocas; R$ 10,00 de desconto dividido).</t>
        </is>
      </c>
    </row>
    <row r="183" s="157">
      <c r="A183" s="78" t="inlineStr">
        <is>
          <t>Centro Medico da Chapada Diamantina LTDA</t>
        </is>
      </c>
      <c r="B183" s="78" t="inlineStr">
        <is>
          <t>Refil Pro Life + 2x Botão Completo</t>
        </is>
      </c>
      <c r="C183" s="77" t="n">
        <v>46296</v>
      </c>
      <c r="D183" s="79" t="n">
        <v>200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Subsolo — troca do dia 01/10/2026 (refil + 2 botões). Recebido em 05/10/2026 no crédito em 3x (pagamento único de R$ 400,00 pelas duas trocas).</t>
        </is>
      </c>
    </row>
    <row r="184" s="157">
      <c r="A184" s="78" t="inlineStr">
        <is>
          <t>Centro Medico da Chapada Diamantina LTDA</t>
        </is>
      </c>
      <c r="B184" s="78" t="inlineStr">
        <is>
          <t>Refil Pro Life + 2x Botão Completo</t>
        </is>
      </c>
      <c r="C184" s="77" t="n">
        <v>46297</v>
      </c>
      <c r="D184" s="79" t="n">
        <v>200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1º Andar — troca do dia 02/10/2026 (refil + 2 botões). Recebido em 05/10/2026 no crédito em 3x (pagamento único de R$ 400,00 pelas duas trocas).</t>
        </is>
      </c>
    </row>
    <row r="185" s="157">
      <c r="A185" s="78" t="inlineStr">
        <is>
          <t>Igreja Messiânica Mundial do Brasil</t>
        </is>
      </c>
      <c r="B185" s="78" t="inlineStr">
        <is>
          <t>Refil Everest</t>
        </is>
      </c>
      <c r="C185" s="77" t="n">
        <v>46300</v>
      </c>
      <c r="D185" s="79" t="n">
        <v>140</v>
      </c>
      <c r="E185" s="112" t="inlineStr">
        <is>
          <t>Pendente</t>
        </is>
      </c>
      <c r="F185" s="112">
        <f>IF(OR($E185="Recebido",$C185=""),"",MAX(0,TODAY()-$C185))</f>
        <v/>
      </c>
      <c r="G185" s="78" t="inlineStr">
        <is>
          <t>Troca do dia 05/10/2026. Mesmo cliente tem pendência de 20/02/2026 (Mangueira, R$ 30,00).</t>
        </is>
      </c>
    </row>
    <row r="186" s="157">
      <c r="A186" s="78" t="inlineStr">
        <is>
          <t>Rafael Landin Ribeiro</t>
        </is>
      </c>
      <c r="B186" s="78" t="inlineStr">
        <is>
          <t>Refil Everest</t>
        </is>
      </c>
      <c r="C186" s="77" t="n">
        <v>46304</v>
      </c>
      <c r="D186" s="79" t="n">
        <v>140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Troca do dia 09/10/2026. Recebido via Pix em 09/10/2026.</t>
        </is>
      </c>
    </row>
    <row r="187" s="157">
      <c r="A187" s="78" t="inlineStr">
        <is>
          <t>Restaurante Bonzão Bode - Aloisio Queiroz</t>
        </is>
      </c>
      <c r="B187" s="78" t="inlineStr">
        <is>
          <t>Refil Pro Life + Refil Universal (restante)</t>
        </is>
      </c>
      <c r="C187" s="77" t="n">
        <v>46304</v>
      </c>
      <c r="D187" s="79" t="n">
        <v>85</v>
      </c>
      <c r="E187" s="112" t="inlineStr">
        <is>
          <t>Pendente</t>
        </is>
      </c>
      <c r="F187" s="112">
        <f>IF(OR($E187="Recebido",$C187=""),"",MAX(0,TODAY()-$C187))</f>
        <v/>
      </c>
      <c r="G187" s="78" t="inlineStr">
        <is>
          <t>Venda de R$ 170,00 — R$ 85,00 pagos no débito em 09/10/2026; restante via Pix previsto para 16/10/2026.</t>
        </is>
      </c>
    </row>
    <row r="188" s="157">
      <c r="A188" s="78" t="inlineStr">
        <is>
          <t>Tropical Motos LTDA</t>
        </is>
      </c>
      <c r="B188" s="78" t="inlineStr">
        <is>
          <t>Refil Pro Life</t>
        </is>
      </c>
      <c r="C188" s="77" t="n">
        <v>46304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09/10/2026 — purificador do andar de cima.</t>
        </is>
      </c>
    </row>
    <row r="189" s="157">
      <c r="A189" s="78" t="inlineStr">
        <is>
          <t>Casa do Construtor</t>
        </is>
      </c>
      <c r="B189" s="78" t="inlineStr">
        <is>
          <t>Refil Everest</t>
        </is>
      </c>
      <c r="C189" s="77" t="n">
        <v>46310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15/10/2026. Recebido via Pix em 21/10/2026.</t>
        </is>
      </c>
    </row>
    <row r="190" s="157">
      <c r="A190" s="78" t="inlineStr">
        <is>
          <t>Lapec</t>
        </is>
      </c>
      <c r="B190" s="78" t="inlineStr">
        <is>
          <t>Refil E3 + Refil Everest</t>
        </is>
      </c>
      <c r="C190" s="77" t="n">
        <v>46310</v>
      </c>
      <c r="D190" s="79" t="n">
        <v>200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Compra do dia 15/10/2026 — Refil E3 R$ 80,00 + Refil Everest R$ 120,00.</t>
        </is>
      </c>
    </row>
    <row r="191" s="157">
      <c r="A191" s="78" t="inlineStr">
        <is>
          <t>Primeiro Tabelionato de Notas - Tatiana Miranda Siqueira</t>
        </is>
      </c>
      <c r="B191" s="78" t="inlineStr">
        <is>
          <t>Refil Everest</t>
        </is>
      </c>
      <c r="C191" s="77" t="n">
        <v>46310</v>
      </c>
      <c r="D191" s="79" t="n">
        <v>140</v>
      </c>
      <c r="E191" s="112" t="inlineStr">
        <is>
          <t>Recebido</t>
        </is>
      </c>
      <c r="F191" s="112">
        <f>IF(OR($E191="Recebido",$C191=""),"",MAX(0,TODAY()-$C191))</f>
        <v/>
      </c>
      <c r="G191" s="78" t="inlineStr">
        <is>
          <t>Troca do dia 15/10/2026. Recebido via Pix em 16/10/2026 — lançado em "Out 2026".</t>
        </is>
      </c>
    </row>
    <row r="192" s="157">
      <c r="A192" s="78" t="inlineStr">
        <is>
          <t>Colegio Oasis de Jacobina - Unopar</t>
        </is>
      </c>
      <c r="B192" s="78" t="inlineStr">
        <is>
          <t>2x Refil Plissado + 2x Carcaça 9"</t>
        </is>
      </c>
      <c r="C192" s="77" t="n">
        <v>46305</v>
      </c>
      <c r="D192" s="79" t="n">
        <v>400</v>
      </c>
      <c r="E192" s="112" t="inlineStr">
        <is>
          <t>Pendente</t>
        </is>
      </c>
      <c r="F192" s="112">
        <f>IF(OR($E192="Recebido",$C192=""),"",MAX(0,TODAY()-$C192))</f>
        <v/>
      </c>
      <c r="G192" s="78" t="inlineStr">
        <is>
          <t>2x Refil Plissado R$ 80,00 cada + 2x Carcaça 9" R$ 120,00 cada. Cláudio assinou para pagar depois. Falta enviar a NF.</t>
        </is>
      </c>
    </row>
    <row r="193" s="157">
      <c r="A193" s="78" t="inlineStr">
        <is>
          <t>DFLL Serviços Medicos Ltda - ImCardio - Instituto Materno Cardiologico</t>
        </is>
      </c>
      <c r="B193" s="78" t="inlineStr">
        <is>
          <t>Refil Everest + Pré Filtro (restante)</t>
        </is>
      </c>
      <c r="C193" s="77" t="n">
        <v>46311</v>
      </c>
      <c r="D193" s="79" t="n">
        <v>60</v>
      </c>
      <c r="E193" s="112" t="inlineStr">
        <is>
          <t>Recebido</t>
        </is>
      </c>
      <c r="F193" s="112">
        <f>IF(OR($E193="Recebido",$C193=""),"",MAX(0,TODAY()-$C193))</f>
        <v/>
      </c>
      <c r="G193" s="78" t="inlineStr">
        <is>
          <t>Troca do dia 16/10/2026 — bebedouro da recepção. Venda de R$ 200,00: R$ 140,00 pagos em dinheiro em 16/10/2026; falta R$ 60,00. Recebido em dinheiro em 20/10/2026.</t>
        </is>
      </c>
    </row>
    <row r="194" s="157">
      <c r="A194" s="78" t="inlineStr">
        <is>
          <t>Contabilidade Abreu</t>
        </is>
      </c>
      <c r="B194" s="78" t="inlineStr">
        <is>
          <t>Termostato</t>
        </is>
      </c>
      <c r="C194" s="77" t="n">
        <v>46311</v>
      </c>
      <c r="D194" s="79" t="n">
        <v>170</v>
      </c>
      <c r="E194" s="112" t="inlineStr">
        <is>
          <t>Pendente</t>
        </is>
      </c>
      <c r="F194" s="112">
        <f>IF(OR($E194="Recebido",$C194=""),"",MAX(0,TODAY()-$C194))</f>
        <v/>
      </c>
      <c r="G194" s="78" t="inlineStr">
        <is>
          <t>Troca de termostato do dia 16/10/2026.</t>
        </is>
      </c>
    </row>
    <row r="195" s="157">
      <c r="A195" s="78" t="inlineStr">
        <is>
          <t>Studio Malena Lorrane</t>
        </is>
      </c>
      <c r="B195" s="78" t="inlineStr">
        <is>
          <t>Refil Everest + Pré Filtro (restante)</t>
        </is>
      </c>
      <c r="C195" s="77" t="n">
        <v>46316</v>
      </c>
      <c r="D195" s="79" t="n">
        <v>150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Troca do dia 21/10/2026. Venda de R$ 190,00; R$ 40,00 pagos com serviço de sobrancelha para a Edilânia. Deve R$ 90,00 do refil + R$ 60,00 do pré-filtro.</t>
        </is>
      </c>
    </row>
    <row r="196" s="157">
      <c r="A196" s="78" t="inlineStr">
        <is>
          <t>Marsilia Marmores e Granitos Erelli</t>
        </is>
      </c>
      <c r="B196" s="78" t="inlineStr">
        <is>
          <t>Refil Everest</t>
        </is>
      </c>
      <c r="C196" s="77" t="n">
        <v>46314</v>
      </c>
      <c r="D196" s="79" t="n">
        <v>140</v>
      </c>
      <c r="E196" s="112" t="inlineStr">
        <is>
          <t>Pendente</t>
        </is>
      </c>
      <c r="F196" s="112">
        <f>IF(OR($E196="Recebido",$C196=""),"",MAX(0,TODAY()-$C196))</f>
        <v/>
      </c>
      <c r="G196" s="78" t="inlineStr">
        <is>
          <t>Venda de 19/10/2026.</t>
        </is>
      </c>
    </row>
    <row r="197" s="157">
      <c r="A197" s="78" t="inlineStr">
        <is>
          <t>Banco do Nordeste do Brasil</t>
        </is>
      </c>
      <c r="B197" s="78" t="inlineStr">
        <is>
          <t>Refil Everest + Pré Filtro</t>
        </is>
      </c>
      <c r="C197" s="77" t="n">
        <v>46315</v>
      </c>
      <c r="D197" s="79" t="n">
        <v>200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Venda de 20/10/2026.</t>
        </is>
      </c>
    </row>
    <row r="198" s="157">
      <c r="A198" s="78" t="inlineStr">
        <is>
          <t>Magna dos Santos Carneiro Goncalves - Mirna</t>
        </is>
      </c>
      <c r="B198" s="78" t="inlineStr">
        <is>
          <t>Refil Everest</t>
        </is>
      </c>
      <c r="C198" s="77" t="n">
        <v>46315</v>
      </c>
      <c r="D198" s="79" t="n">
        <v>140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Venda de 20/10/2026.</t>
        </is>
      </c>
    </row>
    <row r="199" s="157">
      <c r="A199" s="78" t="inlineStr">
        <is>
          <t>Loja da Claro</t>
        </is>
      </c>
      <c r="B199" s="78" t="inlineStr">
        <is>
          <t>Refil Lacqua</t>
        </is>
      </c>
      <c r="C199" s="77" t="n">
        <v>46315</v>
      </c>
      <c r="D199" s="79" t="n">
        <v>80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20/10/2026.</t>
        </is>
      </c>
    </row>
    <row r="200" s="157">
      <c r="A200" s="78" t="inlineStr">
        <is>
          <t>Leda Goretti Andrade Alves</t>
        </is>
      </c>
      <c r="B200" s="78" t="inlineStr">
        <is>
          <t>Limpeza de Refil</t>
        </is>
      </c>
      <c r="C200" s="77" t="n">
        <v>46319</v>
      </c>
      <c r="D200" s="79" t="n">
        <v>40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Limpeza do dia 24/10/2026. Vai pagar na semana que vem.</t>
        </is>
      </c>
    </row>
    <row r="201" s="157">
      <c r="A201" s="78" t="n"/>
      <c r="B201" s="78" t="n"/>
      <c r="C201" s="77" t="n"/>
      <c r="D201" s="79" t="n"/>
      <c r="E201" s="112" t="n"/>
      <c r="F201" s="112">
        <f>IF(OR($E201="Recebido",$C201=""),"",MAX(0,TODAY()-$C201))</f>
        <v/>
      </c>
      <c r="G201" s="78" t="n"/>
    </row>
    <row r="202" s="157">
      <c r="A202" s="78" t="n"/>
      <c r="B202" s="78" t="n"/>
      <c r="C202" s="77" t="n"/>
      <c r="D202" s="79" t="n"/>
      <c r="E202" s="112" t="n"/>
      <c r="F202" s="112">
        <f>IF(OR($E202="Recebido",$C202=""),"",MAX(0,TODAY()-$C202))</f>
        <v/>
      </c>
      <c r="G202" s="78" t="n"/>
    </row>
    <row r="203" s="157">
      <c r="A203" s="78" t="n"/>
      <c r="B203" s="78" t="n"/>
      <c r="C203" s="77" t="n"/>
      <c r="D203" s="79" t="n"/>
      <c r="E203" s="112" t="n"/>
      <c r="F203" s="112">
        <f>IF(OR($E203="Recebido",$C203=""),"",MAX(0,TODAY()-$C203))</f>
        <v/>
      </c>
      <c r="G203" s="78" t="n"/>
    </row>
    <row r="204" s="157">
      <c r="A204" s="78" t="n"/>
      <c r="B204" s="78" t="n"/>
      <c r="C204" s="77" t="n"/>
      <c r="D204" s="79" t="n"/>
      <c r="E204" s="112" t="n"/>
      <c r="F204" s="112">
        <f>IF(OR($E204="Recebido",$C204=""),"",MAX(0,TODAY()-$C204))</f>
        <v/>
      </c>
      <c r="G204" s="78" t="n"/>
    </row>
    <row r="205" s="157">
      <c r="A205" s="86" t="inlineStr">
        <is>
          <t>TOTAL EM ABERTO A RECEBER (detalhe)</t>
        </is>
      </c>
      <c r="D205" s="115">
        <f>SUMIF(E134:E204,"Pendente",D134:D204)</f>
        <v/>
      </c>
    </row>
    <row r="206" s="157">
      <c r="A206" s="202" t="inlineStr">
        <is>
          <t>CONFERÊNCIA COM AS ABAS DOS MESES</t>
        </is>
      </c>
      <c r="B206" s="159" t="n"/>
      <c r="C206" s="159" t="n"/>
      <c r="D206" s="159" t="n"/>
      <c r="E206" s="159" t="n"/>
      <c r="F206" s="159" t="n"/>
      <c r="G206" s="160" t="n"/>
    </row>
    <row r="207" s="157">
      <c r="A207" s="203">
        <f>IF(ROUND(D205-C5,2)=0,"OK — o detalhe acima bate com as vendas marcadas como Aguardando Pagamento nas abas dos meses.","ATENÇÃO: diferença de R$ "&amp;TEXT(ABS(D205-C5),"#,##0.00")&amp;" entre este detalhe e as abas dos meses — alguma venda mudou de status em um lado só.")</f>
        <v/>
      </c>
    </row>
    <row r="208" s="157">
      <c r="A20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2:G132"/>
    <mergeCell ref="A9:G9"/>
    <mergeCell ref="A131:G131"/>
    <mergeCell ref="A206:G206"/>
    <mergeCell ref="C5:D6"/>
    <mergeCell ref="A5:B6"/>
    <mergeCell ref="A2:G2"/>
    <mergeCell ref="E5:F6"/>
    <mergeCell ref="A207:G207"/>
    <mergeCell ref="C4:D4"/>
  </mergeCells>
  <dataValidations count="2">
    <dataValidation sqref="E11:E126" showDropDown="0" showInputMessage="0" showErrorMessage="0" allowBlank="1" type="list">
      <formula1>"Pendente,Pago,Previsto"</formula1>
    </dataValidation>
    <dataValidation sqref="E134:E20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>
        <v>46321</v>
      </c>
      <c r="B174" s="45" t="inlineStr">
        <is>
          <t>Eversoft</t>
        </is>
      </c>
      <c r="C174" s="45" t="n"/>
      <c r="D174" s="46" t="n"/>
      <c r="E174" s="45" t="n"/>
      <c r="F174" s="47" t="n"/>
      <c r="G174" s="48" t="n">
        <v>940.0599999999999</v>
      </c>
      <c r="H174" s="49" t="inlineStr">
        <is>
          <t>Fornecedores / Mercadoria</t>
        </is>
      </c>
      <c r="I174" s="45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7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44" t="n">
        <v>46322</v>
      </c>
      <c r="B176" s="45" t="inlineStr">
        <is>
          <t>Consumidor Final</t>
        </is>
      </c>
      <c r="C176" s="45" t="inlineStr">
        <is>
          <t>Refil FPA18</t>
        </is>
      </c>
      <c r="D176" s="46" t="n">
        <v>60</v>
      </c>
      <c r="E176" s="45" t="inlineStr">
        <is>
          <t>Crédito Parcelado</t>
        </is>
      </c>
      <c r="F176" s="47" t="n">
        <v>4.19</v>
      </c>
      <c r="G176" s="48" t="n"/>
      <c r="H176" s="49" t="n"/>
      <c r="I176" s="45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7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44" t="n">
        <v>46322</v>
      </c>
      <c r="B178" s="45" t="inlineStr">
        <is>
          <t>Dm Contabilidade Acessoria e Consultoria</t>
        </is>
      </c>
      <c r="C178" s="45" t="inlineStr">
        <is>
          <t>Refil Pro Life</t>
        </is>
      </c>
      <c r="D178" s="46" t="n">
        <v>140</v>
      </c>
      <c r="E178" s="45" t="inlineStr">
        <is>
          <t>Crédito Parcelado</t>
        </is>
      </c>
      <c r="F178" s="47" t="n">
        <v>9.789999999999999</v>
      </c>
      <c r="G178" s="48" t="n"/>
      <c r="H178" s="49" t="n"/>
      <c r="I178" s="45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7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na cozinha marcada para 27/10/2026 à tarde (segundo purificador da cliente; o primeiro fica na área externa).</t>
        </is>
      </c>
      <c r="J179" s="18" t="inlineStr">
        <is>
          <t>CLI-0479</t>
        </is>
      </c>
    </row>
    <row r="180">
      <c r="A180" s="44" t="n">
        <v>46321</v>
      </c>
      <c r="B180" s="45" t="inlineStr">
        <is>
          <t>Combustível</t>
        </is>
      </c>
      <c r="C180" s="45" t="n"/>
      <c r="D180" s="46" t="n"/>
      <c r="E180" s="45" t="n"/>
      <c r="F180" s="47" t="n"/>
      <c r="G180" s="48" t="n">
        <v>30</v>
      </c>
      <c r="H180" s="49" t="inlineStr">
        <is>
          <t>Transporte e Entregas</t>
        </is>
      </c>
      <c r="I180" s="45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2026-10-27T15:06:00Z</dcterms:modified>
  <cp:lastModifiedBy>Planeta</cp:lastModifiedBy>
  <cp:revision>1</cp:revision>
</cp:coreProperties>
</file>