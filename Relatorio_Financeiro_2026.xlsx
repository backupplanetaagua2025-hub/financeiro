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I163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86" t="inlineStr">
        <is>
          <t>TOTAL A PAGAR — COM BOLETO EM MÃOS</t>
        </is>
      </c>
      <c r="B94" s="86" t="n"/>
      <c r="C94" s="114" t="n"/>
      <c r="D94" s="115">
        <f>SUMIF(E11:E93,"Pendente",D11:D93)</f>
        <v/>
      </c>
      <c r="E94" s="116" t="n"/>
      <c r="F94" s="116" t="n"/>
      <c r="G94" s="86" t="n"/>
    </row>
    <row r="95" s="157">
      <c r="A95" s="144" t="inlineStr">
        <is>
          <t>PREVISTO — compromisso certo que ainda não está documentado</t>
        </is>
      </c>
      <c r="B95" s="144" t="n"/>
      <c r="C95" s="145" t="n"/>
      <c r="D95" s="146">
        <f>SUMIF(E11:E93,"Previsto",D11:D93)</f>
        <v/>
      </c>
      <c r="E95" s="142" t="n"/>
      <c r="F95" s="142" t="n"/>
      <c r="G95" s="144" t="n"/>
    </row>
    <row r="96" s="157">
      <c r="A96" s="86" t="inlineStr">
        <is>
          <t>TOTAL GERAL A PAGAR (boletos + previsão)</t>
        </is>
      </c>
      <c r="B96" s="86" t="n"/>
      <c r="C96" s="114" t="n"/>
      <c r="D96" s="115">
        <f>D94+D95</f>
        <v/>
      </c>
      <c r="E96" s="116" t="n"/>
      <c r="F96" s="116" t="n"/>
      <c r="G96" s="86" t="n"/>
    </row>
    <row r="97" s="157"/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Pagamento previsto para 30/09/2026.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06/10/2026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Pendente</t>
        </is>
      </c>
      <c r="F154" s="112">
        <f>IF(OR($E154="Recebido",$C154=""),"",MAX(0,TODAY()-$C154))</f>
        <v/>
      </c>
      <c r="G154" s="78" t="inlineStr">
        <is>
          <t>Troca do dia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86" t="inlineStr">
        <is>
          <t>TOTAL EM ABERTO A RECEBER (detalhe)</t>
        </is>
      </c>
      <c r="D157" s="115">
        <f>SUMIF(E102:E156,"Pendente",D102:D156)</f>
        <v/>
      </c>
    </row>
    <row r="158" s="157">
      <c r="A158" s="202" t="inlineStr">
        <is>
          <t>CONFERÊNCIA COM AS ABAS DOS MESES</t>
        </is>
      </c>
      <c r="B158" s="159" t="n"/>
      <c r="C158" s="159" t="n"/>
      <c r="D158" s="159" t="n"/>
      <c r="E158" s="159" t="n"/>
      <c r="F158" s="159" t="n"/>
      <c r="G158" s="160" t="n"/>
    </row>
    <row r="159" s="157">
      <c r="A159" s="203">
        <f>IF(ROUND(D157-C5,2)=0,"OK — o detalhe acima bate com as vendas marcadas como Aguardando Pagamento nas abas dos meses.","ATENÇÃO: diferença de R$ "&amp;TEXT(ABS(D157-C5),"#,##0.00")&amp;" entre este detalhe e as abas dos meses — alguma venda mudou de status em um lado só.")</f>
        <v/>
      </c>
    </row>
    <row r="160" s="157">
      <c r="A160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59:G159"/>
    <mergeCell ref="A1:G1"/>
    <mergeCell ref="A9:G9"/>
    <mergeCell ref="A158:G158"/>
    <mergeCell ref="A100:G100"/>
    <mergeCell ref="C5:D6"/>
    <mergeCell ref="A5:B6"/>
    <mergeCell ref="A2:G2"/>
    <mergeCell ref="E5:F6"/>
    <mergeCell ref="A99:G99"/>
    <mergeCell ref="C4:D4"/>
  </mergeCells>
  <dataValidations count="2">
    <dataValidation sqref="E11:E93" showDropDown="0" showInputMessage="0" showErrorMessage="0" allowBlank="1" type="list">
      <formula1>"Pendente,Pago,Previsto"</formula1>
    </dataValidation>
    <dataValidation sqref="E102:E15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46301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06/10/2026.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Aguardando Pagamento</t>
        </is>
      </c>
      <c r="F62" s="47" t="n"/>
      <c r="G62" s="48" t="n"/>
      <c r="H62" s="49" t="n"/>
      <c r="I62" s="45" t="inlineStr">
        <is>
          <t>Troca do dia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2026-10-09T14:38:42Z</dcterms:modified>
  <cp:lastModifiedBy>Planeta</cp:lastModifiedBy>
  <cp:revision>1</cp:revision>
</cp:coreProperties>
</file>