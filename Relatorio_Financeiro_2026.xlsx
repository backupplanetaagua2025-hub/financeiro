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66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D97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Pago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Pago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Pago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6" t="inlineStr">
        <is>
          <t>TOTAL A PAGAR — COM BOLETO EM MÃOS</t>
        </is>
      </c>
      <c r="B95" s="86" t="n"/>
      <c r="C95" s="114" t="n"/>
      <c r="D95" s="115">
        <f>SUMIF(E11:E94,"Pendente",D11:D94)</f>
        <v/>
      </c>
      <c r="E95" s="116" t="n"/>
      <c r="F95" s="116" t="n"/>
      <c r="G95" s="86" t="n"/>
    </row>
    <row r="96" s="157">
      <c r="A96" s="144" t="inlineStr">
        <is>
          <t>PREVISTO — compromisso certo que ainda não está documentado</t>
        </is>
      </c>
      <c r="B96" s="144" t="n"/>
      <c r="C96" s="145" t="n"/>
      <c r="D96" s="146">
        <f>SUMIF(E11:E94,"Previsto",D11:D94)</f>
        <v/>
      </c>
      <c r="E96" s="142" t="n"/>
      <c r="F96" s="142" t="n"/>
      <c r="G96" s="144" t="n"/>
    </row>
    <row r="97" s="157">
      <c r="A97" s="86" t="inlineStr">
        <is>
          <t>TOTAL GERAL A PAGAR (boletos + previsão)</t>
        </is>
      </c>
      <c r="B97" s="86" t="n"/>
      <c r="C97" s="114" t="n"/>
      <c r="D97" s="115">
        <f>D95+D96</f>
        <v/>
      </c>
      <c r="E97" s="116" t="n"/>
      <c r="F97" s="116" t="n"/>
      <c r="G97" s="86" t="n"/>
    </row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 · Recebido em 13/10/2026 no BNB (Nota Paga no portal V360).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Pagamento previsto para 30/09/2026. Recebido em dinheiro em 14/10/2026 — lançado em "Set 2026".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01/10/2026 (comprovante enviado em 06/10/2026)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78" t="inlineStr">
        <is>
          <t>Rafael Landin Ribeiro</t>
        </is>
      </c>
      <c r="B154" s="78" t="inlineStr">
        <is>
          <t>Refil Everest</t>
        </is>
      </c>
      <c r="C154" s="77" t="n">
        <v>46304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09/10/2026. Recebido via Pix em 09/10/2026.</t>
        </is>
      </c>
    </row>
    <row r="155" s="157">
      <c r="A155" s="78" t="inlineStr">
        <is>
          <t>Restaurante Bonzão Bode - Aloisio Queiroz</t>
        </is>
      </c>
      <c r="B155" s="78" t="inlineStr">
        <is>
          <t>Refil Pro Life + Refil Universal (restante)</t>
        </is>
      </c>
      <c r="C155" s="77" t="n">
        <v>46304</v>
      </c>
      <c r="D155" s="79" t="n">
        <v>85</v>
      </c>
      <c r="E155" s="112" t="inlineStr">
        <is>
          <t>Pendente</t>
        </is>
      </c>
      <c r="F155" s="112">
        <f>IF(OR($E155="Recebido",$C155=""),"",MAX(0,TODAY()-$C155))</f>
        <v/>
      </c>
      <c r="G155" s="78" t="inlineStr">
        <is>
          <t>Venda de R$ 170,00 — R$ 85,00 pagos no débito em 09/10/2026; restante via Pix previsto para 16/10/2026.</t>
        </is>
      </c>
    </row>
    <row r="156" s="157">
      <c r="A156" s="78" t="inlineStr">
        <is>
          <t>Tropical Motos LTDA</t>
        </is>
      </c>
      <c r="B156" s="78" t="inlineStr">
        <is>
          <t>Refil Pro Life</t>
        </is>
      </c>
      <c r="C156" s="77" t="n">
        <v>46304</v>
      </c>
      <c r="D156" s="79" t="n">
        <v>140</v>
      </c>
      <c r="E156" s="112" t="inlineStr">
        <is>
          <t>Pendente</t>
        </is>
      </c>
      <c r="F156" s="112">
        <f>IF(OR($E156="Recebido",$C156=""),"",MAX(0,TODAY()-$C156))</f>
        <v/>
      </c>
      <c r="G156" s="78" t="inlineStr">
        <is>
          <t>Troca do dia 09/10/2026 — purificador do andar de cima.</t>
        </is>
      </c>
    </row>
    <row r="157" s="157">
      <c r="A157" s="78" t="inlineStr">
        <is>
          <t>Casa do Construtor</t>
        </is>
      </c>
      <c r="B157" s="78" t="inlineStr">
        <is>
          <t>Refil Everest</t>
        </is>
      </c>
      <c r="C157" s="77" t="n">
        <v>46310</v>
      </c>
      <c r="D157" s="79" t="n">
        <v>140</v>
      </c>
      <c r="E157" s="112" t="inlineStr">
        <is>
          <t>Pendente</t>
        </is>
      </c>
      <c r="F157" s="112">
        <f>IF(OR($E157="Recebido",$C157=""),"",MAX(0,TODAY()-$C157))</f>
        <v/>
      </c>
      <c r="G157" s="78" t="inlineStr">
        <is>
          <t>Troca do dia 15/10/2026.</t>
        </is>
      </c>
    </row>
    <row r="158" s="157">
      <c r="A158" s="78" t="inlineStr">
        <is>
          <t>Lapec</t>
        </is>
      </c>
      <c r="B158" s="78" t="inlineStr">
        <is>
          <t>Refil E3 + Refil Everest</t>
        </is>
      </c>
      <c r="C158" s="77" t="n">
        <v>46310</v>
      </c>
      <c r="D158" s="79" t="n">
        <v>200</v>
      </c>
      <c r="E158" s="112" t="inlineStr">
        <is>
          <t>Pendente</t>
        </is>
      </c>
      <c r="F158" s="112">
        <f>IF(OR($E158="Recebido",$C158=""),"",MAX(0,TODAY()-$C158))</f>
        <v/>
      </c>
      <c r="G158" s="78" t="inlineStr">
        <is>
          <t>Compra do dia 15/10/2026 — Refil E3 R$ 80,00 + Refil Everest R$ 120,00.</t>
        </is>
      </c>
    </row>
    <row r="159" s="157">
      <c r="A159" s="78" t="inlineStr">
        <is>
          <t>Primeiro Tabelionato de Notas - Tatiana Miranda Siqueira</t>
        </is>
      </c>
      <c r="B159" s="78" t="inlineStr">
        <is>
          <t>Refil Everest</t>
        </is>
      </c>
      <c r="C159" s="77" t="n">
        <v>46310</v>
      </c>
      <c r="D159" s="79" t="n">
        <v>140</v>
      </c>
      <c r="E159" s="112" t="inlineStr">
        <is>
          <t>Recebido</t>
        </is>
      </c>
      <c r="F159" s="112">
        <f>IF(OR($E159="Recebido",$C159=""),"",MAX(0,TODAY()-$C159))</f>
        <v/>
      </c>
      <c r="G159" s="78" t="inlineStr">
        <is>
          <t>Troca do dia 15/10/2026. Recebido via Pix em 16/10/2026 — lançado em "Out 2026".</t>
        </is>
      </c>
    </row>
    <row r="160" s="157">
      <c r="A160" s="78" t="inlineStr">
        <is>
          <t>Colegio Oasis de Jacobina - Unopar</t>
        </is>
      </c>
      <c r="B160" s="78" t="inlineStr">
        <is>
          <t>2x Refil Plissado + 2x Carcaça 9"</t>
        </is>
      </c>
      <c r="C160" s="77" t="n">
        <v>46305</v>
      </c>
      <c r="D160" s="79" t="n">
        <v>400</v>
      </c>
      <c r="E160" s="112" t="inlineStr">
        <is>
          <t>Pendente</t>
        </is>
      </c>
      <c r="F160" s="112">
        <f>IF(OR($E160="Recebido",$C160=""),"",MAX(0,TODAY()-$C160))</f>
        <v/>
      </c>
      <c r="G160" s="78" t="inlineStr">
        <is>
          <t>2x Refil Plissado R$ 80,00 cada + 2x Carcaça 9" R$ 120,00 cada. Cláudio assinou para pagar depois. Falta enviar a NF.</t>
        </is>
      </c>
    </row>
    <row r="161" s="157">
      <c r="A161" s="78" t="inlineStr">
        <is>
          <t>DFLL Serviços Medicos Ltda - ImCardio - Instituto Materno Cardiologico</t>
        </is>
      </c>
      <c r="B161" s="78" t="inlineStr">
        <is>
          <t>Refil Everest + Pré Filtro (restante)</t>
        </is>
      </c>
      <c r="C161" s="77" t="n">
        <v>46311</v>
      </c>
      <c r="D161" s="79" t="n">
        <v>60</v>
      </c>
      <c r="E161" s="112" t="inlineStr">
        <is>
          <t>Pendente</t>
        </is>
      </c>
      <c r="F161" s="112">
        <f>IF(OR($E161="Recebido",$C161=""),"",MAX(0,TODAY()-$C161))</f>
        <v/>
      </c>
      <c r="G161" s="78" t="inlineStr">
        <is>
          <t>Troca do dia 16/10/2026 — bebedouro da recepção. Venda de R$ 200,00: R$ 140,00 pagos em dinheiro em 16/10/2026; falta R$ 60,00.</t>
        </is>
      </c>
    </row>
    <row r="162" s="157">
      <c r="A162" s="78" t="inlineStr">
        <is>
          <t>Contabilidade Abreu</t>
        </is>
      </c>
      <c r="B162" s="78" t="inlineStr">
        <is>
          <t>Termostato</t>
        </is>
      </c>
      <c r="C162" s="77" t="n">
        <v>46311</v>
      </c>
      <c r="D162" s="79" t="n">
        <v>170</v>
      </c>
      <c r="E162" s="112" t="inlineStr">
        <is>
          <t>Pendente</t>
        </is>
      </c>
      <c r="F162" s="112">
        <f>IF(OR($E162="Recebido",$C162=""),"",MAX(0,TODAY()-$C162))</f>
        <v/>
      </c>
      <c r="G162" s="78" t="inlineStr">
        <is>
          <t>Troca de termostato do dia 16/10/2026.</t>
        </is>
      </c>
    </row>
    <row r="163" s="157">
      <c r="A163" s="86" t="inlineStr">
        <is>
          <t>TOTAL EM ABERTO A RECEBER (detalhe)</t>
        </is>
      </c>
      <c r="D163" s="115">
        <f>SUMIF(E102:E162,"Pendente",D102:D162)</f>
        <v/>
      </c>
    </row>
    <row r="164" s="157">
      <c r="A164" s="202" t="inlineStr">
        <is>
          <t>CONFERÊNCIA COM AS ABAS DOS MESES</t>
        </is>
      </c>
      <c r="B164" s="159" t="n"/>
      <c r="C164" s="159" t="n"/>
      <c r="D164" s="159" t="n"/>
      <c r="E164" s="159" t="n"/>
      <c r="F164" s="159" t="n"/>
      <c r="G164" s="160" t="n"/>
    </row>
    <row r="165" s="157">
      <c r="A165" s="203">
        <f>IF(ROUND(D163-C5,2)=0,"OK — o detalhe acima bate com as vendas marcadas como Aguardando Pagamento nas abas dos meses.","ATENÇÃO: diferença de R$ "&amp;TEXT(ABS(D163-C5),"#,##0.00")&amp;" entre este detalhe e as abas dos meses — alguma venda mudou de status em um lado só.")</f>
        <v/>
      </c>
    </row>
    <row r="166" s="157">
      <c r="A166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:G9"/>
    <mergeCell ref="A100:G100"/>
    <mergeCell ref="C5:D6"/>
    <mergeCell ref="A5:B6"/>
    <mergeCell ref="A2:G2"/>
    <mergeCell ref="E5:F6"/>
    <mergeCell ref="A165:G165"/>
    <mergeCell ref="A99:G99"/>
    <mergeCell ref="A164:G164"/>
    <mergeCell ref="C4:D4"/>
  </mergeCells>
  <dataValidations count="2">
    <dataValidation sqref="E11:E94" showDropDown="0" showInputMessage="0" showErrorMessage="0" allowBlank="1" type="list">
      <formula1>"Pendente,Pago,Previsto"</formula1>
    </dataValidation>
    <dataValidation sqref="E102:E162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EMP-0138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46310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Aguardando Pagamento</t>
        </is>
      </c>
      <c r="F102" s="47" t="n"/>
      <c r="G102" s="48" t="n"/>
      <c r="H102" s="49" t="n"/>
      <c r="I102" s="45" t="n"/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46311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Aguardando Pagamento</t>
        </is>
      </c>
      <c r="F116" s="47" t="n"/>
      <c r="G116" s="48" t="n"/>
      <c r="H116" s="49" t="n"/>
      <c r="I116" s="45" t="inlineStr">
        <is>
          <t>Restante da venda de R$ 200,00 (R$ 140,00 pagos em dinheiro). Cliente vai pagar depois.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Eduardo Santos da Silva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CLI-0408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7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Boleto doc. 377737 (emissão 19/05/2026) · parcela 5/5 (última) — venc. 16/10/2026. Pago em 16/10/2026.</t>
        </is>
      </c>
      <c r="J121" s="18" t="n"/>
    </row>
    <row r="122">
      <c r="A122" s="44" t="n">
        <v>46311</v>
      </c>
      <c r="B122" s="45" t="inlineStr">
        <is>
          <t>Everest Refrigeração</t>
        </is>
      </c>
      <c r="C122" s="45" t="n"/>
      <c r="D122" s="46" t="n"/>
      <c r="E122" s="45" t="n"/>
      <c r="F122" s="47" t="n"/>
      <c r="G122" s="48" t="n">
        <v>865.52</v>
      </c>
      <c r="H122" s="49" t="inlineStr">
        <is>
          <t>Fornecedores / Mercadoria</t>
        </is>
      </c>
      <c r="I122" s="45" t="inlineStr">
        <is>
          <t>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7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44" t="n">
        <v>46312</v>
      </c>
      <c r="B124" s="45" t="inlineStr">
        <is>
          <t>Cloro e Cia (Mello e Castiglioni Ltda)</t>
        </is>
      </c>
      <c r="C124" s="45" t="n"/>
      <c r="D124" s="46" t="n"/>
      <c r="E124" s="45" t="n"/>
      <c r="F124" s="47" t="n"/>
      <c r="G124" s="48" t="n">
        <v>36</v>
      </c>
      <c r="H124" s="49" t="inlineStr">
        <is>
          <t>Material de Limpeza e Escritório</t>
        </is>
      </c>
      <c r="I124" s="45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7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</t>
        </is>
      </c>
      <c r="J125" s="18" t="n"/>
    </row>
    <row r="126">
      <c r="A126" s="44" t="n">
        <v>46312</v>
      </c>
      <c r="B126" s="45" t="inlineStr">
        <is>
          <t>Compras para casa</t>
        </is>
      </c>
      <c r="C126" s="45" t="n"/>
      <c r="D126" s="46" t="n"/>
      <c r="E126" s="45" t="n"/>
      <c r="F126" s="47" t="n"/>
      <c r="G126" s="48" t="n">
        <v>200</v>
      </c>
      <c r="H126" s="49" t="inlineStr">
        <is>
          <t>Pro Labore Edilânia</t>
        </is>
      </c>
      <c r="I126" s="45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7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44" t="n">
        <v>46314</v>
      </c>
      <c r="B128" s="45" t="inlineStr">
        <is>
          <t>Carneiro Ultra Drogaria LTDA - Filial 02</t>
        </is>
      </c>
      <c r="C128" s="45" t="inlineStr">
        <is>
          <t>Refil Everest</t>
        </is>
      </c>
      <c r="D128" s="46" t="n">
        <v>140</v>
      </c>
      <c r="E128" s="45" t="inlineStr">
        <is>
          <t>Dinheiro</t>
        </is>
      </c>
      <c r="F128" s="47" t="n"/>
      <c r="G128" s="48" t="n"/>
      <c r="H128" s="49" t="n"/>
      <c r="I128" s="45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7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44" t="n">
        <v>46314</v>
      </c>
      <c r="B130" s="45" t="inlineStr">
        <is>
          <t>Otica Imagem - José Luciano Viera Costa 1 Andar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7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44" t="n">
        <v>46314</v>
      </c>
      <c r="B132" s="45" t="inlineStr">
        <is>
          <t>Marsilia Marmores e Granitos Erelli</t>
        </is>
      </c>
      <c r="C132" s="45" t="inlineStr">
        <is>
          <t>Refil Everest</t>
        </is>
      </c>
      <c r="D132" s="46" t="n">
        <v>140</v>
      </c>
      <c r="E132" s="45" t="inlineStr">
        <is>
          <t>Aguardando Pagamento</t>
        </is>
      </c>
      <c r="F132" s="47" t="n"/>
      <c r="G132" s="48" t="n"/>
      <c r="H132" s="49" t="n"/>
      <c r="I132" s="45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7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44" t="n">
        <v>46314</v>
      </c>
      <c r="B134" s="45" t="inlineStr">
        <is>
          <t>A. S. Supermercado</t>
        </is>
      </c>
      <c r="C134" s="45" t="inlineStr">
        <is>
          <t>Refil Pro Life + Pré Filtro</t>
        </is>
      </c>
      <c r="D134" s="46" t="n">
        <v>190</v>
      </c>
      <c r="E134" s="45" t="inlineStr">
        <is>
          <t>Dinheiro</t>
        </is>
      </c>
      <c r="F134" s="47" t="n"/>
      <c r="G134" s="48" t="n"/>
      <c r="H134" s="49" t="n"/>
      <c r="I134" s="45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7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44" t="n">
        <v>46314</v>
      </c>
      <c r="B136" s="45" t="inlineStr">
        <is>
          <t>Larissa Sena</t>
        </is>
      </c>
      <c r="C136" s="45" t="inlineStr">
        <is>
          <t>Refil FPA14</t>
        </is>
      </c>
      <c r="D136" s="46" t="n">
        <v>110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7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44" t="n">
        <v>46314</v>
      </c>
      <c r="B138" s="45" t="inlineStr">
        <is>
          <t>Combustível</t>
        </is>
      </c>
      <c r="C138" s="45" t="n"/>
      <c r="D138" s="46" t="n"/>
      <c r="E138" s="45" t="n"/>
      <c r="F138" s="47" t="n"/>
      <c r="G138" s="48" t="n">
        <v>30</v>
      </c>
      <c r="H138" s="49" t="inlineStr">
        <is>
          <t>Transporte e Entregas</t>
        </is>
      </c>
      <c r="I138" s="45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7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2026-10-19T21:17:57Z</dcterms:modified>
  <cp:lastModifiedBy>Planeta</cp:lastModifiedBy>
  <cp:revision>1</cp:revision>
</cp:coreProperties>
</file>