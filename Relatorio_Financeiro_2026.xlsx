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Importado do Livro Caixa (DigiSat)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Importado do Livro Caixa (DigiSat)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Importado do Livro Caixa (DigiSat)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Importado do Livro Caixa (DigiSat)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Importado do Livro Caixa (DigiSat)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Importado do Livro Caixa (DigiSat)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Importado do Livro Caixa (DigiSat)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7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D77</f>
        <v/>
      </c>
      <c r="C5" s="204">
        <f>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>
      <c r="A76" s="144" t="inlineStr">
        <is>
          <t>PREVISTO — compromisso certo que ainda não está documentado</t>
        </is>
      </c>
      <c r="B76" s="144" t="n"/>
      <c r="C76" s="145" t="n"/>
      <c r="D76" s="146">
        <f>SUMIF(E11:E74,"Previsto",D11:D74)</f>
        <v/>
      </c>
      <c r="E76" s="142" t="n"/>
      <c r="F76" s="142" t="n"/>
      <c r="G76" s="144" t="n"/>
    </row>
    <row r="77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9" ht="15.75" customHeight="1" s="157"/>
    <row r="80" ht="15.75" customHeight="1" s="157">
      <c r="A80" s="200" t="inlineStr">
        <is>
          <t>CONTAS A RECEBER  —  vendas feitas e ainda não pagas</t>
        </is>
      </c>
    </row>
    <row r="81">
      <c r="A81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em dinheiro em 16/09/2026 — lançado em "Set 2026".</t>
        </is>
      </c>
    </row>
    <row r="116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19/09/2026 — lançado em "Set 2026".</t>
        </is>
      </c>
    </row>
    <row r="123">
      <c r="A123" s="78" t="inlineStr">
        <is>
          <t>Tatiana Rocha</t>
        </is>
      </c>
      <c r="B123" s="78" t="inlineStr">
        <is>
          <t>Refil Everest</t>
        </is>
      </c>
      <c r="C123" s="77" t="n">
        <v>46286</v>
      </c>
      <c r="D123" s="79" t="n">
        <v>140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21/09/2026.</t>
        </is>
      </c>
    </row>
    <row r="124">
      <c r="A124" s="78" t="inlineStr">
        <is>
          <t>Cleone Gomes de Andrade</t>
        </is>
      </c>
      <c r="B124" s="78" t="inlineStr">
        <is>
          <t>Refil Everest</t>
        </is>
      </c>
      <c r="C124" s="77" t="n">
        <v>46286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Troca do dia 21/09/2026. Recebido via Pix em 21/09/2026.</t>
        </is>
      </c>
    </row>
    <row r="125">
      <c r="A125" s="86" t="inlineStr">
        <is>
          <t>TOTAL EM ABERTO A RECEBER (detalhe)</t>
        </is>
      </c>
      <c r="D125" s="115">
        <f>SUMIF(E83:E124,"Pendente",D83:D124)</f>
        <v/>
      </c>
    </row>
    <row r="126">
      <c r="A126" s="202" t="inlineStr">
        <is>
          <t>CONFERÊNCIA COM AS ABAS DOS MESES</t>
        </is>
      </c>
      <c r="B126" s="159" t="n"/>
      <c r="C126" s="159" t="n"/>
      <c r="D126" s="159" t="n"/>
      <c r="E126" s="159" t="n"/>
      <c r="F126" s="159" t="n"/>
      <c r="G126" s="160" t="n"/>
    </row>
    <row r="127">
      <c r="A127" s="203">
        <f>IF(ROUND(D125-C5,2)=0,"OK — o detalhe acima bate com as vendas marcadas como Aguardando Pagamento nas abas dos meses.","ATENÇÃO: diferença de R$ "&amp;TEXT(ABS(D125-C5),"#,##0.00")&amp;" entre este detalhe e as abas dos meses — alguma venda mudou de status em um lado só.")</f>
        <v/>
      </c>
    </row>
    <row r="128">
      <c r="A12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80:G80"/>
    <mergeCell ref="A1:G1"/>
    <mergeCell ref="A127:G127"/>
    <mergeCell ref="A126:G126"/>
    <mergeCell ref="A9:G9"/>
    <mergeCell ref="C5:D6"/>
    <mergeCell ref="A5:B6"/>
    <mergeCell ref="A2:G2"/>
    <mergeCell ref="E5:F6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29">
        <f>D133</f>
        <v/>
      </c>
      <c r="N5" s="231">
        <f>J18</f>
        <v/>
      </c>
      <c r="P5" s="230">
        <f>D134</f>
        <v/>
      </c>
    </row>
    <row r="6" ht="14.1" customHeight="1" s="157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7" t="inlineStr">
        <is>
          <t>TOTAL DO MÊS</t>
        </is>
      </c>
      <c r="C133" s="160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7">
      <c r="A134" s="30" t="n"/>
      <c r="B134" s="226" t="inlineStr">
        <is>
          <t>SALDO DO MÊS (Entradas − Despesas da loja)</t>
        </is>
      </c>
      <c r="D134" s="225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29">
        <f>D146</f>
        <v/>
      </c>
      <c r="N5" s="231">
        <f>J18</f>
        <v/>
      </c>
      <c r="P5" s="230">
        <f>D147</f>
        <v/>
      </c>
    </row>
    <row r="6" ht="14.1" customHeight="1" s="157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7" t="inlineStr">
        <is>
          <t>TOTAL DO MÊS</t>
        </is>
      </c>
      <c r="C146" s="160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7">
      <c r="A147" s="30" t="n"/>
      <c r="B147" s="226" t="inlineStr">
        <is>
          <t>SALDO DO MÊS (Entradas − Despesas da loja)</t>
        </is>
      </c>
      <c r="D147" s="225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29">
        <f>D122</f>
        <v/>
      </c>
      <c r="N5" s="231">
        <f>J18</f>
        <v/>
      </c>
      <c r="P5" s="230">
        <f>D123</f>
        <v/>
      </c>
    </row>
    <row r="6" ht="14.1" customHeight="1" s="157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7" t="inlineStr">
        <is>
          <t>TOTAL DO MÊS</t>
        </is>
      </c>
      <c r="C122" s="160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7">
      <c r="A123" s="30" t="n"/>
      <c r="B123" s="226" t="inlineStr">
        <is>
          <t>SALDO DO MÊS (Entradas − Despesas da loja)</t>
        </is>
      </c>
      <c r="D123" s="225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29">
        <f>D124</f>
        <v/>
      </c>
      <c r="N5" s="231">
        <f>J18</f>
        <v/>
      </c>
      <c r="P5" s="230">
        <f>D125</f>
        <v/>
      </c>
    </row>
    <row r="6" ht="14.1" customHeight="1" s="157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7" t="inlineStr">
        <is>
          <t>TOTAL DO MÊS</t>
        </is>
      </c>
      <c r="C124" s="160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7">
      <c r="A125" s="30" t="n"/>
      <c r="B125" s="226" t="inlineStr">
        <is>
          <t>SALDO DO MÊS (Entradas − Despesas da loja)</t>
        </is>
      </c>
      <c r="D125" s="225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29">
        <f>D123</f>
        <v/>
      </c>
      <c r="N5" s="231">
        <f>J18</f>
        <v/>
      </c>
      <c r="P5" s="230">
        <f>D124</f>
        <v/>
      </c>
    </row>
    <row r="6" ht="14.1" customHeight="1" s="157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7" t="inlineStr">
        <is>
          <t>TOTAL DO MÊS</t>
        </is>
      </c>
      <c r="C123" s="160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7">
      <c r="A124" s="30" t="n"/>
      <c r="B124" s="226" t="inlineStr">
        <is>
          <t>SALDO DO MÊS (Entradas − Despesas da loja)</t>
        </is>
      </c>
      <c r="D124" s="225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29">
        <f>D116</f>
        <v/>
      </c>
      <c r="N5" s="231">
        <f>J18</f>
        <v/>
      </c>
      <c r="P5" s="230">
        <f>D117</f>
        <v/>
      </c>
    </row>
    <row r="6" ht="14.1" customHeight="1" s="157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7" t="inlineStr">
        <is>
          <t>TOTAL DO MÊS</t>
        </is>
      </c>
      <c r="C116" s="160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7">
      <c r="A117" s="30" t="n"/>
      <c r="B117" s="226" t="inlineStr">
        <is>
          <t>SALDO DO MÊS (Entradas − Despesas da loja)</t>
        </is>
      </c>
      <c r="D117" s="225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29">
        <f>D111</f>
        <v/>
      </c>
      <c r="N5" s="231">
        <f>J18</f>
        <v/>
      </c>
      <c r="P5" s="230">
        <f>D112</f>
        <v/>
      </c>
    </row>
    <row r="6" ht="14.1" customHeight="1" s="157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7" t="inlineStr">
        <is>
          <t>TOTAL DO MÊS</t>
        </is>
      </c>
      <c r="C111" s="160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7">
      <c r="A112" s="30" t="n"/>
      <c r="B112" s="226" t="inlineStr">
        <is>
          <t>SALDO DO MÊS (Entradas − Despesas da loja)</t>
        </is>
      </c>
      <c r="D112" s="225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77" t="n">
        <v>46281</v>
      </c>
      <c r="B161" s="78" t="inlineStr">
        <is>
          <t>FGTS Digital (GFD)</t>
        </is>
      </c>
      <c r="C161" s="78" t="n"/>
      <c r="D161" s="79" t="n"/>
      <c r="E161" s="78" t="n"/>
      <c r="F161" s="79" t="n"/>
      <c r="G161" s="79" t="n">
        <v>136</v>
      </c>
      <c r="H161" s="78" t="inlineStr">
        <is>
          <t>Impostos e Taxas</t>
        </is>
      </c>
      <c r="I161" s="78" t="inlineStr">
        <is>
          <t>FGTS mensal — competência 08/2026. Venc. 18/09/2026, pago em 16/09/2026.</t>
        </is>
      </c>
      <c r="J161" s="78" t="n"/>
    </row>
    <row r="162">
      <c r="A162" s="81" t="n">
        <v>46281</v>
      </c>
      <c r="B162" s="82" t="inlineStr">
        <is>
          <t>Receita Federal — DARF / INSS</t>
        </is>
      </c>
      <c r="C162" s="82" t="n"/>
      <c r="D162" s="83" t="n"/>
      <c r="E162" s="82" t="n"/>
      <c r="F162" s="83" t="n"/>
      <c r="G162" s="83" t="n">
        <v>306.99</v>
      </c>
      <c r="H162" s="82" t="inlineStr">
        <is>
          <t>Impostos e Taxas</t>
        </is>
      </c>
      <c r="I162" s="82" t="inlineStr">
        <is>
          <t>DARF / INSS — período de apuração agosto/2026. Venc. 18/09/2026, pago em 16/09/2026.</t>
        </is>
      </c>
    </row>
    <row r="163">
      <c r="A163" s="77" t="n">
        <v>46286</v>
      </c>
      <c r="B163" s="78" t="inlineStr">
        <is>
          <t>Tatiana Rocha</t>
        </is>
      </c>
      <c r="C163" s="78" t="inlineStr">
        <is>
          <t>Refil Everest</t>
        </is>
      </c>
      <c r="D163" s="79" t="n">
        <v>140</v>
      </c>
      <c r="E163" s="78" t="inlineStr">
        <is>
          <t>Aguardando Pagamento</t>
        </is>
      </c>
      <c r="F163" s="79" t="n"/>
      <c r="G163" s="79" t="n"/>
      <c r="H163" s="78" t="n"/>
      <c r="I163" s="78" t="n"/>
      <c r="J163" s="78" t="inlineStr">
        <is>
          <t>CLI-0032</t>
        </is>
      </c>
    </row>
    <row r="164">
      <c r="A164" s="81" t="n">
        <v>46286</v>
      </c>
      <c r="B164" s="82" t="inlineStr">
        <is>
          <t>Josimar Souza Santos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CLI-0367</t>
        </is>
      </c>
    </row>
    <row r="165">
      <c r="A165" s="77" t="n">
        <v>46286</v>
      </c>
      <c r="B165" s="78" t="inlineStr">
        <is>
          <t>Cleone Gomes de Andrade</t>
        </is>
      </c>
      <c r="C165" s="78" t="inlineStr">
        <is>
          <t>Refil Everest</t>
        </is>
      </c>
      <c r="D165" s="79" t="n">
        <v>140</v>
      </c>
      <c r="E165" s="78" t="inlineStr">
        <is>
          <t>Pix</t>
        </is>
      </c>
      <c r="F165" s="79" t="n"/>
      <c r="G165" s="79" t="n"/>
      <c r="H165" s="78" t="n"/>
      <c r="I165" s="78" t="n"/>
      <c r="J165" s="78" t="inlineStr">
        <is>
          <t>CLI-0296</t>
        </is>
      </c>
    </row>
    <row r="166">
      <c r="A166" s="81" t="n">
        <v>46286</v>
      </c>
      <c r="B166" s="82" t="inlineStr">
        <is>
          <t>Combustível (Etanol) — Transvale</t>
        </is>
      </c>
      <c r="C166" s="82" t="n"/>
      <c r="D166" s="83" t="n"/>
      <c r="E166" s="82" t="n"/>
      <c r="F166" s="83" t="n"/>
      <c r="G166" s="83" t="n">
        <v>50</v>
      </c>
      <c r="H166" s="82" t="inlineStr">
        <is>
          <t>Transporte e Entregas</t>
        </is>
      </c>
      <c r="I166" s="82" t="inlineStr">
        <is>
          <t>10,31 L de etanol hidratado a R$ 4,85/L — NFC-e nº 000284718 (Transvale Derivados de Petróleo, CNPJ 11.271.229/0002-68). Pago em dinheiro.</t>
        </is>
      </c>
    </row>
    <row r="167">
      <c r="A167" s="77" t="n">
        <v>46286</v>
      </c>
      <c r="B167" s="78" t="inlineStr">
        <is>
          <t>Filtros Planeta Água</t>
        </is>
      </c>
      <c r="C167" s="78" t="n"/>
      <c r="D167" s="79" t="n"/>
      <c r="E167" s="78" t="n"/>
      <c r="F167" s="79" t="n"/>
      <c r="G167" s="79" t="n">
        <v>592.89</v>
      </c>
      <c r="H167" s="78" t="inlineStr">
        <is>
          <t>Fornecedores / Mercadoria</t>
        </is>
      </c>
      <c r="I167" s="78" t="inlineStr">
        <is>
          <t>Boleto doc. 133812/001 (emissão 28/08/2026) · parcela 1/4 — 2ª via com venc. 21/09/2026 (original R$ 591,12 venc. 18/09). Pago em 21/09/2026 pelo Banco do Nordeste.</t>
        </is>
      </c>
      <c r="J167" s="78" t="n"/>
    </row>
    <row r="168">
      <c r="A168" s="81" t="n">
        <v>46286</v>
      </c>
      <c r="B168" s="82" t="inlineStr">
        <is>
          <t>Receita Federal — Simples Nacional (DAS)</t>
        </is>
      </c>
      <c r="C168" s="82" t="n"/>
      <c r="D168" s="83" t="n"/>
      <c r="E168" s="82" t="n"/>
      <c r="F168" s="83" t="n"/>
      <c r="G168" s="83" t="n">
        <v>1958.02</v>
      </c>
      <c r="H168" s="82" t="inlineStr">
        <is>
          <t>Impostos e Taxas</t>
        </is>
      </c>
      <c r="I168" s="82" t="inlineStr">
        <is>
          <t>DAS competência agosto/2026 (doc. 07.20.26260.6017058-0) — venc. 21/09/2026. Pago em 21/09/2026 pelo Banco do Nordeste.</t>
        </is>
      </c>
    </row>
    <row r="169">
      <c r="A169" s="77" t="n">
        <v>46286</v>
      </c>
      <c r="B169" s="78" t="inlineStr">
        <is>
          <t>Everest Refrigeração</t>
        </is>
      </c>
      <c r="C169" s="78" t="n"/>
      <c r="D169" s="79" t="n"/>
      <c r="E169" s="78" t="n"/>
      <c r="F169" s="79" t="n"/>
      <c r="G169" s="79" t="n">
        <v>874.6799999999999</v>
      </c>
      <c r="H169" s="78" t="inlineStr">
        <is>
          <t>Fornecedores / Mercadoria</t>
        </is>
      </c>
      <c r="I169" s="78" t="inlineStr">
        <is>
          <t>Boleto doc. 379826 (emissão 22/06/2026) · parcela 3/5 — venc. 20/09/2026 (domingo). Pago em 21/09/2026 pelo Banco do Nordeste.</t>
        </is>
      </c>
      <c r="J169" s="78" t="n"/>
    </row>
    <row r="170">
      <c r="A170" s="81" t="n">
        <v>46286</v>
      </c>
      <c r="B170" s="82" t="inlineStr">
        <is>
          <t>Diarista</t>
        </is>
      </c>
      <c r="C170" s="82" t="n"/>
      <c r="D170" s="83" t="n"/>
      <c r="E170" s="82" t="n"/>
      <c r="F170" s="83" t="n"/>
      <c r="G170" s="83" t="n">
        <v>340</v>
      </c>
      <c r="H170" s="82" t="inlineStr">
        <is>
          <t>Pro Labore Edilânia</t>
        </is>
      </c>
      <c r="I170" s="82" t="inlineStr">
        <is>
          <t>Pagamento de diarista — despesa pessoal (Edilânia).</t>
        </is>
      </c>
    </row>
    <row r="171">
      <c r="A171" s="77" t="n">
        <v>46286</v>
      </c>
      <c r="B171" s="78" t="inlineStr">
        <is>
          <t>Acerto de Armando</t>
        </is>
      </c>
      <c r="C171" s="78" t="n"/>
      <c r="D171" s="79" t="n">
        <v>500</v>
      </c>
      <c r="E171" s="78" t="inlineStr">
        <is>
          <t>Dinheiro</t>
        </is>
      </c>
      <c r="F171" s="79" t="n"/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Mangueira (1m)</t>
        </is>
      </c>
      <c r="D172" s="83" t="n">
        <v>10</v>
      </c>
      <c r="E172" s="82" t="inlineStr">
        <is>
          <t>Débito</t>
        </is>
      </c>
      <c r="F172" s="83" t="n">
        <v>0.14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17</v>
      </c>
      <c r="E173" s="78" t="inlineStr">
        <is>
          <t>Crédito à Vista</t>
        </is>
      </c>
      <c r="F173" s="79" t="n">
        <v>0.6</v>
      </c>
      <c r="G173" s="79" t="n"/>
      <c r="H173" s="78" t="n"/>
      <c r="I173" s="78" t="n"/>
      <c r="J173" s="78" t="n"/>
    </row>
    <row r="174">
      <c r="A174" s="81" t="n">
        <v>46286</v>
      </c>
      <c r="B174" s="82" t="inlineStr">
        <is>
          <t>Consumidor Final</t>
        </is>
      </c>
      <c r="C174" s="82" t="inlineStr">
        <is>
          <t>Vela Carvão Ativado</t>
        </is>
      </c>
      <c r="D174" s="83" t="n">
        <v>15</v>
      </c>
      <c r="E174" s="82" t="inlineStr">
        <is>
          <t>Pix</t>
        </is>
      </c>
      <c r="F174" s="83" t="n"/>
      <c r="G174" s="83" t="n"/>
      <c r="H174" s="82" t="n"/>
      <c r="I174" s="82" t="n"/>
    </row>
    <row r="175">
      <c r="A175" s="77" t="n">
        <v>46287</v>
      </c>
      <c r="B175" s="78" t="inlineStr">
        <is>
          <t>Colégio Estadual Normal Arnaldo de Oliveira</t>
        </is>
      </c>
      <c r="C175" s="78" t="inlineStr">
        <is>
          <t>9x Refil Carbon Tech 5" + 2x Refil Everest + Termostato</t>
        </is>
      </c>
      <c r="D175" s="79" t="n">
        <v>990</v>
      </c>
      <c r="E175" s="78" t="inlineStr">
        <is>
          <t>Crédito à Vista</t>
        </is>
      </c>
      <c r="F175" s="79" t="n">
        <v>34.75</v>
      </c>
      <c r="G175" s="79" t="n"/>
      <c r="H175" s="78" t="n"/>
      <c r="I175" s="78" t="n"/>
      <c r="J175" s="78" t="inlineStr">
        <is>
          <t>OUT-0018</t>
        </is>
      </c>
    </row>
    <row r="176">
      <c r="A176" s="44" t="n">
        <v>46287</v>
      </c>
      <c r="B176" s="45" t="inlineStr">
        <is>
          <t>Jacobina Etiquetas e Rotulos LTDA</t>
        </is>
      </c>
      <c r="C176" s="45" t="inlineStr">
        <is>
          <t>Refil Everest</t>
        </is>
      </c>
      <c r="D176" s="46" t="n">
        <v>140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EMP-0190</t>
        </is>
      </c>
    </row>
    <row r="177">
      <c r="A177" s="17" t="n">
        <v>46287</v>
      </c>
      <c r="B177" s="18" t="inlineStr">
        <is>
          <t>Chapada Ouro Serviços Ltda - Motel Privilege</t>
        </is>
      </c>
      <c r="C177" s="18" t="inlineStr">
        <is>
          <t>Refil Pro Life + Mangueira (2m)</t>
        </is>
      </c>
      <c r="D177" s="27" t="n">
        <v>160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EMP-0066</t>
        </is>
      </c>
    </row>
    <row r="178">
      <c r="A178" s="44" t="n">
        <v>46287</v>
      </c>
      <c r="B178" s="45" t="inlineStr">
        <is>
          <t>Casa da Construção Jacobina Ltda - Cavalcanti</t>
        </is>
      </c>
      <c r="C178" s="45" t="inlineStr">
        <is>
          <t>Refil Everest</t>
        </is>
      </c>
      <c r="D178" s="46" t="n">
        <v>140</v>
      </c>
      <c r="E178" s="45" t="inlineStr">
        <is>
          <t>Dinheiro</t>
        </is>
      </c>
      <c r="F178" s="47" t="n"/>
      <c r="G178" s="48" t="n"/>
      <c r="H178" s="49" t="n"/>
      <c r="I178" s="45" t="n"/>
      <c r="J178" t="inlineStr">
        <is>
          <t>EMP-0045</t>
        </is>
      </c>
    </row>
    <row r="179">
      <c r="A179" s="17" t="n">
        <v>46287</v>
      </c>
      <c r="B179" s="18" t="inlineStr">
        <is>
          <t>Consumidor Final</t>
        </is>
      </c>
      <c r="C179" s="18" t="inlineStr">
        <is>
          <t>Carcaça 9" + Refil Plissado</t>
        </is>
      </c>
      <c r="D179" s="27" t="n">
        <v>190</v>
      </c>
      <c r="E179" s="18" t="inlineStr">
        <is>
          <t>Pix</t>
        </is>
      </c>
      <c r="F179" s="19" t="n"/>
      <c r="G179" s="19" t="n"/>
      <c r="H179" s="21" t="n"/>
      <c r="I179" s="18" t="n"/>
      <c r="J179" s="18" t="n"/>
    </row>
    <row r="180">
      <c r="A180" s="44" t="n">
        <v>46287</v>
      </c>
      <c r="B180" s="45" t="inlineStr">
        <is>
          <t>Isabela Alcantara Mesquita - Ivanete</t>
        </is>
      </c>
      <c r="C180" s="45" t="inlineStr">
        <is>
          <t>Refil Pro Life</t>
        </is>
      </c>
      <c r="D180" s="46" t="n">
        <v>140</v>
      </c>
      <c r="E180" s="45" t="inlineStr">
        <is>
          <t>Crédito à Vista</t>
        </is>
      </c>
      <c r="F180" s="47" t="n">
        <v>4.91</v>
      </c>
      <c r="G180" s="48" t="n"/>
      <c r="H180" s="49" t="n"/>
      <c r="I180" s="45" t="n"/>
      <c r="J180" t="inlineStr">
        <is>
          <t>CLI-0371</t>
        </is>
      </c>
    </row>
    <row r="181">
      <c r="A181" s="17" t="n">
        <v>46287</v>
      </c>
      <c r="B181" s="18" t="inlineStr">
        <is>
          <t>Jacobina Silk</t>
        </is>
      </c>
      <c r="C181" s="18" t="inlineStr">
        <is>
          <t>Refil Everest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EMP-0193</t>
        </is>
      </c>
    </row>
    <row r="182">
      <c r="A182" s="44" t="n">
        <v>46287</v>
      </c>
      <c r="B182" s="45" t="inlineStr">
        <is>
          <t>Clinica Crescer</t>
        </is>
      </c>
      <c r="C182" s="45" t="inlineStr">
        <is>
          <t>Refil Pro Life</t>
        </is>
      </c>
      <c r="D182" s="46" t="n">
        <v>140</v>
      </c>
      <c r="E182" s="45" t="inlineStr">
        <is>
          <t>Dinheiro</t>
        </is>
      </c>
      <c r="F182" s="47" t="n"/>
      <c r="G182" s="48" t="n"/>
      <c r="H182" s="49" t="n"/>
      <c r="I182" s="45" t="n"/>
      <c r="J182" t="inlineStr">
        <is>
          <t>EMP-0072</t>
        </is>
      </c>
    </row>
    <row r="183">
      <c r="A183" s="17" t="n">
        <v>46287</v>
      </c>
      <c r="B183" s="18" t="inlineStr">
        <is>
          <t>Comercial de Tintas Leal Jatobá</t>
        </is>
      </c>
      <c r="C183" s="18" t="n"/>
      <c r="D183" s="27" t="n"/>
      <c r="E183" s="18" t="n"/>
      <c r="F183" s="19" t="n"/>
      <c r="G183" s="19" t="n">
        <v>124.2</v>
      </c>
      <c r="H183" s="21" t="inlineStr">
        <is>
          <t>Manutenção e Reparos</t>
        </is>
      </c>
      <c r="I183" s="18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2026-09-22T21:14:44Z</dcterms:modified>
  <cp:lastModifiedBy>Planeta</cp:lastModifiedBy>
  <cp:revision>1</cp:revision>
</cp:coreProperties>
</file>