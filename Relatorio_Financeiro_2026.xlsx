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4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Pendente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Pagamento previsto para 30/09/2026. Recebido em dinheiro em 14/10/2026 — lançado em "Set 2026".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78" t="inlineStr">
        <is>
          <t>Casa do Construtor</t>
        </is>
      </c>
      <c r="B157" s="78" t="inlineStr">
        <is>
          <t>Refil Everest</t>
        </is>
      </c>
      <c r="C157" s="77" t="n">
        <v>46310</v>
      </c>
      <c r="D157" s="79" t="n">
        <v>140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Troca do dia 15/10/2026.</t>
        </is>
      </c>
    </row>
    <row r="158" s="157">
      <c r="A158" s="78" t="inlineStr">
        <is>
          <t>Lapec</t>
        </is>
      </c>
      <c r="B158" s="78" t="inlineStr">
        <is>
          <t>Refil E3 + Refil Everest</t>
        </is>
      </c>
      <c r="C158" s="77" t="n">
        <v>46310</v>
      </c>
      <c r="D158" s="79" t="n">
        <v>200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Compra do dia 15/10/2026 — Refil E3 R$ 80,00 + Refil Everest R$ 120,00.</t>
        </is>
      </c>
    </row>
    <row r="159" s="157">
      <c r="A159" s="78" t="inlineStr">
        <is>
          <t>Primeiro Tabelionato de Notas - Tatiana Miranda Siqueira</t>
        </is>
      </c>
      <c r="B159" s="78" t="inlineStr">
        <is>
          <t>Refil Everest</t>
        </is>
      </c>
      <c r="C159" s="77" t="n">
        <v>46310</v>
      </c>
      <c r="D159" s="79" t="n">
        <v>140</v>
      </c>
      <c r="E159" s="112" t="inlineStr">
        <is>
          <t>Pendente</t>
        </is>
      </c>
      <c r="F159" s="112">
        <f>IF(OR($E159="Recebido",$C159=""),"",MAX(0,TODAY()-$C159))</f>
        <v/>
      </c>
      <c r="G159" s="78" t="inlineStr">
        <is>
          <t>Troca do dia 15/10/2026.</t>
        </is>
      </c>
    </row>
    <row r="160" s="157">
      <c r="A160" s="78" t="inlineStr">
        <is>
          <t>Colegio Oasis de Jacobina - Unopar</t>
        </is>
      </c>
      <c r="B160" s="78" t="inlineStr">
        <is>
          <t>2x Refil Plissado + 2x Carcaça 9"</t>
        </is>
      </c>
      <c r="C160" s="77" t="n">
        <v>46305</v>
      </c>
      <c r="D160" s="79" t="n">
        <v>400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2x Refil Plissado R$ 80,00 cada + 2x Carcaça 9" R$ 120,00 cada. Cláudio assinou para pagar depois. Falta enviar a NF.</t>
        </is>
      </c>
    </row>
    <row r="161" s="157">
      <c r="A161" s="86" t="inlineStr">
        <is>
          <t>TOTAL EM ABERTO A RECEBER (detalhe)</t>
        </is>
      </c>
      <c r="D161" s="115">
        <f>SUMIF(E102:E160,"Pendente",D102:D160)</f>
        <v/>
      </c>
    </row>
    <row r="162" s="157">
      <c r="A162" s="202" t="inlineStr">
        <is>
          <t>CONFERÊNCIA COM AS ABAS DOS MESES</t>
        </is>
      </c>
      <c r="B162" s="159" t="n"/>
      <c r="C162" s="159" t="n"/>
      <c r="D162" s="159" t="n"/>
      <c r="E162" s="159" t="n"/>
      <c r="F162" s="159" t="n"/>
      <c r="G162" s="160" t="n"/>
    </row>
    <row r="163" s="157">
      <c r="A163" s="203">
        <f>IF(ROUND(D161-C5,2)=0,"OK — o detalhe acima bate com as vendas marcadas como Aguardando Pagamento nas abas dos meses.","ATENÇÃO: diferença de R$ "&amp;TEXT(ABS(D161-C5),"#,##0.00")&amp;" entre este detalhe e as abas dos meses — alguma venda mudou de status em um lado só.")</f>
        <v/>
      </c>
    </row>
    <row r="164" s="157">
      <c r="A164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62:G162"/>
    <mergeCell ref="A163:G163"/>
    <mergeCell ref="A100:G100"/>
    <mergeCell ref="C5:D6"/>
    <mergeCell ref="A5:B6"/>
    <mergeCell ref="A2:G2"/>
    <mergeCell ref="E5:F6"/>
    <mergeCell ref="A99:G99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60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190</v>
      </c>
      <c r="E104" s="45" t="inlineStr">
        <is>
          <t>Dinheiro</t>
        </is>
      </c>
      <c r="F104" s="47" t="n"/>
      <c r="G104" s="48" t="n"/>
      <c r="H104" s="49" t="n"/>
      <c r="I104" s="45" t="n"/>
      <c r="J104" t="inlineStr">
        <is>
          <t>CLI-0499</t>
        </is>
      </c>
    </row>
    <row r="105">
      <c r="A105" s="17" t="n">
        <v>46310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Aguardando Pagamento</t>
        </is>
      </c>
      <c r="F105" s="19" t="n"/>
      <c r="G105" s="19" t="n"/>
      <c r="H105" s="21" t="n"/>
      <c r="I105" s="18" t="n"/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2026-10-16T15:24:25Z</dcterms:modified>
  <cp:lastModifiedBy>Planeta</cp:lastModifiedBy>
  <cp:revision>1</cp:revision>
</cp:coreProperties>
</file>