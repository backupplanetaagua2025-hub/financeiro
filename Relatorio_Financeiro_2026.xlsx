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2026'!L17</f>
        <v/>
      </c>
      <c r="C27" s="108">
        <f>'Fev 2026'!L17</f>
        <v/>
      </c>
      <c r="D27" s="108">
        <f>'Mar 2026'!L17</f>
        <v/>
      </c>
      <c r="E27" s="108">
        <f>'Abr 2026'!L17</f>
        <v/>
      </c>
      <c r="F27" s="108">
        <f>'Mai 2026'!L17</f>
        <v/>
      </c>
      <c r="G27" s="108">
        <f>'Jun 2026'!L17</f>
        <v/>
      </c>
      <c r="H27" s="108">
        <f>'Jul 2026'!L17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>
        <f>'Jan 2026'!L19</f>
        <v/>
      </c>
      <c r="C28" s="108">
        <f>'Fev 2026'!L19</f>
        <v/>
      </c>
      <c r="D28" s="108">
        <f>'Mar 2026'!L19</f>
        <v/>
      </c>
      <c r="E28" s="108">
        <f>'Abr 2026'!L19</f>
        <v/>
      </c>
      <c r="F28" s="108">
        <f>'Mai 2026'!L19</f>
        <v/>
      </c>
      <c r="G28" s="108">
        <f>'Jun 2026'!L19</f>
        <v/>
      </c>
      <c r="H28" s="108">
        <f>'Jul 2026'!L19</f>
        <v/>
      </c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D91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86" t="inlineStr">
        <is>
          <t>TOTAL A PAGAR — COM BOLETO EM MÃOS</t>
        </is>
      </c>
      <c r="B89" s="86" t="n"/>
      <c r="C89" s="114" t="n"/>
      <c r="D89" s="115">
        <f>SUMIF(E11:E88,"Pendente",D11:D88)</f>
        <v/>
      </c>
      <c r="E89" s="116" t="n"/>
      <c r="F89" s="116" t="n"/>
      <c r="G89" s="86" t="n"/>
    </row>
    <row r="90" s="157">
      <c r="A90" s="144" t="inlineStr">
        <is>
          <t>PREVISTO — compromisso certo que ainda não está documentado</t>
        </is>
      </c>
      <c r="B90" s="144" t="n"/>
      <c r="C90" s="145" t="n"/>
      <c r="D90" s="146">
        <f>SUMIF(E11:E88,"Previsto",D11:D88)</f>
        <v/>
      </c>
      <c r="E90" s="142" t="n"/>
      <c r="F90" s="142" t="n"/>
      <c r="G90" s="144" t="n"/>
    </row>
    <row r="91" s="157">
      <c r="A91" s="86" t="inlineStr">
        <is>
          <t>TOTAL GERAL A PAGAR (boletos + previsão)</t>
        </is>
      </c>
      <c r="B91" s="86" t="n"/>
      <c r="C91" s="114" t="n"/>
      <c r="D91" s="115">
        <f>D89+D90</f>
        <v/>
      </c>
      <c r="E91" s="116" t="n"/>
      <c r="F91" s="116" t="n"/>
      <c r="G91" s="86" t="n"/>
    </row>
    <row r="92" s="157"/>
    <row r="93" ht="15.75" customHeight="1" s="157"/>
    <row r="94" ht="15.75" customHeight="1" s="157">
      <c r="A94" s="200" t="inlineStr">
        <is>
          <t>CONTAS A RECEBER  —  vendas feitas e ainda não pagas</t>
        </is>
      </c>
    </row>
    <row r="95" s="157">
      <c r="A9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96" s="157">
      <c r="A96" s="111" t="inlineStr">
        <is>
          <t>Cliente</t>
        </is>
      </c>
      <c r="B96" s="111" t="inlineStr">
        <is>
          <t>Produto / Referência</t>
        </is>
      </c>
      <c r="C96" s="111" t="inlineStr">
        <is>
          <t>Data da Venda</t>
        </is>
      </c>
      <c r="D96" s="111" t="inlineStr">
        <is>
          <t>Valor (R$)</t>
        </is>
      </c>
      <c r="E96" s="111" t="inlineStr">
        <is>
          <t>Status</t>
        </is>
      </c>
      <c r="F96" s="111" t="inlineStr">
        <is>
          <t>Dias em Atraso</t>
        </is>
      </c>
      <c r="G96" s="111" t="inlineStr">
        <is>
          <t>Observações</t>
        </is>
      </c>
    </row>
    <row r="97" s="157">
      <c r="A97" s="78" t="inlineStr">
        <is>
          <t>Centro de Especialidades Odontomédicas</t>
        </is>
      </c>
      <c r="B97" s="78" t="inlineStr">
        <is>
          <t>Refil Everest</t>
        </is>
      </c>
      <c r="C97" s="77" t="n">
        <v>46239</v>
      </c>
      <c r="D97" s="79" t="n">
        <v>140</v>
      </c>
      <c r="E97" s="112" t="inlineStr">
        <is>
          <t>Pendente</t>
        </is>
      </c>
      <c r="F97" s="112">
        <f>IF(OR($E97="Recebido",$C97=""),"",MAX(0,TODAY()-$C97))</f>
        <v/>
      </c>
      <c r="G97" s="78" t="n"/>
    </row>
    <row r="98" s="157">
      <c r="A98" s="82" t="inlineStr">
        <is>
          <t>Supermercado Brasil</t>
        </is>
      </c>
      <c r="B98" s="82" t="inlineStr">
        <is>
          <t>2x Refil Pro Life</t>
        </is>
      </c>
      <c r="C98" s="81" t="n">
        <v>46239</v>
      </c>
      <c r="D98" s="83" t="n">
        <v>280</v>
      </c>
      <c r="E98" s="113" t="inlineStr">
        <is>
          <t>Pendente</t>
        </is>
      </c>
      <c r="F98" s="113">
        <f>IF(OR($E98="Recebido",$C98=""),"",MAX(0,TODAY()-$C98))</f>
        <v/>
      </c>
      <c r="G98" s="82" t="n"/>
    </row>
    <row r="99" s="157">
      <c r="A99" s="78" t="inlineStr">
        <is>
          <t>Tropical Motos LTDA</t>
        </is>
      </c>
      <c r="B99" s="78" t="inlineStr">
        <is>
          <t>3x Refil Everest + Refil Pro Life + 3x Pré Filtro + Válvula Reguladora de Pressão</t>
        </is>
      </c>
      <c r="C99" s="77" t="n">
        <v>46245</v>
      </c>
      <c r="D99" s="79" t="n">
        <v>820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Recebido via TED em 25/08/2026. NF conferida: valor correto é R$820 (faltava a válvula no lançamento original de R$740).</t>
        </is>
      </c>
    </row>
    <row r="100" s="157">
      <c r="A100" s="82" t="inlineStr">
        <is>
          <t>Free Way</t>
        </is>
      </c>
      <c r="B100" s="82" t="inlineStr">
        <is>
          <t>5x Refil Everest</t>
        </is>
      </c>
      <c r="C100" s="81" t="n">
        <v>46251</v>
      </c>
      <c r="D100" s="83" t="n">
        <v>700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Recebido via TED em 02/09/2026.</t>
        </is>
      </c>
    </row>
    <row r="101" s="157">
      <c r="A101" s="78" t="inlineStr">
        <is>
          <t>Neli Sena Rego</t>
        </is>
      </c>
      <c r="B101" s="78" t="inlineStr">
        <is>
          <t>Refil Pro Life</t>
        </is>
      </c>
      <c r="C101" s="77" t="n">
        <v>46254</v>
      </c>
      <c r="D101" s="79" t="n">
        <v>140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Recebido em dinheiro em 01/09/2026 (R$ 170,00 pelas duas vendas)</t>
        </is>
      </c>
    </row>
    <row r="102" s="157">
      <c r="A102" s="82" t="inlineStr">
        <is>
          <t>Neli Sena Rego</t>
        </is>
      </c>
      <c r="B102" s="82" t="inlineStr">
        <is>
          <t>Conexão + Mangueira</t>
        </is>
      </c>
      <c r="C102" s="81" t="n">
        <v>46255</v>
      </c>
      <c r="D102" s="83" t="n">
        <v>40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Recebido em dinheiro em 01/09/2026 (R$ 170,00 pelas duas vendas)</t>
        </is>
      </c>
    </row>
    <row r="103" s="157">
      <c r="A103" s="78" t="inlineStr">
        <is>
          <t>Lapec</t>
        </is>
      </c>
      <c r="B103" s="78" t="inlineStr">
        <is>
          <t>4x Refil Everest</t>
        </is>
      </c>
      <c r="C103" s="77" t="n">
        <v>46258</v>
      </c>
      <c r="D103" s="79" t="n">
        <v>480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em dinheiro em 08/09/2026 — lançado em "Set 2026".</t>
        </is>
      </c>
    </row>
    <row r="104" s="157">
      <c r="A104" s="82" t="inlineStr">
        <is>
          <t>Cícero Lima</t>
        </is>
      </c>
      <c r="B104" s="82" t="inlineStr">
        <is>
          <t>Refil Everest</t>
        </is>
      </c>
      <c r="C104" s="81" t="n">
        <v>46261</v>
      </c>
      <c r="D104" s="83" t="n">
        <v>140</v>
      </c>
      <c r="E104" s="113" t="inlineStr">
        <is>
          <t>Recebido</t>
        </is>
      </c>
      <c r="F104" s="113">
        <f>IF(OR($E104="Recebido",$C104=""),"",MAX(0,TODAY()-$C104))</f>
        <v/>
      </c>
      <c r="G104" s="82" t="inlineStr">
        <is>
          <t>Recebido via Pix em 27/08/2026</t>
        </is>
      </c>
    </row>
    <row r="105" s="157">
      <c r="A105" s="78" t="inlineStr">
        <is>
          <t>Promotoria Regional de Jacobina</t>
        </is>
      </c>
      <c r="B105" s="78" t="inlineStr">
        <is>
          <t>2x Carcaça 9" + 2x Refil Plissado 9" + Conexão Reta Rosca</t>
        </is>
      </c>
      <c r="C105" s="77" t="n">
        <v>46261</v>
      </c>
      <c r="D105" s="79" t="n">
        <v>470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Pago em 28/08/2026 em duas formas: R$ 270,00 Pix + R$ 200,00 crédito 2x</t>
        </is>
      </c>
    </row>
    <row r="106" s="157">
      <c r="A106" s="82" t="inlineStr">
        <is>
          <t>Lucas Souza</t>
        </is>
      </c>
      <c r="B106" s="82" t="inlineStr">
        <is>
          <t>Refil Everest + Pré Filtro</t>
        </is>
      </c>
      <c r="C106" s="81" t="n">
        <v>46261</v>
      </c>
      <c r="D106" s="83" t="n">
        <v>200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em dinheiro em 03/09/2026 — lançado em "Set 2026".</t>
        </is>
      </c>
    </row>
    <row r="107" s="157">
      <c r="A107" s="78" t="inlineStr">
        <is>
          <t>FG Boa Vista (Recife/PE)</t>
        </is>
      </c>
      <c r="B107" s="78" t="inlineStr">
        <is>
          <t>Refis — troca de julho/2026</t>
        </is>
      </c>
      <c r="C107" s="77" t="n">
        <v>46261</v>
      </c>
      <c r="D107" s="79" t="n">
        <v>1008.8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Grupo Ânima — NF 000.004.280 · recebido em 30/08/2026 (Nota Paga no portal V360)</t>
        </is>
      </c>
    </row>
    <row r="108" s="157">
      <c r="A108" s="82" t="inlineStr">
        <is>
          <t>UNIFG Guanambi (Guanambi/BA)</t>
        </is>
      </c>
      <c r="B108" s="82" t="inlineStr">
        <is>
          <t>Refis — troca de julho/2026</t>
        </is>
      </c>
      <c r="C108" s="81" t="n">
        <v>46261</v>
      </c>
      <c r="D108" s="83" t="n">
        <v>4534.75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Grupo Ânima — NF 000.004.281 · recebido em 30/08/2026 (Nota Paga no portal V360)</t>
        </is>
      </c>
    </row>
    <row r="109" s="157">
      <c r="A109" s="78" t="inlineStr">
        <is>
          <t>UNP Zona Norte (Natal/RN)</t>
        </is>
      </c>
      <c r="B109" s="78" t="inlineStr">
        <is>
          <t>Refis — troca de julho/2026</t>
        </is>
      </c>
      <c r="C109" s="77" t="n">
        <v>46261</v>
      </c>
      <c r="D109" s="79" t="n">
        <v>870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Grupo Ânima — NF 000.004.282 · recebido em 30/08/2026 (Nota Paga no portal V360)</t>
        </is>
      </c>
    </row>
    <row r="110" s="157">
      <c r="A110" s="82" t="inlineStr">
        <is>
          <t>UNP Caicó (Caicó/RN)</t>
        </is>
      </c>
      <c r="B110" s="82" t="inlineStr">
        <is>
          <t>Refis — troca de julho/2026</t>
        </is>
      </c>
      <c r="C110" s="81" t="n">
        <v>46261</v>
      </c>
      <c r="D110" s="83" t="n">
        <v>440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Grupo Ânima — NF 000.004.283 · recebido via Pix em 27/08/2026</t>
        </is>
      </c>
    </row>
    <row r="111" s="157">
      <c r="A111" s="78" t="inlineStr">
        <is>
          <t>AGES Irecê (Irecê/BA)</t>
        </is>
      </c>
      <c r="B111" s="78" t="inlineStr">
        <is>
          <t>Refis — troca de julho/2026</t>
        </is>
      </c>
      <c r="C111" s="77" t="n">
        <v>46269</v>
      </c>
      <c r="D111" s="79" t="n">
        <v>1338.6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Grupo Ânima — NF 000.004.294 · recebido via Pix em 04/09/2026.</t>
        </is>
      </c>
    </row>
    <row r="112" s="157">
      <c r="A112" s="82" t="inlineStr">
        <is>
          <t>CIS Irecê (Irecê/BA)</t>
        </is>
      </c>
      <c r="B112" s="82" t="inlineStr">
        <is>
          <t>Refis — troca de julho/2026</t>
        </is>
      </c>
      <c r="C112" s="81" t="n">
        <v>46269</v>
      </c>
      <c r="D112" s="83" t="n">
        <v>1358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Grupo Ânima — NF 000.004.295 · recebido via Pix em 04/09/2026.</t>
        </is>
      </c>
    </row>
    <row r="113" s="157">
      <c r="A113" s="78" t="inlineStr">
        <is>
          <t>AGES Senhor do Bonfim (S. do Bonfim/BA)</t>
        </is>
      </c>
      <c r="B113" s="78" t="inlineStr">
        <is>
          <t>Refis — troca de julho/2026</t>
        </is>
      </c>
      <c r="C113" s="77" t="n">
        <v>46270</v>
      </c>
      <c r="D113" s="79" t="n">
        <v>649.9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Grupo Ânima — NF 000.004.298 · recebido via Pix em 08/09/2026.</t>
        </is>
      </c>
    </row>
    <row r="114" s="157">
      <c r="A114" s="82" t="inlineStr">
        <is>
          <t>CIS Senhor do Bonfim (S. do Bonfim/BA)</t>
        </is>
      </c>
      <c r="B114" s="82" t="inlineStr">
        <is>
          <t>Refis — troca de julho/2026</t>
        </is>
      </c>
      <c r="C114" s="81" t="n">
        <v>46270</v>
      </c>
      <c r="D114" s="83" t="n">
        <v>562.6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Grupo Ânima — NF 000.004.299 · recebido via Pix em 08/09/2026.</t>
        </is>
      </c>
    </row>
    <row r="115" s="157">
      <c r="A115" s="78" t="inlineStr">
        <is>
          <t>AGES Paripiranga (Paripiranga/BA)</t>
        </is>
      </c>
      <c r="B115" s="78" t="inlineStr">
        <is>
          <t>Refis — troca de julho/2026</t>
        </is>
      </c>
      <c r="C115" s="77" t="n">
        <v>46270</v>
      </c>
      <c r="D115" s="79" t="n">
        <v>1086.4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Grupo Ânima — NF 000.004.300 · recebido via Pix em 08/09/2026.</t>
        </is>
      </c>
    </row>
    <row r="116" s="157">
      <c r="A116" s="82" t="inlineStr">
        <is>
          <t>Clínica Veterinária Paripiranga (Paripiranga/BA)</t>
        </is>
      </c>
      <c r="B116" s="82" t="inlineStr">
        <is>
          <t>Refis — troca de julho/2026</t>
        </is>
      </c>
      <c r="C116" s="81" t="n">
        <v>46270</v>
      </c>
      <c r="D116" s="83" t="n">
        <v>1265.85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Grupo Ânima — NF 000.004.301 · recebido via Pix em 08/09/2026.</t>
        </is>
      </c>
    </row>
    <row r="117" s="157">
      <c r="A117" s="78" t="inlineStr">
        <is>
          <t>UNP Mossoró (Mossoró/RN)</t>
        </is>
      </c>
      <c r="B117" s="78" t="inlineStr">
        <is>
          <t>Refis — troca de julho/2026</t>
        </is>
      </c>
      <c r="C117" s="77" t="n">
        <v>46270</v>
      </c>
      <c r="D117" s="79" t="n">
        <v>1867.25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000.004.302 · recebido via Pix em 08/09/2026.</t>
        </is>
      </c>
    </row>
    <row r="118" s="157">
      <c r="A118" s="82" t="inlineStr">
        <is>
          <t>CIS Jacobina (Jacobina/BA)</t>
        </is>
      </c>
      <c r="B118" s="82" t="inlineStr">
        <is>
          <t>Refis — troca de julho/2026</t>
        </is>
      </c>
      <c r="C118" s="81" t="n">
        <v>46290</v>
      </c>
      <c r="D118" s="83" t="n">
        <v>2095.2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000.004.333 de 26/08/2026 · OC AEMPPO00004452 · 30 dias · recebido via Pix em 25/09/2026 (Nota Paga no portal V360).</t>
        </is>
      </c>
    </row>
    <row r="119" s="157">
      <c r="A119" s="78" t="inlineStr">
        <is>
          <t>AGES Jacobina (Jacobina/BA)</t>
        </is>
      </c>
      <c r="B119" s="78" t="inlineStr">
        <is>
          <t>Refis — troca de julho/2026</t>
        </is>
      </c>
      <c r="C119" s="77" t="n">
        <v>46305</v>
      </c>
      <c r="D119" s="79" t="n">
        <v>1188.25</v>
      </c>
      <c r="E119" s="112" t="inlineStr">
        <is>
          <t>Pendente</t>
        </is>
      </c>
      <c r="F119" s="112">
        <f>IF(OR($E119="Recebido",$C119=""),"",MAX(0,TODAY()-$C119))</f>
        <v/>
      </c>
      <c r="G119" s="78" t="inlineStr">
        <is>
          <t>Grupo Ânima — NF 000.004.332 de 26/08/2026 · OC AEMPPO00004453 · 45 dias</t>
        </is>
      </c>
    </row>
    <row r="120" s="157">
      <c r="A120" s="82" t="inlineStr">
        <is>
          <t>Instituto Paulo Leão</t>
        </is>
      </c>
      <c r="B120" s="82" t="inlineStr">
        <is>
          <t>Refil E3 + Pré Filtro</t>
        </is>
      </c>
      <c r="C120" s="81" t="n">
        <v>46265</v>
      </c>
      <c r="D120" s="83" t="n">
        <v>160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Recebido via Pix em 08/09/2026 — lançado em "Set 2026".</t>
        </is>
      </c>
    </row>
    <row r="121" s="157">
      <c r="A121" s="78" t="inlineStr">
        <is>
          <t>Eletronic Segurança Eletronica</t>
        </is>
      </c>
      <c r="B121" s="78" t="inlineStr">
        <is>
          <t>Pré Filtro</t>
        </is>
      </c>
      <c r="C121" s="77" t="n">
        <v>46265</v>
      </c>
      <c r="D121" s="79" t="n">
        <v>60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03/09/2026.</t>
        </is>
      </c>
    </row>
    <row r="122" s="157">
      <c r="A122" s="82" t="inlineStr">
        <is>
          <t>Clube dos Mineiros</t>
        </is>
      </c>
      <c r="B122" s="82" t="inlineStr">
        <is>
          <t>Refil Pro Life</t>
        </is>
      </c>
      <c r="C122" s="81" t="n">
        <v>46265</v>
      </c>
      <c r="D122" s="83" t="n">
        <v>150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Recebido via Pix em 01/09/2026 (pagador: Sindicato dos Mineiros de Jacobina).</t>
        </is>
      </c>
    </row>
    <row r="123" s="157">
      <c r="A123" s="78" t="inlineStr">
        <is>
          <t>Armazem Cecilio Mota</t>
        </is>
      </c>
      <c r="B123" s="78" t="inlineStr">
        <is>
          <t>Refil Everest + Refil Carbon 9"</t>
        </is>
      </c>
      <c r="C123" s="77" t="n">
        <v>46266</v>
      </c>
      <c r="D123" s="79" t="n">
        <v>225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Recebido via Pix em 10/09/2026 — lançado em "Set 2026".</t>
        </is>
      </c>
    </row>
    <row r="124" s="157">
      <c r="A124" s="82" t="inlineStr">
        <is>
          <t>Clebson Dantas Da Silva</t>
        </is>
      </c>
      <c r="B124" s="82" t="inlineStr">
        <is>
          <t>Refil Everest</t>
        </is>
      </c>
      <c r="C124" s="81" t="n">
        <v>46266</v>
      </c>
      <c r="D124" s="83" t="n">
        <v>140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Recebido via Pix em 02/09/2026</t>
        </is>
      </c>
    </row>
    <row r="125" s="157">
      <c r="A125" s="82" t="inlineStr">
        <is>
          <t>Tesla Imagem Medicina Diagnostica Ltda</t>
        </is>
      </c>
      <c r="B125" s="82" t="inlineStr">
        <is>
          <t>3x Refil Everest + 2x Pré Filtro</t>
        </is>
      </c>
      <c r="C125" s="81" t="n">
        <v>46267</v>
      </c>
      <c r="D125" s="83" t="n">
        <v>540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Troca do dia 02/09/2026 — 1º Andar, Térreo e Copa. Recebido via Pix em 08/09/2026 — lançado em "Set 2026".</t>
        </is>
      </c>
    </row>
    <row r="126" s="157">
      <c r="A126" s="78" t="inlineStr">
        <is>
          <t>Cecilio Mota Junior</t>
        </is>
      </c>
      <c r="B126" s="78" t="inlineStr">
        <is>
          <t>Refil Everest</t>
        </is>
      </c>
      <c r="C126" s="77" t="n">
        <v>46267</v>
      </c>
      <c r="D126" s="79" t="n">
        <v>140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10/09/2026 — lançado em "Set 2026".</t>
        </is>
      </c>
    </row>
    <row r="127" s="157">
      <c r="A127" s="78" t="inlineStr">
        <is>
          <t>Tereza Cristina Aquino Martins - Luiz Augusto</t>
        </is>
      </c>
      <c r="B127" s="78" t="inlineStr">
        <is>
          <t>Refil Everest + Pré Filtro</t>
        </is>
      </c>
      <c r="C127" s="77" t="n">
        <v>46268</v>
      </c>
      <c r="D127" s="79" t="n">
        <v>200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04/09/2026.</t>
        </is>
      </c>
    </row>
    <row r="128" s="157">
      <c r="A128" s="78" t="inlineStr">
        <is>
          <t>Samille Fiscina Lima Lordello - Tiago (Cartório)</t>
        </is>
      </c>
      <c r="B128" s="78" t="inlineStr">
        <is>
          <t>Refil Pro Life</t>
        </is>
      </c>
      <c r="C128" s="77" t="n">
        <v>46269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78" t="inlineStr">
        <is>
          <t>Bomboniere Doce Mania - Veronildo Basilio</t>
        </is>
      </c>
      <c r="B129" s="78" t="inlineStr">
        <is>
          <t>Refil Plissado + Refil BAG</t>
        </is>
      </c>
      <c r="C129" s="77" t="n">
        <v>46274</v>
      </c>
      <c r="D129" s="79" t="n">
        <v>150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Recebido em dinheiro em 16/09/2026 — lançado em "Set 2026".</t>
        </is>
      </c>
    </row>
    <row r="130" s="157">
      <c r="A130" s="78" t="inlineStr">
        <is>
          <t>Adriadne (Hotel Jovem Jota)</t>
        </is>
      </c>
      <c r="B130" s="78" t="inlineStr">
        <is>
          <t>Refil Everest</t>
        </is>
      </c>
      <c r="C130" s="77" t="n">
        <v>46275</v>
      </c>
      <c r="D130" s="79" t="n">
        <v>140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Recebido via Pix em 11/09/2026 — lançado em "Set 2026".</t>
        </is>
      </c>
    </row>
    <row r="131" s="157">
      <c r="A131" s="78" t="inlineStr">
        <is>
          <t>Pousada Triunfo Ltda (Hotel Triunfo)</t>
        </is>
      </c>
      <c r="B131" s="78" t="inlineStr">
        <is>
          <t>Refil Everest + Pré Filtro</t>
        </is>
      </c>
      <c r="C131" s="77" t="n">
        <v>46275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11/09/2026 — lançado em "Set 2026".</t>
        </is>
      </c>
    </row>
    <row r="132" s="157">
      <c r="A132" s="78" t="inlineStr">
        <is>
          <t>Topvel Tropical Veiculos e Pecas</t>
        </is>
      </c>
      <c r="B132" s="78" t="inlineStr">
        <is>
          <t>2x Refil Everest + 2x Pré Filtro</t>
        </is>
      </c>
      <c r="C132" s="77" t="n">
        <v>46276</v>
      </c>
      <c r="D132" s="79" t="n">
        <v>370</v>
      </c>
      <c r="E132" s="112" t="inlineStr">
        <is>
          <t>Pendente</t>
        </is>
      </c>
      <c r="F132" s="112">
        <f>IF(OR($E132="Recebido",$C132=""),"",MAX(0,TODAY()-$C132))</f>
        <v/>
      </c>
      <c r="G132" s="78" t="inlineStr">
        <is>
          <t>Troca do dia 11/09/2026 — dois purificadores.</t>
        </is>
      </c>
    </row>
    <row r="133" s="157">
      <c r="A133" s="78" t="inlineStr">
        <is>
          <t>J Diesel Motores e Reparos - Gilmara</t>
        </is>
      </c>
      <c r="B133" s="78" t="inlineStr">
        <is>
          <t>Refil Everest</t>
        </is>
      </c>
      <c r="C133" s="77" t="n">
        <v>46276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Troca do dia 11/09/2026.</t>
        </is>
      </c>
    </row>
    <row r="134" s="157">
      <c r="A134" s="78" t="inlineStr">
        <is>
          <t>IOB</t>
        </is>
      </c>
      <c r="B134" s="78" t="inlineStr">
        <is>
          <t>Refil Everest + Pré Filtro</t>
        </is>
      </c>
      <c r="C134" s="77" t="n">
        <v>46279</v>
      </c>
      <c r="D134" s="79" t="n">
        <v>200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Troca do dia 14/09/2026.</t>
        </is>
      </c>
    </row>
    <row r="135" s="157">
      <c r="A135" s="78" t="inlineStr">
        <is>
          <t>Clínica Santa Cecília</t>
        </is>
      </c>
      <c r="B135" s="78" t="inlineStr">
        <is>
          <t>Refil Everest + Termostato</t>
        </is>
      </c>
      <c r="C135" s="77" t="n">
        <v>46281</v>
      </c>
      <c r="D135" s="79" t="n">
        <v>310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Troca do dia 16/09/2026 — refil + troca de termostato. Recebido via Pix em 29/09/2026.</t>
        </is>
      </c>
    </row>
    <row r="136" s="157">
      <c r="A136" s="78" t="inlineStr">
        <is>
          <t>Marilda Macedo / José Luciano Costa</t>
        </is>
      </c>
      <c r="B136" s="78" t="inlineStr">
        <is>
          <t>Refil Everest + Pré Filtro</t>
        </is>
      </c>
      <c r="C136" s="77" t="n">
        <v>46283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19/09/2026 — lançado em "Set 2026".</t>
        </is>
      </c>
    </row>
    <row r="137" s="157">
      <c r="A137" s="78" t="inlineStr">
        <is>
          <t>Tatiana Rocha</t>
        </is>
      </c>
      <c r="B137" s="78" t="inlineStr">
        <is>
          <t>Refil Everest</t>
        </is>
      </c>
      <c r="C137" s="77" t="n">
        <v>46286</v>
      </c>
      <c r="D137" s="79" t="n">
        <v>140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21/09/2026. Recebido via Pix em 22/09/2026 — lançado em "Set 2026".</t>
        </is>
      </c>
    </row>
    <row r="138" s="157">
      <c r="A138" s="78" t="inlineStr">
        <is>
          <t>Cleone Gomes de Andrade</t>
        </is>
      </c>
      <c r="B138" s="78" t="inlineStr">
        <is>
          <t>Refil Everest</t>
        </is>
      </c>
      <c r="C138" s="77" t="n">
        <v>46286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21/09/2026. Recebido via Pix em 21/09/2026.</t>
        </is>
      </c>
    </row>
    <row r="139" s="157">
      <c r="A139" s="78" t="inlineStr">
        <is>
          <t>Centro de Especialidades Odontomédicas</t>
        </is>
      </c>
      <c r="B139" s="78" t="inlineStr">
        <is>
          <t>2x Refil Everest</t>
        </is>
      </c>
      <c r="C139" s="77" t="n">
        <v>46044</v>
      </c>
      <c r="D139" s="79" t="n">
        <v>280</v>
      </c>
      <c r="E139" s="112" t="inlineStr">
        <is>
          <t>Pendente</t>
        </is>
      </c>
      <c r="F139" s="112">
        <f>IF(OR($E139="Recebido",$C139=""),"",MAX(0,TODAY()-$C139))</f>
        <v/>
      </c>
      <c r="G13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0" s="157">
      <c r="A140" s="78" t="inlineStr">
        <is>
          <t>Igreja Messiânica Mundial do Brasil</t>
        </is>
      </c>
      <c r="B140" s="78" t="inlineStr">
        <is>
          <t>Mangueira</t>
        </is>
      </c>
      <c r="C140" s="77" t="n">
        <v>46073</v>
      </c>
      <c r="D140" s="79" t="n">
        <v>30</v>
      </c>
      <c r="E140" s="112" t="inlineStr">
        <is>
          <t>Pendente</t>
        </is>
      </c>
      <c r="F140" s="112">
        <f>IF(OR($E140="Recebido",$C140=""),"",MAX(0,TODAY()-$C140))</f>
        <v/>
      </c>
      <c r="G140" s="78" t="inlineStr">
        <is>
          <t>NF-e 4075 de 20/02/2026 (CNPJ 62.647.383/0063-44). Conferido no DigiSat em 28/09/2026: não recebido.</t>
        </is>
      </c>
    </row>
    <row r="141" s="157">
      <c r="A141" s="78" t="inlineStr">
        <is>
          <t>Centro Médico de Jacobina</t>
        </is>
      </c>
      <c r="B141" s="78" t="inlineStr">
        <is>
          <t>2x Botão Completo</t>
        </is>
      </c>
      <c r="C141" s="77" t="n">
        <v>46203</v>
      </c>
      <c r="D141" s="79" t="n">
        <v>60</v>
      </c>
      <c r="E141" s="112" t="inlineStr">
        <is>
          <t>Pendente</t>
        </is>
      </c>
      <c r="F141" s="112">
        <f>IF(OR($E141="Recebido",$C141=""),"",MAX(0,TODAY()-$C141))</f>
        <v/>
      </c>
      <c r="G141" s="78" t="inlineStr">
        <is>
          <t>NF-e 4242 de 30/06/2026 (CNPJ 13.228.432/0001-04). Conferido no DigiSat em 28/09/2026: não recebido.</t>
        </is>
      </c>
    </row>
    <row r="142" s="157">
      <c r="A142" s="78" t="inlineStr">
        <is>
          <t>Vivencie Turismo Agencia de Viagens - Aneildes Rios</t>
        </is>
      </c>
      <c r="B142" s="78" t="inlineStr">
        <is>
          <t>Refil Everest</t>
        </is>
      </c>
      <c r="C142" s="77" t="n">
        <v>46294</v>
      </c>
      <c r="D142" s="79" t="n">
        <v>140</v>
      </c>
      <c r="E142" s="112" t="inlineStr">
        <is>
          <t>Pendente</t>
        </is>
      </c>
      <c r="F142" s="112">
        <f>IF(OR($E142="Recebido",$C142=""),"",MAX(0,TODAY()-$C142))</f>
        <v/>
      </c>
      <c r="G142" s="78" t="inlineStr">
        <is>
          <t>Troca do dia 29/09/2026.</t>
        </is>
      </c>
    </row>
    <row r="143" s="157">
      <c r="A143" s="78" t="inlineStr">
        <is>
          <t>Lapec</t>
        </is>
      </c>
      <c r="B143" s="78" t="inlineStr">
        <is>
          <t>Refil C+3</t>
        </is>
      </c>
      <c r="C143" s="77" t="n">
        <v>46294</v>
      </c>
      <c r="D143" s="79" t="n">
        <v>100</v>
      </c>
      <c r="E143" s="112" t="inlineStr">
        <is>
          <t>Pendente</t>
        </is>
      </c>
      <c r="F143" s="112">
        <f>IF(OR($E143="Recebido",$C143=""),"",MAX(0,TODAY()-$C143))</f>
        <v/>
      </c>
      <c r="G143" s="78" t="inlineStr">
        <is>
          <t>Pagamento previsto para 30/09/2026.</t>
        </is>
      </c>
    </row>
    <row r="144" s="157">
      <c r="A144" s="78" t="inlineStr">
        <is>
          <t>PC Jacobina Administradora de Cartões LTDA</t>
        </is>
      </c>
      <c r="B144" s="78" t="inlineStr">
        <is>
          <t>Refil Everest</t>
        </is>
      </c>
      <c r="C144" s="77" t="n">
        <v>46295</v>
      </c>
      <c r="D144" s="79" t="n">
        <v>140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Troca do dia 30/09/2026.</t>
        </is>
      </c>
    </row>
    <row r="145" s="157">
      <c r="A145" s="78" t="inlineStr">
        <is>
          <t>Aneilde Rios de Oliveira</t>
        </is>
      </c>
      <c r="B145" s="78" t="inlineStr">
        <is>
          <t>Refil Everest</t>
        </is>
      </c>
      <c r="C145" s="77" t="n">
        <v>46296</v>
      </c>
      <c r="D145" s="79" t="n">
        <v>140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Troca do dia 01/10/2026 (casa, Caeira).</t>
        </is>
      </c>
    </row>
    <row r="146" s="157">
      <c r="A146" s="78" t="inlineStr">
        <is>
          <t>Centro Medico da Chapada Diamantina LTDA</t>
        </is>
      </c>
      <c r="B146" s="78" t="inlineStr">
        <is>
          <t>Refil Pro Life + 2x Botão Completo</t>
        </is>
      </c>
      <c r="C146" s="77" t="n">
        <v>46296</v>
      </c>
      <c r="D146" s="79" t="n">
        <v>200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Subsolo — troca do dia 01/10/2026 (refil + 2 botões).</t>
        </is>
      </c>
    </row>
    <row r="147" s="157">
      <c r="A147" s="78" t="inlineStr">
        <is>
          <t>Centro Medico da Chapada Diamantina LTDA</t>
        </is>
      </c>
      <c r="B147" s="78" t="inlineStr">
        <is>
          <t>Refil Pro Life + 2x Botão Completo</t>
        </is>
      </c>
      <c r="C147" s="77" t="n">
        <v>46297</v>
      </c>
      <c r="D147" s="79" t="n">
        <v>200</v>
      </c>
      <c r="E147" s="112" t="inlineStr">
        <is>
          <t>Pendente</t>
        </is>
      </c>
      <c r="F147" s="112">
        <f>IF(OR($E147="Recebido",$C147=""),"",MAX(0,TODAY()-$C147))</f>
        <v/>
      </c>
      <c r="G147" s="78" t="inlineStr">
        <is>
          <t>1º Andar — troca do dia 02/10/2026 (refil + 2 botões).</t>
        </is>
      </c>
    </row>
    <row r="148" s="157">
      <c r="A148" s="86" t="inlineStr">
        <is>
          <t>TOTAL EM ABERTO A RECEBER (detalhe)</t>
        </is>
      </c>
      <c r="D148" s="115">
        <f>SUMIF(E97:E147,"Pendente",D97:D147)</f>
        <v/>
      </c>
    </row>
    <row r="149" s="157">
      <c r="A149" s="202" t="inlineStr">
        <is>
          <t>CONFERÊNCIA COM AS ABAS DOS MESES</t>
        </is>
      </c>
      <c r="B149" s="159" t="n"/>
      <c r="C149" s="159" t="n"/>
      <c r="D149" s="159" t="n"/>
      <c r="E149" s="159" t="n"/>
      <c r="F149" s="159" t="n"/>
      <c r="G149" s="160" t="n"/>
    </row>
    <row r="150" s="157">
      <c r="A150" s="203">
        <f>IF(ROUND(D148-C5,2)=0,"OK — o detalhe acima bate com as vendas marcadas como Aguardando Pagamento nas abas dos meses.","ATENÇÃO: diferença de R$ "&amp;TEXT(ABS(D148-C5),"#,##0.00")&amp;" entre este detalhe e as abas dos meses — alguma venda mudou de status em um lado só.")</f>
        <v/>
      </c>
    </row>
    <row r="151" s="157">
      <c r="A151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4:G94"/>
    <mergeCell ref="A9:G9"/>
    <mergeCell ref="A149:G149"/>
    <mergeCell ref="A150:G150"/>
    <mergeCell ref="C5:D6"/>
    <mergeCell ref="A5:B6"/>
    <mergeCell ref="A2:G2"/>
    <mergeCell ref="E5:F6"/>
    <mergeCell ref="A95:G95"/>
    <mergeCell ref="C4:D4"/>
  </mergeCells>
  <dataValidations count="2">
    <dataValidation sqref="E11:E88" showDropDown="0" showInputMessage="0" showErrorMessage="0" allowBlank="1" type="list">
      <formula1>"Pendente,Pago,Previsto"</formula1>
    </dataValidation>
    <dataValidation sqref="E97:E14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A Devolver</t>
        </is>
      </c>
      <c r="F16" s="40" t="n"/>
      <c r="G16" s="34" t="inlineStr">
        <is>
          <t>Pago pelo Adriano via Pix do Banco do Brasil com dinheiro da reserva — 30/09/2026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22728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Total guardado: R$ 22.728,00.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>
        <v>46294</v>
      </c>
      <c r="B211" s="18" t="inlineStr">
        <is>
          <t>Vivencie Turismo Agencia de Viagens - Aneildes Rios</t>
        </is>
      </c>
      <c r="C211" s="18" t="inlineStr">
        <is>
          <t>Refil Everest</t>
        </is>
      </c>
      <c r="D211" s="27" t="n">
        <v>140</v>
      </c>
      <c r="E211" s="18" t="inlineStr">
        <is>
          <t>Aguardando Pagamento</t>
        </is>
      </c>
      <c r="F211" s="19" t="n"/>
      <c r="G211" s="19" t="n"/>
      <c r="H211" s="21" t="n"/>
      <c r="I211" s="18" t="n"/>
      <c r="J211" s="18" t="inlineStr">
        <is>
          <t>EMP-0032</t>
        </is>
      </c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>
        <v>46295</v>
      </c>
      <c r="B242" s="45" t="inlineStr">
        <is>
          <t>PC Jacobina Administradora de Cartões LTDA</t>
        </is>
      </c>
      <c r="C242" s="45" t="inlineStr">
        <is>
          <t>Refil Everest</t>
        </is>
      </c>
      <c r="D242" s="46" t="n">
        <v>140</v>
      </c>
      <c r="E242" s="45" t="inlineStr">
        <is>
          <t>Aguardando Pagamento</t>
        </is>
      </c>
      <c r="F242" s="47" t="n"/>
      <c r="G242" s="48" t="n"/>
      <c r="H242" s="49" t="n"/>
      <c r="I242" s="45" t="n"/>
      <c r="J242" t="inlineStr">
        <is>
          <t>EMP-0244</t>
        </is>
      </c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</row>
    <row r="9">
      <c r="A9" s="17" t="n">
        <v>46296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140</v>
      </c>
      <c r="E9" s="18" t="inlineStr">
        <is>
          <t>Aguardando Pagamento</t>
        </is>
      </c>
      <c r="F9" s="19" t="n"/>
      <c r="G9" s="19" t="n"/>
      <c r="H9" s="21" t="n"/>
      <c r="I9" s="18" t="inlineStr">
        <is>
          <t>Troca na casa (Loteamento Morada Real, Caeira) — segundo purificador; o da Vivencie Turismo foi trocado em 29/09/2026.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46296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Aguardando Pagamento</t>
        </is>
      </c>
      <c r="F12" s="47" t="n"/>
      <c r="G12" s="48" t="n"/>
      <c r="H12" s="49" t="n"/>
      <c r="I12" s="45" t="inlineStr">
        <is>
          <t>Subsolo — troca do refil (R$ 140,00) + troca dos 2 botões do purificador (R$ 30,00 cada).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Valeriana Studio - Juscelia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46297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Aguardando Pagamento</t>
        </is>
      </c>
      <c r="F26" s="47" t="n"/>
      <c r="G26" s="48" t="n"/>
      <c r="H26" s="49" t="n"/>
      <c r="I26" s="45" t="inlineStr">
        <is>
          <t>1º Andar — troca do refil (R$ 140,00) + troca dos 2 botões do purificador (R$ 30,00 cada).</t>
        </is>
      </c>
      <c r="J26" t="inlineStr">
        <is>
          <t>EMP-0062</t>
        </is>
      </c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2026-10-02T20:42:14Z</dcterms:modified>
  <cp:lastModifiedBy>Planeta</cp:lastModifiedBy>
  <cp:revision>1</cp:revision>
</cp:coreProperties>
</file>