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4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Previsto</t>
        </is>
      </c>
      <c r="F80" s="143">
        <f>IF(OR($E80="Pago",$C80=""),"",MAX(0,TODAY()-$C80))</f>
        <v/>
      </c>
      <c r="G80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6" t="inlineStr">
        <is>
          <t>TOTAL A PAGAR — COM BOLETO EM MÃOS</t>
        </is>
      </c>
      <c r="B84" s="86" t="n"/>
      <c r="C84" s="114" t="n"/>
      <c r="D84" s="115">
        <f>SUMIF(E11:E83,"Pendente",D11:D83)</f>
        <v/>
      </c>
      <c r="E84" s="116" t="n"/>
      <c r="F84" s="116" t="n"/>
      <c r="G84" s="86" t="n"/>
    </row>
    <row r="85" s="157">
      <c r="A85" s="144" t="inlineStr">
        <is>
          <t>PREVISTO — compromisso certo que ainda não está documentado</t>
        </is>
      </c>
      <c r="B85" s="144" t="n"/>
      <c r="C85" s="145" t="n"/>
      <c r="D85" s="146">
        <f>SUMIF(E11:E83,"Previsto",D11:D83)</f>
        <v/>
      </c>
      <c r="E85" s="142" t="n"/>
      <c r="F85" s="142" t="n"/>
      <c r="G85" s="144" t="n"/>
    </row>
    <row r="86" s="157">
      <c r="A86" s="86" t="inlineStr">
        <is>
          <t>TOTAL GERAL A PAGAR (boletos + previsão)</t>
        </is>
      </c>
      <c r="B86" s="86" t="n"/>
      <c r="C86" s="114" t="n"/>
      <c r="D86" s="115">
        <f>D84+D85</f>
        <v/>
      </c>
      <c r="E86" s="116" t="n"/>
      <c r="F86" s="116" t="n"/>
      <c r="G86" s="86" t="n"/>
    </row>
    <row r="87" s="157"/>
    <row r="88" ht="15.75" customHeight="1" s="157"/>
    <row r="89" ht="15.75" customHeight="1" s="157">
      <c r="A89" s="200" t="inlineStr">
        <is>
          <t>CONTAS A RECEBER  —  vendas feitas e ainda não pagas</t>
        </is>
      </c>
    </row>
    <row r="90" s="157">
      <c r="A9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1" s="157">
      <c r="A91" s="111" t="inlineStr">
        <is>
          <t>Cliente</t>
        </is>
      </c>
      <c r="B91" s="111" t="inlineStr">
        <is>
          <t>Produto / Referência</t>
        </is>
      </c>
      <c r="C91" s="111" t="inlineStr">
        <is>
          <t>Data da Venda</t>
        </is>
      </c>
      <c r="D91" s="111" t="inlineStr">
        <is>
          <t>Valor (R$)</t>
        </is>
      </c>
      <c r="E91" s="111" t="inlineStr">
        <is>
          <t>Status</t>
        </is>
      </c>
      <c r="F91" s="111" t="inlineStr">
        <is>
          <t>Dias em Atraso</t>
        </is>
      </c>
      <c r="G91" s="111" t="inlineStr">
        <is>
          <t>Observações</t>
        </is>
      </c>
    </row>
    <row r="92" s="157">
      <c r="A92" s="78" t="inlineStr">
        <is>
          <t>Centro de Especialidades Odontomédicas</t>
        </is>
      </c>
      <c r="B92" s="78" t="inlineStr">
        <is>
          <t>Refil Everest</t>
        </is>
      </c>
      <c r="C92" s="77" t="n">
        <v>46239</v>
      </c>
      <c r="D92" s="79" t="n">
        <v>140</v>
      </c>
      <c r="E92" s="112" t="inlineStr">
        <is>
          <t>Pendente</t>
        </is>
      </c>
      <c r="F92" s="112">
        <f>IF(OR($E92="Recebido",$C92=""),"",MAX(0,TODAY()-$C92))</f>
        <v/>
      </c>
      <c r="G92" s="78" t="n"/>
    </row>
    <row r="93" s="157">
      <c r="A93" s="82" t="inlineStr">
        <is>
          <t>Supermercado Brasil</t>
        </is>
      </c>
      <c r="B93" s="82" t="inlineStr">
        <is>
          <t>2x Refil Pro Life</t>
        </is>
      </c>
      <c r="C93" s="81" t="n">
        <v>46239</v>
      </c>
      <c r="D93" s="83" t="n">
        <v>280</v>
      </c>
      <c r="E93" s="113" t="inlineStr">
        <is>
          <t>Pendente</t>
        </is>
      </c>
      <c r="F93" s="113">
        <f>IF(OR($E93="Recebido",$C93=""),"",MAX(0,TODAY()-$C93))</f>
        <v/>
      </c>
      <c r="G93" s="82" t="n"/>
    </row>
    <row r="94" s="157">
      <c r="A94" s="78" t="inlineStr">
        <is>
          <t>Tropical Motos LTDA</t>
        </is>
      </c>
      <c r="B94" s="78" t="inlineStr">
        <is>
          <t>3x Refil Everest + Refil Pro Life + 3x Pré Filtro + Válvula Reguladora de Pressão</t>
        </is>
      </c>
      <c r="C94" s="77" t="n">
        <v>46245</v>
      </c>
      <c r="D94" s="79" t="n">
        <v>820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via TED em 25/08/2026. NF conferida: valor correto é R$820 (faltava a válvula no lançamento original de R$740).</t>
        </is>
      </c>
    </row>
    <row r="95" s="157">
      <c r="A95" s="82" t="inlineStr">
        <is>
          <t>Free Way</t>
        </is>
      </c>
      <c r="B95" s="82" t="inlineStr">
        <is>
          <t>5x Refil Everest</t>
        </is>
      </c>
      <c r="C95" s="81" t="n">
        <v>46251</v>
      </c>
      <c r="D95" s="83" t="n">
        <v>700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TED em 02/09/2026.</t>
        </is>
      </c>
    </row>
    <row r="96" s="157">
      <c r="A96" s="78" t="inlineStr">
        <is>
          <t>Neli Sena Rego</t>
        </is>
      </c>
      <c r="B96" s="78" t="inlineStr">
        <is>
          <t>Refil Pro Life</t>
        </is>
      </c>
      <c r="C96" s="77" t="n">
        <v>46254</v>
      </c>
      <c r="D96" s="79" t="n">
        <v>140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Recebido em dinheiro em 01/09/2026 (R$ 170,00 pelas duas vendas)</t>
        </is>
      </c>
    </row>
    <row r="97" s="157">
      <c r="A97" s="82" t="inlineStr">
        <is>
          <t>Neli Sena Rego</t>
        </is>
      </c>
      <c r="B97" s="82" t="inlineStr">
        <is>
          <t>Conexão + Mangueira</t>
        </is>
      </c>
      <c r="C97" s="81" t="n">
        <v>46255</v>
      </c>
      <c r="D97" s="83" t="n">
        <v>40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01/09/2026 (R$ 170,00 pelas duas vendas)</t>
        </is>
      </c>
    </row>
    <row r="98" s="157">
      <c r="A98" s="78" t="inlineStr">
        <is>
          <t>Lapec</t>
        </is>
      </c>
      <c r="B98" s="78" t="inlineStr">
        <is>
          <t>4x Refil Everest</t>
        </is>
      </c>
      <c r="C98" s="77" t="n">
        <v>46258</v>
      </c>
      <c r="D98" s="79" t="n">
        <v>480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em dinheiro em 08/09/2026 — lançado em "Set 2026".</t>
        </is>
      </c>
    </row>
    <row r="99" s="157">
      <c r="A99" s="82" t="inlineStr">
        <is>
          <t>Cícero Lima</t>
        </is>
      </c>
      <c r="B99" s="82" t="inlineStr">
        <is>
          <t>Refil Everest</t>
        </is>
      </c>
      <c r="C99" s="81" t="n">
        <v>46261</v>
      </c>
      <c r="D99" s="83" t="n">
        <v>140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27/08/2026</t>
        </is>
      </c>
    </row>
    <row r="100" s="157">
      <c r="A100" s="78" t="inlineStr">
        <is>
          <t>Promotoria Regional de Jacobina</t>
        </is>
      </c>
      <c r="B100" s="78" t="inlineStr">
        <is>
          <t>2x Carcaça 9" + 2x Refil Plissado 9" + Conexão Reta Rosca</t>
        </is>
      </c>
      <c r="C100" s="77" t="n">
        <v>46261</v>
      </c>
      <c r="D100" s="79" t="n">
        <v>470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Pago em 28/08/2026 em duas formas: R$ 270,00 Pix + R$ 200,00 crédito 2x</t>
        </is>
      </c>
    </row>
    <row r="101" s="157">
      <c r="A101" s="82" t="inlineStr">
        <is>
          <t>Lucas Souza</t>
        </is>
      </c>
      <c r="B101" s="82" t="inlineStr">
        <is>
          <t>Refil Everest + Pré Filtro</t>
        </is>
      </c>
      <c r="C101" s="81" t="n">
        <v>46261</v>
      </c>
      <c r="D101" s="83" t="n">
        <v>200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em dinheiro em 03/09/2026 — lançado em "Set 2026".</t>
        </is>
      </c>
    </row>
    <row r="102" s="157">
      <c r="A102" s="78" t="inlineStr">
        <is>
          <t>FG Boa Vista (Recife/PE)</t>
        </is>
      </c>
      <c r="B102" s="78" t="inlineStr">
        <is>
          <t>Refis — troca de julho/2026</t>
        </is>
      </c>
      <c r="C102" s="77" t="n">
        <v>46261</v>
      </c>
      <c r="D102" s="79" t="n">
        <v>1008.8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000.004.280 · recebido em 30/08/2026 (Nota Paga no portal V360)</t>
        </is>
      </c>
    </row>
    <row r="103" s="157">
      <c r="A103" s="82" t="inlineStr">
        <is>
          <t>UNIFG Guanambi (Guanambi/BA)</t>
        </is>
      </c>
      <c r="B103" s="82" t="inlineStr">
        <is>
          <t>Refis — troca de julho/2026</t>
        </is>
      </c>
      <c r="C103" s="81" t="n">
        <v>46261</v>
      </c>
      <c r="D103" s="83" t="n">
        <v>4534.75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000.004.281 · recebido em 30/08/2026 (Nota Paga no portal V360)</t>
        </is>
      </c>
    </row>
    <row r="104" s="157">
      <c r="A104" s="78" t="inlineStr">
        <is>
          <t>UNP Zona Norte (Natal/RN)</t>
        </is>
      </c>
      <c r="B104" s="78" t="inlineStr">
        <is>
          <t>Refis — troca de julho/2026</t>
        </is>
      </c>
      <c r="C104" s="77" t="n">
        <v>46261</v>
      </c>
      <c r="D104" s="79" t="n">
        <v>870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000.004.282 · recebido em 30/08/2026 (Nota Paga no portal V360)</t>
        </is>
      </c>
    </row>
    <row r="105" s="157">
      <c r="A105" s="82" t="inlineStr">
        <is>
          <t>UNP Caicó (Caicó/RN)</t>
        </is>
      </c>
      <c r="B105" s="82" t="inlineStr">
        <is>
          <t>Refis — troca de julho/2026</t>
        </is>
      </c>
      <c r="C105" s="81" t="n">
        <v>46261</v>
      </c>
      <c r="D105" s="83" t="n">
        <v>440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000.004.283 · recebido via Pix em 27/08/2026</t>
        </is>
      </c>
    </row>
    <row r="106" s="157">
      <c r="A106" s="78" t="inlineStr">
        <is>
          <t>AGES Irecê (Irecê/BA)</t>
        </is>
      </c>
      <c r="B106" s="78" t="inlineStr">
        <is>
          <t>Refis — troca de julho/2026</t>
        </is>
      </c>
      <c r="C106" s="77" t="n">
        <v>46269</v>
      </c>
      <c r="D106" s="79" t="n">
        <v>1338.6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000.004.294 · recebido via Pix em 04/09/2026.</t>
        </is>
      </c>
    </row>
    <row r="107" s="157">
      <c r="A107" s="82" t="inlineStr">
        <is>
          <t>CIS Irecê (Irecê/BA)</t>
        </is>
      </c>
      <c r="B107" s="82" t="inlineStr">
        <is>
          <t>Refis — troca de julho/2026</t>
        </is>
      </c>
      <c r="C107" s="81" t="n">
        <v>46269</v>
      </c>
      <c r="D107" s="83" t="n">
        <v>1358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000.004.295 · recebido via Pix em 04/09/2026.</t>
        </is>
      </c>
    </row>
    <row r="108" s="157">
      <c r="A108" s="78" t="inlineStr">
        <is>
          <t>AGES Senhor do Bonfim (S. do Bonfim/BA)</t>
        </is>
      </c>
      <c r="B108" s="78" t="inlineStr">
        <is>
          <t>Refis — troca de julho/2026</t>
        </is>
      </c>
      <c r="C108" s="77" t="n">
        <v>46270</v>
      </c>
      <c r="D108" s="79" t="n">
        <v>649.9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000.004.298 · recebido via Pix em 08/09/2026.</t>
        </is>
      </c>
    </row>
    <row r="109" s="157">
      <c r="A109" s="82" t="inlineStr">
        <is>
          <t>CIS Senhor do Bonfim (S. do Bonfim/BA)</t>
        </is>
      </c>
      <c r="B109" s="82" t="inlineStr">
        <is>
          <t>Refis — troca de julho/2026</t>
        </is>
      </c>
      <c r="C109" s="81" t="n">
        <v>46270</v>
      </c>
      <c r="D109" s="83" t="n">
        <v>562.6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Grupo Ânima — NF 000.004.299 · recebido via Pix em 08/09/2026.</t>
        </is>
      </c>
    </row>
    <row r="110" s="157">
      <c r="A110" s="78" t="inlineStr">
        <is>
          <t>AGES Paripiranga (Paripiranga/BA)</t>
        </is>
      </c>
      <c r="B110" s="78" t="inlineStr">
        <is>
          <t>Refis — troca de julho/2026</t>
        </is>
      </c>
      <c r="C110" s="77" t="n">
        <v>46270</v>
      </c>
      <c r="D110" s="79" t="n">
        <v>1086.4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Grupo Ânima — NF 000.004.300 · recebido via Pix em 08/09/2026.</t>
        </is>
      </c>
    </row>
    <row r="111" s="157">
      <c r="A111" s="82" t="inlineStr">
        <is>
          <t>Clínica Veterinária Paripiranga (Paripiranga/BA)</t>
        </is>
      </c>
      <c r="B111" s="82" t="inlineStr">
        <is>
          <t>Refis — troca de julho/2026</t>
        </is>
      </c>
      <c r="C111" s="81" t="n">
        <v>46270</v>
      </c>
      <c r="D111" s="83" t="n">
        <v>1265.85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Grupo Ânima — NF 000.004.301 · recebido via Pix em 08/09/2026.</t>
        </is>
      </c>
    </row>
    <row r="112" s="157">
      <c r="A112" s="78" t="inlineStr">
        <is>
          <t>UNP Mossoró (Mossoró/RN)</t>
        </is>
      </c>
      <c r="B112" s="78" t="inlineStr">
        <is>
          <t>Refis — troca de julho/2026</t>
        </is>
      </c>
      <c r="C112" s="77" t="n">
        <v>46270</v>
      </c>
      <c r="D112" s="79" t="n">
        <v>1867.25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000.004.302 · recebido via Pix em 08/09/2026.</t>
        </is>
      </c>
    </row>
    <row r="113" s="157">
      <c r="A113" s="82" t="inlineStr">
        <is>
          <t>CIS Jacobina (Jacobina/BA)</t>
        </is>
      </c>
      <c r="B113" s="82" t="inlineStr">
        <is>
          <t>Refis — troca de julho/2026</t>
        </is>
      </c>
      <c r="C113" s="81" t="n">
        <v>46290</v>
      </c>
      <c r="D113" s="83" t="n">
        <v>2095.2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000.004.333 de 26/08/2026 · OC AEMPPO00004452 · 30 dias · recebido via Pix em 25/09/2026 (Nota Paga no portal V360).</t>
        </is>
      </c>
    </row>
    <row r="114" s="157">
      <c r="A114" s="78" t="inlineStr">
        <is>
          <t>AGES Jacobina (Jacobina/BA)</t>
        </is>
      </c>
      <c r="B114" s="78" t="inlineStr">
        <is>
          <t>Refis — troca de julho/2026</t>
        </is>
      </c>
      <c r="C114" s="77" t="n">
        <v>46305</v>
      </c>
      <c r="D114" s="79" t="n">
        <v>1188.25</v>
      </c>
      <c r="E114" s="112" t="inlineStr">
        <is>
          <t>Pendente</t>
        </is>
      </c>
      <c r="F114" s="112">
        <f>IF(OR($E114="Recebido",$C114=""),"",MAX(0,TODAY()-$C114))</f>
        <v/>
      </c>
      <c r="G114" s="78" t="inlineStr">
        <is>
          <t>Grupo Ânima — NF 000.004.332 de 26/08/2026 · OC AEMPPO00004453 · 45 dias</t>
        </is>
      </c>
    </row>
    <row r="115" s="157">
      <c r="A115" s="82" t="inlineStr">
        <is>
          <t>Instituto Paulo Leão</t>
        </is>
      </c>
      <c r="B115" s="82" t="inlineStr">
        <is>
          <t>Refil E3 + Pré Filtro</t>
        </is>
      </c>
      <c r="C115" s="81" t="n">
        <v>46265</v>
      </c>
      <c r="D115" s="83" t="n">
        <v>160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08/09/2026 — lançado em "Set 2026".</t>
        </is>
      </c>
    </row>
    <row r="116" s="157">
      <c r="A116" s="78" t="inlineStr">
        <is>
          <t>Eletronic Segurança Eletronica</t>
        </is>
      </c>
      <c r="B116" s="78" t="inlineStr">
        <is>
          <t>Pré Filtro</t>
        </is>
      </c>
      <c r="C116" s="77" t="n">
        <v>46265</v>
      </c>
      <c r="D116" s="79" t="n">
        <v>60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03/09/2026.</t>
        </is>
      </c>
    </row>
    <row r="117" s="157">
      <c r="A117" s="82" t="inlineStr">
        <is>
          <t>Clube dos Mineiros</t>
        </is>
      </c>
      <c r="B117" s="82" t="inlineStr">
        <is>
          <t>Refil Pro Life</t>
        </is>
      </c>
      <c r="C117" s="81" t="n">
        <v>46265</v>
      </c>
      <c r="D117" s="83" t="n">
        <v>150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Pix em 01/09/2026 (pagador: Sindicato dos Mineiros de Jacobina).</t>
        </is>
      </c>
    </row>
    <row r="118" s="157">
      <c r="A118" s="78" t="inlineStr">
        <is>
          <t>Armazem Cecilio Mota</t>
        </is>
      </c>
      <c r="B118" s="78" t="inlineStr">
        <is>
          <t>Refil Everest + Refil Carbon 9"</t>
        </is>
      </c>
      <c r="C118" s="77" t="n">
        <v>46266</v>
      </c>
      <c r="D118" s="79" t="n">
        <v>225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10/09/2026 — lançado em "Set 2026".</t>
        </is>
      </c>
    </row>
    <row r="119" s="157">
      <c r="A119" s="82" t="inlineStr">
        <is>
          <t>Clebson Dantas Da Silva</t>
        </is>
      </c>
      <c r="B119" s="82" t="inlineStr">
        <is>
          <t>Refil Everest</t>
        </is>
      </c>
      <c r="C119" s="81" t="n">
        <v>46266</v>
      </c>
      <c r="D119" s="83" t="n">
        <v>140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via Pix em 02/09/2026</t>
        </is>
      </c>
    </row>
    <row r="120" s="157">
      <c r="A120" s="82" t="inlineStr">
        <is>
          <t>Tesla Imagem Medicina Diagnostica Ltda</t>
        </is>
      </c>
      <c r="B120" s="82" t="inlineStr">
        <is>
          <t>3x Refil Everest + 2x Pré Filtro</t>
        </is>
      </c>
      <c r="C120" s="81" t="n">
        <v>46267</v>
      </c>
      <c r="D120" s="83" t="n">
        <v>540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Troca do dia 02/09/2026 — 1º Andar, Térreo e Copa. Recebido via Pix em 08/09/2026 — lançado em "Set 2026".</t>
        </is>
      </c>
    </row>
    <row r="121" s="157">
      <c r="A121" s="78" t="inlineStr">
        <is>
          <t>Cecilio Mota Junior</t>
        </is>
      </c>
      <c r="B121" s="78" t="inlineStr">
        <is>
          <t>Refil Everest</t>
        </is>
      </c>
      <c r="C121" s="77" t="n">
        <v>46267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10/09/2026 — lançado em "Set 2026".</t>
        </is>
      </c>
    </row>
    <row r="122" s="157">
      <c r="A122" s="78" t="inlineStr">
        <is>
          <t>Tereza Cristina Aquino Martins - Luiz Augusto</t>
        </is>
      </c>
      <c r="B122" s="78" t="inlineStr">
        <is>
          <t>Refil Everest + Pré Filtro</t>
        </is>
      </c>
      <c r="C122" s="77" t="n">
        <v>46268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04/09/2026.</t>
        </is>
      </c>
    </row>
    <row r="123" s="157">
      <c r="A123" s="78" t="inlineStr">
        <is>
          <t>Samille Fiscina Lima Lordello - Tiago (Cartório)</t>
        </is>
      </c>
      <c r="B123" s="78" t="inlineStr">
        <is>
          <t>Refil Pro Life</t>
        </is>
      </c>
      <c r="C123" s="77" t="n">
        <v>46269</v>
      </c>
      <c r="D123" s="79" t="n">
        <v>140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78" t="inlineStr">
        <is>
          <t>Bomboniere Doce Mania - Veronildo Basilio</t>
        </is>
      </c>
      <c r="B124" s="78" t="inlineStr">
        <is>
          <t>Refil Plissado + Refil BAG</t>
        </is>
      </c>
      <c r="C124" s="77" t="n">
        <v>46274</v>
      </c>
      <c r="D124" s="79" t="n">
        <v>150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Recebido em dinheiro em 16/09/2026 — lançado em "Set 2026".</t>
        </is>
      </c>
    </row>
    <row r="125" s="157">
      <c r="A125" s="78" t="inlineStr">
        <is>
          <t>Adriadne (Hotel Jovem Jota)</t>
        </is>
      </c>
      <c r="B125" s="78" t="inlineStr">
        <is>
          <t>Refil Everest</t>
        </is>
      </c>
      <c r="C125" s="77" t="n">
        <v>46275</v>
      </c>
      <c r="D125" s="79" t="n">
        <v>140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11/09/2026 — lançado em "Set 2026".</t>
        </is>
      </c>
    </row>
    <row r="126" s="157">
      <c r="A126" s="78" t="inlineStr">
        <is>
          <t>Pousada Triunfo Ltda (Hotel Triunfo)</t>
        </is>
      </c>
      <c r="B126" s="78" t="inlineStr">
        <is>
          <t>Refil Everest + Pré Filtro</t>
        </is>
      </c>
      <c r="C126" s="77" t="n">
        <v>46275</v>
      </c>
      <c r="D126" s="79" t="n">
        <v>200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11/09/2026 — lançado em "Set 2026".</t>
        </is>
      </c>
    </row>
    <row r="127" s="157">
      <c r="A127" s="78" t="inlineStr">
        <is>
          <t>Topvel Tropical Veiculos e Pecas</t>
        </is>
      </c>
      <c r="B127" s="78" t="inlineStr">
        <is>
          <t>2x Refil Everest + 2x Pré Filtro</t>
        </is>
      </c>
      <c r="C127" s="77" t="n">
        <v>46276</v>
      </c>
      <c r="D127" s="79" t="n">
        <v>370</v>
      </c>
      <c r="E127" s="112" t="inlineStr">
        <is>
          <t>Pendente</t>
        </is>
      </c>
      <c r="F127" s="112">
        <f>IF(OR($E127="Recebido",$C127=""),"",MAX(0,TODAY()-$C127))</f>
        <v/>
      </c>
      <c r="G127" s="78" t="inlineStr">
        <is>
          <t>Troca do dia 11/09/2026 — dois purificadores.</t>
        </is>
      </c>
    </row>
    <row r="128" s="157">
      <c r="A128" s="78" t="inlineStr">
        <is>
          <t>J Diesel Motores e Reparos - Gilmara</t>
        </is>
      </c>
      <c r="B128" s="78" t="inlineStr">
        <is>
          <t>Refil Everest</t>
        </is>
      </c>
      <c r="C128" s="77" t="n">
        <v>46276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11/09/2026.</t>
        </is>
      </c>
    </row>
    <row r="129" s="157">
      <c r="A129" s="78" t="inlineStr">
        <is>
          <t>IOB</t>
        </is>
      </c>
      <c r="B129" s="78" t="inlineStr">
        <is>
          <t>Refil Everest + Pré Filtro</t>
        </is>
      </c>
      <c r="C129" s="77" t="n">
        <v>46279</v>
      </c>
      <c r="D129" s="79" t="n">
        <v>200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14/09/2026.</t>
        </is>
      </c>
    </row>
    <row r="130" s="157">
      <c r="A130" s="78" t="inlineStr">
        <is>
          <t>Clínica Santa Cecília</t>
        </is>
      </c>
      <c r="B130" s="78" t="inlineStr">
        <is>
          <t>Refil Everest + Termostato</t>
        </is>
      </c>
      <c r="C130" s="77" t="n">
        <v>46281</v>
      </c>
      <c r="D130" s="79" t="n">
        <v>310</v>
      </c>
      <c r="E130" s="112" t="inlineStr">
        <is>
          <t>Pendente</t>
        </is>
      </c>
      <c r="F130" s="112">
        <f>IF(OR($E130="Recebido",$C130=""),"",MAX(0,TODAY()-$C130))</f>
        <v/>
      </c>
      <c r="G130" s="78" t="inlineStr">
        <is>
          <t>Troca do dia 16/09/2026 — refil + troca de termostato.</t>
        </is>
      </c>
    </row>
    <row r="131" s="157">
      <c r="A131" s="78" t="inlineStr">
        <is>
          <t>Marilda Macedo / José Luciano Costa</t>
        </is>
      </c>
      <c r="B131" s="78" t="inlineStr">
        <is>
          <t>Refil Everest + Pré Filtro</t>
        </is>
      </c>
      <c r="C131" s="77" t="n">
        <v>46283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19/09/2026 — lançado em "Set 2026".</t>
        </is>
      </c>
    </row>
    <row r="132" s="157">
      <c r="A132" s="78" t="inlineStr">
        <is>
          <t>Tatiana Rocha</t>
        </is>
      </c>
      <c r="B132" s="78" t="inlineStr">
        <is>
          <t>Refil Everest</t>
        </is>
      </c>
      <c r="C132" s="77" t="n">
        <v>46286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Troca do dia 21/09/2026. Recebido via Pix em 22/09/2026 — lançado em "Set 2026".</t>
        </is>
      </c>
    </row>
    <row r="133" s="157">
      <c r="A133" s="78" t="inlineStr">
        <is>
          <t>Cleone Gomes de Andrade</t>
        </is>
      </c>
      <c r="B133" s="78" t="inlineStr">
        <is>
          <t>Refil Everest</t>
        </is>
      </c>
      <c r="C133" s="77" t="n">
        <v>46286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21/09/2026. Recebido via Pix em 21/09/2026.</t>
        </is>
      </c>
    </row>
    <row r="134" s="157">
      <c r="A134" s="78" t="inlineStr">
        <is>
          <t>Centro de Especialidades Odontomédicas</t>
        </is>
      </c>
      <c r="B134" s="78" t="inlineStr">
        <is>
          <t>2x Refil Everest</t>
        </is>
      </c>
      <c r="C134" s="77" t="n">
        <v>46044</v>
      </c>
      <c r="D134" s="79" t="n">
        <v>280</v>
      </c>
      <c r="E134" s="112" t="inlineStr">
        <is>
          <t>Pendente</t>
        </is>
      </c>
      <c r="F134" s="112">
        <f>IF(OR($E134="Recebido",$C134=""),"",MAX(0,TODAY()-$C134))</f>
        <v/>
      </c>
      <c r="G13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35" s="157">
      <c r="A135" s="78" t="inlineStr">
        <is>
          <t>Igreja Messiânica Mundial do Brasil</t>
        </is>
      </c>
      <c r="B135" s="78" t="inlineStr">
        <is>
          <t>Mangueira</t>
        </is>
      </c>
      <c r="C135" s="77" t="n">
        <v>46073</v>
      </c>
      <c r="D135" s="79" t="n">
        <v>30</v>
      </c>
      <c r="E135" s="112" t="inlineStr">
        <is>
          <t>Pendente</t>
        </is>
      </c>
      <c r="F135" s="112">
        <f>IF(OR($E135="Recebido",$C135=""),"",MAX(0,TODAY()-$C135))</f>
        <v/>
      </c>
      <c r="G135" s="78" t="inlineStr">
        <is>
          <t>NF-e 4075 de 20/02/2026 (CNPJ 62.647.383/0063-44). Conferido no DigiSat em 28/09/2026: não recebido.</t>
        </is>
      </c>
    </row>
    <row r="136" s="157">
      <c r="A136" s="78" t="inlineStr">
        <is>
          <t>Centro Médico de Jacobina</t>
        </is>
      </c>
      <c r="B136" s="78" t="inlineStr">
        <is>
          <t>2x Botão Completo</t>
        </is>
      </c>
      <c r="C136" s="77" t="n">
        <v>46203</v>
      </c>
      <c r="D136" s="79" t="n">
        <v>60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NF-e 4242 de 30/06/2026 (CNPJ 13.228.432/0001-04). Conferido no DigiSat em 28/09/2026: não recebido.</t>
        </is>
      </c>
    </row>
    <row r="137" s="157">
      <c r="A137" s="86" t="inlineStr">
        <is>
          <t>TOTAL EM ABERTO A RECEBER (detalhe)</t>
        </is>
      </c>
      <c r="D137" s="115">
        <f>SUMIF(E92:E136,"Pendente",D92:D136)</f>
        <v/>
      </c>
    </row>
    <row r="138" s="157">
      <c r="A138" s="202" t="inlineStr">
        <is>
          <t>CONFERÊNCIA COM AS ABAS DOS MESES</t>
        </is>
      </c>
      <c r="B138" s="159" t="n"/>
      <c r="C138" s="159" t="n"/>
      <c r="D138" s="159" t="n"/>
      <c r="E138" s="159" t="n"/>
      <c r="F138" s="159" t="n"/>
      <c r="G138" s="160" t="n"/>
    </row>
    <row r="139" s="157">
      <c r="A139" s="203">
        <f>IF(ROUND(D137-C5,2)=0,"OK — o detalhe acima bate com as vendas marcadas como Aguardando Pagamento nas abas dos meses.","ATENÇÃO: diferença de R$ "&amp;TEXT(ABS(D137-C5),"#,##0.00")&amp;" entre este detalhe e as abas dos meses — alguma venda mudou de status em um lado só.")</f>
        <v/>
      </c>
    </row>
    <row r="140" s="157">
      <c r="A14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41" s="157"/>
    <row r="142" s="157"/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89:G89"/>
    <mergeCell ref="A1:G1"/>
    <mergeCell ref="A9:G9"/>
    <mergeCell ref="C5:D6"/>
    <mergeCell ref="A5:B6"/>
    <mergeCell ref="A2:G2"/>
    <mergeCell ref="E5:F6"/>
    <mergeCell ref="A139:G139"/>
    <mergeCell ref="A90:G90"/>
    <mergeCell ref="A138:G138"/>
    <mergeCell ref="C4:D4"/>
  </mergeCells>
  <dataValidations count="2">
    <dataValidation sqref="E11:E83" showDropDown="0" showInputMessage="0" showErrorMessage="0" allowBlank="1" type="list">
      <formula1>"Pendente,Pago,Previsto"</formula1>
    </dataValidation>
    <dataValidation sqref="E92:E13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2026-09-28T19:11:22Z</dcterms:modified>
  <cp:lastModifiedBy>Planeta</cp:lastModifiedBy>
  <cp:revision>1</cp:revision>
</cp:coreProperties>
</file>