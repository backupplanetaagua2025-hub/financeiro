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0" activeTab="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>
    <definedName name="_xlnm._FilterDatabase" localSheetId="12" hidden="1">'Jan 2026'!$A$4:$G$132</definedName>
    <definedName name="_xlnm._FilterDatabase" localSheetId="13" hidden="1">'Fev 2026'!$A$4:$G$145</definedName>
    <definedName name="_xlnm._FilterDatabase" localSheetId="14" hidden="1">'Mar 2026'!$A$4:$G$121</definedName>
    <definedName name="_xlnm._FilterDatabase" localSheetId="15" hidden="1">'Abr 2026'!$A$4:$G$123</definedName>
    <definedName name="_xlnm._FilterDatabase" localSheetId="16" hidden="1">'Mai 2026'!$A$4:$G$122</definedName>
    <definedName name="_xlnm._FilterDatabase" localSheetId="17" hidden="1">'Jun 2026'!$A$4:$G$115</definedName>
    <definedName name="_xlnm._FilterDatabase" localSheetId="18" hidden="1">'Jul 2026'!$A$4:$G$110</definedName>
  </definedNames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C0392B"/>
      <sz val="10.5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color rgb="FFB7791F"/>
      <sz val="10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8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9"/>
  </cellStyleXfs>
  <cellXfs count="249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64" fontId="36" fillId="0" borderId="1" applyAlignment="1" pivotButton="0" quotePrefix="0" xfId="0">
      <alignment horizontal="right" vertical="center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36" fillId="17" borderId="1" applyAlignment="1" pivotButton="0" quotePrefix="0" xfId="0">
      <alignment horizontal="right" vertical="center"/>
    </xf>
    <xf numFmtId="14" fontId="14" fillId="17" borderId="6" applyAlignment="1" pivotButton="0" quotePrefix="0" xfId="0">
      <alignment horizontal="center" vertical="center"/>
    </xf>
    <xf numFmtId="0" fontId="14" fillId="17" borderId="6" applyAlignment="1" pivotButton="0" quotePrefix="0" xfId="0">
      <alignment horizontal="left" vertical="center"/>
    </xf>
    <xf numFmtId="164" fontId="14" fillId="17" borderId="6" applyAlignment="1" pivotButton="0" quotePrefix="0" xfId="0">
      <alignment horizontal="right" vertical="center"/>
    </xf>
    <xf numFmtId="164" fontId="36" fillId="17" borderId="6" applyAlignment="1" pivotButton="0" quotePrefix="0" xfId="0">
      <alignment horizontal="right" vertical="center"/>
    </xf>
    <xf numFmtId="0" fontId="14" fillId="17" borderId="6" applyAlignment="1" pivotButton="0" quotePrefix="0" xfId="0">
      <alignment horizontal="center" vertical="center"/>
    </xf>
    <xf numFmtId="14" fontId="14" fillId="0" borderId="6" applyAlignment="1" pivotButton="0" quotePrefix="0" xfId="0">
      <alignment horizontal="center" vertical="center"/>
    </xf>
    <xf numFmtId="0" fontId="14" fillId="0" borderId="6" applyAlignment="1" pivotButton="0" quotePrefix="0" xfId="0">
      <alignment horizontal="left" vertical="center"/>
    </xf>
    <xf numFmtId="164" fontId="14" fillId="0" borderId="6" applyAlignment="1" pivotButton="0" quotePrefix="0" xfId="0">
      <alignment horizontal="right" vertical="center"/>
    </xf>
    <xf numFmtId="164" fontId="36" fillId="0" borderId="6" applyAlignment="1" pivotButton="0" quotePrefix="0" xfId="0">
      <alignment horizontal="right" vertical="center"/>
    </xf>
    <xf numFmtId="0" fontId="14" fillId="0" borderId="6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9" fillId="19" borderId="7" pivotButton="0" quotePrefix="0" xfId="0"/>
    <xf numFmtId="164" fontId="39" fillId="19" borderId="7" pivotButton="0" quotePrefix="0" xfId="0"/>
    <xf numFmtId="0" fontId="40" fillId="0" borderId="7" pivotButton="0" quotePrefix="0" xfId="0"/>
    <xf numFmtId="164" fontId="40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1" fillId="0" borderId="0" pivotButton="0" quotePrefix="0" xfId="0"/>
    <xf numFmtId="164" fontId="40" fillId="17" borderId="7" pivotButton="0" quotePrefix="0" xfId="0"/>
    <xf numFmtId="0" fontId="39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40" fillId="0" borderId="7" pivotButton="0" quotePrefix="0" xfId="0"/>
    <xf numFmtId="165" fontId="39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4" fillId="16" borderId="0" applyAlignment="1" pivotButton="0" quotePrefix="0" xfId="0">
      <alignment horizontal="center" vertical="center" wrapText="1"/>
    </xf>
    <xf numFmtId="14" fontId="45" fillId="0" borderId="8" applyAlignment="1" pivotButton="0" quotePrefix="0" xfId="0">
      <alignment horizontal="center"/>
    </xf>
    <xf numFmtId="0" fontId="45" fillId="0" borderId="8" pivotButton="0" quotePrefix="0" xfId="0"/>
    <xf numFmtId="164" fontId="45" fillId="0" borderId="8" applyAlignment="1" pivotButton="0" quotePrefix="0" xfId="0">
      <alignment horizontal="right"/>
    </xf>
    <xf numFmtId="164" fontId="45" fillId="0" borderId="8" pivotButton="0" quotePrefix="0" xfId="0"/>
    <xf numFmtId="14" fontId="45" fillId="17" borderId="8" applyAlignment="1" pivotButton="0" quotePrefix="0" xfId="0">
      <alignment horizontal="center"/>
    </xf>
    <xf numFmtId="0" fontId="45" fillId="17" borderId="8" pivotButton="0" quotePrefix="0" xfId="0"/>
    <xf numFmtId="164" fontId="45" fillId="17" borderId="8" applyAlignment="1" pivotButton="0" quotePrefix="0" xfId="0">
      <alignment horizontal="right"/>
    </xf>
    <xf numFmtId="0" fontId="47" fillId="0" borderId="8" pivotButton="0" quotePrefix="0" xfId="0"/>
    <xf numFmtId="164" fontId="47" fillId="0" borderId="8" pivotButton="0" quotePrefix="0" xfId="0"/>
    <xf numFmtId="0" fontId="48" fillId="19" borderId="8" pivotButton="0" quotePrefix="0" xfId="0"/>
    <xf numFmtId="164" fontId="48" fillId="19" borderId="8" pivotButton="0" quotePrefix="0" xfId="0"/>
    <xf numFmtId="0" fontId="47" fillId="12" borderId="8" pivotButton="0" quotePrefix="0" xfId="0"/>
    <xf numFmtId="164" fontId="47" fillId="12" borderId="8" pivotButton="0" quotePrefix="0" xfId="0"/>
    <xf numFmtId="0" fontId="46" fillId="19" borderId="8" pivotButton="0" quotePrefix="0" xfId="0"/>
    <xf numFmtId="164" fontId="46" fillId="19" borderId="8" pivotButton="0" quotePrefix="0" xfId="0"/>
    <xf numFmtId="0" fontId="44" fillId="11" borderId="8" pivotButton="0" quotePrefix="0" xfId="0"/>
    <xf numFmtId="164" fontId="44" fillId="11" borderId="8" pivotButton="0" quotePrefix="0" xfId="0"/>
    <xf numFmtId="0" fontId="48" fillId="0" borderId="0" applyAlignment="1" pivotButton="0" quotePrefix="0" xfId="0">
      <alignment horizontal="center"/>
    </xf>
    <xf numFmtId="0" fontId="55" fillId="19" borderId="8" applyAlignment="1" pivotButton="0" quotePrefix="0" xfId="0">
      <alignment horizontal="left" vertical="center"/>
    </xf>
    <xf numFmtId="164" fontId="55" fillId="19" borderId="8" applyAlignment="1" pivotButton="0" quotePrefix="0" xfId="0">
      <alignment horizontal="right" vertical="center"/>
    </xf>
    <xf numFmtId="0" fontId="45" fillId="0" borderId="8" applyAlignment="1" pivotButton="0" quotePrefix="0" xfId="0">
      <alignment horizontal="left" vertical="center"/>
    </xf>
    <xf numFmtId="164" fontId="45" fillId="0" borderId="8" applyAlignment="1" pivotButton="0" quotePrefix="0" xfId="0">
      <alignment horizontal="right" vertical="center"/>
    </xf>
    <xf numFmtId="0" fontId="56" fillId="12" borderId="8" applyAlignment="1" pivotButton="0" quotePrefix="0" xfId="0">
      <alignment horizontal="left" vertical="center"/>
    </xf>
    <xf numFmtId="164" fontId="56" fillId="12" borderId="8" applyAlignment="1" pivotButton="0" quotePrefix="0" xfId="0">
      <alignment horizontal="right" vertical="center"/>
    </xf>
    <xf numFmtId="0" fontId="47" fillId="0" borderId="8" applyAlignment="1" pivotButton="0" quotePrefix="0" xfId="0">
      <alignment horizontal="left" vertical="center"/>
    </xf>
    <xf numFmtId="165" fontId="47" fillId="0" borderId="8" applyAlignment="1" pivotButton="0" quotePrefix="0" xfId="0">
      <alignment horizontal="right" vertical="center"/>
    </xf>
    <xf numFmtId="0" fontId="57" fillId="11" borderId="8" applyAlignment="1" pivotButton="0" quotePrefix="0" xfId="0">
      <alignment horizontal="left" vertical="center"/>
    </xf>
    <xf numFmtId="164" fontId="57" fillId="11" borderId="8" applyAlignment="1" pivotButton="0" quotePrefix="0" xfId="0">
      <alignment horizontal="right" vertical="center"/>
    </xf>
    <xf numFmtId="0" fontId="58" fillId="0" borderId="9" applyAlignment="1" pivotButton="0" quotePrefix="0" xfId="0">
      <alignment horizontal="left" vertical="center"/>
    </xf>
    <xf numFmtId="164" fontId="58" fillId="0" borderId="9" applyAlignment="1" pivotButton="0" quotePrefix="0" xfId="0">
      <alignment horizontal="right" vertical="center"/>
    </xf>
    <xf numFmtId="0" fontId="47" fillId="17" borderId="8" applyAlignment="1" pivotButton="0" quotePrefix="0" xfId="0">
      <alignment horizontal="left" vertical="center"/>
    </xf>
    <xf numFmtId="164" fontId="47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1" fillId="16" borderId="0" applyAlignment="1" pivotButton="0" quotePrefix="0" xfId="0">
      <alignment horizontal="center" vertical="center" wrapText="1"/>
    </xf>
    <xf numFmtId="0" fontId="45" fillId="0" borderId="8" applyAlignment="1" pivotButton="0" quotePrefix="0" xfId="0">
      <alignment horizontal="center"/>
    </xf>
    <xf numFmtId="0" fontId="45" fillId="17" borderId="8" applyAlignment="1" pivotButton="0" quotePrefix="0" xfId="0">
      <alignment horizontal="center"/>
    </xf>
    <xf numFmtId="14" fontId="48" fillId="19" borderId="8" applyAlignment="1" pivotButton="0" quotePrefix="0" xfId="0">
      <alignment horizontal="center"/>
    </xf>
    <xf numFmtId="164" fontId="48" fillId="19" borderId="8" applyAlignment="1" pivotButton="0" quotePrefix="0" xfId="0">
      <alignment horizontal="right"/>
    </xf>
    <xf numFmtId="0" fontId="48" fillId="19" borderId="8" applyAlignment="1" pivotButton="0" quotePrefix="0" xfId="0">
      <alignment horizontal="center"/>
    </xf>
    <xf numFmtId="0" fontId="64" fillId="12" borderId="8" pivotButton="0" quotePrefix="0" xfId="0"/>
    <xf numFmtId="0" fontId="48" fillId="12" borderId="8" pivotButton="0" quotePrefix="0" xfId="0"/>
    <xf numFmtId="14" fontId="48" fillId="12" borderId="8" applyAlignment="1" pivotButton="0" quotePrefix="0" xfId="0">
      <alignment horizontal="center"/>
    </xf>
    <xf numFmtId="164" fontId="48" fillId="12" borderId="8" applyAlignment="1" pivotButton="0" quotePrefix="0" xfId="0">
      <alignment horizontal="right"/>
    </xf>
    <xf numFmtId="0" fontId="68" fillId="11" borderId="0" applyAlignment="1" pivotButton="0" quotePrefix="0" xfId="0">
      <alignment horizontal="center" vertical="center" wrapText="1"/>
    </xf>
    <xf numFmtId="0" fontId="68" fillId="13" borderId="0" applyAlignment="1" pivotButton="0" quotePrefix="0" xfId="0">
      <alignment horizontal="center" vertical="center" wrapText="1"/>
    </xf>
    <xf numFmtId="0" fontId="68" fillId="14" borderId="0" applyAlignment="1" pivotButton="0" quotePrefix="0" xfId="0">
      <alignment horizontal="center" vertical="center" wrapText="1"/>
    </xf>
    <xf numFmtId="0" fontId="68" fillId="15" borderId="0" applyAlignment="1" pivotButton="0" quotePrefix="0" xfId="0">
      <alignment horizontal="center" vertical="center" wrapText="1"/>
    </xf>
    <xf numFmtId="0" fontId="68" fillId="16" borderId="0" applyAlignment="1" pivotButton="0" quotePrefix="0" xfId="0">
      <alignment horizontal="center" vertical="center" wrapText="1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4" fontId="71" fillId="12" borderId="8" applyAlignment="1" pivotButton="0" quotePrefix="0" xfId="0">
      <alignment horizontal="center" vertical="center"/>
    </xf>
    <xf numFmtId="164" fontId="72" fillId="12" borderId="8" applyAlignment="1" pivotButton="0" quotePrefix="0" xfId="0">
      <alignment horizontal="center" vertical="center"/>
    </xf>
    <xf numFmtId="165" fontId="73" fillId="12" borderId="8" applyAlignment="1" pivotButton="0" quotePrefix="0" xfId="0">
      <alignment horizontal="center" vertical="center"/>
    </xf>
    <xf numFmtId="0" fontId="74" fillId="20" borderId="8" applyAlignment="1" pivotButton="0" quotePrefix="0" xfId="0">
      <alignment vertical="center" indent="1"/>
    </xf>
    <xf numFmtId="0" fontId="74" fillId="17" borderId="8" applyAlignment="1" pivotButton="0" quotePrefix="0" xfId="0">
      <alignment vertical="center" indent="1"/>
    </xf>
    <xf numFmtId="0" fontId="55" fillId="0" borderId="0" pivotButton="0" quotePrefix="0" xfId="0"/>
    <xf numFmtId="0" fontId="75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15" fillId="10" borderId="6" pivotButton="0" quotePrefix="0" xfId="0"/>
    <xf numFmtId="0" fontId="35" fillId="0" borderId="0" pivotButton="0" quotePrefix="0" xfId="0"/>
    <xf numFmtId="0" fontId="40" fillId="0" borderId="0" pivotButton="0" quotePrefix="0" xfId="0"/>
    <xf numFmtId="0" fontId="38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0" fontId="0" fillId="17" borderId="0" pivotButton="0" quotePrefix="0" xfId="0"/>
    <xf numFmtId="164" fontId="32" fillId="0" borderId="1" applyAlignment="1" pivotButton="0" quotePrefix="0" xfId="0">
      <alignment horizontal="right" vertical="center"/>
    </xf>
    <xf numFmtId="0" fontId="65" fillId="0" borderId="9" pivotButton="0" quotePrefix="0" xfId="0"/>
    <xf numFmtId="0" fontId="0" fillId="0" borderId="0" pivotButton="0" quotePrefix="0" xfId="0"/>
    <xf numFmtId="0" fontId="43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7" fillId="14" borderId="9" applyAlignment="1" pivotButton="0" quotePrefix="0" xfId="0">
      <alignment vertical="center" indent="1"/>
    </xf>
    <xf numFmtId="0" fontId="43" fillId="20" borderId="8" applyAlignment="1" pivotButton="0" quotePrefix="0" xfId="0">
      <alignment vertical="center"/>
    </xf>
    <xf numFmtId="0" fontId="67" fillId="15" borderId="9" applyAlignment="1" pivotButton="0" quotePrefix="0" xfId="0">
      <alignment vertical="center" indent="1"/>
    </xf>
    <xf numFmtId="0" fontId="43" fillId="0" borderId="9" applyAlignment="1" pivotButton="0" quotePrefix="0" xfId="0">
      <alignment vertical="center" indent="1"/>
    </xf>
    <xf numFmtId="0" fontId="67" fillId="22" borderId="9" applyAlignment="1" pivotButton="0" quotePrefix="0" xfId="0">
      <alignment vertical="center" indent="1"/>
    </xf>
    <xf numFmtId="0" fontId="67" fillId="16" borderId="9" applyAlignment="1" pivotButton="0" quotePrefix="0" xfId="0">
      <alignment vertical="center" indent="1"/>
    </xf>
    <xf numFmtId="0" fontId="67" fillId="21" borderId="9" applyAlignment="1" pivotButton="0" quotePrefix="0" xfId="0">
      <alignment vertical="center" indent="1"/>
    </xf>
    <xf numFmtId="0" fontId="66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9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6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9" fillId="13" borderId="9" applyAlignment="1" pivotButton="0" quotePrefix="0" xfId="0">
      <alignment horizontal="center" vertical="center" wrapText="1"/>
    </xf>
    <xf numFmtId="0" fontId="62" fillId="0" borderId="9" pivotButton="0" quotePrefix="0" xfId="0"/>
    <xf numFmtId="0" fontId="43" fillId="0" borderId="9" pivotButton="0" quotePrefix="0" xfId="0"/>
    <xf numFmtId="0" fontId="60" fillId="0" borderId="9" applyAlignment="1" pivotButton="0" quotePrefix="0" xfId="0">
      <alignment vertical="top" wrapText="1"/>
    </xf>
    <xf numFmtId="0" fontId="54" fillId="0" borderId="9" pivotButton="0" quotePrefix="0" xfId="0"/>
    <xf numFmtId="0" fontId="49" fillId="13" borderId="9" applyAlignment="1" pivotButton="0" quotePrefix="0" xfId="0">
      <alignment horizontal="center" vertical="center"/>
    </xf>
    <xf numFmtId="0" fontId="49" fillId="14" borderId="9" applyAlignment="1" pivotButton="0" quotePrefix="0" xfId="0">
      <alignment horizontal="center" vertical="center"/>
    </xf>
    <xf numFmtId="0" fontId="59" fillId="0" borderId="9" pivotButton="0" quotePrefix="0" xfId="0"/>
    <xf numFmtId="0" fontId="57" fillId="13" borderId="9" applyAlignment="1" pivotButton="0" quotePrefix="0" xfId="0">
      <alignment horizontal="left" vertical="center" indent="1"/>
    </xf>
    <xf numFmtId="0" fontId="57" fillId="15" borderId="9" applyAlignment="1" pivotButton="0" quotePrefix="0" xfId="0">
      <alignment horizontal="left" vertical="center" indent="1"/>
    </xf>
    <xf numFmtId="164" fontId="53" fillId="12" borderId="9" applyAlignment="1" pivotButton="0" quotePrefix="0" xfId="0">
      <alignment horizontal="center" vertical="center"/>
    </xf>
    <xf numFmtId="164" fontId="52" fillId="12" borderId="9" applyAlignment="1" pivotButton="0" quotePrefix="0" xfId="0">
      <alignment horizontal="center" vertical="center"/>
    </xf>
    <xf numFmtId="0" fontId="63" fillId="12" borderId="8" applyAlignment="1" pivotButton="0" quotePrefix="0" xfId="0">
      <alignment horizontal="left" indent="1"/>
    </xf>
    <xf numFmtId="0" fontId="49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40" fillId="0" borderId="9" pivotButton="0" quotePrefix="0" xfId="0"/>
    <xf numFmtId="0" fontId="37" fillId="0" borderId="9" pivotButton="0" quotePrefix="0" xfId="0"/>
    <xf numFmtId="0" fontId="38" fillId="0" borderId="9" pivotButton="0" quotePrefix="0" xfId="0"/>
    <xf numFmtId="0" fontId="56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2" fillId="0" borderId="9" pivotButton="0" quotePrefix="0" xfId="0"/>
    <xf numFmtId="0" fontId="44" fillId="16" borderId="9" applyAlignment="1" pivotButton="0" quotePrefix="0" xfId="0">
      <alignment horizontal="center"/>
    </xf>
    <xf numFmtId="164" fontId="50" fillId="12" borderId="9" applyAlignment="1" pivotButton="0" quotePrefix="0" xfId="0">
      <alignment horizontal="center" vertical="center"/>
    </xf>
    <xf numFmtId="0" fontId="49" fillId="11" borderId="9" applyAlignment="1" pivotButton="0" quotePrefix="0" xfId="0">
      <alignment horizontal="center" vertical="center"/>
    </xf>
    <xf numFmtId="10" fontId="31" fillId="0" borderId="7" pivotButton="0" quotePrefix="0" xfId="0"/>
    <xf numFmtId="10" fontId="31" fillId="17" borderId="7" pivotButton="0" quotePrefix="0" xfId="0"/>
    <xf numFmtId="0" fontId="76" fillId="23" borderId="8" pivotButton="0" quotePrefix="0" xfId="0"/>
    <xf numFmtId="14" fontId="76" fillId="23" borderId="8" applyAlignment="1" pivotButton="0" quotePrefix="0" xfId="0">
      <alignment horizontal="center"/>
    </xf>
    <xf numFmtId="164" fontId="76" fillId="23" borderId="8" applyAlignment="1" pivotButton="0" quotePrefix="0" xfId="0">
      <alignment horizontal="right"/>
    </xf>
    <xf numFmtId="0" fontId="77" fillId="23" borderId="8" applyAlignment="1" pivotButton="0" quotePrefix="0" xfId="0">
      <alignment horizontal="center"/>
    </xf>
    <xf numFmtId="0" fontId="76" fillId="23" borderId="8" applyAlignment="1" pivotButton="0" quotePrefix="0" xfId="0">
      <alignment horizontal="center"/>
    </xf>
    <xf numFmtId="0" fontId="77" fillId="23" borderId="8" pivotButton="0" quotePrefix="0" xfId="0"/>
    <xf numFmtId="14" fontId="77" fillId="23" borderId="8" applyAlignment="1" pivotButton="0" quotePrefix="0" xfId="0">
      <alignment horizontal="center"/>
    </xf>
    <xf numFmtId="164" fontId="77" fillId="23" borderId="8" applyAlignment="1" pivotButton="0" quotePrefix="0" xfId="0">
      <alignment horizontal="right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51994992"/>
        <axId val="-1151993904"/>
      </barChart>
      <catAx>
        <axId val="-11519949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3904"/>
        <crosses val="autoZero"/>
        <auto val="1"/>
        <lblAlgn val="ctr"/>
        <lblOffset val="100"/>
        <noMultiLvlLbl val="0"/>
      </catAx>
      <valAx>
        <axId val="-11519939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5199499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1107339776"/>
        <axId val="-1107341952"/>
      </lineChart>
      <catAx>
        <axId val="-110733977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1952"/>
        <crosses val="autoZero"/>
        <auto val="1"/>
        <lblAlgn val="ctr"/>
        <lblOffset val="100"/>
        <noMultiLvlLbl val="0"/>
      </catAx>
      <valAx>
        <axId val="-110734195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3977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189388.73</v>
                </pt>
                <pt idx="4">
                  <v>0</v>
                </pt>
                <pt idx="5">
                  <formatCode>"R$ "#,##0.00</formatCode>
                  <v>91154.00000000001</v>
                </pt>
                <pt idx="6">
                  <formatCode>"R$ "#,##0.00</formatCode>
                  <v>7850</v>
                </pt>
                <pt idx="7">
                  <formatCode>"R$ "#,##0.00</formatCode>
                  <v>1232.05</v>
                </pt>
                <pt idx="8">
                  <formatCode>"R$ "#,##0.00</formatCode>
                  <v>33415.33</v>
                </pt>
                <pt idx="9">
                  <formatCode>"R$ "#,##0.00</formatCode>
                  <v>420.04</v>
                </pt>
                <pt idx="10">
                  <formatCode>"R$ "#,##0.00</formatCode>
                  <v>5871</v>
                </pt>
                <pt idx="11">
                  <formatCode>"R$ "#,##0.00</formatCode>
                  <v>25343.81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1107346848"/>
        <axId val="-1107344672"/>
      </barChart>
      <catAx>
        <axId val="-110734684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4672"/>
        <crosses val="autoZero"/>
        <auto val="1"/>
        <lblAlgn val="ctr"/>
        <lblOffset val="100"/>
        <noMultiLvlLbl val="0"/>
      </catAx>
      <valAx>
        <axId val="-1107344672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110734684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/><Relationship Type="http://schemas.openxmlformats.org/officeDocument/2006/relationships/hyperlink" Target="#'DRE Simplificado'!A1" TargetMode="External" Id="rId2"/><Relationship Type="http://schemas.openxmlformats.org/officeDocument/2006/relationships/hyperlink" Target="#'Contas a Pagar e Receber'!A1" TargetMode="External" Id="rId3"/><Relationship Type="http://schemas.openxmlformats.org/officeDocument/2006/relationships/hyperlink" Target="#'Capital de Giro (BB)'!A1" TargetMode="External" Id="rId4"/><Relationship Type="http://schemas.openxmlformats.org/officeDocument/2006/relationships/hyperlink" Target="#'Ponto de Equil&#237;brio'!A1" TargetMode="External" Id="rId5"/><Relationship Type="http://schemas.openxmlformats.org/officeDocument/2006/relationships/hyperlink" Target="#'Fluxo de Caixa Projetado'!A1" TargetMode="External" Id="rId6"/><Relationship Type="http://schemas.openxmlformats.org/officeDocument/2006/relationships/hyperlink" Target="#'Reserva e Impostos'!A1" TargetMode="External" Id="rId7"/><Relationship Type="http://schemas.openxmlformats.org/officeDocument/2006/relationships/hyperlink" Target="#'Or&#231;ado vs Realizado'!A1" TargetMode="External" Id="rId8"/><Relationship Type="http://schemas.openxmlformats.org/officeDocument/2006/relationships/hyperlink" Target="#'Precifica&#231;&#227;o e Margem'!A1" TargetMode="External" Id="rId9"/><Relationship Type="http://schemas.openxmlformats.org/officeDocument/2006/relationships/hyperlink" Target="#'Concilia&#231;&#227;o Banc&#225;ria'!A1" TargetMode="External" Id="rId10"/><Relationship Type="http://schemas.openxmlformats.org/officeDocument/2006/relationships/hyperlink" Target="#'Cadastro Clientes-Fornec'!A1" TargetMode="External" Id="rId11"/><Relationship Type="http://schemas.openxmlformats.org/officeDocument/2006/relationships/hyperlink" Target="#'Jan 2026'!A1" TargetMode="External" Id="rId12"/><Relationship Type="http://schemas.openxmlformats.org/officeDocument/2006/relationships/hyperlink" Target="#'Fev 2026'!A1" TargetMode="External" Id="rId13"/><Relationship Type="http://schemas.openxmlformats.org/officeDocument/2006/relationships/hyperlink" Target="#'Mar 2026'!A1" TargetMode="External" Id="rId14"/><Relationship Type="http://schemas.openxmlformats.org/officeDocument/2006/relationships/hyperlink" Target="#'Abr 2026'!A1" TargetMode="External" Id="rId15"/><Relationship Type="http://schemas.openxmlformats.org/officeDocument/2006/relationships/hyperlink" Target="#'Mai 2026'!A1" TargetMode="External" Id="rId16"/><Relationship Type="http://schemas.openxmlformats.org/officeDocument/2006/relationships/hyperlink" Target="#'Jun 2026'!A1" TargetMode="External" Id="rId17"/><Relationship Type="http://schemas.openxmlformats.org/officeDocument/2006/relationships/hyperlink" Target="#'Jul 2026'!A1" TargetMode="External" Id="rId18"/><Relationship Type="http://schemas.openxmlformats.org/officeDocument/2006/relationships/hyperlink" Target="#'Ago 2026'!A1" TargetMode="External" Id="rId19"/><Relationship Type="http://schemas.openxmlformats.org/officeDocument/2006/relationships/hyperlink" Target="#'Set 2026'!A1" TargetMode="External" Id="rId20"/><Relationship Type="http://schemas.openxmlformats.org/officeDocument/2006/relationships/hyperlink" Target="#'Out 2026'!A1" TargetMode="External" Id="rId21"/><Relationship Type="http://schemas.openxmlformats.org/officeDocument/2006/relationships/hyperlink" Target="#'Nov 2026'!A1" TargetMode="External" Id="rId22"/><Relationship Type="http://schemas.openxmlformats.org/officeDocument/2006/relationships/hyperlink" Target="#'Dez 2026'!A1" TargetMode="External" Id="rId2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abSelected="1" zoomScale="70" zoomScaleNormal="70" workbookViewId="0">
      <selection activeCell="C37" sqref="C37:G37"/>
    </sheetView>
  </sheetViews>
  <sheetFormatPr baseColWidth="8" defaultRowHeight="15"/>
  <cols>
    <col width="3" customWidth="1" style="158" min="1" max="1"/>
    <col width="34" customWidth="1" style="158" min="2" max="2"/>
    <col width="62" customWidth="1" style="158" min="3" max="3"/>
    <col width="20" customWidth="1" style="158" min="4" max="7"/>
    <col width="3" customWidth="1" style="158" min="8" max="8"/>
  </cols>
  <sheetData>
    <row r="2" ht="32.1" customHeight="1" s="158">
      <c r="B2" s="157" t="inlineStr">
        <is>
          <t>RELATÓRIO FINANCEIRO 2026 — LOJA PLANETA ÁGUA</t>
        </is>
      </c>
    </row>
    <row r="3">
      <c r="B3" s="169" t="inlineStr">
        <is>
          <t>Clique no nome de qualquer aba abaixo para ir direto até ela. Em toda aba há um link "← Início" para voltar.</t>
        </is>
      </c>
    </row>
    <row r="5" ht="21.95" customHeight="1" s="158">
      <c r="B5" s="167" t="inlineStr">
        <is>
          <t>NÚMEROS DO ANO</t>
        </is>
      </c>
    </row>
    <row r="6" ht="26.1" customHeight="1" s="158">
      <c r="B6" s="133" t="inlineStr">
        <is>
          <t>ENTRADAS (ANO)</t>
        </is>
      </c>
      <c r="C6" s="134" t="inlineStr">
        <is>
          <t>SAÍDAS DA LOJA (ANO)</t>
        </is>
      </c>
      <c r="D6" s="135" t="inlineStr">
        <is>
          <t>LUCRO EM CAIXA</t>
        </is>
      </c>
      <c r="E6" s="136" t="inlineStr">
        <is>
          <t>A RECEBER</t>
        </is>
      </c>
      <c r="F6" s="134" t="inlineStr">
        <is>
          <t>DÍVIDA BB</t>
        </is>
      </c>
      <c r="G6" s="137" t="inlineStr">
        <is>
          <t>MARGEM DO ANO</t>
        </is>
      </c>
    </row>
    <row r="7" ht="30" customHeight="1" s="158">
      <c r="B7" s="138">
        <f>Dashboard!A5</f>
        <v/>
      </c>
      <c r="C7" s="139">
        <f>Dashboard!C5</f>
        <v/>
      </c>
      <c r="D7" s="140">
        <f>Dashboard!E5</f>
        <v/>
      </c>
      <c r="E7" s="141">
        <f>Dashboard!I5</f>
        <v/>
      </c>
      <c r="F7" s="139">
        <f>Dashboard!K5</f>
        <v/>
      </c>
      <c r="G7" s="142">
        <f>Dashboard!G5</f>
        <v/>
      </c>
    </row>
    <row r="9" ht="21.95" customHeight="1" s="158">
      <c r="B9" s="167" t="inlineStr">
        <is>
          <t>SAÚDE FINANCEIRA DA LOJA (MÉDIA MENSAL)</t>
        </is>
      </c>
    </row>
    <row r="10" ht="18.95" customHeight="1" s="158">
      <c r="B10" s="133" t="inlineStr">
        <is>
          <t>CUSTO FIXO MÉDIO/MÊS</t>
        </is>
      </c>
      <c r="C10" s="134" t="inlineStr">
        <is>
          <t>CUSTO VARIÁVEL MÉDIO/MÊS</t>
        </is>
      </c>
      <c r="D10" s="135" t="inlineStr">
        <is>
          <t>DESPESAS PESSOAIS (ANO)</t>
        </is>
      </c>
      <c r="E10" s="136" t="inlineStr">
        <is>
          <t>PONTO DE EQUILÍBRIO (FAT. MÍN./MÊS)</t>
        </is>
      </c>
    </row>
    <row r="11" ht="18.95" customHeight="1" s="158">
      <c r="B11" s="138">
        <f>'DRE Simplificado'!O22</f>
        <v/>
      </c>
      <c r="C11" s="139">
        <f>'DRE Simplificado'!O9</f>
        <v/>
      </c>
      <c r="D11" s="140">
        <f>Dashboard!B53</f>
        <v/>
      </c>
      <c r="E11" s="141">
        <f>'Ponto de Equilíbrio'!B10</f>
        <v/>
      </c>
    </row>
    <row r="13" ht="21.95" customHeight="1" s="158">
      <c r="B13" s="167" t="inlineStr">
        <is>
          <t>COMECE AQUI — visão geral</t>
        </is>
      </c>
    </row>
    <row r="14" ht="18.95" customHeight="1" s="158">
      <c r="B14" s="143" t="inlineStr">
        <is>
          <t>Dashboard</t>
        </is>
      </c>
      <c r="C14" s="163" t="inlineStr">
        <is>
          <t>Resumo do ano: entradas, saídas, lucro, insights automáticos e ranking de produtos.</t>
        </is>
      </c>
      <c r="D14" s="160" t="n"/>
      <c r="E14" s="160" t="n"/>
      <c r="F14" s="160" t="n"/>
      <c r="G14" s="161" t="n"/>
    </row>
    <row r="15" ht="18.95" customHeight="1" s="158">
      <c r="B15" s="144" t="inlineStr">
        <is>
          <t>DRE Simplificado</t>
        </is>
      </c>
      <c r="C15" s="159" t="inlineStr">
        <is>
          <t>O resultado mês a mês, separando custo variável de custo fixo. Mostra se a operação se paga.</t>
        </is>
      </c>
      <c r="D15" s="160" t="n"/>
      <c r="E15" s="160" t="n"/>
      <c r="F15" s="160" t="n"/>
      <c r="G15" s="161" t="n"/>
    </row>
    <row r="17" ht="21.95" customHeight="1" s="158">
      <c r="B17" s="164" t="inlineStr">
        <is>
          <t>DINHEIRO A ENTRAR E A SAIR</t>
        </is>
      </c>
    </row>
    <row r="18" ht="18.95" customHeight="1" s="158">
      <c r="B18" s="143" t="inlineStr">
        <is>
          <t>Contas a Pagar e Receber</t>
        </is>
      </c>
      <c r="C18" s="163" t="inlineStr">
        <is>
          <t>Quem ainda deve para a loja e o que a loja ainda deve. Totais automáticos.</t>
        </is>
      </c>
      <c r="D18" s="160" t="n"/>
      <c r="E18" s="160" t="n"/>
      <c r="F18" s="160" t="n"/>
      <c r="G18" s="161" t="n"/>
    </row>
    <row r="19" ht="18.95" customHeight="1" s="158">
      <c r="B19" s="144" t="inlineStr">
        <is>
          <t>Capital de Giro (BB)</t>
        </is>
      </c>
      <c r="C19" s="159" t="inlineStr">
        <is>
          <t>Contas da loja pagas com o empréstimo do Banco do Brasil e quanto falta devolver.</t>
        </is>
      </c>
      <c r="D19" s="160" t="n"/>
      <c r="E19" s="160" t="n"/>
      <c r="F19" s="160" t="n"/>
      <c r="G19" s="161" t="n"/>
    </row>
    <row r="20" ht="18.95" customHeight="1" s="158"/>
    <row r="21" ht="18.95" customHeight="1" s="158">
      <c r="B21" s="162" t="inlineStr">
        <is>
          <t>PLANEJAMENTO</t>
        </is>
      </c>
    </row>
    <row r="22" ht="18.95" customHeight="1" s="158">
      <c r="B22" s="143" t="inlineStr">
        <is>
          <t>Ponto de Equilíbrio</t>
        </is>
      </c>
      <c r="C22" s="163" t="inlineStr">
        <is>
          <t>Quanto precisa faturar por mês só para não ter prejuízo — e para lucrar o que quiser.</t>
        </is>
      </c>
      <c r="D22" s="160" t="n"/>
      <c r="E22" s="160" t="n"/>
      <c r="F22" s="160" t="n"/>
      <c r="G22" s="161" t="n"/>
    </row>
    <row r="23">
      <c r="B23" s="144" t="inlineStr">
        <is>
          <t>Fluxo de Caixa Projetado</t>
        </is>
      </c>
      <c r="C23" s="159" t="inlineStr">
        <is>
          <t>Projeção do saldo de setembro a dezembro no ritmo atual.</t>
        </is>
      </c>
      <c r="D23" s="160" t="n"/>
      <c r="E23" s="160" t="n"/>
      <c r="F23" s="160" t="n"/>
      <c r="G23" s="161" t="n"/>
    </row>
    <row r="24" ht="21.95" customHeight="1" s="158">
      <c r="B24" s="143" t="inlineStr">
        <is>
          <t>Reserva e Impostos</t>
        </is>
      </c>
      <c r="C24" s="160" t="n"/>
      <c r="D24" s="160" t="n"/>
      <c r="E24" s="160" t="n"/>
      <c r="F24" s="160" t="n"/>
      <c r="G24" s="161" t="n"/>
    </row>
    <row r="25" ht="18.95" customHeight="1" s="158">
      <c r="B25" s="144" t="inlineStr">
        <is>
          <t>Orçado vs Realizado</t>
        </is>
      </c>
      <c r="C25" s="159" t="inlineStr">
        <is>
          <t>Meta do mês contra o que realmente aconteceu, categoria por categoria.</t>
        </is>
      </c>
      <c r="D25" s="160" t="n"/>
      <c r="E25" s="160" t="n"/>
      <c r="F25" s="160" t="n"/>
      <c r="G25" s="161" t="n"/>
    </row>
    <row r="26" ht="18.95" customHeight="1" s="158">
      <c r="B26" s="143" t="inlineStr">
        <is>
          <t>Precificação e Margem</t>
        </is>
      </c>
      <c r="C26" s="163" t="inlineStr">
        <is>
          <t>Quanto sobra de verdade em cada produto depois de custo, comissão, taxa e imposto.</t>
        </is>
      </c>
      <c r="D26" s="160" t="n"/>
      <c r="E26" s="160" t="n"/>
      <c r="F26" s="160" t="n"/>
      <c r="G26" s="161" t="n"/>
    </row>
    <row r="28" ht="21.95" customHeight="1" s="158">
      <c r="B28" s="168" t="inlineStr">
        <is>
          <t>APOIO</t>
        </is>
      </c>
    </row>
    <row r="29" ht="18.95" customHeight="1" s="158">
      <c r="B29" s="143" t="inlineStr">
        <is>
          <t>Conciliação Bancária</t>
        </is>
      </c>
      <c r="C29" s="163" t="inlineStr">
        <is>
          <t>Confere lançamento por lançamento contra o extrato do banco.</t>
        </is>
      </c>
      <c r="D29" s="160" t="n"/>
      <c r="E29" s="160" t="n"/>
      <c r="F29" s="160" t="n"/>
      <c r="G29" s="161" t="n"/>
    </row>
    <row r="30" ht="18.95" customHeight="1" s="158">
      <c r="B30" s="144" t="inlineStr">
        <is>
          <t>Cadastro Clientes-Fornec</t>
        </is>
      </c>
      <c r="C30" s="159" t="inlineStr">
        <is>
          <t>Base única de nomes, documentos e contatos.</t>
        </is>
      </c>
      <c r="D30" s="160" t="n"/>
      <c r="E30" s="160" t="n"/>
      <c r="F30" s="160" t="n"/>
      <c r="G30" s="161" t="n"/>
    </row>
    <row r="31" ht="18.95" customHeight="1" s="158"/>
    <row r="32" ht="18.95" customHeight="1" s="158">
      <c r="B32" s="166" t="inlineStr">
        <is>
          <t>LANÇAMENTOS MÊS A MÊS</t>
        </is>
      </c>
    </row>
    <row r="33" ht="18.95" customHeight="1" s="158">
      <c r="B33" s="143" t="inlineStr">
        <is>
          <t>Jan 2026</t>
        </is>
      </c>
      <c r="C33" s="163" t="inlineStr">
        <is>
          <t>Importado do Livro Caixa (DigiSat)</t>
        </is>
      </c>
      <c r="D33" s="160" t="n"/>
      <c r="E33" s="160" t="n"/>
      <c r="F33" s="160" t="n"/>
      <c r="G33" s="161" t="n"/>
    </row>
    <row r="34" ht="18.95" customHeight="1" s="158">
      <c r="B34" s="144" t="inlineStr">
        <is>
          <t>Fev 2026</t>
        </is>
      </c>
      <c r="C34" s="159" t="inlineStr">
        <is>
          <t>Importado do Livro Caixa (DigiSat)</t>
        </is>
      </c>
      <c r="D34" s="160" t="n"/>
      <c r="E34" s="160" t="n"/>
      <c r="F34" s="160" t="n"/>
      <c r="G34" s="161" t="n"/>
    </row>
    <row r="35" ht="18.95" customHeight="1" s="158">
      <c r="B35" s="143" t="inlineStr">
        <is>
          <t>Mar 2026</t>
        </is>
      </c>
      <c r="C35" s="163" t="inlineStr">
        <is>
          <t>Importado do Livro Caixa (DigiSat)</t>
        </is>
      </c>
      <c r="D35" s="160" t="n"/>
      <c r="E35" s="160" t="n"/>
      <c r="F35" s="160" t="n"/>
      <c r="G35" s="161" t="n"/>
    </row>
    <row r="36" ht="18.95" customHeight="1" s="158">
      <c r="B36" s="144" t="inlineStr">
        <is>
          <t>Abr 2026</t>
        </is>
      </c>
      <c r="C36" s="159" t="inlineStr">
        <is>
          <t>Importado do Livro Caixa (DigiSat)</t>
        </is>
      </c>
      <c r="D36" s="160" t="n"/>
      <c r="E36" s="160" t="n"/>
      <c r="F36" s="160" t="n"/>
      <c r="G36" s="161" t="n"/>
    </row>
    <row r="37" ht="18.95" customHeight="1" s="158">
      <c r="B37" s="143" t="inlineStr">
        <is>
          <t>Mai 2026</t>
        </is>
      </c>
      <c r="C37" s="163" t="inlineStr">
        <is>
          <t>Importado do Livro Caixa (DigiSat)</t>
        </is>
      </c>
      <c r="D37" s="160" t="n"/>
      <c r="E37" s="160" t="n"/>
      <c r="F37" s="160" t="n"/>
      <c r="G37" s="161" t="n"/>
    </row>
    <row r="38" ht="18.95" customHeight="1" s="158">
      <c r="B38" s="144" t="inlineStr">
        <is>
          <t>Jun 2026</t>
        </is>
      </c>
      <c r="C38" s="159" t="inlineStr">
        <is>
          <t>Importado do Livro Caixa (DigiSat)</t>
        </is>
      </c>
      <c r="D38" s="160" t="n"/>
      <c r="E38" s="160" t="n"/>
      <c r="F38" s="160" t="n"/>
      <c r="G38" s="161" t="n"/>
    </row>
    <row r="39" ht="18.95" customHeight="1" s="158">
      <c r="B39" s="143" t="inlineStr">
        <is>
          <t>Jul 2026</t>
        </is>
      </c>
      <c r="C39" s="163" t="inlineStr">
        <is>
          <t>Importado do Livro Caixa (DigiSat)</t>
        </is>
      </c>
      <c r="D39" s="160" t="n"/>
      <c r="E39" s="160" t="n"/>
      <c r="F39" s="160" t="n"/>
      <c r="G39" s="161" t="n"/>
    </row>
    <row r="40" ht="18.95" customHeight="1" s="158">
      <c r="B40" s="144" t="inlineStr">
        <is>
          <t>Ago 2026</t>
        </is>
      </c>
      <c r="C40" s="159" t="inlineStr">
        <is>
          <t>Lançamento manual, com forma de pagamento e taxa da máquina</t>
        </is>
      </c>
      <c r="D40" s="160" t="n"/>
      <c r="E40" s="160" t="n"/>
      <c r="F40" s="160" t="n"/>
      <c r="G40" s="161" t="n"/>
    </row>
    <row r="41">
      <c r="B41" s="143" t="inlineStr">
        <is>
          <t>Set 2026</t>
        </is>
      </c>
      <c r="C41" s="163" t="inlineStr">
        <is>
          <t>MÊS ATUAL — lançamento manual, com forma de pagamento e taxa da máquina</t>
        </is>
      </c>
      <c r="D41" s="160" t="n"/>
      <c r="E41" s="160" t="n"/>
      <c r="F41" s="160" t="n"/>
      <c r="G41" s="161" t="n"/>
    </row>
    <row r="42">
      <c r="B42" s="144" t="inlineStr">
        <is>
          <t>Out 2026</t>
        </is>
      </c>
      <c r="C42" s="159" t="inlineStr">
        <is>
          <t>Pronto para lançar</t>
        </is>
      </c>
      <c r="D42" s="160" t="n"/>
      <c r="E42" s="160" t="n"/>
      <c r="F42" s="160" t="n"/>
      <c r="G42" s="161" t="n"/>
    </row>
    <row r="43">
      <c r="B43" s="143" t="inlineStr">
        <is>
          <t>Nov 2026</t>
        </is>
      </c>
      <c r="C43" s="160" t="n"/>
      <c r="D43" s="160" t="n"/>
      <c r="E43" s="160" t="n"/>
      <c r="F43" s="160" t="n"/>
      <c r="G43" s="161" t="n"/>
    </row>
    <row r="44">
      <c r="B44" s="144" t="inlineStr">
        <is>
          <t>Dez 2026</t>
        </is>
      </c>
      <c r="C44" s="160" t="n"/>
      <c r="D44" s="160" t="n"/>
      <c r="E44" s="160" t="n"/>
      <c r="F44" s="160" t="n"/>
      <c r="G44" s="161" t="n"/>
    </row>
    <row r="45"/>
    <row r="46">
      <c r="B46" s="145" t="inlineStr">
        <is>
          <t>Como usar no dia a dia</t>
        </is>
      </c>
    </row>
    <row r="47">
      <c r="B47" s="165" t="inlineStr">
        <is>
          <t>1. Lance cada venda e cada despesa na aba do mês (ex.: "Ago 2026") — uma linha por lançamento.</t>
        </is>
      </c>
    </row>
    <row r="48">
      <c r="B48" s="165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5" t="inlineStr">
        <is>
          <t>3. Quando o cliente pagar, troque a forma de pagamento pelo método real. Todo o resto recalcula sozinho.</t>
        </is>
      </c>
    </row>
    <row r="50">
      <c r="B50" s="165" t="inlineStr">
        <is>
          <t>4. Despesa pessoal do casal paga pela loja: categoria "Pro Labore Edilânia" — fica registrada, mas fora do resultado da loja.</t>
        </is>
      </c>
    </row>
    <row r="51">
      <c r="B51" s="165" t="inlineStr">
        <is>
          <t>5. Dashboard e DRE não precisam ser preenchidos: puxam tudo das abas dos meses.</t>
        </is>
      </c>
    </row>
  </sheetData>
  <mergeCells count="34">
    <mergeCell ref="B2:G2"/>
    <mergeCell ref="C30:G30"/>
    <mergeCell ref="C34:G34"/>
    <mergeCell ref="C15:G15"/>
    <mergeCell ref="B17:G17"/>
    <mergeCell ref="C33:G33"/>
    <mergeCell ref="B13:G13"/>
    <mergeCell ref="C14:G14"/>
    <mergeCell ref="B44:G44"/>
    <mergeCell ref="C26:G26"/>
    <mergeCell ref="C29:G29"/>
    <mergeCell ref="C35:G35"/>
    <mergeCell ref="C20:G20"/>
    <mergeCell ref="B28:G28"/>
    <mergeCell ref="B9:G9"/>
    <mergeCell ref="C25:G25"/>
    <mergeCell ref="C31:G31"/>
    <mergeCell ref="C22:G22"/>
    <mergeCell ref="C40:G40"/>
    <mergeCell ref="B24:G24"/>
    <mergeCell ref="C21:G21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B43:G43"/>
    <mergeCell ref="C18:G18"/>
  </mergeCell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2" r:id="rId5"/>
    <hyperlink xmlns:r="http://schemas.openxmlformats.org/officeDocument/2006/relationships" ref="B23" r:id="rId6"/>
    <hyperlink xmlns:r="http://schemas.openxmlformats.org/officeDocument/2006/relationships" ref="B24" r:id="rId7"/>
    <hyperlink xmlns:r="http://schemas.openxmlformats.org/officeDocument/2006/relationships" ref="B25" r:id="rId8"/>
    <hyperlink xmlns:r="http://schemas.openxmlformats.org/officeDocument/2006/relationships" ref="B26" r:id="rId9"/>
    <hyperlink xmlns:r="http://schemas.openxmlformats.org/officeDocument/2006/relationships" ref="B29" r:id="rId10"/>
    <hyperlink xmlns:r="http://schemas.openxmlformats.org/officeDocument/2006/relationships" ref="B30" r:id="rId11"/>
    <hyperlink xmlns:r="http://schemas.openxmlformats.org/officeDocument/2006/relationships" ref="B33" r:id="rId12"/>
    <hyperlink xmlns:r="http://schemas.openxmlformats.org/officeDocument/2006/relationships" ref="B34" r:id="rId13"/>
    <hyperlink xmlns:r="http://schemas.openxmlformats.org/officeDocument/2006/relationships" ref="B35" r:id="rId14"/>
    <hyperlink xmlns:r="http://schemas.openxmlformats.org/officeDocument/2006/relationships" ref="B36" r:id="rId15"/>
    <hyperlink xmlns:r="http://schemas.openxmlformats.org/officeDocument/2006/relationships" ref="B37" r:id="rId16"/>
    <hyperlink xmlns:r="http://schemas.openxmlformats.org/officeDocument/2006/relationships" ref="B38" r:id="rId17"/>
    <hyperlink xmlns:r="http://schemas.openxmlformats.org/officeDocument/2006/relationships" ref="B39" r:id="rId18"/>
    <hyperlink xmlns:r="http://schemas.openxmlformats.org/officeDocument/2006/relationships" ref="B40" r:id="rId19"/>
    <hyperlink xmlns:r="http://schemas.openxmlformats.org/officeDocument/2006/relationships" ref="B41" r:id="rId20"/>
    <hyperlink xmlns:r="http://schemas.openxmlformats.org/officeDocument/2006/relationships" ref="B42" r:id="rId21"/>
    <hyperlink xmlns:r="http://schemas.openxmlformats.org/officeDocument/2006/relationships" ref="B43" r:id="rId22"/>
    <hyperlink xmlns:r="http://schemas.openxmlformats.org/officeDocument/2006/relationships" ref="B44" r:id="rId2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8" min="1" max="1"/>
    <col width="40" customWidth="1" style="158" min="2" max="2"/>
    <col width="13.7109375" bestFit="1" customWidth="1" style="158" min="3" max="3"/>
    <col width="12" customWidth="1" style="158" min="4" max="4"/>
    <col width="14" customWidth="1" style="158" min="5" max="5"/>
    <col width="34" customWidth="1" style="158" min="6" max="6"/>
    <col width="14" customWidth="1" style="158" min="7" max="8"/>
    <col width="14" customWidth="1" style="158" min="11" max="12"/>
  </cols>
  <sheetData>
    <row r="1" ht="30" customHeight="1" s="158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46" t="inlineStr">
        <is>
          <t>← Início</t>
        </is>
      </c>
    </row>
    <row r="4" ht="25.5" customHeight="1" s="158">
      <c r="A4" s="190" t="inlineStr">
        <is>
          <t>ENTRADAS (ANO)</t>
        </is>
      </c>
      <c r="B4" s="161" t="n"/>
      <c r="C4" s="179" t="inlineStr">
        <is>
          <t>SAÍDAS (ANO)</t>
        </is>
      </c>
      <c r="D4" s="161" t="n"/>
      <c r="E4" s="181" t="inlineStr">
        <is>
          <t>LUCRO LÍQUIDO</t>
        </is>
      </c>
      <c r="F4" s="161" t="n"/>
      <c r="G4" s="191" t="inlineStr">
        <is>
          <t>MARGEM DO ANO</t>
        </is>
      </c>
      <c r="H4" s="161" t="n"/>
      <c r="I4" s="192" t="inlineStr">
        <is>
          <t>A RECEBER (ANO)</t>
        </is>
      </c>
      <c r="J4" s="161" t="n"/>
      <c r="K4" s="193" t="inlineStr">
        <is>
          <t>DÍVIDA — CAPITAL DE GIRO (BB)</t>
        </is>
      </c>
    </row>
    <row r="5" ht="19.5" customHeight="1" s="158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8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8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8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8">
      <c r="A14" s="170" t="inlineStr">
        <is>
          <t>⚠ Limitações dos dados de origem (relatórios DigiSat/G6, não planilhas de fluxo de caixa):</t>
        </is>
      </c>
    </row>
    <row r="15" ht="25.5" customHeight="1" s="158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8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8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8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8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8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'Jan 2026'!D133</f>
        <v/>
      </c>
      <c r="C24" s="3">
        <f>'Jan 2026'!J18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'Fev 2026'!D146</f>
        <v/>
      </c>
      <c r="C25" s="6">
        <f>'Fev 2026'!J18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'Mar 2026'!D122</f>
        <v/>
      </c>
      <c r="C26" s="3">
        <f>'Mar 2026'!J18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'Abr 2026'!D124</f>
        <v/>
      </c>
      <c r="C27" s="6">
        <f>'Abr 2026'!J18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'Mai 2026'!D123</f>
        <v/>
      </c>
      <c r="C28" s="3">
        <f>'Mai 2026'!J18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'Jun 2026'!D116</f>
        <v/>
      </c>
      <c r="C29" s="6">
        <f>'Jun 2026'!J18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'Jul 2026'!D111</f>
        <v/>
      </c>
      <c r="C30" s="3">
        <f>'Jul 2026'!J18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8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8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2026'!F5:F132,$A41,'Jan 2026'!E5:E132)+SUMIF('Fev 2026'!F5:F145,$A41,'Fev 2026'!E5:E145)+SUMIF('Mar 2026'!F5:F121,$A41,'Mar 2026'!E5:E121)+SUMIF('Abr 2026'!F5:F123,$A41,'Abr 2026'!E5:E123)+SUMIF('Mai 2026'!F5:F122,$A41,'Mai 2026'!E5:E122)+SUMIF('Jun 2026'!F5:F115,$A41,'Jun 2026'!E5:E115)+SUMIF('Jul 2026'!F5:F110,$A41,'Jul 2026'!E5:E110)+SUMIF('Ago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2026'!F5:F132,$A42,'Jan 2026'!E5:E132)+SUMIF('Fev 2026'!F5:F145,$A42,'Fev 2026'!E5:E145)+SUMIF('Mar 2026'!F5:F121,$A42,'Mar 2026'!E5:E121)+SUMIF('Abr 2026'!F5:F123,$A42,'Abr 2026'!E5:E123)+SUMIF('Mai 2026'!F5:F122,$A42,'Mai 2026'!E5:E122)+SUMIF('Jun 2026'!F5:F115,$A42,'Jun 2026'!E5:E115)+SUMIF('Jul 2026'!F5:F110,$A42,'Jul 2026'!E5:E110)+SUMIF('Ago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2026'!F5:F132,$A43,'Jan 2026'!E5:E132)+SUMIF('Fev 2026'!F5:F145,$A43,'Fev 2026'!E5:E145)+SUMIF('Mar 2026'!F5:F121,$A43,'Mar 2026'!E5:E121)+SUMIF('Abr 2026'!F5:F123,$A43,'Abr 2026'!E5:E123)+SUMIF('Mai 2026'!F5:F122,$A43,'Mai 2026'!E5:E122)+SUMIF('Jun 2026'!F5:F115,$A43,'Jun 2026'!E5:E115)+SUMIF('Jul 2026'!F5:F110,$A43,'Jul 2026'!E5:E110)+SUMIF('Ago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2026'!F5:F132,$A44,'Jan 2026'!E5:E132)+SUMIF('Fev 2026'!F5:F145,$A44,'Fev 2026'!E5:E145)+SUMIF('Mar 2026'!F5:F121,$A44,'Mar 2026'!E5:E121)+SUMIF('Abr 2026'!F5:F123,$A44,'Abr 2026'!E5:E123)+SUMIF('Mai 2026'!F5:F122,$A44,'Mai 2026'!E5:E122)+SUMIF('Jun 2026'!F5:F115,$A44,'Jun 2026'!E5:E115)+SUMIF('Jul 2026'!F5:F110,$A44,'Jul 2026'!E5:E110)+SUMIF('Ago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2026'!F5:F132,$A45,'Jan 2026'!E5:E132)+SUMIF('Fev 2026'!F5:F145,$A45,'Fev 2026'!E5:E145)+SUMIF('Mar 2026'!F5:F121,$A45,'Mar 2026'!E5:E121)+SUMIF('Abr 2026'!F5:F123,$A45,'Abr 2026'!E5:E123)+SUMIF('Mai 2026'!F5:F122,$A45,'Mai 2026'!E5:E122)+SUMIF('Jun 2026'!F5:F115,$A45,'Jun 2026'!E5:E115)+SUMIF('Jul 2026'!F5:F110,$A45,'Jul 2026'!E5:E110)+SUMIF('Ago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2026'!F5:F132,$A46,'Jan 2026'!E5:E132)+SUMIF('Fev 2026'!F5:F145,$A46,'Fev 2026'!E5:E145)+SUMIF('Mar 2026'!F5:F121,$A46,'Mar 2026'!E5:E121)+SUMIF('Abr 2026'!F5:F123,$A46,'Abr 2026'!E5:E123)+SUMIF('Mai 2026'!F5:F122,$A46,'Mai 2026'!E5:E122)+SUMIF('Jun 2026'!F5:F115,$A46,'Jun 2026'!E5:E115)+SUMIF('Jul 2026'!F5:F110,$A46,'Jul 2026'!E5:E110)+SUMIF('Ago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1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2026'!F5:F132,$A47,'Jan 2026'!E5:E132)+SUMIF('Fev 2026'!F5:F145,$A47,'Fev 2026'!E5:E145)+SUMIF('Mar 2026'!F5:F121,$A47,'Mar 2026'!E5:E121)+SUMIF('Abr 2026'!F5:F123,$A47,'Abr 2026'!E5:E123)+SUMIF('Mai 2026'!F5:F122,$A47,'Mai 2026'!E5:E122)+SUMIF('Jun 2026'!F5:F115,$A47,'Jun 2026'!E5:E115)+SUMIF('Jul 2026'!F5:F110,$A47,'Jul 2026'!E5:E110)+SUMIF('Ago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2026'!F5:F132,$A48,'Jan 2026'!E5:E132)+SUMIF('Fev 2026'!F5:F145,$A48,'Fev 2026'!E5:E145)+SUMIF('Mar 2026'!F5:F121,$A48,'Mar 2026'!E5:E121)+SUMIF('Abr 2026'!F5:F123,$A48,'Abr 2026'!E5:E123)+SUMIF('Mai 2026'!F5:F122,$A48,'Mai 2026'!E5:E122)+SUMIF('Jun 2026'!F5:F115,$A48,'Jun 2026'!E5:E115)+SUMIF('Jul 2026'!F5:F110,$A48,'Jul 2026'!E5:E110)+SUMIF('Ago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2026'!F5:F132,$A49,'Jan 2026'!E5:E132)+SUMIF('Fev 2026'!F5:F145,$A49,'Fev 2026'!E5:E145)+SUMIF('Mar 2026'!F5:F121,$A49,'Mar 2026'!E5:E121)+SUMIF('Abr 2026'!F5:F123,$A49,'Abr 2026'!E5:E123)+SUMIF('Mai 2026'!F5:F122,$A49,'Mai 2026'!E5:E122)+SUMIF('Jun 2026'!F5:F115,$A49,'Jun 2026'!E5:E115)+SUMIF('Jul 2026'!F5:F110,$A49,'Jul 2026'!E5:E110)+SUMIF('Ago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2026'!F5:F132,$A50,'Jan 2026'!E5:E132)+SUMIF('Fev 2026'!F5:F145,$A50,'Fev 2026'!E5:E145)+SUMIF('Mar 2026'!F5:F121,$A50,'Mar 2026'!E5:E121)+SUMIF('Abr 2026'!F5:F123,$A50,'Abr 2026'!E5:E123)+SUMIF('Mai 2026'!F5:F122,$A50,'Mai 2026'!E5:E122)+SUMIF('Jun 2026'!F5:F115,$A50,'Jun 2026'!E5:E115)+SUMIF('Jul 2026'!F5:F110,$A50,'Jul 2026'!E5:E110)+SUMIF('Ago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49" t="n"/>
      <c r="H50" s="42" t="n"/>
    </row>
    <row r="51" ht="15.75" customHeight="1" s="158">
      <c r="A51" s="10" t="inlineStr">
        <is>
          <t>Estornos de Vendas (Cancelamentos)</t>
        </is>
      </c>
      <c r="B51" s="11">
        <f>SUMIF('Jan 2026'!F5:F132,$A51,'Jan 2026'!E5:E132)+SUMIF('Fev 2026'!F5:F145,$A51,'Fev 2026'!E5:E145)+SUMIF('Mar 2026'!F5:F121,$A51,'Mar 2026'!E5:E121)+SUMIF('Abr 2026'!F5:F123,$A51,'Abr 2026'!E5:E123)+SUMIF('Mai 2026'!F5:F122,$A51,'Mai 2026'!E5:E122)+SUMIF('Jun 2026'!F5:F115,$A51,'Jun 2026'!E5:E115)+SUMIF('Jul 2026'!F5:F110,$A51,'Jul 2026'!E5:E110)+SUMIF('Ago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2026'!F5:F132,$A52,'Jan 2026'!E5:E132)+SUMIF('Fev 2026'!F5:F145,$A52,'Fev 2026'!E5:E145)+SUMIF('Mar 2026'!F5:F121,$A52,'Mar 2026'!E5:E121)+SUMIF('Abr 2026'!F5:F123,$A52,'Abr 2026'!E5:E123)+SUMIF('Mai 2026'!F5:F122,$A52,'Mai 2026'!E5:E122)+SUMIF('Jun 2026'!F5:F115,$A52,'Jun 2026'!E5:E115)+SUMIF('Jul 2026'!F5:F110,$A52,'Jul 2026'!E5:E110)+SUMIF('Ago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2026'!F5:F132,$A53,'Jan 2026'!E5:E132)+SUMIF('Fev 2026'!F5:F145,$A53,'Fev 2026'!E5:E145)+SUMIF('Mar 2026'!F5:F121,$A53,'Mar 2026'!E5:E121)+SUMIF('Abr 2026'!F5:F123,$A53,'Abr 2026'!E5:E123)+SUMIF('Mai 2026'!F5:F122,$A53,'Mai 2026'!E5:E122)+SUMIF('Jun 2026'!F5:F115,$A53,'Jun 2026'!E5:E115)+SUMIF('Jul 2026'!F5:F110,$A53,'Jul 2026'!E5:E110)+SUMIF('Ago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8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8" min="1" max="1"/>
    <col width="13" customWidth="1" style="158" min="2" max="13"/>
    <col width="15" customWidth="1" style="158" min="14" max="15"/>
  </cols>
  <sheetData>
    <row r="1" ht="23.25" customHeight="1" s="158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46" t="inlineStr">
        <is>
          <t>← Início</t>
        </is>
      </c>
      <c r="B3" s="106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8">
      <c r="A4" s="88" t="inlineStr">
        <is>
          <t>Conta</t>
        </is>
      </c>
      <c r="B4" s="88" t="inlineStr">
        <is>
          <t>Janeiro</t>
        </is>
      </c>
      <c r="C4" s="88" t="inlineStr">
        <is>
          <t>Fevereiro</t>
        </is>
      </c>
      <c r="D4" s="88" t="inlineStr">
        <is>
          <t>Março</t>
        </is>
      </c>
      <c r="E4" s="88" t="inlineStr">
        <is>
          <t>Abril</t>
        </is>
      </c>
      <c r="F4" s="88" t="inlineStr">
        <is>
          <t>Maio</t>
        </is>
      </c>
      <c r="G4" s="88" t="inlineStr">
        <is>
          <t>Junho</t>
        </is>
      </c>
      <c r="H4" s="88" t="inlineStr">
        <is>
          <t>Julho</t>
        </is>
      </c>
      <c r="I4" s="88" t="inlineStr">
        <is>
          <t>Agosto</t>
        </is>
      </c>
      <c r="J4" s="88" t="inlineStr">
        <is>
          <t>Setembro</t>
        </is>
      </c>
      <c r="K4" s="88" t="inlineStr">
        <is>
          <t>Outubro</t>
        </is>
      </c>
      <c r="L4" s="88" t="inlineStr">
        <is>
          <t>Novembro</t>
        </is>
      </c>
      <c r="M4" s="88" t="inlineStr">
        <is>
          <t>Dezembro</t>
        </is>
      </c>
      <c r="N4" s="88" t="inlineStr">
        <is>
          <t>Total</t>
        </is>
      </c>
      <c r="O4" s="88" t="inlineStr">
        <is>
          <t>Média/mês</t>
        </is>
      </c>
    </row>
    <row r="5">
      <c r="A5" s="107" t="inlineStr">
        <is>
          <t>RECEITA LÍQUIDA (vendas recebidas)</t>
        </is>
      </c>
      <c r="B5" s="108">
        <f>SUMIF('Jan 2026'!A5:A500,"&lt;&gt;",'Jan 2026'!D5:D500)</f>
        <v/>
      </c>
      <c r="C5" s="108">
        <f>SUMIF('Fev 2026'!A5:A500,"&lt;&gt;",'Fev 2026'!D5:D500)</f>
        <v/>
      </c>
      <c r="D5" s="108">
        <f>SUMIF('Mar 2026'!A5:A500,"&lt;&gt;",'Mar 2026'!D5:D500)</f>
        <v/>
      </c>
      <c r="E5" s="108">
        <f>SUMIF('Abr 2026'!A5:A500,"&lt;&gt;",'Abr 2026'!D5:D500)</f>
        <v/>
      </c>
      <c r="F5" s="108">
        <f>SUMIF('Mai 2026'!A5:A500,"&lt;&gt;",'Mai 2026'!D5:D500)</f>
        <v/>
      </c>
      <c r="G5" s="108">
        <f>SUMIF('Jun 2026'!A5:A500,"&lt;&gt;",'Jun 2026'!D5:D500)</f>
        <v/>
      </c>
      <c r="H5" s="108">
        <f>SUMIF('Jul 2026'!A5:A500,"&lt;&gt;",'Jul 2026'!D5:D500)</f>
        <v/>
      </c>
      <c r="I5" s="108">
        <f>SUMIF('Ago 2026'!E5:E500,"&lt;&gt;",'Ago 2026'!D5:D500)-SUMIF('Ago 2026'!E5:E500,"&lt;&gt;",'Ago 2026'!F5:F500)-'Ago 2026'!T5</f>
        <v/>
      </c>
      <c r="J5" s="108">
        <f>SUMIF('Set 2026'!E5:E500,"&lt;&gt;",'Set 2026'!D5:D500)-SUMIF('Set 2026'!E5:E500,"&lt;&gt;",'Set 2026'!F5:F500)-'Set 2026'!T5</f>
        <v/>
      </c>
      <c r="K5" s="108">
        <f>SUMIF('Out 2026'!E5:E500,"&lt;&gt;",'Out 2026'!D5:D500)-SUMIF('Out 2026'!E5:E500,"&lt;&gt;",'Out 2026'!F5:F500)-'Out 2026'!T5</f>
        <v/>
      </c>
      <c r="L5" s="108">
        <f>SUMIF('Nov 2026'!E5:E500,"&lt;&gt;",'Nov 2026'!D5:D500)-SUMIF('Nov 2026'!E5:E500,"&lt;&gt;",'Nov 2026'!F5:F500)-'Nov 2026'!T5</f>
        <v/>
      </c>
      <c r="M5" s="108">
        <f>SUMIF('Dez 2026'!E5:E500,"&lt;&gt;",'Dez 2026'!D5:D500)-SUMIF('Dez 2026'!E5:E500,"&lt;&gt;",'Dez 2026'!F5:F500)-'Dez 2026'!T5</f>
        <v/>
      </c>
      <c r="N5" s="108">
        <f>SUM(B5:M5)</f>
        <v/>
      </c>
      <c r="O5" s="108">
        <f>IF($B$3=0,0,N5/$B$3)</f>
        <v/>
      </c>
    </row>
    <row r="6">
      <c r="A6" s="109" t="inlineStr">
        <is>
          <t xml:space="preserve">   (−) Fornecedores / Mercadoria</t>
        </is>
      </c>
      <c r="B6" s="110">
        <f>'Jan 2026'!J5</f>
        <v/>
      </c>
      <c r="C6" s="110">
        <f>'Fev 2026'!J5</f>
        <v/>
      </c>
      <c r="D6" s="110">
        <f>'Mar 2026'!J5</f>
        <v/>
      </c>
      <c r="E6" s="110">
        <f>'Abr 2026'!J5</f>
        <v/>
      </c>
      <c r="F6" s="110">
        <f>'Mai 2026'!J5</f>
        <v/>
      </c>
      <c r="G6" s="110">
        <f>'Jun 2026'!J5</f>
        <v/>
      </c>
      <c r="H6" s="110">
        <f>'Jul 2026'!J5</f>
        <v/>
      </c>
      <c r="I6" s="110">
        <f>'Ago 2026'!L5</f>
        <v/>
      </c>
      <c r="J6" s="110">
        <f>'Set 2026'!L5</f>
        <v/>
      </c>
      <c r="K6" s="110">
        <f>'Out 2026'!L5</f>
        <v/>
      </c>
      <c r="L6" s="110">
        <f>'Nov 2026'!L5</f>
        <v/>
      </c>
      <c r="M6" s="110">
        <f>'Dez 2026'!L5</f>
        <v/>
      </c>
      <c r="N6" s="110">
        <f>SUM(B6:M6)</f>
        <v/>
      </c>
      <c r="O6" s="110">
        <f>IF($B$3=0,0,N6/$B$3)</f>
        <v/>
      </c>
    </row>
    <row r="7">
      <c r="A7" s="109" t="inlineStr">
        <is>
          <t xml:space="preserve">   (−) Impostos e Taxas</t>
        </is>
      </c>
      <c r="B7" s="110">
        <f>'Jan 2026'!J8</f>
        <v/>
      </c>
      <c r="C7" s="110">
        <f>'Fev 2026'!J8</f>
        <v/>
      </c>
      <c r="D7" s="110">
        <f>'Mar 2026'!J8</f>
        <v/>
      </c>
      <c r="E7" s="110">
        <f>'Abr 2026'!J8</f>
        <v/>
      </c>
      <c r="F7" s="110">
        <f>'Mai 2026'!J8</f>
        <v/>
      </c>
      <c r="G7" s="110">
        <f>'Jun 2026'!J8</f>
        <v/>
      </c>
      <c r="H7" s="110">
        <f>'Jul 2026'!J8</f>
        <v/>
      </c>
      <c r="I7" s="110">
        <f>'Ago 2026'!L8</f>
        <v/>
      </c>
      <c r="J7" s="110">
        <f>'Set 2026'!L8</f>
        <v/>
      </c>
      <c r="K7" s="110">
        <f>'Out 2026'!L8</f>
        <v/>
      </c>
      <c r="L7" s="110">
        <f>'Nov 2026'!L8</f>
        <v/>
      </c>
      <c r="M7" s="110">
        <f>'Dez 2026'!L8</f>
        <v/>
      </c>
      <c r="N7" s="110">
        <f>SUM(B7:M7)</f>
        <v/>
      </c>
      <c r="O7" s="110">
        <f>IF($B$3=0,0,N7/$B$3)</f>
        <v/>
      </c>
    </row>
    <row r="8">
      <c r="A8" s="109" t="inlineStr">
        <is>
          <t xml:space="preserve">   (−) Transporte e Entregas (frete, gasolina, moto táxi)</t>
        </is>
      </c>
      <c r="B8" s="110">
        <f>'Jan 2026'!J10-B20</f>
        <v/>
      </c>
      <c r="C8" s="110">
        <f>'Fev 2026'!J10-C20</f>
        <v/>
      </c>
      <c r="D8" s="110">
        <f>'Mar 2026'!J10-D20</f>
        <v/>
      </c>
      <c r="E8" s="110">
        <f>'Abr 2026'!J10-E20</f>
        <v/>
      </c>
      <c r="F8" s="110">
        <f>'Mai 2026'!J10-F20</f>
        <v/>
      </c>
      <c r="G8" s="110">
        <f>'Jun 2026'!J10-G20</f>
        <v/>
      </c>
      <c r="H8" s="110">
        <f>'Jul 2026'!J10-H20</f>
        <v/>
      </c>
      <c r="I8" s="110">
        <f>'Ago 2026'!L10-I20</f>
        <v/>
      </c>
      <c r="J8" s="110">
        <f>'Set 2026'!L10-J20</f>
        <v/>
      </c>
      <c r="K8" s="110">
        <f>'Out 2026'!L10-K20</f>
        <v/>
      </c>
      <c r="L8" s="110">
        <f>'Nov 2026'!L10-L20</f>
        <v/>
      </c>
      <c r="M8" s="110">
        <f>'Dez 2026'!L10-M20</f>
        <v/>
      </c>
      <c r="N8" s="110">
        <f>SUM(B8:M8)</f>
        <v/>
      </c>
      <c r="O8" s="110">
        <f>IF($B$3=0,0,N8/$B$3)</f>
        <v/>
      </c>
    </row>
    <row r="9">
      <c r="A9" s="111" t="inlineStr">
        <is>
          <t>(=) CUSTOS VARIÁVEIS</t>
        </is>
      </c>
      <c r="B9" s="112">
        <f>SUM(B6:B8)</f>
        <v/>
      </c>
      <c r="C9" s="112">
        <f>SUM(C6:C8)</f>
        <v/>
      </c>
      <c r="D9" s="112">
        <f>SUM(D6:D8)</f>
        <v/>
      </c>
      <c r="E9" s="112">
        <f>SUM(E6:E8)</f>
        <v/>
      </c>
      <c r="F9" s="112">
        <f>SUM(F6:F8)</f>
        <v/>
      </c>
      <c r="G9" s="112">
        <f>SUM(G6:G8)</f>
        <v/>
      </c>
      <c r="H9" s="112">
        <f>SUM(H6:H8)</f>
        <v/>
      </c>
      <c r="I9" s="112">
        <f>SUM(I6:I8)</f>
        <v/>
      </c>
      <c r="J9" s="112">
        <f>SUM(J6:J8)</f>
        <v/>
      </c>
      <c r="K9" s="112">
        <f>SUM(K6:K8)</f>
        <v/>
      </c>
      <c r="L9" s="112">
        <f>SUM(L6:L8)</f>
        <v/>
      </c>
      <c r="M9" s="112">
        <f>SUM(M6:M8)</f>
        <v/>
      </c>
      <c r="N9" s="112">
        <f>SUM(B9:M9)</f>
        <v/>
      </c>
      <c r="O9" s="112">
        <f>IF($B$3=0,0,N9/$B$3)</f>
        <v/>
      </c>
    </row>
    <row r="10">
      <c r="A10" s="107" t="inlineStr">
        <is>
          <t>(=) MARGEM DE CONTRIBUIÇÃO</t>
        </is>
      </c>
      <c r="B10" s="108">
        <f>B5-B9</f>
        <v/>
      </c>
      <c r="C10" s="108">
        <f>C5-C9</f>
        <v/>
      </c>
      <c r="D10" s="108">
        <f>D5-D9</f>
        <v/>
      </c>
      <c r="E10" s="108">
        <f>E5-E9</f>
        <v/>
      </c>
      <c r="F10" s="108">
        <f>F5-F9</f>
        <v/>
      </c>
      <c r="G10" s="108">
        <f>G5-G9</f>
        <v/>
      </c>
      <c r="H10" s="108">
        <f>H5-H9</f>
        <v/>
      </c>
      <c r="I10" s="108">
        <f>I5-I9</f>
        <v/>
      </c>
      <c r="J10" s="108">
        <f>J5-J9</f>
        <v/>
      </c>
      <c r="K10" s="108">
        <f>K5-K9</f>
        <v/>
      </c>
      <c r="L10" s="108">
        <f>L5-L9</f>
        <v/>
      </c>
      <c r="M10" s="108">
        <f>M5-M9</f>
        <v/>
      </c>
      <c r="N10" s="108">
        <f>SUM(B10:M10)</f>
        <v/>
      </c>
      <c r="O10" s="108">
        <f>IF($B$3=0,0,N10/$B$3)</f>
        <v/>
      </c>
    </row>
    <row r="11">
      <c r="A11" s="113" t="inlineStr">
        <is>
          <t xml:space="preserve">      Margem de Contribuição (%)</t>
        </is>
      </c>
      <c r="B11" s="114">
        <f>IF(B5=0,"",B10/B5)</f>
        <v/>
      </c>
      <c r="C11" s="114">
        <f>IF(C5=0,"",C10/C5)</f>
        <v/>
      </c>
      <c r="D11" s="114">
        <f>IF(D5=0,"",D10/D5)</f>
        <v/>
      </c>
      <c r="E11" s="114">
        <f>IF(E5=0,"",E10/E5)</f>
        <v/>
      </c>
      <c r="F11" s="114">
        <f>IF(F5=0,"",F10/F5)</f>
        <v/>
      </c>
      <c r="G11" s="114">
        <f>IF(G5=0,"",G10/G5)</f>
        <v/>
      </c>
      <c r="H11" s="114">
        <f>IF(H5=0,"",H10/H5)</f>
        <v/>
      </c>
      <c r="I11" s="114">
        <f>IF(I5=0,"",I10/I5)</f>
        <v/>
      </c>
      <c r="J11" s="114">
        <f>IF(J5=0,"",J10/J5)</f>
        <v/>
      </c>
      <c r="K11" s="114">
        <f>IF(K5=0,"",K10/K5)</f>
        <v/>
      </c>
      <c r="L11" s="114">
        <f>IF(L5=0,"",L10/L5)</f>
        <v/>
      </c>
      <c r="M11" s="114">
        <f>IF(M5=0,"",M10/M5)</f>
        <v/>
      </c>
      <c r="N11" s="114">
        <f>IF(N5=0,"",N10/N5)</f>
        <v/>
      </c>
      <c r="O11" s="114">
        <f>IF(N5=0,"",N10/N5)</f>
        <v/>
      </c>
    </row>
    <row r="12">
      <c r="A12" s="109" t="inlineStr">
        <is>
          <t xml:space="preserve">   (−) Aluguel</t>
        </is>
      </c>
      <c r="B12" s="110">
        <f>'Jan 2026'!J6</f>
        <v/>
      </c>
      <c r="C12" s="110">
        <f>'Fev 2026'!J6</f>
        <v/>
      </c>
      <c r="D12" s="110">
        <f>'Mar 2026'!J6</f>
        <v/>
      </c>
      <c r="E12" s="110">
        <f>'Abr 2026'!J6</f>
        <v/>
      </c>
      <c r="F12" s="110">
        <f>'Mai 2026'!J6</f>
        <v/>
      </c>
      <c r="G12" s="110">
        <f>'Jun 2026'!J6</f>
        <v/>
      </c>
      <c r="H12" s="110">
        <f>'Jul 2026'!J6</f>
        <v/>
      </c>
      <c r="I12" s="110">
        <f>'Ago 2026'!L6</f>
        <v/>
      </c>
      <c r="J12" s="110">
        <f>'Set 2026'!L6</f>
        <v/>
      </c>
      <c r="K12" s="110">
        <f>'Out 2026'!L6</f>
        <v/>
      </c>
      <c r="L12" s="110">
        <f>'Nov 2026'!L6</f>
        <v/>
      </c>
      <c r="M12" s="110">
        <f>'Dez 2026'!L6</f>
        <v/>
      </c>
      <c r="N12" s="110">
        <f>SUM(B12:M12)</f>
        <v/>
      </c>
      <c r="O12" s="110">
        <f>IF($B$3=0,0,N12/$B$3)</f>
        <v/>
      </c>
    </row>
    <row r="13">
      <c r="A13" s="109" t="inlineStr">
        <is>
          <t xml:space="preserve">   (−) Água, Energia e Internet</t>
        </is>
      </c>
      <c r="B13" s="110">
        <f>'Jan 2026'!J7</f>
        <v/>
      </c>
      <c r="C13" s="110">
        <f>'Fev 2026'!J7</f>
        <v/>
      </c>
      <c r="D13" s="110">
        <f>'Mar 2026'!J7</f>
        <v/>
      </c>
      <c r="E13" s="110">
        <f>'Abr 2026'!J7</f>
        <v/>
      </c>
      <c r="F13" s="110">
        <f>'Mai 2026'!J7</f>
        <v/>
      </c>
      <c r="G13" s="110">
        <f>'Jun 2026'!J7</f>
        <v/>
      </c>
      <c r="H13" s="110">
        <f>'Jul 2026'!J7</f>
        <v/>
      </c>
      <c r="I13" s="110">
        <f>'Ago 2026'!L7</f>
        <v/>
      </c>
      <c r="J13" s="110">
        <f>'Set 2026'!L7</f>
        <v/>
      </c>
      <c r="K13" s="110">
        <f>'Out 2026'!L7</f>
        <v/>
      </c>
      <c r="L13" s="110">
        <f>'Nov 2026'!L7</f>
        <v/>
      </c>
      <c r="M13" s="110">
        <f>'Dez 2026'!L7</f>
        <v/>
      </c>
      <c r="N13" s="110">
        <f>SUM(B13:M13)</f>
        <v/>
      </c>
      <c r="O13" s="110">
        <f>IF($B$3=0,0,N13/$B$3)</f>
        <v/>
      </c>
    </row>
    <row r="14">
      <c r="A14" s="109" t="inlineStr">
        <is>
          <t xml:space="preserve">   (−) Tarifas Bancárias e Cartão</t>
        </is>
      </c>
      <c r="B14" s="110">
        <f>'Jan 2026'!J9</f>
        <v/>
      </c>
      <c r="C14" s="110">
        <f>'Fev 2026'!J9</f>
        <v/>
      </c>
      <c r="D14" s="110">
        <f>'Mar 2026'!J9</f>
        <v/>
      </c>
      <c r="E14" s="110">
        <f>'Abr 2026'!J9</f>
        <v/>
      </c>
      <c r="F14" s="110">
        <f>'Mai 2026'!J9</f>
        <v/>
      </c>
      <c r="G14" s="110">
        <f>'Jun 2026'!J9</f>
        <v/>
      </c>
      <c r="H14" s="110">
        <f>'Jul 2026'!J9</f>
        <v/>
      </c>
      <c r="I14" s="110">
        <f>'Ago 2026'!L9</f>
        <v/>
      </c>
      <c r="J14" s="110">
        <f>'Set 2026'!L9</f>
        <v/>
      </c>
      <c r="K14" s="110">
        <f>'Out 2026'!L9</f>
        <v/>
      </c>
      <c r="L14" s="110">
        <f>'Nov 2026'!L9</f>
        <v/>
      </c>
      <c r="M14" s="110">
        <f>'Dez 2026'!L9</f>
        <v/>
      </c>
      <c r="N14" s="110">
        <f>SUM(B14:M14)</f>
        <v/>
      </c>
      <c r="O14" s="110">
        <f>IF($B$3=0,0,N14/$B$3)</f>
        <v/>
      </c>
    </row>
    <row r="15">
      <c r="A15" s="109" t="inlineStr">
        <is>
          <t xml:space="preserve">   (−) Salários, Comissões e Encargos</t>
        </is>
      </c>
      <c r="B15" s="110">
        <f>'Jan 2026'!J11</f>
        <v/>
      </c>
      <c r="C15" s="110">
        <f>'Fev 2026'!J11</f>
        <v/>
      </c>
      <c r="D15" s="110">
        <f>'Mar 2026'!J11</f>
        <v/>
      </c>
      <c r="E15" s="110">
        <f>'Abr 2026'!J11</f>
        <v/>
      </c>
      <c r="F15" s="110">
        <f>'Mai 2026'!J11</f>
        <v/>
      </c>
      <c r="G15" s="110">
        <f>'Jun 2026'!J11</f>
        <v/>
      </c>
      <c r="H15" s="110">
        <f>'Jul 2026'!J11</f>
        <v/>
      </c>
      <c r="I15" s="110">
        <f>'Ago 2026'!L11</f>
        <v/>
      </c>
      <c r="J15" s="110">
        <f>'Set 2026'!L11</f>
        <v/>
      </c>
      <c r="K15" s="110">
        <f>'Out 2026'!L11</f>
        <v/>
      </c>
      <c r="L15" s="110">
        <f>'Nov 2026'!L11</f>
        <v/>
      </c>
      <c r="M15" s="110">
        <f>'Dez 2026'!L11</f>
        <v/>
      </c>
      <c r="N15" s="110">
        <f>SUM(B15:M15)</f>
        <v/>
      </c>
      <c r="O15" s="110">
        <f>IF($B$3=0,0,N15/$B$3)</f>
        <v/>
      </c>
    </row>
    <row r="16">
      <c r="A16" s="109" t="inlineStr">
        <is>
          <t xml:space="preserve">   (−) Contabilidade</t>
        </is>
      </c>
      <c r="B16" s="110">
        <f>'Jan 2026'!J12</f>
        <v/>
      </c>
      <c r="C16" s="110">
        <f>'Fev 2026'!J12</f>
        <v/>
      </c>
      <c r="D16" s="110">
        <f>'Mar 2026'!J12</f>
        <v/>
      </c>
      <c r="E16" s="110">
        <f>'Abr 2026'!J12</f>
        <v/>
      </c>
      <c r="F16" s="110">
        <f>'Mai 2026'!J12</f>
        <v/>
      </c>
      <c r="G16" s="110">
        <f>'Jun 2026'!J12</f>
        <v/>
      </c>
      <c r="H16" s="110">
        <f>'Jul 2026'!J12</f>
        <v/>
      </c>
      <c r="I16" s="110">
        <f>'Ago 2026'!L12</f>
        <v/>
      </c>
      <c r="J16" s="110">
        <f>'Set 2026'!L12</f>
        <v/>
      </c>
      <c r="K16" s="110">
        <f>'Out 2026'!L12</f>
        <v/>
      </c>
      <c r="L16" s="110">
        <f>'Nov 2026'!L12</f>
        <v/>
      </c>
      <c r="M16" s="110">
        <f>'Dez 2026'!L12</f>
        <v/>
      </c>
      <c r="N16" s="110">
        <f>SUM(B16:M16)</f>
        <v/>
      </c>
      <c r="O16" s="110">
        <f>IF($B$3=0,0,N16/$B$3)</f>
        <v/>
      </c>
    </row>
    <row r="17">
      <c r="A17" s="109" t="inlineStr">
        <is>
          <t xml:space="preserve">   (−) Manutenção e Reparos</t>
        </is>
      </c>
      <c r="B17" s="110">
        <f>'Jan 2026'!J13</f>
        <v/>
      </c>
      <c r="C17" s="110">
        <f>'Fev 2026'!J13</f>
        <v/>
      </c>
      <c r="D17" s="110">
        <f>'Mar 2026'!J13</f>
        <v/>
      </c>
      <c r="E17" s="110">
        <f>'Abr 2026'!J13</f>
        <v/>
      </c>
      <c r="F17" s="110">
        <f>'Mai 2026'!J13</f>
        <v/>
      </c>
      <c r="G17" s="110">
        <f>'Jun 2026'!J13</f>
        <v/>
      </c>
      <c r="H17" s="110">
        <f>'Jul 2026'!J13</f>
        <v/>
      </c>
      <c r="I17" s="110">
        <f>'Ago 2026'!L13</f>
        <v/>
      </c>
      <c r="J17" s="110">
        <f>'Set 2026'!L13</f>
        <v/>
      </c>
      <c r="K17" s="110">
        <f>'Out 2026'!L13</f>
        <v/>
      </c>
      <c r="L17" s="110">
        <f>'Nov 2026'!L13</f>
        <v/>
      </c>
      <c r="M17" s="110">
        <f>'Dez 2026'!L13</f>
        <v/>
      </c>
      <c r="N17" s="110">
        <f>SUM(B17:M17)</f>
        <v/>
      </c>
      <c r="O17" s="110">
        <f>IF($B$3=0,0,N17/$B$3)</f>
        <v/>
      </c>
    </row>
    <row r="18">
      <c r="A18" s="109" t="inlineStr">
        <is>
          <t xml:space="preserve">   (−) Material de Limpeza e Escritório</t>
        </is>
      </c>
      <c r="B18" s="110">
        <f>'Jan 2026'!J14</f>
        <v/>
      </c>
      <c r="C18" s="110">
        <f>'Fev 2026'!J14</f>
        <v/>
      </c>
      <c r="D18" s="110">
        <f>'Mar 2026'!J14</f>
        <v/>
      </c>
      <c r="E18" s="110">
        <f>'Abr 2026'!J14</f>
        <v/>
      </c>
      <c r="F18" s="110">
        <f>'Mai 2026'!J14</f>
        <v/>
      </c>
      <c r="G18" s="110">
        <f>'Jun 2026'!J14</f>
        <v/>
      </c>
      <c r="H18" s="110">
        <f>'Jul 2026'!J14</f>
        <v/>
      </c>
      <c r="I18" s="110">
        <f>'Ago 2026'!L14</f>
        <v/>
      </c>
      <c r="J18" s="110">
        <f>'Set 2026'!L14</f>
        <v/>
      </c>
      <c r="K18" s="110">
        <f>'Out 2026'!L14</f>
        <v/>
      </c>
      <c r="L18" s="110">
        <f>'Nov 2026'!L14</f>
        <v/>
      </c>
      <c r="M18" s="110">
        <f>'Dez 2026'!L14</f>
        <v/>
      </c>
      <c r="N18" s="110">
        <f>SUM(B18:M18)</f>
        <v/>
      </c>
      <c r="O18" s="110">
        <f>IF($B$3=0,0,N18/$B$3)</f>
        <v/>
      </c>
    </row>
    <row r="19">
      <c r="A19" s="109" t="inlineStr">
        <is>
          <t xml:space="preserve">   (−) Estornos de Vendas (Cancelamentos)</t>
        </is>
      </c>
      <c r="B19" s="110">
        <f>'Jan 2026'!J15</f>
        <v/>
      </c>
      <c r="C19" s="110">
        <f>'Fev 2026'!J15</f>
        <v/>
      </c>
      <c r="D19" s="110">
        <f>'Mar 2026'!J15</f>
        <v/>
      </c>
      <c r="E19" s="110">
        <f>'Abr 2026'!J15</f>
        <v/>
      </c>
      <c r="F19" s="110">
        <f>'Mai 2026'!J15</f>
        <v/>
      </c>
      <c r="G19" s="110">
        <f>'Jun 2026'!J15</f>
        <v/>
      </c>
      <c r="H19" s="110">
        <f>'Jul 2026'!J15</f>
        <v/>
      </c>
      <c r="I19" s="110">
        <f>'Ago 2026'!L15</f>
        <v/>
      </c>
      <c r="J19" s="110">
        <f>'Set 2026'!L15</f>
        <v/>
      </c>
      <c r="K19" s="110">
        <f>'Out 2026'!L15</f>
        <v/>
      </c>
      <c r="L19" s="110">
        <f>'Nov 2026'!L15</f>
        <v/>
      </c>
      <c r="M19" s="110">
        <f>'Dez 2026'!L15</f>
        <v/>
      </c>
      <c r="N19" s="110">
        <f>SUM(B19:M19)</f>
        <v/>
      </c>
      <c r="O19" s="110">
        <f>IF($B$3=0,0,N19/$B$3)</f>
        <v/>
      </c>
    </row>
    <row r="20">
      <c r="A20" s="109" t="inlineStr">
        <is>
          <t xml:space="preserve">   (−) Estacionamento (dentro de Transporte e Entregas)</t>
        </is>
      </c>
      <c r="B20" s="110">
        <f>SUMIF('Jan 2026'!B5:B500,"Estacionamento*",'Jan 2026'!E5:E500)</f>
        <v/>
      </c>
      <c r="C20" s="110">
        <f>SUMIF('Fev 2026'!B5:B500,"Estacionamento*",'Fev 2026'!E5:E500)</f>
        <v/>
      </c>
      <c r="D20" s="110">
        <f>SUMIF('Mar 2026'!B5:B500,"Estacionamento*",'Mar 2026'!E5:E500)</f>
        <v/>
      </c>
      <c r="E20" s="110">
        <f>SUMIF('Abr 2026'!B5:B500,"Estacionamento*",'Abr 2026'!E5:E500)</f>
        <v/>
      </c>
      <c r="F20" s="110">
        <f>SUMIF('Mai 2026'!B5:B500,"Estacionamento*",'Mai 2026'!E5:E500)</f>
        <v/>
      </c>
      <c r="G20" s="110">
        <f>SUMIF('Jun 2026'!B5:B500,"Estacionamento*",'Jun 2026'!E5:E500)</f>
        <v/>
      </c>
      <c r="H20" s="110">
        <f>SUMIF('Jul 2026'!B5:B500,"Estacionamento*",'Jul 2026'!E5:E500)</f>
        <v/>
      </c>
      <c r="I20" s="110">
        <f>SUMIF('Ago 2026'!B5:B500,"Estacionamento*",'Ago 2026'!G5:G500)</f>
        <v/>
      </c>
      <c r="J20" s="110">
        <f>SUMIF('Set 2026'!B5:B500,"Estacionamento*",'Set 2026'!G5:G500)</f>
        <v/>
      </c>
      <c r="K20" s="110">
        <f>SUMIF('Out 2026'!B5:B500,"Estacionamento*",'Out 2026'!G5:G500)</f>
        <v/>
      </c>
      <c r="L20" s="110">
        <f>SUMIF('Nov 2026'!B5:B500,"Estacionamento*",'Nov 2026'!G5:G500)</f>
        <v/>
      </c>
      <c r="M20" s="110">
        <f>SUMIF('Dez 2026'!B5:B500,"Estacionamento*",'Dez 2026'!G5:G500)</f>
        <v/>
      </c>
      <c r="N20" s="110">
        <f>SUM(B20:M20)</f>
        <v/>
      </c>
      <c r="O20" s="110">
        <f>IF($B$3=0,0,N20/$B$3)</f>
        <v/>
      </c>
    </row>
    <row r="21">
      <c r="A21" s="109" t="inlineStr">
        <is>
          <t xml:space="preserve">   (−) Outras Despesas</t>
        </is>
      </c>
      <c r="B21" s="110">
        <f>'Jan 2026'!J16</f>
        <v/>
      </c>
      <c r="C21" s="110">
        <f>'Fev 2026'!J16</f>
        <v/>
      </c>
      <c r="D21" s="110">
        <f>'Mar 2026'!J16</f>
        <v/>
      </c>
      <c r="E21" s="110">
        <f>'Abr 2026'!J16</f>
        <v/>
      </c>
      <c r="F21" s="110">
        <f>'Mai 2026'!J16</f>
        <v/>
      </c>
      <c r="G21" s="110">
        <f>'Jun 2026'!J16</f>
        <v/>
      </c>
      <c r="H21" s="110">
        <f>'Jul 2026'!J16</f>
        <v/>
      </c>
      <c r="I21" s="110">
        <f>'Ago 2026'!L16</f>
        <v/>
      </c>
      <c r="J21" s="110">
        <f>'Set 2026'!L16</f>
        <v/>
      </c>
      <c r="K21" s="110">
        <f>'Out 2026'!L16</f>
        <v/>
      </c>
      <c r="L21" s="110">
        <f>'Nov 2026'!L16</f>
        <v/>
      </c>
      <c r="M21" s="110">
        <f>'Dez 2026'!L16</f>
        <v/>
      </c>
      <c r="N21" s="110">
        <f>SUM(B21:M21)</f>
        <v/>
      </c>
      <c r="O21" s="110">
        <f>IF($B$3=0,0,N21/$B$3)</f>
        <v/>
      </c>
    </row>
    <row r="22">
      <c r="A22" s="111" t="inlineStr">
        <is>
          <t>(=) CUSTOS FIXOS</t>
        </is>
      </c>
      <c r="B22" s="112">
        <f>SUM(B12:B21)</f>
        <v/>
      </c>
      <c r="C22" s="112">
        <f>SUM(C12:C21)</f>
        <v/>
      </c>
      <c r="D22" s="112">
        <f>SUM(D12:D21)</f>
        <v/>
      </c>
      <c r="E22" s="112">
        <f>SUM(E12:E21)</f>
        <v/>
      </c>
      <c r="F22" s="112">
        <f>SUM(F12:F21)</f>
        <v/>
      </c>
      <c r="G22" s="112">
        <f>SUM(G12:G21)</f>
        <v/>
      </c>
      <c r="H22" s="112">
        <f>SUM(H12:H21)</f>
        <v/>
      </c>
      <c r="I22" s="112">
        <f>SUM(I12:I21)</f>
        <v/>
      </c>
      <c r="J22" s="112">
        <f>SUM(J12:J21)</f>
        <v/>
      </c>
      <c r="K22" s="112">
        <f>SUM(K12:K21)</f>
        <v/>
      </c>
      <c r="L22" s="112">
        <f>SUM(L12:L21)</f>
        <v/>
      </c>
      <c r="M22" s="112">
        <f>SUM(M12:M21)</f>
        <v/>
      </c>
      <c r="N22" s="112">
        <f>SUM(B22:M22)</f>
        <v/>
      </c>
      <c r="O22" s="112">
        <f>IF($B$3=0,0,N22/$B$3)</f>
        <v/>
      </c>
    </row>
    <row r="23" ht="15.75" customHeight="1" s="158">
      <c r="A23" s="115" t="inlineStr">
        <is>
          <t>(=) RESULTADO DO MÊS</t>
        </is>
      </c>
      <c r="B23" s="116">
        <f>B10-B22</f>
        <v/>
      </c>
      <c r="C23" s="116">
        <f>C10-C22</f>
        <v/>
      </c>
      <c r="D23" s="116">
        <f>D10-D22</f>
        <v/>
      </c>
      <c r="E23" s="116">
        <f>E10-E22</f>
        <v/>
      </c>
      <c r="F23" s="116">
        <f>F10-F22</f>
        <v/>
      </c>
      <c r="G23" s="116">
        <f>G10-G22</f>
        <v/>
      </c>
      <c r="H23" s="116">
        <f>H10-H22</f>
        <v/>
      </c>
      <c r="I23" s="116">
        <f>I10-I22</f>
        <v/>
      </c>
      <c r="J23" s="116">
        <f>J10-J22</f>
        <v/>
      </c>
      <c r="K23" s="116">
        <f>K10-K22</f>
        <v/>
      </c>
      <c r="L23" s="116">
        <f>L10-L22</f>
        <v/>
      </c>
      <c r="M23" s="116">
        <f>M10-M22</f>
        <v/>
      </c>
      <c r="N23" s="116">
        <f>SUM(B23:M23)</f>
        <v/>
      </c>
      <c r="O23" s="116">
        <f>IF($B$3=0,0,N23/$B$3)</f>
        <v/>
      </c>
    </row>
    <row r="24">
      <c r="A24" s="113" t="inlineStr">
        <is>
          <t xml:space="preserve">      Margem Líquida (%)</t>
        </is>
      </c>
      <c r="B24" s="114">
        <f>IF(B5=0,"",B23/B5)</f>
        <v/>
      </c>
      <c r="C24" s="114">
        <f>IF(C5=0,"",C23/C5)</f>
        <v/>
      </c>
      <c r="D24" s="114">
        <f>IF(D5=0,"",D23/D5)</f>
        <v/>
      </c>
      <c r="E24" s="114">
        <f>IF(E5=0,"",E23/E5)</f>
        <v/>
      </c>
      <c r="F24" s="114">
        <f>IF(F5=0,"",F23/F5)</f>
        <v/>
      </c>
      <c r="G24" s="114">
        <f>IF(G5=0,"",G23/G5)</f>
        <v/>
      </c>
      <c r="H24" s="114">
        <f>IF(H5=0,"",H23/H5)</f>
        <v/>
      </c>
      <c r="I24" s="114">
        <f>IF(I5=0,"",I23/I5)</f>
        <v/>
      </c>
      <c r="J24" s="114">
        <f>IF(J5=0,"",J23/J5)</f>
        <v/>
      </c>
      <c r="K24" s="114">
        <f>IF(K5=0,"",K23/K5)</f>
        <v/>
      </c>
      <c r="L24" s="114">
        <f>IF(L5=0,"",L23/L5)</f>
        <v/>
      </c>
      <c r="M24" s="114">
        <f>IF(M5=0,"",M23/M5)</f>
        <v/>
      </c>
      <c r="N24" s="114">
        <f>IF(N5=0,"",N23/N5)</f>
        <v/>
      </c>
      <c r="O24" s="114">
        <f>IF(N5=0,"",N23/N5)</f>
        <v/>
      </c>
    </row>
    <row r="26">
      <c r="A26" s="117" t="inlineStr">
        <is>
          <t>MEMÓRIA (não entram no resultado da loja)</t>
        </is>
      </c>
      <c r="B26" s="118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</row>
    <row r="27">
      <c r="A27" s="119" t="inlineStr">
        <is>
          <t xml:space="preserve">   Pro Labore Edilânia (retirada dos sócios / despesas pessoais)</t>
        </is>
      </c>
      <c r="B27" s="120">
        <f>'Jan 2026'!J17</f>
        <v/>
      </c>
      <c r="C27" s="120">
        <f>'Fev 2026'!J17</f>
        <v/>
      </c>
      <c r="D27" s="120">
        <f>'Mar 2026'!J17</f>
        <v/>
      </c>
      <c r="E27" s="120">
        <f>'Abr 2026'!J17</f>
        <v/>
      </c>
      <c r="F27" s="120">
        <f>'Mai 2026'!J17</f>
        <v/>
      </c>
      <c r="G27" s="120">
        <f>'Jun 2026'!J17</f>
        <v/>
      </c>
      <c r="H27" s="120">
        <f>'Jul 2026'!J17</f>
        <v/>
      </c>
      <c r="I27" s="120">
        <f>'Ago 2026'!L17</f>
        <v/>
      </c>
      <c r="J27" s="120">
        <f>'Set 2026'!L17</f>
        <v/>
      </c>
      <c r="K27" s="120">
        <f>'Out 2026'!L17</f>
        <v/>
      </c>
      <c r="L27" s="120">
        <f>'Nov 2026'!L17</f>
        <v/>
      </c>
      <c r="M27" s="120">
        <f>'Dez 2026'!L17</f>
        <v/>
      </c>
      <c r="N27" s="120">
        <f>SUM(B27:M27)</f>
        <v/>
      </c>
      <c r="O27" s="120">
        <f>IF($B$3=0,0,N27/$B$3)</f>
        <v/>
      </c>
    </row>
    <row r="28">
      <c r="A28" s="119" t="inlineStr">
        <is>
          <t xml:space="preserve">   Despesas da loja pagas com Capital de Giro (BB) — dívida a devolver</t>
        </is>
      </c>
      <c r="B28" s="120" t="n"/>
      <c r="C28" s="120" t="n"/>
      <c r="D28" s="120" t="n"/>
      <c r="E28" s="120" t="n"/>
      <c r="F28" s="120" t="n"/>
      <c r="G28" s="120" t="n"/>
      <c r="H28" s="120" t="n"/>
      <c r="I28" s="120">
        <f>'Ago 2026'!L19</f>
        <v/>
      </c>
      <c r="J28" s="120">
        <f>'Set 2026'!L19</f>
        <v/>
      </c>
      <c r="K28" s="120">
        <f>'Out 2026'!L19</f>
        <v/>
      </c>
      <c r="L28" s="120">
        <f>'Nov 2026'!L19</f>
        <v/>
      </c>
      <c r="M28" s="120">
        <f>'Dez 2026'!L19</f>
        <v/>
      </c>
      <c r="N28" s="120">
        <f>SUM(B28:M28)</f>
        <v/>
      </c>
      <c r="O28" s="120">
        <f>IF($B$3=0,0,N28/$B$3)</f>
        <v/>
      </c>
    </row>
    <row r="30" ht="27.95" customHeight="1" s="158">
      <c r="A30" s="182" t="inlineStr">
        <is>
          <t>Custos Variáveis = sobem/descem com o volume vendido: mercadoria, imposto sobre faturamento (DAS) e transporte ligado ao serviço. Custos Fixos = o que a loja paga mesmo vendendo pouco (aluguel, energia, salários, contabilidade, tarifas e o estacionamento, contratado no mês).</t>
        </is>
      </c>
    </row>
    <row r="31" ht="27.95" customHeight="1" s="158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8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8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15"/>
  <sheetViews>
    <sheetView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8" min="1" max="1"/>
    <col width="40" customWidth="1" style="158" min="2" max="2"/>
    <col width="16" customWidth="1" style="158" min="3" max="4"/>
    <col width="18" customWidth="1" style="158" min="5" max="5"/>
    <col width="14" customWidth="1" style="158" min="6" max="6"/>
    <col width="42" customWidth="1" style="158" min="7" max="7"/>
  </cols>
  <sheetData>
    <row r="1" ht="23.25" customHeight="1" s="158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46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D68</f>
        <v/>
      </c>
      <c r="C5" s="203">
        <f>'Ago 2026'!T5+'Set 2026'!T5+'Out 2026'!T5+'Nov 2026'!T5+'Dez 2026'!T5</f>
        <v/>
      </c>
      <c r="E5" s="204">
        <f>C5-A5</f>
        <v/>
      </c>
    </row>
    <row r="6"/>
    <row r="7"/>
    <row r="8"/>
    <row r="9" ht="21.95" customHeight="1" s="158">
      <c r="A9" s="201" t="inlineStr">
        <is>
          <t>CONTAS A PAGAR  —  o que a loja ainda deve</t>
        </is>
      </c>
    </row>
    <row r="10" ht="26.1" customHeight="1" s="158">
      <c r="A10" s="123" t="inlineStr">
        <is>
          <t>Fornecedor / Pessoa</t>
        </is>
      </c>
      <c r="B10" s="123" t="inlineStr">
        <is>
          <t>Descrição</t>
        </is>
      </c>
      <c r="C10" s="123" t="inlineStr">
        <is>
          <t>Vencimento</t>
        </is>
      </c>
      <c r="D10" s="123" t="inlineStr">
        <is>
          <t>Valor (R$)</t>
        </is>
      </c>
      <c r="E10" s="123" t="inlineStr">
        <is>
          <t>Status</t>
        </is>
      </c>
      <c r="F10" s="123" t="inlineStr">
        <is>
          <t>Dias em Atraso</t>
        </is>
      </c>
      <c r="G10" s="123" t="inlineStr">
        <is>
          <t>Observações</t>
        </is>
      </c>
    </row>
    <row r="11">
      <c r="A11" s="90" t="inlineStr">
        <is>
          <t>Capital de Giro (BB) — saldo a devolver</t>
        </is>
      </c>
      <c r="B11" s="90" t="inlineStr">
        <is>
          <t>Empréstimo de reserva usado para pagar contas da loja em Ago/2026</t>
        </is>
      </c>
      <c r="C11" s="89" t="n"/>
      <c r="D11" s="91">
        <f>'Capital de Giro (BB)'!C5</f>
        <v/>
      </c>
      <c r="E11" s="124" t="inlineStr">
        <is>
          <t>Pago</t>
        </is>
      </c>
      <c r="F11" s="124">
        <f>IF(OR($E11="Pago",$C11=""),"",MAX(0,TODAY()-$C11))</f>
        <v/>
      </c>
      <c r="G11" s="90" t="inlineStr">
        <is>
          <t>Detalhe na aba Capital de Giro (BB). Quitado integralmente em 31/08/2026 (aporte de Adriano na reserva).</t>
        </is>
      </c>
    </row>
    <row r="12">
      <c r="A12" s="94" t="inlineStr">
        <is>
          <t>Eversoft Ind e Com de Plasticos Ltda</t>
        </is>
      </c>
      <c r="B12" s="94" t="inlineStr">
        <is>
          <t>Mercadoria — doc. 72153 (emissão 02/04/2026)</t>
        </is>
      </c>
      <c r="C12" s="93" t="n">
        <v>46264</v>
      </c>
      <c r="D12" s="95" t="n">
        <v>878.9299999999999</v>
      </c>
      <c r="E12" s="125" t="inlineStr">
        <is>
          <t>Pago</t>
        </is>
      </c>
      <c r="F12" s="125">
        <f>IF(OR($E12="Pago",$C12=""),"",MAX(0,TODAY()-$C12))</f>
        <v/>
      </c>
      <c r="G12" s="94" t="inlineStr">
        <is>
          <t>Categoria: Fornecedores / Mercadoria. Pago em 31/08/2026 — lançado em "Ago 2026" como "Eversoft" (R$ 878,93).</t>
        </is>
      </c>
    </row>
    <row r="13">
      <c r="A13" s="90" t="inlineStr">
        <is>
          <t>Empresa Baiana de Aguas e Saneamento SA (Embasa)</t>
        </is>
      </c>
      <c r="B13" s="90" t="inlineStr">
        <is>
          <t>Conta de água — despesa pessoal do dono (não é da loja)</t>
        </is>
      </c>
      <c r="C13" s="89" t="n">
        <v>46266</v>
      </c>
      <c r="D13" s="91" t="n">
        <v>50.08</v>
      </c>
      <c r="E13" s="124" t="inlineStr">
        <is>
          <t>Pago</t>
        </is>
      </c>
      <c r="F13" s="124">
        <f>IF(OR($E13="Pago",$C13=""),"",MAX(0,TODAY()-$C13))</f>
        <v/>
      </c>
      <c r="G13" s="90" t="inlineStr">
        <is>
          <t>Categoria: Pro Labore Edilânia. Pago em 01/09/2026 — lançado em Set 2026 como "Conta de Água Adriano".</t>
        </is>
      </c>
    </row>
    <row r="14">
      <c r="A14" s="94" t="inlineStr">
        <is>
          <t>Vitoria Maria F Santos</t>
        </is>
      </c>
      <c r="B14" s="94" t="inlineStr">
        <is>
          <t>Aluguel da loja — setembro/2026</t>
        </is>
      </c>
      <c r="C14" s="93" t="n">
        <v>46266</v>
      </c>
      <c r="D14" s="95" t="n">
        <v>880</v>
      </c>
      <c r="E14" s="125" t="inlineStr">
        <is>
          <t>Pago</t>
        </is>
      </c>
      <c r="F14" s="125">
        <f>IF(OR($E14="Pago",$C14=""),"",MAX(0,TODAY()-$C14))</f>
        <v/>
      </c>
      <c r="G14" s="94" t="inlineStr">
        <is>
          <t>Categoria: Aluguel. Pago em 01/09/2026 — lançado em Set 2026 como "Vitoria Maria F Santos".</t>
        </is>
      </c>
    </row>
    <row r="15">
      <c r="A15" s="90" t="inlineStr">
        <is>
          <t>Wiliam Pinto Bispo</t>
        </is>
      </c>
      <c r="B15" s="90" t="inlineStr">
        <is>
          <t>Salário + comissões</t>
        </is>
      </c>
      <c r="C15" s="89" t="n">
        <v>46266</v>
      </c>
      <c r="D15" s="91" t="n">
        <v>1571.32</v>
      </c>
      <c r="E15" s="124" t="inlineStr">
        <is>
          <t>Pago</t>
        </is>
      </c>
      <c r="F15" s="124">
        <f>IF(OR($E15="Pago",$C15=""),"",MAX(0,TODAY()-$C15))</f>
        <v/>
      </c>
      <c r="G15" s="90" t="inlineStr">
        <is>
          <t>Categoria: Salários, Comissões e Encargos. Pago em 31/08/2026 (segunda-feira) — lançado em "Ago 2026" como "Salário Wiliam".</t>
        </is>
      </c>
    </row>
    <row r="16">
      <c r="A16" s="94" t="inlineStr">
        <is>
          <t>Erick Feitosa Evangelista</t>
        </is>
      </c>
      <c r="B16" s="94" t="inlineStr">
        <is>
          <t>Salário do estagiário</t>
        </is>
      </c>
      <c r="C16" s="93" t="n">
        <v>46266</v>
      </c>
      <c r="D16" s="95" t="n">
        <v>600</v>
      </c>
      <c r="E16" s="125" t="inlineStr">
        <is>
          <t>Pago</t>
        </is>
      </c>
      <c r="F16" s="125">
        <f>IF(OR($E16="Pago",$C16=""),"",MAX(0,TODAY()-$C16))</f>
        <v/>
      </c>
      <c r="G16" s="94" t="inlineStr">
        <is>
          <t>Categoria: Salários, Comissões e Encargos. Pago em 31/08/2026 — lançado em "Ago 2026" como "Salário Erick (Estagiário)".</t>
        </is>
      </c>
    </row>
    <row r="17">
      <c r="A17" s="90" t="inlineStr">
        <is>
          <t>Filtros Planeta Agua Ind e Com Ltda</t>
        </is>
      </c>
      <c r="B17" s="90" t="inlineStr">
        <is>
          <t>Mercadoria — doc. 131997 (emissão 08/07/2026)</t>
        </is>
      </c>
      <c r="C17" s="89" t="n">
        <v>46267</v>
      </c>
      <c r="D17" s="91" t="n">
        <v>1385.85</v>
      </c>
      <c r="E17" s="124" t="inlineStr">
        <is>
          <t>Pago</t>
        </is>
      </c>
      <c r="F17" s="124">
        <f>IF(OR($E17="Pago",$C17=""),"",MAX(0,TODAY()-$C17))</f>
        <v/>
      </c>
      <c r="G17" s="90" t="inlineStr">
        <is>
          <t>Categoria: Fornecedores / Mercadoria. Pago em 02/09/2026 — lançado em "Set 2026" como "Filtros Planeta Água".</t>
        </is>
      </c>
    </row>
    <row r="18">
      <c r="A18" s="94" t="inlineStr">
        <is>
          <t>Everest Refrigeracao e Industria</t>
        </is>
      </c>
      <c r="B18" s="94" t="inlineStr">
        <is>
          <t>Mercadoria — doc. 374271 (emissão 06/04/2026)</t>
        </is>
      </c>
      <c r="C18" s="93" t="n">
        <v>46268</v>
      </c>
      <c r="D18" s="95" t="n">
        <v>706.67</v>
      </c>
      <c r="E18" s="125" t="inlineStr">
        <is>
          <t>Pago</t>
        </is>
      </c>
      <c r="F18" s="125">
        <f>IF(OR($E18="Pago",$C18=""),"",MAX(0,TODAY()-$C18))</f>
        <v/>
      </c>
      <c r="G18" s="94" t="inlineStr">
        <is>
          <t>Categoria: Fornecedores / Mercadoria. Pago em 03/09/2026 — lançado em "Set 2026" como "Everest Refrigeração".</t>
        </is>
      </c>
    </row>
    <row r="19">
      <c r="A19" s="90" t="inlineStr">
        <is>
          <t>Eversoft Ind e Com de Plasticos Ltda</t>
        </is>
      </c>
      <c r="B19" s="90" t="inlineStr">
        <is>
          <t>Mercadoria — doc. 72869 (emissão 07/05/2026)</t>
        </is>
      </c>
      <c r="C19" s="89" t="n">
        <v>46269</v>
      </c>
      <c r="D19" s="91" t="n">
        <v>980.83</v>
      </c>
      <c r="E19" s="124" t="inlineStr">
        <is>
          <t>Pago</t>
        </is>
      </c>
      <c r="F19" s="124">
        <f>IF(OR($E19="Pago",$C19=""),"",MAX(0,TODAY()-$C19))</f>
        <v/>
      </c>
      <c r="G19" s="90" t="inlineStr">
        <is>
          <t>Categoria: Fornecedores / Mercadoria. Pago em 03/09/2026 — lançado em "Set 2026" como "Eversoft" (R$ 980,83).</t>
        </is>
      </c>
    </row>
    <row r="20">
      <c r="A20" s="94" t="inlineStr">
        <is>
          <t>Neoenergia Coelba</t>
        </is>
      </c>
      <c r="B20" s="94" t="inlineStr">
        <is>
          <t>Energia elétrica da loja — REF 08/2026 (fatura em nome de Vitória Maria / Planeta Água)</t>
        </is>
      </c>
      <c r="C20" s="93" t="n">
        <v>46273</v>
      </c>
      <c r="D20" s="95" t="n">
        <v>150.06</v>
      </c>
      <c r="E20" s="125" t="inlineStr">
        <is>
          <t>Pago</t>
        </is>
      </c>
      <c r="F20" s="125">
        <f>IF(OR($E20="Pago",$C20=""),"",MAX(0,TODAY()-$C20))</f>
        <v/>
      </c>
      <c r="G20" s="94" t="inlineStr">
        <is>
          <t>Categoria: Água, Energia e Internet. Pago em 08/09/2026 — lançado em Set 2026 como "Conta de Energia Loja".</t>
        </is>
      </c>
    </row>
    <row r="21">
      <c r="A21" s="90" t="inlineStr">
        <is>
          <t>Eversoft Ind e Com de Plasticos Ltda</t>
        </is>
      </c>
      <c r="B21" s="90" t="inlineStr">
        <is>
          <t>Mercadoria — doc. 73636 (emissão 10/06/2026)</t>
        </is>
      </c>
      <c r="C21" s="89" t="n">
        <v>46273</v>
      </c>
      <c r="D21" s="91" t="n">
        <v>878.92</v>
      </c>
      <c r="E21" s="124" t="inlineStr">
        <is>
          <t>Pago</t>
        </is>
      </c>
      <c r="F21" s="124">
        <f>IF(OR($E21="Pago",$C21=""),"",MAX(0,TODAY()-$C21))</f>
        <v/>
      </c>
      <c r="G21" s="90" t="inlineStr">
        <is>
          <t>Categoria: Fornecedores / Mercadoria. Pago em 08/09/2026 — lançado em Set 2026 como "Eversoft".</t>
        </is>
      </c>
    </row>
    <row r="22">
      <c r="A22" s="94" t="inlineStr">
        <is>
          <t>Filtros Planeta Agua Ind e Com Ltda</t>
        </is>
      </c>
      <c r="B22" s="94" t="inlineStr">
        <is>
          <t>Mercadoria — doc. 133138/1 (emissão 12/08/2026)</t>
        </is>
      </c>
      <c r="C22" s="93" t="n">
        <v>46274</v>
      </c>
      <c r="D22" s="95" t="n">
        <v>649.83</v>
      </c>
      <c r="E22" s="125" t="inlineStr">
        <is>
          <t>Pago</t>
        </is>
      </c>
      <c r="F22" s="125">
        <f>IF(OR($E22="Pago",$C22=""),"",MAX(0,TODAY()-$C22))</f>
        <v/>
      </c>
      <c r="G22" s="94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90" t="inlineStr">
        <is>
          <t>Sindicato dos Empregados no Comércio de Jacobina</t>
        </is>
      </c>
      <c r="B23" s="90" t="inlineStr">
        <is>
          <t>Contribuição assistencial — competência junho/2026</t>
        </is>
      </c>
      <c r="C23" s="89" t="n">
        <v>46275</v>
      </c>
      <c r="D23" s="91" t="n">
        <v>59.5</v>
      </c>
      <c r="E23" s="124" t="inlineStr">
        <is>
          <t>Pago</t>
        </is>
      </c>
      <c r="F23" s="124">
        <f>IF(OR($E23="Pago",$C23=""),"",MAX(0,TODAY()-$C23))</f>
        <v/>
      </c>
      <c r="G23" s="90" t="inlineStr">
        <is>
          <t>Categoria: Impostos e Taxas. Pago em 09/09/2026 (antecipado, venc. 10/09) — lançado em "Set 2026" como "Sindicato dos Empregados no Comércio de Jacobina".</t>
        </is>
      </c>
    </row>
    <row r="24">
      <c r="A24" s="94" t="inlineStr">
        <is>
          <t>Tarcisio Oliveira Lima</t>
        </is>
      </c>
      <c r="B24" s="94" t="inlineStr">
        <is>
          <t>Boleto Banco do Brasil — serviço contábil (doc. 38/0926)</t>
        </is>
      </c>
      <c r="C24" s="93" t="n">
        <v>46280</v>
      </c>
      <c r="D24" s="95" t="n">
        <v>486.32</v>
      </c>
      <c r="E24" s="125" t="inlineStr">
        <is>
          <t>Pendente</t>
        </is>
      </c>
      <c r="F24" s="125">
        <f>IF(OR($E24="Pago",$C24=""),"",MAX(0,TODAY()-$C24))</f>
        <v/>
      </c>
      <c r="G24" s="94" t="inlineStr">
        <is>
          <t>Categoria quando pagar: Contabilidade.</t>
        </is>
      </c>
    </row>
    <row r="25">
      <c r="A25" s="90" t="inlineStr">
        <is>
          <t>Patrus Transportes Ltda</t>
        </is>
      </c>
      <c r="B25" s="90" t="inlineStr">
        <is>
          <t>Frete — fatura 26-08-913041 (CT-e 2117850, remetente Eversoft, NF 75472)</t>
        </is>
      </c>
      <c r="C25" s="89" t="n">
        <v>46281</v>
      </c>
      <c r="D25" s="91" t="n">
        <v>292.68</v>
      </c>
      <c r="E25" s="124" t="inlineStr">
        <is>
          <t>Pendente</t>
        </is>
      </c>
      <c r="F25" s="125">
        <f>IF(OR($E25="Pago",$C25=""),"",MAX(0,TODAY()-$C25))</f>
        <v/>
      </c>
      <c r="G25" s="90" t="inlineStr">
        <is>
          <t>Categoria quando pagar: Transporte e Entregas. Boleto Bradesco 237-2, nosso número 34840262224-4, cedente 6348-/017737-7. Após o vencimento: R$ 0,44 por dia de atraso; protesto a partir do 7º dia.</t>
        </is>
      </c>
    </row>
    <row r="26">
      <c r="A26" s="94" t="inlineStr">
        <is>
          <t>FGTS Digital (GFD)</t>
        </is>
      </c>
      <c r="B26" s="94" t="inlineStr">
        <is>
          <t>FGTS mensal — competência 08/2026</t>
        </is>
      </c>
      <c r="C26" s="93" t="n">
        <v>46283</v>
      </c>
      <c r="D26" s="95" t="n">
        <v>136</v>
      </c>
      <c r="E26" s="125" t="inlineStr">
        <is>
          <t>Pendente</t>
        </is>
      </c>
      <c r="F26" s="125">
        <f>IF(OR($E26="Pago",$C26=""),"",MAX(0,TODAY()-$C26))</f>
        <v/>
      </c>
      <c r="G26" s="94" t="inlineStr">
        <is>
          <t>Categoria quando pagar: Impostos e Taxas.</t>
        </is>
      </c>
    </row>
    <row r="27">
      <c r="A27" s="90" t="inlineStr">
        <is>
          <t>Receita Federal</t>
        </is>
      </c>
      <c r="B27" s="90" t="inlineStr">
        <is>
          <t>DARF / INSS — período de apuração agosto/2026</t>
        </is>
      </c>
      <c r="C27" s="89" t="n">
        <v>46283</v>
      </c>
      <c r="D27" s="91" t="n">
        <v>306.99</v>
      </c>
      <c r="E27" s="124" t="inlineStr">
        <is>
          <t>Pendente</t>
        </is>
      </c>
      <c r="F27" s="124">
        <f>IF(OR($E27="Pago",$C27=""),"",MAX(0,TODAY()-$C27))</f>
        <v/>
      </c>
      <c r="G27" s="90" t="inlineStr">
        <is>
          <t>Categoria quando pagar: Impostos e Taxas.</t>
        </is>
      </c>
    </row>
    <row r="28">
      <c r="A28" s="94" t="inlineStr">
        <is>
          <t>Eversoft Ind e Com de Plasticos Ltda</t>
        </is>
      </c>
      <c r="B28" s="94" t="inlineStr">
        <is>
          <t>Mercadoria — doc. 74454 (emissão 17/07/2026) · parcela 2/5</t>
        </is>
      </c>
      <c r="C28" s="93" t="n">
        <v>46280</v>
      </c>
      <c r="D28" s="95" t="n">
        <v>980.83</v>
      </c>
      <c r="E28" s="125" t="inlineStr">
        <is>
          <t>Pendente</t>
        </is>
      </c>
      <c r="F28" s="125">
        <f>IF(OR($E28="Pago",$C28=""),"",MAX(0,TODAY()-$C28))</f>
        <v/>
      </c>
      <c r="G28" s="94" t="inlineStr">
        <is>
          <t>Categoria quando pagar: Fornecedores / Mercadoria. Boleto Itaú 341-7 (Eversoft, CNPJ 08.782.043/0001-88). Nosso número 112/28638767-8. Linha digitável 34191.12283 63876.780303 55679.010003 5 15700000098083. Após o vencimento: juros ao dia + multa de 2%.</t>
        </is>
      </c>
    </row>
    <row r="29">
      <c r="A29" s="90" t="inlineStr">
        <is>
          <t>Eversoft Ind e Com de Plasticos Ltda</t>
        </is>
      </c>
      <c r="B29" s="90" t="inlineStr">
        <is>
          <t>Mercadoria — doc. 75472 (emissão 26/08/2026) · parcela 1/5</t>
        </is>
      </c>
      <c r="C29" s="89" t="n">
        <v>46290</v>
      </c>
      <c r="D29" s="91" t="n">
        <v>940.0599999999999</v>
      </c>
      <c r="E29" s="124" t="inlineStr">
        <is>
          <t>Pendente</t>
        </is>
      </c>
      <c r="F29" s="124">
        <f>IF(OR($E29="Pago",$C29=""),"",MAX(0,TODAY()-$C29))</f>
        <v/>
      </c>
      <c r="G29" s="90" t="inlineStr">
        <is>
          <t>Categoria quando pagar: Fornecedores / Mercadoria. Boleto Itaú 341-7 (Eversoft, CNPJ 08.782.043/0001-88). Nosso número 112/33604587-0. Linha digitável 34191.12333 60458.700303 55679.010003 3 15800000094006. Após o vencimento: juros ao dia + multa de 2%.</t>
        </is>
      </c>
    </row>
    <row r="30">
      <c r="A30" s="94" t="inlineStr">
        <is>
          <t>Eversoft Ind e Com de Plasticos Ltda</t>
        </is>
      </c>
      <c r="B30" s="94" t="inlineStr">
        <is>
          <t>Mercadoria — doc. 72869 (emissão 07/05/2026) · parcela 5/5 (última)</t>
        </is>
      </c>
      <c r="C30" s="93" t="n">
        <v>46299</v>
      </c>
      <c r="D30" s="95" t="n">
        <v>980.8099999999999</v>
      </c>
      <c r="E30" s="125" t="inlineStr">
        <is>
          <t>Pendente</t>
        </is>
      </c>
      <c r="F30" s="125">
        <f>IF(OR($E30="Pago",$C30=""),"",MAX(0,TODAY()-$C30))</f>
        <v/>
      </c>
      <c r="G30" s="94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90" t="inlineStr">
        <is>
          <t>Eversoft Ind e Com de Plasticos Ltda</t>
        </is>
      </c>
      <c r="B31" s="90" t="inlineStr">
        <is>
          <t>Mercadoria — doc. 73636 (emissão 10/06/2026) · parcela 4/5</t>
        </is>
      </c>
      <c r="C31" s="89" t="n">
        <v>46303</v>
      </c>
      <c r="D31" s="91" t="n">
        <v>878.92</v>
      </c>
      <c r="E31" s="124" t="inlineStr">
        <is>
          <t>Pendente</t>
        </is>
      </c>
      <c r="F31" s="124">
        <f>IF(OR($E31="Pago",$C31=""),"",MAX(0,TODAY()-$C31))</f>
        <v/>
      </c>
      <c r="G31" s="90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94" t="inlineStr">
        <is>
          <t>Eversoft Ind e Com de Plasticos Ltda</t>
        </is>
      </c>
      <c r="B32" s="94" t="inlineStr">
        <is>
          <t>Mercadoria — doc. 74454 (emissão 17/07/2026) · parcela 3/5</t>
        </is>
      </c>
      <c r="C32" s="93" t="n">
        <v>46310</v>
      </c>
      <c r="D32" s="95" t="n">
        <v>980.83</v>
      </c>
      <c r="E32" s="125" t="inlineStr">
        <is>
          <t>Pendente</t>
        </is>
      </c>
      <c r="F32" s="125">
        <f>IF(OR($E32="Pago",$C32=""),"",MAX(0,TODAY()-$C32))</f>
        <v/>
      </c>
      <c r="G32" s="94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90" t="inlineStr">
        <is>
          <t>Eversoft Ind e Com de Plasticos Ltda</t>
        </is>
      </c>
      <c r="B33" s="90" t="inlineStr">
        <is>
          <t>Mercadoria — doc. 75472 (emissão 26/08/2026) · parcela 2/5</t>
        </is>
      </c>
      <c r="C33" s="89" t="n">
        <v>46320</v>
      </c>
      <c r="D33" s="91" t="n">
        <v>940.0599999999999</v>
      </c>
      <c r="E33" s="124" t="inlineStr">
        <is>
          <t>Pendente</t>
        </is>
      </c>
      <c r="F33" s="124">
        <f>IF(OR($E33="Pago",$C33=""),"",MAX(0,TODAY()-$C33))</f>
        <v/>
      </c>
      <c r="G33" s="90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94" t="inlineStr">
        <is>
          <t>Eversoft Ind e Com de Plasticos Ltda</t>
        </is>
      </c>
      <c r="B34" s="94" t="inlineStr">
        <is>
          <t>Mercadoria — doc. 73636 (emissão 10/06/2026) · parcela 5/5 (última)</t>
        </is>
      </c>
      <c r="C34" s="93" t="n">
        <v>46333</v>
      </c>
      <c r="D34" s="95" t="n">
        <v>878.9299999999999</v>
      </c>
      <c r="E34" s="125" t="inlineStr">
        <is>
          <t>Pendente</t>
        </is>
      </c>
      <c r="F34" s="125">
        <f>IF(OR($E34="Pago",$C34=""),"",MAX(0,TODAY()-$C34))</f>
        <v/>
      </c>
      <c r="G34" s="94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90" t="inlineStr">
        <is>
          <t>Everest Refrigeracao e Industria</t>
        </is>
      </c>
      <c r="B35" s="90" t="inlineStr">
        <is>
          <t>Mercadoria — doc. 381554 (emissão 17/07/2026) · parcela 2/5</t>
        </is>
      </c>
      <c r="C35" s="89" t="n">
        <v>46280</v>
      </c>
      <c r="D35" s="91" t="n">
        <v>892.3</v>
      </c>
      <c r="E35" s="124" t="inlineStr">
        <is>
          <t>Pendente</t>
        </is>
      </c>
      <c r="F35" s="124">
        <f>IF(OR($E35="Pago",$C35=""),"",MAX(0,TODAY()-$C35))</f>
        <v/>
      </c>
      <c r="G35" s="90" t="inlineStr">
        <is>
          <t>Categoria quando pagar: Fornecedores / Mercadoria. Boleto Itaú 341-7. Nosso número 112/28638136-6. Linha digitável 34191.12283 63813.660303 52238.850003 1 15700000089230. Após o vencimento: juros ao dia + multa de 2%.</t>
        </is>
      </c>
    </row>
    <row r="36">
      <c r="A36" s="94" t="inlineStr">
        <is>
          <t>Everest Refrigeracao e Industria</t>
        </is>
      </c>
      <c r="B36" s="94" t="inlineStr">
        <is>
          <t>Mercadoria — doc. 377737 (emissão 19/05/2026) · parcela 4/5</t>
        </is>
      </c>
      <c r="C36" s="93" t="n">
        <v>46281</v>
      </c>
      <c r="D36" s="95" t="n">
        <v>139.31</v>
      </c>
      <c r="E36" s="125" t="inlineStr">
        <is>
          <t>Pendente</t>
        </is>
      </c>
      <c r="F36" s="125">
        <f>IF(OR($E36="Pago",$C36=""),"",MAX(0,TODAY()-$C36))</f>
        <v/>
      </c>
      <c r="G36" s="94" t="inlineStr">
        <is>
          <t>Categoria quando pagar: Fornecedores / Mercadoria. Boleto Itaú 341-7. Nosso número 112/21336084-8. Linha digitável 34191.12218 33608.480308 52238.850003 9 15710000013931. Após o vencimento: juros ao dia + multa de 2%.</t>
        </is>
      </c>
    </row>
    <row r="37">
      <c r="A37" s="90" t="inlineStr">
        <is>
          <t>Everest Refrigeracao e Industria</t>
        </is>
      </c>
      <c r="B37" s="90" t="inlineStr">
        <is>
          <t>Mercadoria — doc. 377738 (emissão 19/05/2026) · parcela 4/5</t>
        </is>
      </c>
      <c r="C37" s="89" t="n">
        <v>46281</v>
      </c>
      <c r="D37" s="91" t="n">
        <v>865.5</v>
      </c>
      <c r="E37" s="124" t="inlineStr">
        <is>
          <t>Pendente</t>
        </is>
      </c>
      <c r="F37" s="124">
        <f>IF(OR($E37="Pago",$C37=""),"",MAX(0,TODAY()-$C37))</f>
        <v/>
      </c>
      <c r="G37" s="90" t="inlineStr">
        <is>
          <t>Categoria quando pagar: Fornecedores / Mercadoria. Boleto Itaú 341-7. Nosso número 112/21336022-8. Linha digitável 34191.12218 33602.280308 52238.850003 5 15710000086550. Após o vencimento: juros ao dia + multa de 2%.</t>
        </is>
      </c>
    </row>
    <row r="38">
      <c r="A38" s="94" t="inlineStr">
        <is>
          <t>Everest Refrigeracao e Industria</t>
        </is>
      </c>
      <c r="B38" s="94" t="inlineStr">
        <is>
          <t>Mercadoria — doc. 377739 (emissão 19/05/2026) · parcela 4/5</t>
        </is>
      </c>
      <c r="C38" s="93" t="n">
        <v>46281</v>
      </c>
      <c r="D38" s="95" t="n">
        <v>856.35</v>
      </c>
      <c r="E38" s="125" t="inlineStr">
        <is>
          <t>Pendente</t>
        </is>
      </c>
      <c r="F38" s="125">
        <f>IF(OR($E38="Pago",$C38=""),"",MAX(0,TODAY()-$C38))</f>
        <v/>
      </c>
      <c r="G38" s="94" t="inlineStr">
        <is>
          <t>Categoria quando pagar: Fornecedores / Mercadoria. Boleto Itaú 341-7. Nosso número 112/21336008-7. Linha digitável 34191.12218 33600.870308 52238.850003 9 15710000085635. Após o vencimento: juros ao dia + multa de 2%.</t>
        </is>
      </c>
    </row>
    <row r="39" ht="21.95" customHeight="1" s="158">
      <c r="A39" s="90" t="inlineStr">
        <is>
          <t>Everest Refrigeracao e Industria</t>
        </is>
      </c>
      <c r="B39" s="90" t="inlineStr">
        <is>
          <t>Mercadoria — doc. 379826 (emissão 22/06/2026) · parcela 3/5</t>
        </is>
      </c>
      <c r="C39" s="89" t="n">
        <v>46285</v>
      </c>
      <c r="D39" s="91" t="n">
        <v>874.6799999999999</v>
      </c>
      <c r="E39" s="124" t="inlineStr">
        <is>
          <t>Pendente</t>
        </is>
      </c>
      <c r="F39" s="124">
        <f>IF(OR($E39="Pago",$C39=""),"",MAX(0,TODAY()-$C39))</f>
        <v/>
      </c>
      <c r="G39" s="90" t="inlineStr">
        <is>
          <t>Categoria quando pagar: Fornecedores / Mercadoria. Boleto Itaú 341-7. Nosso número 112/25528668-7. Linha digitável 34191.12259 52866.870307 52238.850003 7 15750000087468. Após o vencimento: juros ao dia + multa de 2%.</t>
        </is>
      </c>
    </row>
    <row r="40">
      <c r="A40" s="94" t="inlineStr">
        <is>
          <t>Everest Refrigeracao e Industria</t>
        </is>
      </c>
      <c r="B40" s="94" t="inlineStr">
        <is>
          <t>Mercadoria — doc. 381554 (emissão 17/07/2026) · parcela 3/5</t>
        </is>
      </c>
      <c r="C40" s="93" t="n">
        <v>46310</v>
      </c>
      <c r="D40" s="95" t="n">
        <v>892.3</v>
      </c>
      <c r="E40" s="125" t="inlineStr">
        <is>
          <t>Pendente</t>
        </is>
      </c>
      <c r="F40" s="125">
        <f>IF(OR($E40="Pago",$C40=""),"",MAX(0,TODAY()-$C40))</f>
        <v/>
      </c>
      <c r="G40" s="94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8">
      <c r="A41" s="90" t="inlineStr">
        <is>
          <t>Everest Refrigeracao e Industria</t>
        </is>
      </c>
      <c r="B41" s="90" t="inlineStr">
        <is>
          <t>Mercadoria — doc. 377737 (emissão 19/05/2026) · parcela 5/5 (última)</t>
        </is>
      </c>
      <c r="C41" s="89" t="n">
        <v>46311</v>
      </c>
      <c r="D41" s="91" t="n">
        <v>139.32</v>
      </c>
      <c r="E41" s="124" t="inlineStr">
        <is>
          <t>Pendente</t>
        </is>
      </c>
      <c r="F41" s="124">
        <f>IF(OR($E41="Pago",$C41=""),"",MAX(0,TODAY()-$C41))</f>
        <v/>
      </c>
      <c r="G41" s="90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94" t="inlineStr">
        <is>
          <t>Everest Refrigeracao e Industria</t>
        </is>
      </c>
      <c r="B42" s="94" t="inlineStr">
        <is>
          <t>Mercadoria — doc. 377738 (emissão 19/05/2026) · parcela 5/5 (última)</t>
        </is>
      </c>
      <c r="C42" s="93" t="n">
        <v>46311</v>
      </c>
      <c r="D42" s="95" t="n">
        <v>865.52</v>
      </c>
      <c r="E42" s="125" t="inlineStr">
        <is>
          <t>Pendente</t>
        </is>
      </c>
      <c r="F42" s="125">
        <f>IF(OR($E42="Pago",$C42=""),"",MAX(0,TODAY()-$C42))</f>
        <v/>
      </c>
      <c r="G42" s="94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90" t="inlineStr">
        <is>
          <t>Everest Refrigeracao e Industria</t>
        </is>
      </c>
      <c r="B43" s="90" t="inlineStr">
        <is>
          <t>Mercadoria — doc. 377739 (emissão 19/05/2026) · parcela 5/5 (última)</t>
        </is>
      </c>
      <c r="C43" s="89" t="n">
        <v>46311</v>
      </c>
      <c r="D43" s="91" t="n">
        <v>856.34</v>
      </c>
      <c r="E43" s="124" t="inlineStr">
        <is>
          <t>Pendente</t>
        </is>
      </c>
      <c r="F43" s="124">
        <f>IF(OR($E43="Pago",$C43=""),"",MAX(0,TODAY()-$C43))</f>
        <v/>
      </c>
      <c r="G43" s="90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94" t="inlineStr">
        <is>
          <t>Everest Refrigeracao e Industria</t>
        </is>
      </c>
      <c r="B44" s="94" t="inlineStr">
        <is>
          <t>Mercadoria — doc. 379826 (emissão 22/06/2026) · parcela 4/5</t>
        </is>
      </c>
      <c r="C44" s="93" t="n">
        <v>46315</v>
      </c>
      <c r="D44" s="95" t="n">
        <v>874.6799999999999</v>
      </c>
      <c r="E44" s="125" t="inlineStr">
        <is>
          <t>Pendente</t>
        </is>
      </c>
      <c r="F44" s="125">
        <f>IF(OR($E44="Pago",$C44=""),"",MAX(0,TODAY()-$C44))</f>
        <v/>
      </c>
      <c r="G44" s="94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241" t="inlineStr">
        <is>
          <t>Eversoft Ind e Com de Plasticos Ltda</t>
        </is>
      </c>
      <c r="B45" s="241" t="inlineStr">
        <is>
          <t>Mercadoria — doc. 74454 (emissão 17/07/2026) · parcela 4/5</t>
        </is>
      </c>
      <c r="C45" s="242" t="n">
        <v>46340</v>
      </c>
      <c r="D45" s="243" t="n">
        <v>980.83</v>
      </c>
      <c r="E45" s="244" t="inlineStr">
        <is>
          <t>Previsto</t>
        </is>
      </c>
      <c r="F45" s="245">
        <f>IF(OR($E45="Pago",$C45=""),"",MAX(0,TODAY()-$C45))</f>
        <v/>
      </c>
      <c r="G45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241" t="inlineStr">
        <is>
          <t>Everest Refrigeracao e Industria</t>
        </is>
      </c>
      <c r="B46" s="241" t="inlineStr">
        <is>
          <t>Mercadoria — doc. 381554 (emissão 17/07/2026) · parcela 4/5</t>
        </is>
      </c>
      <c r="C46" s="242" t="n">
        <v>46340</v>
      </c>
      <c r="D46" s="243" t="n">
        <v>892.3</v>
      </c>
      <c r="E46" s="244" t="inlineStr">
        <is>
          <t>Previsto</t>
        </is>
      </c>
      <c r="F46" s="245">
        <f>IF(OR($E46="Pago",$C46=""),"",MAX(0,TODAY()-$C46))</f>
        <v/>
      </c>
      <c r="G46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241" t="inlineStr">
        <is>
          <t>Everest Refrigeracao e Industria</t>
        </is>
      </c>
      <c r="B47" s="241" t="inlineStr">
        <is>
          <t>Mercadoria — doc. 379826 (emissão 22/06/2026) · parcela 5/5 (última)</t>
        </is>
      </c>
      <c r="C47" s="242" t="n">
        <v>46345</v>
      </c>
      <c r="D47" s="243" t="n">
        <v>874.6799999999999</v>
      </c>
      <c r="E47" s="244" t="inlineStr">
        <is>
          <t>Previsto</t>
        </is>
      </c>
      <c r="F47" s="245">
        <f>IF(OR($E47="Pago",$C47=""),"",MAX(0,TODAY()-$C47))</f>
        <v/>
      </c>
      <c r="G47" s="241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241" t="inlineStr">
        <is>
          <t>Eversoft Ind e Com de Plasticos Ltda</t>
        </is>
      </c>
      <c r="B48" s="241" t="inlineStr">
        <is>
          <t>Mercadoria — doc. 75472 (emissão 26/08/2026) · parcela 3/5</t>
        </is>
      </c>
      <c r="C48" s="242" t="n">
        <v>46350</v>
      </c>
      <c r="D48" s="243" t="n">
        <v>940.0599999999999</v>
      </c>
      <c r="E48" s="244" t="inlineStr">
        <is>
          <t>Previsto</t>
        </is>
      </c>
      <c r="F48" s="245">
        <f>IF(OR($E48="Pago",$C48=""),"",MAX(0,TODAY()-$C48))</f>
        <v/>
      </c>
      <c r="G48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241" t="inlineStr">
        <is>
          <t>Everest Refrigeracao e Industria</t>
        </is>
      </c>
      <c r="B49" s="241" t="inlineStr">
        <is>
          <t>Mercadoria — doc. 381554 (emissão 17/07/2026) · parcela 5/5 (última)</t>
        </is>
      </c>
      <c r="C49" s="242" t="n">
        <v>46370</v>
      </c>
      <c r="D49" s="243" t="n">
        <v>892.29</v>
      </c>
      <c r="E49" s="244" t="inlineStr">
        <is>
          <t>Previsto</t>
        </is>
      </c>
      <c r="F49" s="245">
        <f>IF(OR($E49="Pago",$C49=""),"",MAX(0,TODAY()-$C49))</f>
        <v/>
      </c>
      <c r="G49" s="241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241" t="inlineStr">
        <is>
          <t>Eversoft Ind e Com de Plasticos Ltda</t>
        </is>
      </c>
      <c r="B50" s="241" t="inlineStr">
        <is>
          <t>Mercadoria — doc. 74454 (emissão 17/07/2026) · parcela 5/5 (última)</t>
        </is>
      </c>
      <c r="C50" s="242" t="n">
        <v>46370</v>
      </c>
      <c r="D50" s="243" t="n">
        <v>980.8099999999999</v>
      </c>
      <c r="E50" s="244" t="inlineStr">
        <is>
          <t>Previsto</t>
        </is>
      </c>
      <c r="F50" s="245">
        <f>IF(OR($E50="Pago",$C50=""),"",MAX(0,TODAY()-$C50))</f>
        <v/>
      </c>
      <c r="G50" s="241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241" t="inlineStr">
        <is>
          <t>Eversoft Ind e Com de Plasticos Ltda</t>
        </is>
      </c>
      <c r="B51" s="241" t="inlineStr">
        <is>
          <t>Mercadoria — doc. 75472 (emissão 26/08/2026) · parcela 4/5</t>
        </is>
      </c>
      <c r="C51" s="242" t="n">
        <v>46380</v>
      </c>
      <c r="D51" s="243" t="n">
        <v>940.0599999999999</v>
      </c>
      <c r="E51" s="244" t="inlineStr">
        <is>
          <t>Previsto</t>
        </is>
      </c>
      <c r="F51" s="245">
        <f>IF(OR($E51="Pago",$C51=""),"",MAX(0,TODAY()-$C51))</f>
        <v/>
      </c>
      <c r="G51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241" t="inlineStr">
        <is>
          <t>Eversoft Ind e Com de Plasticos Ltda</t>
        </is>
      </c>
      <c r="B52" s="241" t="inlineStr">
        <is>
          <t>Mercadoria — doc. 75472 (emissão 26/08/2026) · parcela 5/5 (última)</t>
        </is>
      </c>
      <c r="C52" s="242" t="n">
        <v>46410</v>
      </c>
      <c r="D52" s="243" t="n">
        <v>940.08</v>
      </c>
      <c r="E52" s="244" t="inlineStr">
        <is>
          <t>Previsto</t>
        </is>
      </c>
      <c r="F52" s="245">
        <f>IF(OR($E52="Pago",$C52=""),"",MAX(0,TODAY()-$C52))</f>
        <v/>
      </c>
      <c r="G52" s="241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90" t="inlineStr">
        <is>
          <t>Filtros Planeta Agua Ind e Com Ltda</t>
        </is>
      </c>
      <c r="B53" s="90" t="inlineStr">
        <is>
          <t>Mercadoria — doc. 131997/4 (emissão 08/07/2026) · parcela 4/4 (última)</t>
        </is>
      </c>
      <c r="C53" s="89" t="n">
        <v>46281</v>
      </c>
      <c r="D53" s="91" t="n">
        <v>1385.85</v>
      </c>
      <c r="E53" s="124" t="inlineStr">
        <is>
          <t>Pendente</t>
        </is>
      </c>
      <c r="F53" s="124">
        <f>IF(OR($E53="Pago",$C53=""),"",MAX(0,TODAY()-$C53))</f>
        <v/>
      </c>
      <c r="G53" s="90" t="inlineStr">
        <is>
          <t>Categoria quando pagar: Fornecedores / Mercadoria. Boleto Itaú 341-7 (carteira 109). Nosso número 109/00255359-0. Linha digitável 34191.09008 25535.901430 81531.550002 9 15710000138585. Após o vencimento: multa de 1,9% + juros de 0,1% ao dia; protesto no 5º dia útil.</t>
        </is>
      </c>
    </row>
    <row r="54">
      <c r="A54" s="94" t="inlineStr">
        <is>
          <t>Instituto Euvaldo Lodi — Núcleo Regional da Bahia</t>
        </is>
      </c>
      <c r="B54" s="94" t="inlineStr">
        <is>
          <t>Contribuição do contrato de estágio — doc. A 000007329</t>
        </is>
      </c>
      <c r="C54" s="93" t="n">
        <v>46280</v>
      </c>
      <c r="D54" s="95" t="n">
        <v>75</v>
      </c>
      <c r="E54" s="125" t="inlineStr">
        <is>
          <t>Pendente</t>
        </is>
      </c>
      <c r="F54" s="125">
        <f>IF(OR($E54="Pago",$C54=""),"",MAX(0,TODAY()-$C54))</f>
        <v/>
      </c>
      <c r="G54" s="94" t="inlineStr">
        <is>
          <t>Categoria quando pagar: Salários, Comissões e Encargos. Boleto Banco do Brasil 001-0, nosso número 32190990000160501. Linha digitável 00190.00009 03219.099003 00160.501177 1 15700000007500. Após o vencimento: juros de 0,5% ao mês; não receber após 35 dias.</t>
        </is>
      </c>
    </row>
    <row r="55">
      <c r="A55" s="90" t="inlineStr">
        <is>
          <t>Proxxima Telecomunicacoes S.A.</t>
        </is>
      </c>
      <c r="B55" s="90" t="inlineStr">
        <is>
          <t>Internet da loja — plano Turbinados 700 MB, contrato 578646</t>
        </is>
      </c>
      <c r="C55" s="89" t="n">
        <v>46280</v>
      </c>
      <c r="D55" s="91" t="n">
        <v>69.98999999999999</v>
      </c>
      <c r="E55" s="124" t="inlineStr">
        <is>
          <t>Pendente</t>
        </is>
      </c>
      <c r="F55" s="124">
        <f>IF(OR($E55="Pago",$C55=""),"",MAX(0,TODAY()-$C55))</f>
        <v/>
      </c>
      <c r="G55" s="90" t="inlineStr">
        <is>
          <t>Categoria quando pagar: Água, Energia e Internet. Fatura FAT26081721473042, boleto Bradesco 237. Linha digitável 23790.49303 90000.413329 63025.103001 5 15700000006999. A fatura sai em nome do sócio, mas o serviço é da loja. Após o vencimento: multa de 2% + mora de 1,2% ao mês.</t>
        </is>
      </c>
    </row>
    <row r="56">
      <c r="A56" s="94" t="inlineStr">
        <is>
          <t>Filtros Planeta Agua Ind e Com Ltda</t>
        </is>
      </c>
      <c r="B56" s="94" t="inlineStr">
        <is>
          <t>Mercadoria — doc. 133138/2 (emissão 12/08/2026) · parcela 2/4</t>
        </is>
      </c>
      <c r="C56" s="93" t="n">
        <v>46288</v>
      </c>
      <c r="D56" s="95" t="n">
        <v>537.9299999999999</v>
      </c>
      <c r="E56" s="125" t="inlineStr">
        <is>
          <t>Pendente</t>
        </is>
      </c>
      <c r="F56" s="125">
        <f>IF(OR($E56="Pago",$C56=""),"",MAX(0,TODAY()-$C56))</f>
        <v/>
      </c>
      <c r="G56" s="94" t="inlineStr">
        <is>
          <t>Categoria quando pagar: Fornecedores / Mercadoria. Boleto Itaú 341-7 (carteira 109). Nosso número 109/00257850-6. Linha digitável 34191.09008 25785.061430 81531.550002 4 15780000053793. Após o vencimento: multa de 1,9% + juros de 0,1% ao dia; protesto no 5º dia útil.</t>
        </is>
      </c>
    </row>
    <row r="57">
      <c r="A57" s="90" t="inlineStr">
        <is>
          <t>Empresa Baiana de Aguas e Saneamento SA (Embasa)</t>
        </is>
      </c>
      <c r="B57" s="90" t="inlineStr">
        <is>
          <t>Conta de água — despesa pessoal do dono (não é da loja) — ref. 10/2026</t>
        </is>
      </c>
      <c r="C57" s="89" t="n">
        <v>46296</v>
      </c>
      <c r="D57" s="91" t="n">
        <v>91</v>
      </c>
      <c r="E57" s="124" t="inlineStr">
        <is>
          <t>Pendente</t>
        </is>
      </c>
      <c r="F57" s="124">
        <f>IF(OR($E57="Pago",$C57=""),"",MAX(0,TODAY()-$C57))</f>
        <v/>
      </c>
      <c r="G57" s="90" t="inlineStr">
        <is>
          <t>Categoria quando pagar: Pro Labore Edilânia. Fatura em nome pessoal do sócio, matrícula 0531718-70. Pagável via Pix no QR Code da conta.</t>
        </is>
      </c>
    </row>
    <row r="58">
      <c r="A58" s="94" t="inlineStr">
        <is>
          <t>Filtros Planeta Agua Ind e Com Ltda</t>
        </is>
      </c>
      <c r="B58" s="94" t="inlineStr">
        <is>
          <t>Mercadoria — doc. 133138/3 (emissão 12/08/2026) · parcela 3/4</t>
        </is>
      </c>
      <c r="C58" s="93" t="n">
        <v>46302</v>
      </c>
      <c r="D58" s="95" t="n">
        <v>537.9299999999999</v>
      </c>
      <c r="E58" s="125" t="inlineStr">
        <is>
          <t>Pendente</t>
        </is>
      </c>
      <c r="F58" s="125">
        <f>IF(OR($E58="Pago",$C58=""),"",MAX(0,TODAY()-$C58))</f>
        <v/>
      </c>
      <c r="G58" s="94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90" t="inlineStr">
        <is>
          <t>Filtros Planeta Agua Ind e Com Ltda</t>
        </is>
      </c>
      <c r="B59" s="90" t="inlineStr">
        <is>
          <t>Mercadoria — doc. 133138/4 (emissão 12/08/2026) · parcela 4/4 (última)</t>
        </is>
      </c>
      <c r="C59" s="89" t="n">
        <v>46316</v>
      </c>
      <c r="D59" s="91" t="n">
        <v>537.9299999999999</v>
      </c>
      <c r="E59" s="124" t="inlineStr">
        <is>
          <t>Pendente</t>
        </is>
      </c>
      <c r="F59" s="124">
        <f>IF(OR($E59="Pago",$C59=""),"",MAX(0,TODAY()-$C59))</f>
        <v/>
      </c>
      <c r="G59" s="90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241" t="inlineStr">
        <is>
          <t>Wiliam Pinto Bispo</t>
        </is>
      </c>
      <c r="B60" s="241" t="inlineStr">
        <is>
          <t>Salário mensal — competência setembro/2026</t>
        </is>
      </c>
      <c r="C60" s="242" t="n">
        <v>46296</v>
      </c>
      <c r="D60" s="243" t="n">
        <v>1571.32</v>
      </c>
      <c r="E60" s="244" t="inlineStr">
        <is>
          <t>Previsto</t>
        </is>
      </c>
      <c r="F60" s="245">
        <f>IF(OR($E60="Pago",$C60=""),"",MAX(0,TODAY()-$C60))</f>
        <v/>
      </c>
      <c r="G60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1">
      <c r="A61" s="241" t="inlineStr">
        <is>
          <t>Wiliam Pinto Bispo</t>
        </is>
      </c>
      <c r="B61" s="241" t="inlineStr">
        <is>
          <t>Salário mensal — competência outubro/2026</t>
        </is>
      </c>
      <c r="C61" s="242" t="n">
        <v>46327</v>
      </c>
      <c r="D61" s="243" t="n">
        <v>1571.32</v>
      </c>
      <c r="E61" s="244" t="inlineStr">
        <is>
          <t>Previsto</t>
        </is>
      </c>
      <c r="F61" s="245">
        <f>IF(OR($E61="Pago",$C61=""),"",MAX(0,TODAY()-$C61))</f>
        <v/>
      </c>
      <c r="G61" s="241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/>
    <row r="63"/>
    <row r="64"/>
    <row r="65"/>
    <row r="66">
      <c r="A66" s="98" t="inlineStr">
        <is>
          <t>TOTAL A PAGAR — COM BOLETO EM MÃOS</t>
        </is>
      </c>
      <c r="B66" s="98" t="n"/>
      <c r="C66" s="126" t="n"/>
      <c r="D66" s="127">
        <f>SUMIF(E11:E65,"Pendente",D11:D65)</f>
        <v/>
      </c>
      <c r="E66" s="128" t="n"/>
      <c r="F66" s="128" t="n"/>
      <c r="G66" s="98" t="n"/>
    </row>
    <row r="67">
      <c r="A67" s="246" t="inlineStr">
        <is>
          <t>PREVISTO — compromisso certo que ainda não está documentado</t>
        </is>
      </c>
      <c r="B67" s="246" t="n"/>
      <c r="C67" s="247" t="n"/>
      <c r="D67" s="248">
        <f>SUMIF(E11:E65,"Previsto",D11:D65)</f>
        <v/>
      </c>
      <c r="E67" s="244" t="n"/>
      <c r="F67" s="244" t="n"/>
      <c r="G67" s="246" t="n"/>
    </row>
    <row r="68">
      <c r="A68" s="98" t="inlineStr">
        <is>
          <t>TOTAL GERAL A PAGAR (boletos + previsão)</t>
        </is>
      </c>
      <c r="B68" s="98" t="n"/>
      <c r="C68" s="126" t="n"/>
      <c r="D68" s="127">
        <f>D66+D67</f>
        <v/>
      </c>
      <c r="E68" s="128" t="n"/>
      <c r="F68" s="128" t="n"/>
      <c r="G68" s="98" t="n"/>
    </row>
    <row r="69"/>
    <row r="70"/>
    <row r="71">
      <c r="A71" s="202" t="inlineStr">
        <is>
          <t>CONTAS A RECEBER  —  vendas feitas e ainda não pagas</t>
        </is>
      </c>
    </row>
    <row r="72">
      <c r="A72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73">
      <c r="A73" s="123" t="inlineStr">
        <is>
          <t>Cliente</t>
        </is>
      </c>
      <c r="B73" s="123" t="inlineStr">
        <is>
          <t>Produto / Referência</t>
        </is>
      </c>
      <c r="C73" s="123" t="inlineStr">
        <is>
          <t>Data da Venda</t>
        </is>
      </c>
      <c r="D73" s="123" t="inlineStr">
        <is>
          <t>Valor (R$)</t>
        </is>
      </c>
      <c r="E73" s="123" t="inlineStr">
        <is>
          <t>Status</t>
        </is>
      </c>
      <c r="F73" s="123" t="inlineStr">
        <is>
          <t>Dias em Atraso</t>
        </is>
      </c>
      <c r="G73" s="123" t="inlineStr">
        <is>
          <t>Observações</t>
        </is>
      </c>
    </row>
    <row r="74">
      <c r="A74" s="90" t="inlineStr">
        <is>
          <t>Centro de Especialidades Odontomédicas</t>
        </is>
      </c>
      <c r="B74" s="90" t="inlineStr">
        <is>
          <t>Refil Everest</t>
        </is>
      </c>
      <c r="C74" s="89" t="n">
        <v>46239</v>
      </c>
      <c r="D74" s="91" t="n">
        <v>140</v>
      </c>
      <c r="E74" s="124" t="inlineStr">
        <is>
          <t>Pendente</t>
        </is>
      </c>
      <c r="F74" s="124">
        <f>IF(OR($E74="Recebido",$C74=""),"",MAX(0,TODAY()-$C74))</f>
        <v/>
      </c>
      <c r="G74" s="90" t="n"/>
    </row>
    <row r="75">
      <c r="A75" s="94" t="inlineStr">
        <is>
          <t>Supermercado Brasil</t>
        </is>
      </c>
      <c r="B75" s="94" t="inlineStr">
        <is>
          <t>2x Refil Pro Life</t>
        </is>
      </c>
      <c r="C75" s="93" t="n">
        <v>46239</v>
      </c>
      <c r="D75" s="95" t="n">
        <v>280</v>
      </c>
      <c r="E75" s="125" t="inlineStr">
        <is>
          <t>Pendente</t>
        </is>
      </c>
      <c r="F75" s="125">
        <f>IF(OR($E75="Recebido",$C75=""),"",MAX(0,TODAY()-$C75))</f>
        <v/>
      </c>
      <c r="G75" s="94" t="n"/>
    </row>
    <row r="76">
      <c r="A76" s="90" t="inlineStr">
        <is>
          <t>Tropical Motos LTDA</t>
        </is>
      </c>
      <c r="B76" s="90" t="inlineStr">
        <is>
          <t>3x Refil Everest + Refil Pro Life + 3x Pré Filtro + Válvula Reguladora de Pressão</t>
        </is>
      </c>
      <c r="C76" s="89" t="n">
        <v>46245</v>
      </c>
      <c r="D76" s="91" t="n">
        <v>820</v>
      </c>
      <c r="E76" s="124" t="inlineStr">
        <is>
          <t>Recebido</t>
        </is>
      </c>
      <c r="F76" s="124">
        <f>IF(OR($E76="Recebido",$C76=""),"",MAX(0,TODAY()-$C76))</f>
        <v/>
      </c>
      <c r="G76" s="90" t="inlineStr">
        <is>
          <t>Recebido via TED em 25/08/2026. NF conferida: valor correto é R$820 (faltava a válvula no lançamento original de R$740).</t>
        </is>
      </c>
    </row>
    <row r="77">
      <c r="A77" s="94" t="inlineStr">
        <is>
          <t>Free Way</t>
        </is>
      </c>
      <c r="B77" s="94" t="inlineStr">
        <is>
          <t>5x Refil Everest</t>
        </is>
      </c>
      <c r="C77" s="93" t="n">
        <v>46251</v>
      </c>
      <c r="D77" s="95" t="n">
        <v>700</v>
      </c>
      <c r="E77" s="125" t="inlineStr">
        <is>
          <t>Recebido</t>
        </is>
      </c>
      <c r="F77" s="125">
        <f>IF(OR($E77="Recebido",$C77=""),"",MAX(0,TODAY()-$C77))</f>
        <v/>
      </c>
      <c r="G77" s="94" t="inlineStr">
        <is>
          <t>Recebido via TED em 02/09/2026.</t>
        </is>
      </c>
    </row>
    <row r="78">
      <c r="A78" s="90" t="inlineStr">
        <is>
          <t>Neli Sena Rego</t>
        </is>
      </c>
      <c r="B78" s="90" t="inlineStr">
        <is>
          <t>Refil Pro Life</t>
        </is>
      </c>
      <c r="C78" s="89" t="n">
        <v>46254</v>
      </c>
      <c r="D78" s="91" t="n">
        <v>140</v>
      </c>
      <c r="E78" s="124" t="inlineStr">
        <is>
          <t>Recebido</t>
        </is>
      </c>
      <c r="F78" s="124">
        <f>IF(OR($E78="Recebido",$C78=""),"",MAX(0,TODAY()-$C78))</f>
        <v/>
      </c>
      <c r="G78" s="90" t="inlineStr">
        <is>
          <t>Recebido em dinheiro em 01/09/2026 (R$ 170,00 pelas duas vendas)</t>
        </is>
      </c>
    </row>
    <row r="79">
      <c r="A79" s="94" t="inlineStr">
        <is>
          <t>Neli Sena Rego</t>
        </is>
      </c>
      <c r="B79" s="94" t="inlineStr">
        <is>
          <t>Conexão + Mangueira</t>
        </is>
      </c>
      <c r="C79" s="93" t="n">
        <v>46255</v>
      </c>
      <c r="D79" s="95" t="n">
        <v>40</v>
      </c>
      <c r="E79" s="125" t="inlineStr">
        <is>
          <t>Recebido</t>
        </is>
      </c>
      <c r="F79" s="125">
        <f>IF(OR($E79="Recebido",$C79=""),"",MAX(0,TODAY()-$C79))</f>
        <v/>
      </c>
      <c r="G79" s="94" t="inlineStr">
        <is>
          <t>Recebido em dinheiro em 01/09/2026 (R$ 170,00 pelas duas vendas)</t>
        </is>
      </c>
    </row>
    <row r="80">
      <c r="A80" s="90" t="inlineStr">
        <is>
          <t>Lapec</t>
        </is>
      </c>
      <c r="B80" s="90" t="inlineStr">
        <is>
          <t>4x Refil Everest</t>
        </is>
      </c>
      <c r="C80" s="89" t="n">
        <v>46258</v>
      </c>
      <c r="D80" s="91" t="n">
        <v>480</v>
      </c>
      <c r="E80" s="124" t="inlineStr">
        <is>
          <t>Recebido</t>
        </is>
      </c>
      <c r="F80" s="124">
        <f>IF(OR($E80="Recebido",$C80=""),"",MAX(0,TODAY()-$C80))</f>
        <v/>
      </c>
      <c r="G80" s="90" t="inlineStr">
        <is>
          <t>Recebido em dinheiro em 08/09/2026 — lançado em "Set 2026".</t>
        </is>
      </c>
    </row>
    <row r="81">
      <c r="A81" s="94" t="inlineStr">
        <is>
          <t>Cícero Lima</t>
        </is>
      </c>
      <c r="B81" s="94" t="inlineStr">
        <is>
          <t>Refil Everest</t>
        </is>
      </c>
      <c r="C81" s="93" t="n">
        <v>46261</v>
      </c>
      <c r="D81" s="95" t="n">
        <v>140</v>
      </c>
      <c r="E81" s="125" t="inlineStr">
        <is>
          <t>Recebido</t>
        </is>
      </c>
      <c r="F81" s="125">
        <f>IF(OR($E81="Recebido",$C81=""),"",MAX(0,TODAY()-$C81))</f>
        <v/>
      </c>
      <c r="G81" s="94" t="inlineStr">
        <is>
          <t>Recebido via Pix em 27/08/2026</t>
        </is>
      </c>
    </row>
    <row r="82">
      <c r="A82" s="90" t="inlineStr">
        <is>
          <t>Promotoria Regional de Jacobina</t>
        </is>
      </c>
      <c r="B82" s="90" t="inlineStr">
        <is>
          <t>2x Carcaça 9" + 2x Refil Plissado 9" + Conexão Reta Rosca</t>
        </is>
      </c>
      <c r="C82" s="89" t="n">
        <v>46261</v>
      </c>
      <c r="D82" s="91" t="n">
        <v>470</v>
      </c>
      <c r="E82" s="124" t="inlineStr">
        <is>
          <t>Recebido</t>
        </is>
      </c>
      <c r="F82" s="124">
        <f>IF(OR($E82="Recebido",$C82=""),"",MAX(0,TODAY()-$C82))</f>
        <v/>
      </c>
      <c r="G82" s="90" t="inlineStr">
        <is>
          <t>Pago em 28/08/2026 em duas formas: R$ 270,00 Pix + R$ 200,00 crédito 2x</t>
        </is>
      </c>
    </row>
    <row r="83">
      <c r="A83" s="94" t="inlineStr">
        <is>
          <t>Lucas Souza</t>
        </is>
      </c>
      <c r="B83" s="94" t="inlineStr">
        <is>
          <t>Refil Everest + Pré Filtro</t>
        </is>
      </c>
      <c r="C83" s="93" t="n">
        <v>46261</v>
      </c>
      <c r="D83" s="95" t="n">
        <v>200</v>
      </c>
      <c r="E83" s="125" t="inlineStr">
        <is>
          <t>Recebido</t>
        </is>
      </c>
      <c r="F83" s="125">
        <f>IF(OR($E83="Recebido",$C83=""),"",MAX(0,TODAY()-$C83))</f>
        <v/>
      </c>
      <c r="G83" s="94" t="inlineStr">
        <is>
          <t>Recebido em dinheiro em 03/09/2026 — lançado em "Set 2026".</t>
        </is>
      </c>
    </row>
    <row r="84">
      <c r="A84" s="90" t="inlineStr">
        <is>
          <t>FG Boa Vista (Recife/PE)</t>
        </is>
      </c>
      <c r="B84" s="90" t="inlineStr">
        <is>
          <t>Refis — troca de julho/2026</t>
        </is>
      </c>
      <c r="C84" s="89" t="n">
        <v>46261</v>
      </c>
      <c r="D84" s="91" t="n">
        <v>1008.8</v>
      </c>
      <c r="E84" s="124" t="inlineStr">
        <is>
          <t>Recebido</t>
        </is>
      </c>
      <c r="F84" s="124">
        <f>IF(OR($E84="Recebido",$C84=""),"",MAX(0,TODAY()-$C84))</f>
        <v/>
      </c>
      <c r="G84" s="90" t="inlineStr">
        <is>
          <t>Grupo Ânima — NF 000.004.280 · recebido em 30/08/2026 (Nota Paga no portal V360)</t>
        </is>
      </c>
    </row>
    <row r="85">
      <c r="A85" s="94" t="inlineStr">
        <is>
          <t>UNIFG Guanambi (Guanambi/BA)</t>
        </is>
      </c>
      <c r="B85" s="94" t="inlineStr">
        <is>
          <t>Refis — troca de julho/2026</t>
        </is>
      </c>
      <c r="C85" s="93" t="n">
        <v>46261</v>
      </c>
      <c r="D85" s="95" t="n">
        <v>4534.75</v>
      </c>
      <c r="E85" s="125" t="inlineStr">
        <is>
          <t>Recebido</t>
        </is>
      </c>
      <c r="F85" s="125">
        <f>IF(OR($E85="Recebido",$C85=""),"",MAX(0,TODAY()-$C85))</f>
        <v/>
      </c>
      <c r="G85" s="94" t="inlineStr">
        <is>
          <t>Grupo Ânima — NF 000.004.281 · recebido em 30/08/2026 (Nota Paga no portal V360)</t>
        </is>
      </c>
    </row>
    <row r="86">
      <c r="A86" s="90" t="inlineStr">
        <is>
          <t>UNP Zona Norte (Natal/RN)</t>
        </is>
      </c>
      <c r="B86" s="90" t="inlineStr">
        <is>
          <t>Refis — troca de julho/2026</t>
        </is>
      </c>
      <c r="C86" s="89" t="n">
        <v>46261</v>
      </c>
      <c r="D86" s="91" t="n">
        <v>870</v>
      </c>
      <c r="E86" s="124" t="inlineStr">
        <is>
          <t>Recebido</t>
        </is>
      </c>
      <c r="F86" s="124">
        <f>IF(OR($E86="Recebido",$C86=""),"",MAX(0,TODAY()-$C86))</f>
        <v/>
      </c>
      <c r="G86" s="90" t="inlineStr">
        <is>
          <t>Grupo Ânima — NF 000.004.282 · recebido em 30/08/2026 (Nota Paga no portal V360)</t>
        </is>
      </c>
    </row>
    <row r="87">
      <c r="A87" s="94" t="inlineStr">
        <is>
          <t>UNP Caicó (Caicó/RN)</t>
        </is>
      </c>
      <c r="B87" s="94" t="inlineStr">
        <is>
          <t>Refis — troca de julho/2026</t>
        </is>
      </c>
      <c r="C87" s="93" t="n">
        <v>46261</v>
      </c>
      <c r="D87" s="95" t="n">
        <v>440</v>
      </c>
      <c r="E87" s="125" t="inlineStr">
        <is>
          <t>Recebido</t>
        </is>
      </c>
      <c r="F87" s="125">
        <f>IF(OR($E87="Recebido",$C87=""),"",MAX(0,TODAY()-$C87))</f>
        <v/>
      </c>
      <c r="G87" s="94" t="inlineStr">
        <is>
          <t>Grupo Ânima — NF 000.004.283 · recebido via Pix em 27/08/2026</t>
        </is>
      </c>
    </row>
    <row r="88">
      <c r="A88" s="90" t="inlineStr">
        <is>
          <t>AGES Irecê (Irecê/BA)</t>
        </is>
      </c>
      <c r="B88" s="90" t="inlineStr">
        <is>
          <t>Refis — troca de julho/2026</t>
        </is>
      </c>
      <c r="C88" s="89" t="n">
        <v>46269</v>
      </c>
      <c r="D88" s="91" t="n">
        <v>1338.6</v>
      </c>
      <c r="E88" s="124" t="inlineStr">
        <is>
          <t>Recebido</t>
        </is>
      </c>
      <c r="F88" s="124">
        <f>IF(OR($E88="Recebido",$C88=""),"",MAX(0,TODAY()-$C88))</f>
        <v/>
      </c>
      <c r="G88" s="90" t="inlineStr">
        <is>
          <t>Grupo Ânima — NF 000.004.294 · recebido via Pix em 04/09/2026.</t>
        </is>
      </c>
    </row>
    <row r="89">
      <c r="A89" s="94" t="inlineStr">
        <is>
          <t>CIS Irecê (Irecê/BA)</t>
        </is>
      </c>
      <c r="B89" s="94" t="inlineStr">
        <is>
          <t>Refis — troca de julho/2026</t>
        </is>
      </c>
      <c r="C89" s="93" t="n">
        <v>46269</v>
      </c>
      <c r="D89" s="95" t="n">
        <v>1358</v>
      </c>
      <c r="E89" s="125" t="inlineStr">
        <is>
          <t>Recebido</t>
        </is>
      </c>
      <c r="F89" s="125">
        <f>IF(OR($E89="Recebido",$C89=""),"",MAX(0,TODAY()-$C89))</f>
        <v/>
      </c>
      <c r="G89" s="94" t="inlineStr">
        <is>
          <t>Grupo Ânima — NF 000.004.295 · recebido via Pix em 04/09/2026.</t>
        </is>
      </c>
    </row>
    <row r="90">
      <c r="A90" s="90" t="inlineStr">
        <is>
          <t>AGES Senhor do Bonfim (S. do Bonfim/BA)</t>
        </is>
      </c>
      <c r="B90" s="90" t="inlineStr">
        <is>
          <t>Refis — troca de julho/2026</t>
        </is>
      </c>
      <c r="C90" s="89" t="n">
        <v>46270</v>
      </c>
      <c r="D90" s="91" t="n">
        <v>649.9</v>
      </c>
      <c r="E90" s="124" t="inlineStr">
        <is>
          <t>Recebido</t>
        </is>
      </c>
      <c r="F90" s="124">
        <f>IF(OR($E90="Recebido",$C90=""),"",MAX(0,TODAY()-$C90))</f>
        <v/>
      </c>
      <c r="G90" s="90" t="inlineStr">
        <is>
          <t>Grupo Ânima — NF 000.004.298 · recebido via Pix em 08/09/2026.</t>
        </is>
      </c>
    </row>
    <row r="91">
      <c r="A91" s="94" t="inlineStr">
        <is>
          <t>CIS Senhor do Bonfim (S. do Bonfim/BA)</t>
        </is>
      </c>
      <c r="B91" s="94" t="inlineStr">
        <is>
          <t>Refis — troca de julho/2026</t>
        </is>
      </c>
      <c r="C91" s="93" t="n">
        <v>46270</v>
      </c>
      <c r="D91" s="95" t="n">
        <v>562.6</v>
      </c>
      <c r="E91" s="125" t="inlineStr">
        <is>
          <t>Recebido</t>
        </is>
      </c>
      <c r="F91" s="125">
        <f>IF(OR($E91="Recebido",$C91=""),"",MAX(0,TODAY()-$C91))</f>
        <v/>
      </c>
      <c r="G91" s="94" t="inlineStr">
        <is>
          <t>Grupo Ânima — NF 000.004.299 · recebido via Pix em 08/09/2026.</t>
        </is>
      </c>
    </row>
    <row r="92">
      <c r="A92" s="90" t="inlineStr">
        <is>
          <t>AGES Paripiranga (Paripiranga/BA)</t>
        </is>
      </c>
      <c r="B92" s="90" t="inlineStr">
        <is>
          <t>Refis — troca de julho/2026</t>
        </is>
      </c>
      <c r="C92" s="89" t="n">
        <v>46270</v>
      </c>
      <c r="D92" s="91" t="n">
        <v>1086.4</v>
      </c>
      <c r="E92" s="124" t="inlineStr">
        <is>
          <t>Recebido</t>
        </is>
      </c>
      <c r="F92" s="124">
        <f>IF(OR($E92="Recebido",$C92=""),"",MAX(0,TODAY()-$C92))</f>
        <v/>
      </c>
      <c r="G92" s="90" t="inlineStr">
        <is>
          <t>Grupo Ânima — NF 000.004.300 · recebido via Pix em 08/09/2026.</t>
        </is>
      </c>
    </row>
    <row r="93">
      <c r="A93" s="94" t="inlineStr">
        <is>
          <t>Clínica Veterinária Paripiranga (Paripiranga/BA)</t>
        </is>
      </c>
      <c r="B93" s="94" t="inlineStr">
        <is>
          <t>Refis — troca de julho/2026</t>
        </is>
      </c>
      <c r="C93" s="93" t="n">
        <v>46270</v>
      </c>
      <c r="D93" s="95" t="n">
        <v>1265.85</v>
      </c>
      <c r="E93" s="125" t="inlineStr">
        <is>
          <t>Recebido</t>
        </is>
      </c>
      <c r="F93" s="125">
        <f>IF(OR($E93="Recebido",$C93=""),"",MAX(0,TODAY()-$C93))</f>
        <v/>
      </c>
      <c r="G93" s="94" t="inlineStr">
        <is>
          <t>Grupo Ânima — NF 000.004.301 · recebido via Pix em 08/09/2026.</t>
        </is>
      </c>
    </row>
    <row r="94">
      <c r="A94" s="90" t="inlineStr">
        <is>
          <t>UNP Mossoró (Mossoró/RN)</t>
        </is>
      </c>
      <c r="B94" s="90" t="inlineStr">
        <is>
          <t>Refis — troca de julho/2026</t>
        </is>
      </c>
      <c r="C94" s="89" t="n">
        <v>46270</v>
      </c>
      <c r="D94" s="91" t="n">
        <v>1867.25</v>
      </c>
      <c r="E94" s="124" t="inlineStr">
        <is>
          <t>Recebido</t>
        </is>
      </c>
      <c r="F94" s="124">
        <f>IF(OR($E94="Recebido",$C94=""),"",MAX(0,TODAY()-$C94))</f>
        <v/>
      </c>
      <c r="G94" s="90" t="inlineStr">
        <is>
          <t>Grupo Ânima — NF 000.004.302 · recebido via Pix em 08/09/2026.</t>
        </is>
      </c>
    </row>
    <row r="95">
      <c r="A95" s="94" t="inlineStr">
        <is>
          <t>CIS Jacobina (Jacobina/BA)</t>
        </is>
      </c>
      <c r="B95" s="94" t="inlineStr">
        <is>
          <t>Refis — troca de julho/2026</t>
        </is>
      </c>
      <c r="C95" s="93" t="n">
        <v>46290</v>
      </c>
      <c r="D95" s="95" t="n">
        <v>2095.2</v>
      </c>
      <c r="E95" s="125" t="inlineStr">
        <is>
          <t>Pendente</t>
        </is>
      </c>
      <c r="F95" s="125">
        <f>IF(OR($E95="Recebido",$C95=""),"",MAX(0,TODAY()-$C95))</f>
        <v/>
      </c>
      <c r="G95" s="94" t="inlineStr">
        <is>
          <t>Grupo Ânima — NF 000.004.333 de 26/08/2026 · OC AEMPPO00004452 · 30 dias</t>
        </is>
      </c>
    </row>
    <row r="96">
      <c r="A96" s="90" t="inlineStr">
        <is>
          <t>AGES Jacobina (Jacobina/BA)</t>
        </is>
      </c>
      <c r="B96" s="90" t="inlineStr">
        <is>
          <t>Refis — troca de julho/2026</t>
        </is>
      </c>
      <c r="C96" s="89" t="n">
        <v>46305</v>
      </c>
      <c r="D96" s="91" t="n">
        <v>1188.25</v>
      </c>
      <c r="E96" s="124" t="inlineStr">
        <is>
          <t>Pendente</t>
        </is>
      </c>
      <c r="F96" s="124">
        <f>IF(OR($E96="Recebido",$C96=""),"",MAX(0,TODAY()-$C96))</f>
        <v/>
      </c>
      <c r="G96" s="90" t="inlineStr">
        <is>
          <t>Grupo Ânima — NF 000.004.332 de 26/08/2026 · OC AEMPPO00004453 · 45 dias</t>
        </is>
      </c>
    </row>
    <row r="97">
      <c r="A97" s="94" t="inlineStr">
        <is>
          <t>Instituto Paulo Leão</t>
        </is>
      </c>
      <c r="B97" s="94" t="inlineStr">
        <is>
          <t>Refil E3 + Pré Filtro</t>
        </is>
      </c>
      <c r="C97" s="93" t="n">
        <v>46265</v>
      </c>
      <c r="D97" s="95" t="n">
        <v>160</v>
      </c>
      <c r="E97" s="125" t="inlineStr">
        <is>
          <t>Recebido</t>
        </is>
      </c>
      <c r="F97" s="125">
        <f>IF(OR($E97="Recebido",$C97=""),"",MAX(0,TODAY()-$C97))</f>
        <v/>
      </c>
      <c r="G97" s="94" t="inlineStr">
        <is>
          <t>Recebido via Pix em 08/09/2026 — lançado em "Set 2026".</t>
        </is>
      </c>
    </row>
    <row r="98">
      <c r="A98" s="90" t="inlineStr">
        <is>
          <t>Eletronic Segurança Eletronica</t>
        </is>
      </c>
      <c r="B98" s="90" t="inlineStr">
        <is>
          <t>Pré Filtro</t>
        </is>
      </c>
      <c r="C98" s="89" t="n">
        <v>46265</v>
      </c>
      <c r="D98" s="91" t="n">
        <v>60</v>
      </c>
      <c r="E98" s="124" t="inlineStr">
        <is>
          <t>Recebido</t>
        </is>
      </c>
      <c r="F98" s="124">
        <f>IF(OR($E98="Recebido",$C98=""),"",MAX(0,TODAY()-$C98))</f>
        <v/>
      </c>
      <c r="G98" s="90" t="inlineStr">
        <is>
          <t>Recebido via Pix em 03/09/2026.</t>
        </is>
      </c>
    </row>
    <row r="99">
      <c r="A99" s="94" t="inlineStr">
        <is>
          <t>Clube dos Mineiros</t>
        </is>
      </c>
      <c r="B99" s="94" t="inlineStr">
        <is>
          <t>Refil Pro Life</t>
        </is>
      </c>
      <c r="C99" s="93" t="n">
        <v>46265</v>
      </c>
      <c r="D99" s="95" t="n">
        <v>150</v>
      </c>
      <c r="E99" s="125" t="inlineStr">
        <is>
          <t>Recebido</t>
        </is>
      </c>
      <c r="F99" s="125">
        <f>IF(OR($E99="Recebido",$C99=""),"",MAX(0,TODAY()-$C99))</f>
        <v/>
      </c>
      <c r="G99" s="94" t="inlineStr">
        <is>
          <t>Recebido via Pix em 01/09/2026 (pagador: Sindicato dos Mineiros de Jacobina).</t>
        </is>
      </c>
    </row>
    <row r="100">
      <c r="A100" s="90" t="inlineStr">
        <is>
          <t>Armazem Cecilio Mota</t>
        </is>
      </c>
      <c r="B100" s="90" t="inlineStr">
        <is>
          <t>Refil Everest + Refil Carbon 9"</t>
        </is>
      </c>
      <c r="C100" s="89" t="n">
        <v>46266</v>
      </c>
      <c r="D100" s="91" t="n">
        <v>225</v>
      </c>
      <c r="E100" s="124" t="inlineStr">
        <is>
          <t>Recebido</t>
        </is>
      </c>
      <c r="F100" s="124">
        <f>IF(OR($E100="Recebido",$C100=""),"",MAX(0,TODAY()-$C100))</f>
        <v/>
      </c>
      <c r="G100" s="90" t="inlineStr">
        <is>
          <t>Recebido via Pix em 10/09/2026 — lançado em "Set 2026".</t>
        </is>
      </c>
    </row>
    <row r="101">
      <c r="A101" s="94" t="inlineStr">
        <is>
          <t>Clebson Dantas Da Silva</t>
        </is>
      </c>
      <c r="B101" s="94" t="inlineStr">
        <is>
          <t>Refil Everest</t>
        </is>
      </c>
      <c r="C101" s="93" t="n">
        <v>46266</v>
      </c>
      <c r="D101" s="95" t="n">
        <v>140</v>
      </c>
      <c r="E101" s="125" t="inlineStr">
        <is>
          <t>Recebido</t>
        </is>
      </c>
      <c r="F101" s="125">
        <f>IF(OR($E101="Recebido",$C101=""),"",MAX(0,TODAY()-$C101))</f>
        <v/>
      </c>
      <c r="G101" s="94" t="inlineStr">
        <is>
          <t>Recebido via Pix em 02/09/2026</t>
        </is>
      </c>
    </row>
    <row r="102">
      <c r="A102" s="94" t="inlineStr">
        <is>
          <t>Tesla Imagem Medicina Diagnostica Ltda</t>
        </is>
      </c>
      <c r="B102" s="94" t="inlineStr">
        <is>
          <t>3x Refil Everest + 2x Pré Filtro</t>
        </is>
      </c>
      <c r="C102" s="93" t="n">
        <v>46267</v>
      </c>
      <c r="D102" s="95" t="n">
        <v>540</v>
      </c>
      <c r="E102" s="125" t="inlineStr">
        <is>
          <t>Pendente</t>
        </is>
      </c>
      <c r="F102" s="125">
        <f>IF(OR($E102="Recebido",$C102=""),"",MAX(0,TODAY()-$C102))</f>
        <v/>
      </c>
      <c r="G102" s="94" t="inlineStr">
        <is>
          <t>Troca do dia 02/09/2026 — 1º Andar, Térreo e Copa</t>
        </is>
      </c>
    </row>
    <row r="103">
      <c r="A103" s="90" t="inlineStr">
        <is>
          <t>Cecilio Mota Junior</t>
        </is>
      </c>
      <c r="B103" s="90" t="inlineStr">
        <is>
          <t>Refil Everest</t>
        </is>
      </c>
      <c r="C103" s="89" t="n">
        <v>46267</v>
      </c>
      <c r="D103" s="91" t="n">
        <v>140</v>
      </c>
      <c r="E103" s="124" t="inlineStr">
        <is>
          <t>Recebido</t>
        </is>
      </c>
      <c r="F103" s="124">
        <f>IF(OR($E103="Recebido",$C103=""),"",MAX(0,TODAY()-$C103))</f>
        <v/>
      </c>
      <c r="G103" s="90" t="inlineStr">
        <is>
          <t>Recebido via Pix em 10/09/2026 — lançado em "Set 2026".</t>
        </is>
      </c>
    </row>
    <row r="104">
      <c r="A104" s="90" t="inlineStr">
        <is>
          <t>Tereza Cristina Aquino Martins - Luiz Augusto</t>
        </is>
      </c>
      <c r="B104" s="90" t="inlineStr">
        <is>
          <t>Refil Everest + Pré Filtro</t>
        </is>
      </c>
      <c r="C104" s="89" t="n">
        <v>46268</v>
      </c>
      <c r="D104" s="91" t="n">
        <v>200</v>
      </c>
      <c r="E104" s="124" t="inlineStr">
        <is>
          <t>Recebido</t>
        </is>
      </c>
      <c r="F104" s="124">
        <f>IF(OR($E104="Recebido",$C104=""),"",MAX(0,TODAY()-$C104))</f>
        <v/>
      </c>
      <c r="G104" s="90" t="inlineStr">
        <is>
          <t>Recebido via Pix em 04/09/2026.</t>
        </is>
      </c>
    </row>
    <row r="105">
      <c r="A105" s="90" t="inlineStr">
        <is>
          <t>Samille Fiscina Lima Lordello - Tiago (Cartório)</t>
        </is>
      </c>
      <c r="B105" s="90" t="inlineStr">
        <is>
          <t>Refil Pro Life</t>
        </is>
      </c>
      <c r="C105" s="89" t="n">
        <v>46269</v>
      </c>
      <c r="D105" s="91" t="n">
        <v>140</v>
      </c>
      <c r="E105" s="124" t="inlineStr">
        <is>
          <t>Recebido</t>
        </is>
      </c>
      <c r="F105" s="124">
        <f>IF(OR($E105="Recebido",$C105=""),"",MAX(0,TODAY()-$C105))</f>
        <v/>
      </c>
      <c r="G105" s="90" t="inlineStr">
        <is>
          <t>Recebido via Pix em 10/09/2026 — lançado em "Set 2026".</t>
        </is>
      </c>
    </row>
    <row r="106">
      <c r="A106" s="90" t="inlineStr">
        <is>
          <t>Bomboniere Doce Mania - Veronildo Basilio</t>
        </is>
      </c>
      <c r="B106" s="90" t="inlineStr">
        <is>
          <t>Refil Plissado + Refil BAG</t>
        </is>
      </c>
      <c r="C106" s="89" t="n">
        <v>46274</v>
      </c>
      <c r="D106" s="91" t="n">
        <v>150</v>
      </c>
      <c r="E106" s="124" t="inlineStr">
        <is>
          <t>Pendente</t>
        </is>
      </c>
      <c r="F106" s="124">
        <f>IF(OR($E106="Recebido",$C106=""),"",MAX(0,TODAY()-$C106))</f>
        <v/>
      </c>
      <c r="G106" s="90" t="inlineStr">
        <is>
          <t>Troca do dia 09/09/2026 — refil plissado + BAG.</t>
        </is>
      </c>
    </row>
    <row r="107">
      <c r="A107" s="90" t="inlineStr">
        <is>
          <t>Adriadne (Hotel Jovem Jota)</t>
        </is>
      </c>
      <c r="B107" s="90" t="inlineStr">
        <is>
          <t>Refil Everest</t>
        </is>
      </c>
      <c r="C107" s="89" t="n">
        <v>46275</v>
      </c>
      <c r="D107" s="91" t="n">
        <v>140</v>
      </c>
      <c r="E107" s="124" t="inlineStr">
        <is>
          <t>Recebido</t>
        </is>
      </c>
      <c r="F107" s="124">
        <f>IF(OR($E107="Recebido",$C107=""),"",MAX(0,TODAY()-$C107))</f>
        <v/>
      </c>
      <c r="G107" s="90" t="inlineStr">
        <is>
          <t>Recebido via Pix em 11/09/2026 — lançado em "Set 2026".</t>
        </is>
      </c>
    </row>
    <row r="108">
      <c r="A108" s="90" t="inlineStr">
        <is>
          <t>Pousada Triunfo Ltda (Hotel Triunfo)</t>
        </is>
      </c>
      <c r="B108" s="90" t="inlineStr">
        <is>
          <t>Refil Everest + Pré Filtro</t>
        </is>
      </c>
      <c r="C108" s="89" t="n">
        <v>46275</v>
      </c>
      <c r="D108" s="91" t="n">
        <v>200</v>
      </c>
      <c r="E108" s="124" t="inlineStr">
        <is>
          <t>Recebido</t>
        </is>
      </c>
      <c r="F108" s="124">
        <f>IF(OR($E108="Recebido",$C108=""),"",MAX(0,TODAY()-$C108))</f>
        <v/>
      </c>
      <c r="G108" s="90" t="inlineStr">
        <is>
          <t>Recebido via Pix em 11/09/2026 — lançado em "Set 2026".</t>
        </is>
      </c>
    </row>
    <row r="109">
      <c r="A109" s="90" t="inlineStr">
        <is>
          <t>Topvel Tropical Veiculos e Pecas</t>
        </is>
      </c>
      <c r="B109" s="90" t="inlineStr">
        <is>
          <t>2x Refil Everest + 2x Pré Filtro</t>
        </is>
      </c>
      <c r="C109" s="89" t="n">
        <v>46276</v>
      </c>
      <c r="D109" s="91" t="n">
        <v>370</v>
      </c>
      <c r="E109" s="124" t="inlineStr">
        <is>
          <t>Pendente</t>
        </is>
      </c>
      <c r="F109" s="124">
        <f>IF(OR($E109="Recebido",$C109=""),"",MAX(0,TODAY()-$C109))</f>
        <v/>
      </c>
      <c r="G109" s="90" t="inlineStr">
        <is>
          <t>Troca do dia 11/09/2026 — dois purificadores.</t>
        </is>
      </c>
    </row>
    <row r="110">
      <c r="A110" s="90" t="inlineStr">
        <is>
          <t>J Diesel Motores e Reparos - Gilmara</t>
        </is>
      </c>
      <c r="B110" s="90" t="inlineStr">
        <is>
          <t>Refil Everest</t>
        </is>
      </c>
      <c r="C110" s="89" t="n">
        <v>46276</v>
      </c>
      <c r="D110" s="91" t="n">
        <v>140</v>
      </c>
      <c r="E110" s="124" t="inlineStr">
        <is>
          <t>Recebido</t>
        </is>
      </c>
      <c r="F110" s="124">
        <f>IF(OR($E110="Recebido",$C110=""),"",MAX(0,TODAY()-$C110))</f>
        <v/>
      </c>
      <c r="G110" s="90" t="inlineStr">
        <is>
          <t>Troca do dia 11/09/2026.</t>
        </is>
      </c>
    </row>
    <row r="111">
      <c r="A111" s="90" t="inlineStr">
        <is>
          <t>IOB</t>
        </is>
      </c>
      <c r="B111" s="90" t="inlineStr">
        <is>
          <t>Refil Everest + Pré Filtro</t>
        </is>
      </c>
      <c r="C111" s="89" t="n">
        <v>46279</v>
      </c>
      <c r="D111" s="91" t="n">
        <v>200</v>
      </c>
      <c r="E111" s="124" t="inlineStr">
        <is>
          <t>Recebido</t>
        </is>
      </c>
      <c r="F111" s="124">
        <f>IF(OR($E111="Recebido",$C111=""),"",MAX(0,TODAY()-$C111))</f>
        <v/>
      </c>
      <c r="G111" s="90" t="inlineStr">
        <is>
          <t>Troca do dia 14/09/2026.</t>
        </is>
      </c>
    </row>
    <row r="112">
      <c r="A112" s="98" t="inlineStr">
        <is>
          <t>TOTAL EM ABERTO A RECEBER (detalhe)</t>
        </is>
      </c>
      <c r="D112" s="127">
        <f>SUMIF(E74:E111,"Pendente",D74:D111)</f>
        <v/>
      </c>
    </row>
    <row r="113">
      <c r="A113" s="129" t="inlineStr">
        <is>
          <t>CONFERÊNCIA COM AS ABAS DOS MESES</t>
        </is>
      </c>
      <c r="B113" s="160" t="n"/>
      <c r="C113" s="160" t="n"/>
      <c r="D113" s="160" t="n"/>
      <c r="E113" s="160" t="n"/>
      <c r="F113" s="160" t="n"/>
      <c r="G113" s="161" t="n"/>
    </row>
    <row r="114">
      <c r="A114" s="200">
        <f>IF(ROUND(D112-C5,2)=0,"OK — o detalhe acima bate com as vendas marcadas como Aguardando Pagamento nas abas dos meses.","ATENÇÃO: diferença de R$ "&amp;TEXT(ABS(D112-C5),"#,##0.00")&amp;" entre este detalhe e as abas dos meses — alguma venda mudou de status em um lado só.")</f>
        <v/>
      </c>
    </row>
    <row r="115">
      <c r="A115" s="200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1:G1"/>
    <mergeCell ref="A9:G9"/>
    <mergeCell ref="A114:G114"/>
    <mergeCell ref="C5:D6"/>
    <mergeCell ref="A5:B6"/>
    <mergeCell ref="A2:G2"/>
    <mergeCell ref="E5:F6"/>
    <mergeCell ref="A72:G72"/>
    <mergeCell ref="A113:G113"/>
    <mergeCell ref="A71:G71"/>
    <mergeCell ref="C4:D4"/>
  </mergeCells>
  <dataValidations count="2">
    <dataValidation sqref="E11:E65" showDropDown="0" showInputMessage="0" showErrorMessage="0" allowBlank="1" type="list">
      <formula1>"Pendente,Pago,Previsto"</formula1>
    </dataValidation>
    <dataValidation sqref="E74:E110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19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6" customWidth="1" style="158" min="2" max="2"/>
    <col width="32" customWidth="1" style="158" min="3" max="3"/>
    <col width="16" customWidth="1" style="158" min="4" max="5"/>
    <col width="18" customWidth="1" style="158" min="6" max="6"/>
    <col width="52" customWidth="1" style="158" min="7" max="7"/>
  </cols>
  <sheetData>
    <row r="1" ht="21" customHeight="1" s="158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46" t="inlineStr">
        <is>
          <t>← Início</t>
        </is>
      </c>
    </row>
    <row r="4">
      <c r="A4" s="207" t="inlineStr">
        <is>
          <t>SALDO DEVEDOR (A DEVOLVER)</t>
        </is>
      </c>
      <c r="C4" s="217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>
      <c r="A16" s="216" t="n"/>
    </row>
    <row r="17">
      <c r="A17" s="210" t="inlineStr">
        <is>
          <t>Como registrar uma devolução:</t>
        </is>
      </c>
    </row>
    <row r="18">
      <c r="A18" s="211" t="inlineStr">
        <is>
          <t>1. Trocar "Status" da linha para "Devolvido" e preencher a "Data da Devolução".</t>
        </is>
      </c>
    </row>
    <row r="19">
      <c r="A19" s="150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6:G16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8" min="1" max="1"/>
    <col width="18" customWidth="1" style="158" min="2" max="2"/>
    <col width="26" customWidth="1" style="158" min="3" max="3"/>
    <col width="20" customWidth="1" style="158" min="4" max="4"/>
    <col width="26" customWidth="1" style="158" min="5" max="5"/>
  </cols>
  <sheetData>
    <row r="1" ht="21" customHeight="1" s="158">
      <c r="A1" s="209" t="inlineStr">
        <is>
          <t>PONTO DE EQUILÍBRIO</t>
        </is>
      </c>
    </row>
    <row r="2">
      <c r="A2" s="219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46" t="inlineStr">
        <is>
          <t>← Início</t>
        </is>
      </c>
    </row>
    <row r="4">
      <c r="A4" s="63" t="inlineStr">
        <is>
          <t>Indicador</t>
        </is>
      </c>
      <c r="B4" s="63" t="inlineStr">
        <is>
          <t>Valor</t>
        </is>
      </c>
    </row>
    <row r="5">
      <c r="A5" s="64" t="inlineStr">
        <is>
          <t>Receita média mensal</t>
        </is>
      </c>
      <c r="B5" s="67">
        <f>'DRE Simplificado'!O5</f>
        <v/>
      </c>
    </row>
    <row r="6">
      <c r="A6" s="66" t="inlineStr">
        <is>
          <t>Custos variáveis médios</t>
        </is>
      </c>
      <c r="B6" s="69">
        <f>'DRE Simplificado'!O9</f>
        <v/>
      </c>
    </row>
    <row r="7">
      <c r="A7" s="64" t="inlineStr">
        <is>
          <t>Margem de contribuição média (R$)</t>
        </is>
      </c>
      <c r="B7" s="67">
        <f>'DRE Simplificado'!O10</f>
        <v/>
      </c>
    </row>
    <row r="8">
      <c r="A8" s="66" t="inlineStr">
        <is>
          <t>Margem de contribuição (%)</t>
        </is>
      </c>
      <c r="B8" s="76">
        <f>IF(B5=0,"",B7/B5)</f>
        <v/>
      </c>
    </row>
    <row r="9">
      <c r="A9" s="64" t="inlineStr">
        <is>
          <t>Custos fixos médios</t>
        </is>
      </c>
      <c r="B9" s="67">
        <f>'DRE Simplificado'!O22</f>
        <v/>
      </c>
    </row>
    <row r="10">
      <c r="A10" s="71" t="inlineStr">
        <is>
          <t>PONTO DE EQUILÍBRIO (faturamento mínimo/mês)</t>
        </is>
      </c>
      <c r="B10" s="72">
        <f>IF(B8&lt;=0,"",B9/B8)</f>
        <v/>
      </c>
    </row>
    <row r="11">
      <c r="A11" s="64" t="inlineStr">
        <is>
          <t>Resultado médio atual</t>
        </is>
      </c>
      <c r="B11" s="67">
        <f>'DRE Simplificado'!O23</f>
        <v/>
      </c>
    </row>
    <row r="13">
      <c r="A13" s="151" t="inlineStr">
        <is>
          <t>Ticket médio da loja (preencha)</t>
        </is>
      </c>
      <c r="B13" s="77" t="n">
        <v>140</v>
      </c>
      <c r="C13" s="152" t="inlineStr">
        <is>
          <t>← valor médio de uma venda. Serve para converter R$ em nº de vendas.</t>
        </is>
      </c>
    </row>
    <row r="15" ht="15.75" customHeight="1" s="158">
      <c r="A15" s="78" t="inlineStr">
        <is>
          <t>QUANTO PRECISO VENDER PARA...</t>
        </is>
      </c>
    </row>
    <row r="16" ht="30" customHeight="1" s="158">
      <c r="A16" s="63" t="inlineStr">
        <is>
          <t>Objetivo</t>
        </is>
      </c>
      <c r="B16" s="63" t="inlineStr">
        <is>
          <t>Lucro desejado (R$)</t>
        </is>
      </c>
      <c r="C16" s="63" t="inlineStr">
        <is>
          <t>Faturamento necessário (R$)</t>
        </is>
      </c>
      <c r="D16" s="63" t="inlineStr">
        <is>
          <t>Nº de vendas no mês</t>
        </is>
      </c>
      <c r="E16" s="63" t="inlineStr">
        <is>
          <t>Vendas por dia útil (26 dias)</t>
        </is>
      </c>
    </row>
    <row r="17">
      <c r="A17" s="64" t="inlineStr">
        <is>
          <t>Não ter prejuízo (equilíbrio)</t>
        </is>
      </c>
      <c r="B17" s="67" t="n">
        <v>0</v>
      </c>
      <c r="C17" s="67">
        <f>IF($B$8&lt;=0,"",($B$9+B17)/$B$8)</f>
        <v/>
      </c>
      <c r="D17" s="68">
        <f>IF(OR($B$8&lt;=0,$B$13=0),"",ROUNDUP(C17/$B$13,0))</f>
        <v/>
      </c>
      <c r="E17" s="68">
        <f>IF(D17="","",ROUND(D17/26,1))</f>
        <v/>
      </c>
    </row>
    <row r="18">
      <c r="A18" s="66" t="inlineStr">
        <is>
          <t>Lucrar R$ 500</t>
        </is>
      </c>
      <c r="B18" s="69" t="n">
        <v>500</v>
      </c>
      <c r="C18" s="69">
        <f>IF($B$8&lt;=0,"",($B$9+B18)/$B$8)</f>
        <v/>
      </c>
      <c r="D18" s="70">
        <f>IF(OR($B$8&lt;=0,$B$13=0),"",ROUNDUP(C18/$B$13,0))</f>
        <v/>
      </c>
      <c r="E18" s="70">
        <f>IF(D18="","",ROUND(D18/26,1))</f>
        <v/>
      </c>
    </row>
    <row r="19">
      <c r="A19" s="64" t="inlineStr">
        <is>
          <t>Lucrar R$ 1.000</t>
        </is>
      </c>
      <c r="B19" s="67" t="n">
        <v>1000</v>
      </c>
      <c r="C19" s="67">
        <f>IF($B$8&lt;=0,"",($B$9+B19)/$B$8)</f>
        <v/>
      </c>
      <c r="D19" s="68">
        <f>IF(OR($B$8&lt;=0,$B$13=0),"",ROUNDUP(C19/$B$13,0))</f>
        <v/>
      </c>
      <c r="E19" s="68">
        <f>IF(D19="","",ROUND(D19/26,1))</f>
        <v/>
      </c>
    </row>
    <row r="20">
      <c r="A20" s="66" t="inlineStr">
        <is>
          <t>Lucrar R$ 2.000</t>
        </is>
      </c>
      <c r="B20" s="69" t="n">
        <v>2000</v>
      </c>
      <c r="C20" s="69">
        <f>IF($B$8&lt;=0,"",($B$9+B20)/$B$8)</f>
        <v/>
      </c>
      <c r="D20" s="70">
        <f>IF(OR($B$8&lt;=0,$B$13=0),"",ROUNDUP(C20/$B$13,0))</f>
        <v/>
      </c>
      <c r="E20" s="70">
        <f>IF(D20="","",ROUND(D20/26,1))</f>
        <v/>
      </c>
    </row>
    <row r="21">
      <c r="A21" s="64" t="inlineStr">
        <is>
          <t>Lucrar R$ 3.000</t>
        </is>
      </c>
      <c r="B21" s="67" t="n">
        <v>3000</v>
      </c>
      <c r="C21" s="67">
        <f>IF($B$8&lt;=0,"",($B$9+B21)/$B$8)</f>
        <v/>
      </c>
      <c r="D21" s="68">
        <f>IF(OR($B$8&lt;=0,$B$13=0),"",ROUNDUP(C21/$B$13,0))</f>
        <v/>
      </c>
      <c r="E21" s="68">
        <f>IF(D21="","",ROUND(D21/26,1))</f>
        <v/>
      </c>
    </row>
    <row r="22">
      <c r="A22" s="66" t="inlineStr">
        <is>
          <t>Lucrar R$ 5.000</t>
        </is>
      </c>
      <c r="B22" s="69" t="n">
        <v>5000</v>
      </c>
      <c r="C22" s="69">
        <f>IF($B$8&lt;=0,"",($B$9+B22)/$B$8)</f>
        <v/>
      </c>
      <c r="D22" s="70">
        <f>IF(OR($B$8&lt;=0,$B$13=0),"",ROUNDUP(C22/$B$13,0))</f>
        <v/>
      </c>
      <c r="E22" s="70">
        <f>IF(D22="","",ROUND(D22/26,1))</f>
        <v/>
      </c>
    </row>
    <row r="24">
      <c r="A24" s="218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8" min="1" max="1"/>
    <col width="22" customWidth="1" style="158" min="2" max="6"/>
  </cols>
  <sheetData>
    <row r="1" ht="21" customHeight="1" s="158">
      <c r="A1" s="209" t="inlineStr">
        <is>
          <t>FLUXO DE CAIXA PROJETADO</t>
        </is>
      </c>
    </row>
    <row r="2">
      <c r="A2" s="219" t="inlineStr">
        <is>
          <t>Projeção do saldo dos próximos meses. As previsões vêm da média de Jan–Ago; edite as células amarelas com o que você já sabe que vai entrar ou sair.</t>
        </is>
      </c>
    </row>
    <row r="3">
      <c r="A3" s="146" t="inlineStr">
        <is>
          <t>← Início</t>
        </is>
      </c>
    </row>
    <row r="4">
      <c r="A4" s="151" t="inlineStr">
        <is>
          <t>Saldo de caixa hoje (preencha)</t>
        </is>
      </c>
      <c r="B4" s="121" t="n">
        <v>0</v>
      </c>
      <c r="C4" s="152" t="inlineStr">
        <is>
          <t>← quanto existe de dinheiro em caixa + banco nesta data</t>
        </is>
      </c>
    </row>
    <row r="6" ht="30" customHeight="1" s="158">
      <c r="A6" s="63" t="inlineStr">
        <is>
          <t>Mês</t>
        </is>
      </c>
      <c r="B6" s="63" t="inlineStr">
        <is>
          <t>Entradas Previstas (R$)</t>
        </is>
      </c>
      <c r="C6" s="63" t="inlineStr">
        <is>
          <t>Recebimentos de Contas a Receber (R$)</t>
        </is>
      </c>
      <c r="D6" s="63" t="inlineStr">
        <is>
          <t>Saídas Previstas (R$)</t>
        </is>
      </c>
      <c r="E6" s="63" t="inlineStr">
        <is>
          <t>Resultado do Mês (R$)</t>
        </is>
      </c>
      <c r="F6" s="63" t="inlineStr">
        <is>
          <t>Saldo Acumulado (R$)</t>
        </is>
      </c>
    </row>
    <row r="7">
      <c r="A7" s="64" t="inlineStr">
        <is>
          <t>Setembro/2026</t>
        </is>
      </c>
      <c r="B7" s="77">
        <f>'DRE Simplificado'!O5</f>
        <v/>
      </c>
      <c r="C7" s="77">
        <f>'Contas a Pagar e Receber'!C5</f>
        <v/>
      </c>
      <c r="D7" s="77">
        <f>('DRE Simplificado'!O9+'DRE Simplificado'!O22)</f>
        <v/>
      </c>
      <c r="E7" s="67">
        <f>B7+C7-D7</f>
        <v/>
      </c>
      <c r="F7" s="74">
        <f>$B$4+E7</f>
        <v/>
      </c>
    </row>
    <row r="8">
      <c r="A8" s="66" t="inlineStr">
        <is>
          <t>Outubro/2026</t>
        </is>
      </c>
      <c r="B8" s="77">
        <f>'DRE Simplificado'!O5</f>
        <v/>
      </c>
      <c r="C8" s="77" t="n">
        <v>0</v>
      </c>
      <c r="D8" s="77">
        <f>('DRE Simplificado'!O9+'DRE Simplificado'!O22)</f>
        <v/>
      </c>
      <c r="E8" s="69">
        <f>B8+C8-D8</f>
        <v/>
      </c>
      <c r="F8" s="79">
        <f>F7+E8</f>
        <v/>
      </c>
    </row>
    <row r="9">
      <c r="A9" s="64" t="inlineStr">
        <is>
          <t>Novembro/2026</t>
        </is>
      </c>
      <c r="B9" s="77">
        <f>'DRE Simplificado'!O5</f>
        <v/>
      </c>
      <c r="C9" s="77" t="n">
        <v>0</v>
      </c>
      <c r="D9" s="77">
        <f>('DRE Simplificado'!O9+'DRE Simplificado'!O22)</f>
        <v/>
      </c>
      <c r="E9" s="67">
        <f>B9+C9-D9</f>
        <v/>
      </c>
      <c r="F9" s="74">
        <f>F8+E9</f>
        <v/>
      </c>
    </row>
    <row r="10">
      <c r="A10" s="66" t="inlineStr">
        <is>
          <t>Dezembro/2026</t>
        </is>
      </c>
      <c r="B10" s="77">
        <f>'DRE Simplificado'!O5</f>
        <v/>
      </c>
      <c r="C10" s="77" t="n">
        <v>0</v>
      </c>
      <c r="D10" s="77">
        <f>('DRE Simplificado'!O9+'DRE Simplificado'!O22)</f>
        <v/>
      </c>
      <c r="E10" s="69">
        <f>B10+C10-D10</f>
        <v/>
      </c>
      <c r="F10" s="79">
        <f>F9+E10</f>
        <v/>
      </c>
    </row>
    <row r="11">
      <c r="A11" s="71" t="n"/>
      <c r="B11" s="71" t="n"/>
      <c r="C11" s="71" t="n"/>
      <c r="D11" s="71" t="n"/>
      <c r="E11" s="71" t="n"/>
      <c r="F11" s="71" t="n"/>
    </row>
    <row r="12">
      <c r="A12" s="71" t="inlineStr">
        <is>
          <t>TOTAL PROJETADO</t>
        </is>
      </c>
      <c r="B12" s="72">
        <f>SUM(B7:B10)</f>
        <v/>
      </c>
      <c r="C12" s="72">
        <f>SUM(C7:C10)</f>
        <v/>
      </c>
      <c r="D12" s="72">
        <f>SUM(D7:D10)</f>
        <v/>
      </c>
      <c r="E12" s="72">
        <f>SUM(E7:E10)</f>
        <v/>
      </c>
      <c r="F12" s="72">
        <f>F10</f>
        <v/>
      </c>
    </row>
    <row r="14">
      <c r="A14" s="218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0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8" min="1" max="1"/>
    <col width="20" customWidth="1" style="158" min="2" max="2"/>
    <col width="56" customWidth="1" style="158" min="3" max="3"/>
  </cols>
  <sheetData>
    <row r="1" ht="21" customHeight="1" s="158">
      <c r="A1" s="209" t="inlineStr">
        <is>
          <t>RESERVA DE EMERGÊNCIA E IMPOSTOS</t>
        </is>
      </c>
    </row>
    <row r="2">
      <c r="A2" s="219" t="inlineStr">
        <is>
          <t>Quanto a loja precisa ter guardado para aguentar meses ruins, e quanto sai de imposto por mês.</t>
        </is>
      </c>
    </row>
    <row r="3">
      <c r="A3" s="146" t="inlineStr">
        <is>
          <t>← Início</t>
        </is>
      </c>
    </row>
    <row r="4" ht="15.75" customHeight="1" s="158">
      <c r="A4" s="78" t="inlineStr">
        <is>
          <t>RESERVA DE EMERGÊNCIA</t>
        </is>
      </c>
    </row>
    <row r="5">
      <c r="A5" s="63" t="inlineStr">
        <is>
          <t>Indicador</t>
        </is>
      </c>
      <c r="B5" s="63" t="inlineStr">
        <is>
          <t>Valor</t>
        </is>
      </c>
    </row>
    <row r="6">
      <c r="A6" s="66" t="inlineStr">
        <is>
          <t>Custo fixo médio mensal (aluguel, energia, salários, contabilidade...)</t>
        </is>
      </c>
      <c r="B6" s="69">
        <f>'DRE Simplificado'!O22</f>
        <v/>
      </c>
    </row>
    <row r="7">
      <c r="A7" s="64" t="inlineStr">
        <is>
          <t>Meses de cobertura desejados</t>
        </is>
      </c>
      <c r="B7" s="122" t="n">
        <v>3</v>
      </c>
      <c r="C7" s="152" t="inlineStr">
        <is>
          <t>← 3 meses é o padrão recomendado para pequeno comércio</t>
        </is>
      </c>
    </row>
    <row r="8">
      <c r="A8" s="71" t="inlineStr">
        <is>
          <t>RESERVA IDEAL</t>
        </is>
      </c>
      <c r="B8" s="72">
        <f>B6*B7</f>
        <v/>
      </c>
    </row>
    <row r="9">
      <c r="A9" s="64" t="inlineStr">
        <is>
          <t>Reserva que já existe hoje</t>
        </is>
      </c>
      <c r="B9" s="121" t="n">
        <v>23500</v>
      </c>
      <c r="C9" s="152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Total guardado: R$ 23.500,00.</t>
        </is>
      </c>
    </row>
    <row r="10">
      <c r="A10" s="66" t="inlineStr">
        <is>
          <t>Falta guardar</t>
        </is>
      </c>
      <c r="B10" s="69">
        <f>MAX(0,B8-B9)</f>
        <v/>
      </c>
    </row>
    <row r="11">
      <c r="A11" s="64" t="inlineStr">
        <is>
          <t>Meses de cobertura que você tem hoje</t>
        </is>
      </c>
      <c r="B11" s="87">
        <f>IF(B6=0,"",B9/B6)</f>
        <v/>
      </c>
    </row>
    <row r="14" ht="15.75" customHeight="1" s="158">
      <c r="A14" s="78" t="inlineStr">
        <is>
          <t>IMPOSTOS</t>
        </is>
      </c>
    </row>
    <row r="15">
      <c r="A15" s="63" t="inlineStr">
        <is>
          <t>Item</t>
        </is>
      </c>
      <c r="B15" s="63" t="inlineStr">
        <is>
          <t>Valor</t>
        </is>
      </c>
    </row>
    <row r="16">
      <c r="A16" s="66" t="inlineStr">
        <is>
          <t>Regime tributário</t>
        </is>
      </c>
      <c r="B16" s="65" t="inlineStr">
        <is>
          <t>Simples Nacional</t>
        </is>
      </c>
    </row>
    <row r="17">
      <c r="A17" s="64" t="inlineStr">
        <is>
          <t>Alíquota efetiva (%)</t>
        </is>
      </c>
      <c r="B17" s="81" t="n">
        <v>0.06</v>
      </c>
    </row>
    <row r="18">
      <c r="A18" s="66" t="inlineStr">
        <is>
          <t>Faturamento médio mensal</t>
        </is>
      </c>
      <c r="B18" s="69">
        <f>'DRE Simplificado'!O5</f>
        <v/>
      </c>
    </row>
    <row r="19">
      <c r="A19" s="64" t="inlineStr">
        <is>
          <t>Imposto estimado por mês</t>
        </is>
      </c>
      <c r="B19" s="67">
        <f>B18*B17</f>
        <v/>
      </c>
    </row>
    <row r="20">
      <c r="A20" s="66" t="inlineStr">
        <is>
          <t>Imposto estimado no ano (12 meses)</t>
        </is>
      </c>
      <c r="B20" s="69">
        <f>B19*12</f>
        <v/>
      </c>
    </row>
    <row r="21">
      <c r="A21" s="64" t="inlineStr">
        <is>
          <t>Dia de vencimento da guia (DAS)</t>
        </is>
      </c>
      <c r="B21" s="82" t="n">
        <v>20</v>
      </c>
    </row>
    <row r="23">
      <c r="A23" s="220" t="inlineStr">
        <is>
          <t>Regime e alíquota são um chute inicial — confirme com seu contador. O imposto já pago aparece nas abas mensais na categoria 'Impostos e Taxas'.</t>
        </is>
      </c>
    </row>
    <row r="24">
      <c r="A24" s="220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8" min="1" max="1"/>
    <col width="18" customWidth="1" style="158" min="2" max="6"/>
  </cols>
  <sheetData>
    <row r="1" ht="21" customHeight="1" s="158">
      <c r="A1" s="209" t="inlineStr">
        <is>
          <t>ORÇADO vs REALIZADO — AGOSTO/2026</t>
        </is>
      </c>
    </row>
    <row r="2">
      <c r="A2" s="219" t="inlineStr">
        <is>
          <t>Defina a meta (amarelo) e compare com o que realmente aconteceu. O realizado é puxado automaticamente da aba do mês.</t>
        </is>
      </c>
    </row>
    <row r="3">
      <c r="A3" s="146" t="inlineStr">
        <is>
          <t>← Início</t>
        </is>
      </c>
    </row>
    <row r="4">
      <c r="A4" s="63" t="inlineStr">
        <is>
          <t>Item</t>
        </is>
      </c>
      <c r="B4" s="63" t="inlineStr">
        <is>
          <t>Orçado (R$)</t>
        </is>
      </c>
      <c r="C4" s="63" t="inlineStr">
        <is>
          <t>Realizado (R$)</t>
        </is>
      </c>
      <c r="D4" s="63" t="inlineStr">
        <is>
          <t>Diferença (R$)</t>
        </is>
      </c>
      <c r="E4" s="63" t="inlineStr">
        <is>
          <t>% da Meta</t>
        </is>
      </c>
      <c r="F4" s="63" t="inlineStr">
        <is>
          <t>Situação</t>
        </is>
      </c>
    </row>
    <row r="5">
      <c r="A5" s="73" t="inlineStr">
        <is>
          <t>FATURAMENTO</t>
        </is>
      </c>
      <c r="B5" s="121" t="n">
        <v>15000</v>
      </c>
      <c r="C5" s="74">
        <f>SUMIF('Ago 2026'!E5:E500,"&lt;&gt;",'Ago 2026'!D5:D500)-SUMIF('Ago 2026'!E5:E500,"&lt;&gt;",'Ago 2026'!F5:F500)-'Ago 2026'!T5</f>
        <v/>
      </c>
      <c r="D5" s="74">
        <f>C5-B5</f>
        <v/>
      </c>
      <c r="E5" s="83">
        <f>IF(B5=0,"",C5/B5)</f>
        <v/>
      </c>
      <c r="F5" s="73">
        <f>IF(B5=0,"",IF(C5&gt;=B5,"✔ Meta atingida","Faltam "&amp;TEXT(B5-C5,"R$ #,##0.00")))</f>
        <v/>
      </c>
    </row>
    <row r="7" ht="15.75" customHeight="1" s="158">
      <c r="A7" s="78" t="inlineStr">
        <is>
          <t>DESPESAS POR CATEGORIA</t>
        </is>
      </c>
    </row>
    <row r="8">
      <c r="A8" s="63" t="inlineStr">
        <is>
          <t>Categoria</t>
        </is>
      </c>
      <c r="B8" s="63" t="inlineStr">
        <is>
          <t>Orçado (R$)</t>
        </is>
      </c>
      <c r="C8" s="63" t="inlineStr">
        <is>
          <t>Realizado (R$)</t>
        </is>
      </c>
      <c r="D8" s="63" t="inlineStr">
        <is>
          <t>Diferença (R$)</t>
        </is>
      </c>
      <c r="E8" s="63" t="inlineStr">
        <is>
          <t>% da Meta</t>
        </is>
      </c>
      <c r="F8" s="63" t="inlineStr">
        <is>
          <t>Situação</t>
        </is>
      </c>
    </row>
    <row r="9">
      <c r="A9" s="64" t="inlineStr">
        <is>
          <t>Fornecedores / Mercadoria</t>
        </is>
      </c>
      <c r="B9" s="121" t="n"/>
      <c r="C9" s="67">
        <f>'Ago 2026'!L5</f>
        <v/>
      </c>
      <c r="D9" s="67">
        <f>C9-B9</f>
        <v/>
      </c>
      <c r="E9" s="75">
        <f>IF(B9=0,"",C9/B9)</f>
        <v/>
      </c>
      <c r="F9" s="64">
        <f>IF(B9=0,"",IF(C9&lt;=B9,"✔ Dentro do orçado","Estourou "&amp;TEXT(C9-B9,"R$ #,##0.00")))</f>
        <v/>
      </c>
    </row>
    <row r="10">
      <c r="A10" s="66" t="inlineStr">
        <is>
          <t>Aluguel</t>
        </is>
      </c>
      <c r="B10" s="121" t="n"/>
      <c r="C10" s="69">
        <f>'Ago 2026'!L6</f>
        <v/>
      </c>
      <c r="D10" s="69">
        <f>C10-B10</f>
        <v/>
      </c>
      <c r="E10" s="76">
        <f>IF(B10=0,"",C10/B10)</f>
        <v/>
      </c>
      <c r="F10" s="66">
        <f>IF(B10=0,"",IF(C10&lt;=B10,"✔ Dentro do orçado","Estourou "&amp;TEXT(C10-B10,"R$ #,##0.00")))</f>
        <v/>
      </c>
    </row>
    <row r="11">
      <c r="A11" s="64" t="inlineStr">
        <is>
          <t>Água, Energia e Internet</t>
        </is>
      </c>
      <c r="B11" s="121" t="n"/>
      <c r="C11" s="67">
        <f>'Ago 2026'!L7</f>
        <v/>
      </c>
      <c r="D11" s="67">
        <f>C11-B11</f>
        <v/>
      </c>
      <c r="E11" s="75">
        <f>IF(B11=0,"",C11/B11)</f>
        <v/>
      </c>
      <c r="F11" s="64">
        <f>IF(B11=0,"",IF(C11&lt;=B11,"✔ Dentro do orçado","Estourou "&amp;TEXT(C11-B11,"R$ #,##0.00")))</f>
        <v/>
      </c>
    </row>
    <row r="12">
      <c r="A12" s="66" t="inlineStr">
        <is>
          <t>Impostos e Taxas</t>
        </is>
      </c>
      <c r="B12" s="121" t="n"/>
      <c r="C12" s="69">
        <f>'Ago 2026'!L8</f>
        <v/>
      </c>
      <c r="D12" s="69">
        <f>C12-B12</f>
        <v/>
      </c>
      <c r="E12" s="76">
        <f>IF(B12=0,"",C12/B12)</f>
        <v/>
      </c>
      <c r="F12" s="66">
        <f>IF(B12=0,"",IF(C12&lt;=B12,"✔ Dentro do orçado","Estourou "&amp;TEXT(C12-B12,"R$ #,##0.00")))</f>
        <v/>
      </c>
    </row>
    <row r="13">
      <c r="A13" s="64" t="inlineStr">
        <is>
          <t>Tarifas Bancárias e Cartão</t>
        </is>
      </c>
      <c r="B13" s="121" t="n"/>
      <c r="C13" s="67">
        <f>'Ago 2026'!L9</f>
        <v/>
      </c>
      <c r="D13" s="67">
        <f>C13-B13</f>
        <v/>
      </c>
      <c r="E13" s="75">
        <f>IF(B13=0,"",C13/B13)</f>
        <v/>
      </c>
      <c r="F13" s="64">
        <f>IF(B13=0,"",IF(C13&lt;=B13,"✔ Dentro do orçado","Estourou "&amp;TEXT(C13-B13,"R$ #,##0.00")))</f>
        <v/>
      </c>
    </row>
    <row r="14">
      <c r="A14" s="66" t="inlineStr">
        <is>
          <t>Transporte e Entregas</t>
        </is>
      </c>
      <c r="B14" s="121" t="n"/>
      <c r="C14" s="69">
        <f>'Ago 2026'!L10</f>
        <v/>
      </c>
      <c r="D14" s="69">
        <f>C14-B14</f>
        <v/>
      </c>
      <c r="E14" s="76">
        <f>IF(B14=0,"",C14/B14)</f>
        <v/>
      </c>
      <c r="F14" s="66">
        <f>IF(B14=0,"",IF(C14&lt;=B14,"✔ Dentro do orçado","Estourou "&amp;TEXT(C14-B14,"R$ #,##0.00")))</f>
        <v/>
      </c>
    </row>
    <row r="15">
      <c r="A15" s="64" t="inlineStr">
        <is>
          <t>Salários, Comissões e Encargos</t>
        </is>
      </c>
      <c r="B15" s="121" t="n"/>
      <c r="C15" s="67">
        <f>'Ago 2026'!L11</f>
        <v/>
      </c>
      <c r="D15" s="67">
        <f>C15-B15</f>
        <v/>
      </c>
      <c r="E15" s="75">
        <f>IF(B15=0,"",C15/B15)</f>
        <v/>
      </c>
      <c r="F15" s="64">
        <f>IF(B15=0,"",IF(C15&lt;=B15,"✔ Dentro do orçado","Estourou "&amp;TEXT(C15-B15,"R$ #,##0.00")))</f>
        <v/>
      </c>
    </row>
    <row r="16">
      <c r="A16" s="66" t="inlineStr">
        <is>
          <t>Contabilidade</t>
        </is>
      </c>
      <c r="B16" s="121" t="n"/>
      <c r="C16" s="69">
        <f>'Ago 2026'!L12</f>
        <v/>
      </c>
      <c r="D16" s="69">
        <f>C16-B16</f>
        <v/>
      </c>
      <c r="E16" s="76">
        <f>IF(B16=0,"",C16/B16)</f>
        <v/>
      </c>
      <c r="F16" s="66">
        <f>IF(B16=0,"",IF(C16&lt;=B16,"✔ Dentro do orçado","Estourou "&amp;TEXT(C16-B16,"R$ #,##0.00")))</f>
        <v/>
      </c>
    </row>
    <row r="17">
      <c r="A17" s="64" t="inlineStr">
        <is>
          <t>Manutenção e Reparos</t>
        </is>
      </c>
      <c r="B17" s="121" t="n"/>
      <c r="C17" s="67">
        <f>'Ago 2026'!L13</f>
        <v/>
      </c>
      <c r="D17" s="67">
        <f>C17-B17</f>
        <v/>
      </c>
      <c r="E17" s="75">
        <f>IF(B17=0,"",C17/B17)</f>
        <v/>
      </c>
      <c r="F17" s="64">
        <f>IF(B17=0,"",IF(C17&lt;=B17,"✔ Dentro do orçado","Estourou "&amp;TEXT(C17-B17,"R$ #,##0.00")))</f>
        <v/>
      </c>
    </row>
    <row r="18">
      <c r="A18" s="66" t="inlineStr">
        <is>
          <t>Material de Limpeza e Escritório</t>
        </is>
      </c>
      <c r="B18" s="121" t="n"/>
      <c r="C18" s="69">
        <f>'Ago 2026'!L14</f>
        <v/>
      </c>
      <c r="D18" s="69">
        <f>C18-B18</f>
        <v/>
      </c>
      <c r="E18" s="76">
        <f>IF(B18=0,"",C18/B18)</f>
        <v/>
      </c>
      <c r="F18" s="66">
        <f>IF(B18=0,"",IF(C18&lt;=B18,"✔ Dentro do orçado","Estourou "&amp;TEXT(C18-B18,"R$ #,##0.00")))</f>
        <v/>
      </c>
    </row>
    <row r="19">
      <c r="A19" s="64" t="inlineStr">
        <is>
          <t>Estornos de Vendas (Cancelamentos)</t>
        </is>
      </c>
      <c r="B19" s="121" t="n"/>
      <c r="C19" s="67">
        <f>'Ago 2026'!L15</f>
        <v/>
      </c>
      <c r="D19" s="67">
        <f>C19-B19</f>
        <v/>
      </c>
      <c r="E19" s="75">
        <f>IF(B19=0,"",C19/B19)</f>
        <v/>
      </c>
      <c r="F19" s="64">
        <f>IF(B19=0,"",IF(C19&lt;=B19,"✔ Dentro do orçado","Estourou "&amp;TEXT(C19-B19,"R$ #,##0.00")))</f>
        <v/>
      </c>
    </row>
    <row r="20">
      <c r="A20" s="66" t="inlineStr">
        <is>
          <t>Outras Despesas</t>
        </is>
      </c>
      <c r="B20" s="121" t="n"/>
      <c r="C20" s="69">
        <f>'Ago 2026'!L16</f>
        <v/>
      </c>
      <c r="D20" s="69">
        <f>C20-B20</f>
        <v/>
      </c>
      <c r="E20" s="76">
        <f>IF(B20=0,"",C20/B20)</f>
        <v/>
      </c>
      <c r="F20" s="66">
        <f>IF(B20=0,"",IF(C20&lt;=B20,"✔ Dentro do orçado","Estourou "&amp;TEXT(C20-B20,"R$ #,##0.00")))</f>
        <v/>
      </c>
    </row>
    <row r="21">
      <c r="A21" s="71" t="inlineStr">
        <is>
          <t>TOTAL DESPESAS</t>
        </is>
      </c>
      <c r="B21" s="72">
        <f>SUM(B9:B20)</f>
        <v/>
      </c>
      <c r="C21" s="72">
        <f>SUM(C9:C20)</f>
        <v/>
      </c>
      <c r="D21" s="72">
        <f>C21-B21</f>
        <v/>
      </c>
      <c r="E21" s="84">
        <f>IF(B21=0,"",C21/B21)</f>
        <v/>
      </c>
      <c r="F21" s="71" t="n"/>
    </row>
    <row r="23">
      <c r="A23" s="71" t="inlineStr">
        <is>
          <t>RESULTADO (Faturamento − Despesas)</t>
        </is>
      </c>
      <c r="B23" s="72">
        <f>B5-B21</f>
        <v/>
      </c>
      <c r="C23" s="72">
        <f>C5-C21</f>
        <v/>
      </c>
      <c r="D23" s="72">
        <f>C23-B23</f>
        <v/>
      </c>
      <c r="E23" s="71" t="n"/>
      <c r="F23" s="71" t="n"/>
    </row>
    <row r="25">
      <c r="A25" s="220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workbookViewId="0">
      <pane ySplit="6" topLeftCell="A7" activePane="bottomLeft" state="frozen"/>
      <selection pane="bottomLeft" activeCell="A1" sqref="A1:I1"/>
    </sheetView>
  </sheetViews>
  <sheetFormatPr baseColWidth="8" defaultRowHeight="15"/>
  <cols>
    <col width="38" customWidth="1" style="158" min="1" max="1"/>
    <col width="15" customWidth="1" style="158" min="2" max="9"/>
    <col width="13" customWidth="1" style="158" min="10" max="10"/>
  </cols>
  <sheetData>
    <row r="1" ht="21" customHeight="1" s="158">
      <c r="A1" s="209" t="inlineStr">
        <is>
          <t>PRECIFICAÇÃO E MARGEM POR PRODUTO</t>
        </is>
      </c>
    </row>
    <row r="2">
      <c r="A2" s="219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46" t="inlineStr">
        <is>
          <t>← Início</t>
        </is>
      </c>
    </row>
    <row r="4">
      <c r="A4" s="151" t="inlineStr">
        <is>
          <t>Taxa média de cartão</t>
        </is>
      </c>
      <c r="B4" s="81" t="n">
        <v>0.07000000000000001</v>
      </c>
      <c r="C4" s="151" t="inlineStr">
        <is>
          <t>Alíquota de imposto</t>
        </is>
      </c>
      <c r="D4" s="81" t="n">
        <v>0.06</v>
      </c>
      <c r="E4" s="152" t="inlineStr">
        <is>
          <t>← taxa dos itens de balcão. Purificadores usam 13,99% (crédito 10x) direto na fórmula; Baby usa 11% (6x).</t>
        </is>
      </c>
    </row>
    <row r="5">
      <c r="A5" s="221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8">
      <c r="A6" s="63" t="inlineStr">
        <is>
          <t>Produto / Serviço</t>
        </is>
      </c>
      <c r="B6" s="63" t="inlineStr">
        <is>
          <t>Preço de Venda (R$)</t>
        </is>
      </c>
      <c r="C6" s="63" t="inlineStr">
        <is>
          <t>Custo de Aquisição (R$)</t>
        </is>
      </c>
      <c r="D6" s="63" t="inlineStr">
        <is>
          <t>Comissão (R$)</t>
        </is>
      </c>
      <c r="E6" s="63" t="inlineStr">
        <is>
          <t>Taxa de Cartão (R$)</t>
        </is>
      </c>
      <c r="F6" s="63" t="inlineStr">
        <is>
          <t>Imposto (R$)</t>
        </is>
      </c>
      <c r="G6" s="63" t="inlineStr">
        <is>
          <t>Custo Total (R$)</t>
        </is>
      </c>
      <c r="H6" s="63" t="inlineStr">
        <is>
          <t>Margem Líquida (R$)</t>
        </is>
      </c>
      <c r="I6" s="63" t="inlineStr">
        <is>
          <t>Margem (%)</t>
        </is>
      </c>
      <c r="J6" s="63" t="inlineStr">
        <is>
          <t>Taxa aplicada</t>
        </is>
      </c>
    </row>
    <row r="7">
      <c r="A7" s="64" t="inlineStr">
        <is>
          <t>Refil Everest</t>
        </is>
      </c>
      <c r="B7" s="67" t="n">
        <v>140</v>
      </c>
      <c r="C7" s="121" t="n">
        <v>46.76</v>
      </c>
      <c r="D7" s="67" t="n">
        <v>10</v>
      </c>
      <c r="E7" s="67">
        <f>IF(B7="","",B7*IF($J7="",$B$4,$J7))</f>
        <v/>
      </c>
      <c r="F7" s="67">
        <f>IF(B7="","",B7*$D$4)</f>
        <v/>
      </c>
      <c r="G7" s="67">
        <f>IF(B7="","",SUM(C7:F7))</f>
        <v/>
      </c>
      <c r="H7" s="67">
        <f>IF(B7="","",B7-G7)</f>
        <v/>
      </c>
      <c r="I7" s="75">
        <f>IF(B7=0,"",H7/B7)</f>
        <v/>
      </c>
      <c r="J7" s="239" t="n"/>
    </row>
    <row r="8">
      <c r="A8" s="66" t="inlineStr">
        <is>
          <t>Refil Pro Life</t>
        </is>
      </c>
      <c r="B8" s="69" t="n">
        <v>140</v>
      </c>
      <c r="C8" s="121" t="n">
        <v>24.2</v>
      </c>
      <c r="D8" s="69" t="n">
        <v>10</v>
      </c>
      <c r="E8" s="69">
        <f>IF(B8="","",B8*IF($J8="",$B$4,$J8))</f>
        <v/>
      </c>
      <c r="F8" s="69">
        <f>IF(B8="","",B8*$D$4)</f>
        <v/>
      </c>
      <c r="G8" s="69">
        <f>IF(B8="","",SUM(C8:F8))</f>
        <v/>
      </c>
      <c r="H8" s="69">
        <f>IF(B8="","",B8-G8)</f>
        <v/>
      </c>
      <c r="I8" s="76">
        <f>IF(B8=0,"",H8/B8)</f>
        <v/>
      </c>
      <c r="J8" s="240" t="n"/>
    </row>
    <row r="9">
      <c r="A9" s="64" t="inlineStr">
        <is>
          <t>Refil Carbon Tech 9"</t>
        </is>
      </c>
      <c r="B9" s="67" t="n">
        <v>90</v>
      </c>
      <c r="C9" s="121" t="n">
        <v>32.48</v>
      </c>
      <c r="D9" s="67" t="n">
        <v>0</v>
      </c>
      <c r="E9" s="67">
        <f>IF(B9="","",B9*IF($J9="",$B$4,$J9))</f>
        <v/>
      </c>
      <c r="F9" s="67">
        <f>IF(B9="","",B9*$D$4)</f>
        <v/>
      </c>
      <c r="G9" s="67">
        <f>IF(B9="","",SUM(C9:F9))</f>
        <v/>
      </c>
      <c r="H9" s="67">
        <f>IF(B9="","",B9-G9)</f>
        <v/>
      </c>
      <c r="I9" s="75">
        <f>IF(B9=0,"",H9/B9)</f>
        <v/>
      </c>
      <c r="J9" s="239" t="n"/>
    </row>
    <row r="10">
      <c r="A10" s="66" t="inlineStr">
        <is>
          <t>Refil Carbon Tech 5"</t>
        </is>
      </c>
      <c r="B10" s="69" t="n">
        <v>60</v>
      </c>
      <c r="C10" s="121" t="n">
        <v>34.41</v>
      </c>
      <c r="D10" s="69" t="n">
        <v>0</v>
      </c>
      <c r="E10" s="69">
        <f>IF(B10="","",B10*IF($J10="",$B$4,$J10))</f>
        <v/>
      </c>
      <c r="F10" s="69">
        <f>IF(B10="","",B10*$D$4)</f>
        <v/>
      </c>
      <c r="G10" s="69">
        <f>IF(B10="","",SUM(C10:F10))</f>
        <v/>
      </c>
      <c r="H10" s="69">
        <f>IF(B10="","",B10-G10)</f>
        <v/>
      </c>
      <c r="I10" s="76">
        <f>IF(B10=0,"",H10/B10)</f>
        <v/>
      </c>
      <c r="J10" s="240" t="n"/>
    </row>
    <row r="11">
      <c r="A11" s="64" t="inlineStr">
        <is>
          <t>Refil E3</t>
        </is>
      </c>
      <c r="B11" s="67" t="n">
        <v>110</v>
      </c>
      <c r="C11" s="121" t="n">
        <v>20.17</v>
      </c>
      <c r="D11" s="67" t="n">
        <v>0</v>
      </c>
      <c r="E11" s="67">
        <f>IF(B11="","",B11*IF($J11="",$B$4,$J11))</f>
        <v/>
      </c>
      <c r="F11" s="67">
        <f>IF(B11="","",B11*$D$4)</f>
        <v/>
      </c>
      <c r="G11" s="67">
        <f>IF(B11="","",SUM(C11:F11))</f>
        <v/>
      </c>
      <c r="H11" s="67">
        <f>IF(B11="","",B11-G11)</f>
        <v/>
      </c>
      <c r="I11" s="75">
        <f>IF(B11=0,"",H11/B11)</f>
        <v/>
      </c>
      <c r="J11" s="239" t="n"/>
    </row>
    <row r="12">
      <c r="A12" s="66" t="inlineStr">
        <is>
          <t>Refil Plissado</t>
        </is>
      </c>
      <c r="B12" s="69" t="n">
        <v>90</v>
      </c>
      <c r="C12" s="121" t="n">
        <v>20.26</v>
      </c>
      <c r="D12" s="69" t="n">
        <v>0</v>
      </c>
      <c r="E12" s="69">
        <f>IF(B12="","",B12*IF($J12="",$B$4,$J12))</f>
        <v/>
      </c>
      <c r="F12" s="69">
        <f>IF(B12="","",B12*$D$4)</f>
        <v/>
      </c>
      <c r="G12" s="69">
        <f>IF(B12="","",SUM(C12:F12))</f>
        <v/>
      </c>
      <c r="H12" s="69">
        <f>IF(B12="","",B12-G12)</f>
        <v/>
      </c>
      <c r="I12" s="76">
        <f>IF(B12=0,"",H12/B12)</f>
        <v/>
      </c>
      <c r="J12" s="240" t="n"/>
    </row>
    <row r="13">
      <c r="A13" s="64" t="inlineStr">
        <is>
          <t>Refil C+3 (IBBL)</t>
        </is>
      </c>
      <c r="B13" s="67" t="n">
        <v>115</v>
      </c>
      <c r="C13" s="121" t="n">
        <v>24</v>
      </c>
      <c r="D13" s="67" t="n">
        <v>0</v>
      </c>
      <c r="E13" s="67">
        <f>IF(B13="","",B13*IF($J13="",$B$4,$J13))</f>
        <v/>
      </c>
      <c r="F13" s="67">
        <f>IF(B13="","",B13*$D$4)</f>
        <v/>
      </c>
      <c r="G13" s="67">
        <f>IF(B13="","",SUM(C13:F13))</f>
        <v/>
      </c>
      <c r="H13" s="67">
        <f>IF(B13="","",B13-G13)</f>
        <v/>
      </c>
      <c r="I13" s="75">
        <f>IF(B13=0,"",H13/B13)</f>
        <v/>
      </c>
      <c r="J13" s="239" t="n"/>
    </row>
    <row r="14">
      <c r="A14" s="66" t="inlineStr">
        <is>
          <t>Pré Filtro</t>
        </is>
      </c>
      <c r="B14" s="69" t="n">
        <v>60</v>
      </c>
      <c r="C14" s="121" t="n">
        <v>10.84</v>
      </c>
      <c r="D14" s="69" t="n">
        <v>0</v>
      </c>
      <c r="E14" s="69">
        <f>IF(B14="","",B14*IF($J14="",$B$4,$J14))</f>
        <v/>
      </c>
      <c r="F14" s="69">
        <f>IF(B14="","",B14*$D$4)</f>
        <v/>
      </c>
      <c r="G14" s="69">
        <f>IF(B14="","",SUM(C14:F14))</f>
        <v/>
      </c>
      <c r="H14" s="69">
        <f>IF(B14="","",B14-G14)</f>
        <v/>
      </c>
      <c r="I14" s="76">
        <f>IF(B14=0,"",H14/B14)</f>
        <v/>
      </c>
      <c r="J14" s="240" t="n"/>
    </row>
    <row r="15">
      <c r="A15" s="64" t="inlineStr">
        <is>
          <t>Mangueira (2 m)</t>
        </is>
      </c>
      <c r="B15" s="67" t="n">
        <v>20</v>
      </c>
      <c r="C15" s="121" t="n">
        <v>3.44</v>
      </c>
      <c r="D15" s="67" t="n">
        <v>0</v>
      </c>
      <c r="E15" s="67">
        <f>IF(B15="","",B15*IF($J15="",$B$4,$J15))</f>
        <v/>
      </c>
      <c r="F15" s="67">
        <f>IF(B15="","",B15*$D$4)</f>
        <v/>
      </c>
      <c r="G15" s="67">
        <f>IF(B15="","",SUM(C15:F15))</f>
        <v/>
      </c>
      <c r="H15" s="67">
        <f>IF(B15="","",B15-G15)</f>
        <v/>
      </c>
      <c r="I15" s="75">
        <f>IF(B15=0,"",H15/B15)</f>
        <v/>
      </c>
      <c r="J15" s="239" t="n"/>
    </row>
    <row r="16">
      <c r="A16" s="66" t="inlineStr">
        <is>
          <t>Registro</t>
        </is>
      </c>
      <c r="B16" s="69" t="n">
        <v>30</v>
      </c>
      <c r="C16" s="121" t="n">
        <v>5.19</v>
      </c>
      <c r="D16" s="69" t="n">
        <v>0</v>
      </c>
      <c r="E16" s="69">
        <f>IF(B16="","",B16*IF($J16="",$B$4,$J16))</f>
        <v/>
      </c>
      <c r="F16" s="69">
        <f>IF(B16="","",B16*$D$4)</f>
        <v/>
      </c>
      <c r="G16" s="69">
        <f>IF(B16="","",SUM(C16:F16))</f>
        <v/>
      </c>
      <c r="H16" s="69">
        <f>IF(B16="","",B16-G16)</f>
        <v/>
      </c>
      <c r="I16" s="76">
        <f>IF(B16=0,"",H16/B16)</f>
        <v/>
      </c>
      <c r="J16" s="240" t="n"/>
    </row>
    <row r="17">
      <c r="A17" s="64" t="inlineStr">
        <is>
          <t>Termostato</t>
        </is>
      </c>
      <c r="B17" s="67" t="n">
        <v>160</v>
      </c>
      <c r="C17" s="121" t="n"/>
      <c r="D17" s="67" t="n">
        <v>0</v>
      </c>
      <c r="E17" s="67">
        <f>IF(B17="","",B17*IF($J17="",$B$4,$J17))</f>
        <v/>
      </c>
      <c r="F17" s="67">
        <f>IF(B17="","",B17*$D$4)</f>
        <v/>
      </c>
      <c r="G17" s="67">
        <f>IF(B17="","",SUM(C17:F17))</f>
        <v/>
      </c>
      <c r="H17" s="67">
        <f>IF(B17="","",B17-G17)</f>
        <v/>
      </c>
      <c r="I17" s="75">
        <f>IF(B17=0,"",H17/B17)</f>
        <v/>
      </c>
      <c r="J17" s="239" t="n"/>
    </row>
    <row r="18">
      <c r="A18" s="66" t="inlineStr">
        <is>
          <t>Purificador Everest Slim Branco</t>
        </is>
      </c>
      <c r="B18" s="69" t="n">
        <v>1429</v>
      </c>
      <c r="C18" s="121" t="n">
        <v>715.02</v>
      </c>
      <c r="D18" s="69" t="n">
        <v>30</v>
      </c>
      <c r="E18" s="69">
        <f>IF(B18="","",B18*IF($J18="",$B$4,$J18))</f>
        <v/>
      </c>
      <c r="F18" s="69">
        <f>IF(B18="","",B18*$D$4)</f>
        <v/>
      </c>
      <c r="G18" s="69">
        <f>IF(B18="","",SUM(C18:F18))</f>
        <v/>
      </c>
      <c r="H18" s="69">
        <f>IF(B18="","",B18-G18)</f>
        <v/>
      </c>
      <c r="I18" s="76">
        <f>IF(B18=0,"",H18/B18)</f>
        <v/>
      </c>
      <c r="J18" s="240" t="n">
        <v>0.1399</v>
      </c>
    </row>
    <row r="19">
      <c r="A19" s="64" t="inlineStr">
        <is>
          <t>Purificador Everest Slim Prata</t>
        </is>
      </c>
      <c r="B19" s="67" t="n">
        <v>1486</v>
      </c>
      <c r="C19" s="121" t="n">
        <v>784.97</v>
      </c>
      <c r="D19" s="67" t="n">
        <v>30</v>
      </c>
      <c r="E19" s="67">
        <f>IF(B19="","",B19*IF($J19="",$B$4,$J19))</f>
        <v/>
      </c>
      <c r="F19" s="67">
        <f>IF(B19="","",B19*$D$4)</f>
        <v/>
      </c>
      <c r="G19" s="67">
        <f>IF(B19="","",SUM(C19:F19))</f>
        <v/>
      </c>
      <c r="H19" s="67">
        <f>IF(B19="","",B19-G19)</f>
        <v/>
      </c>
      <c r="I19" s="75">
        <f>IF(B19=0,"",H19/B19)</f>
        <v/>
      </c>
      <c r="J19" s="239" t="n">
        <v>0.1399</v>
      </c>
    </row>
    <row r="20">
      <c r="A20" s="66" t="inlineStr">
        <is>
          <t>Purificador Everest Star Branco</t>
        </is>
      </c>
      <c r="B20" s="69" t="n">
        <v>1429</v>
      </c>
      <c r="C20" s="121" t="n">
        <v>756.73</v>
      </c>
      <c r="D20" s="69" t="n">
        <v>30</v>
      </c>
      <c r="E20" s="69">
        <f>IF(B20="","",B20*IF($J20="",$B$4,$J20))</f>
        <v/>
      </c>
      <c r="F20" s="69">
        <f>IF(B20="","",B20*$D$4)</f>
        <v/>
      </c>
      <c r="G20" s="69">
        <f>IF(B20="","",SUM(C20:F20))</f>
        <v/>
      </c>
      <c r="H20" s="69">
        <f>IF(B20="","",B20-G20)</f>
        <v/>
      </c>
      <c r="I20" s="76">
        <f>IF(B20=0,"",H20/B20)</f>
        <v/>
      </c>
      <c r="J20" s="240" t="n">
        <v>0.1399</v>
      </c>
    </row>
    <row r="21">
      <c r="A21" s="64" t="inlineStr">
        <is>
          <t>Purificador Everest Plus Branco</t>
        </is>
      </c>
      <c r="B21" s="67" t="n">
        <v>1529</v>
      </c>
      <c r="C21" s="121" t="n">
        <v>820.73</v>
      </c>
      <c r="D21" s="67" t="n">
        <v>30</v>
      </c>
      <c r="E21" s="67">
        <f>IF(B21="","",B21*IF($J21="",$B$4,$J21))</f>
        <v/>
      </c>
      <c r="F21" s="67">
        <f>IF(B21="","",B21*$D$4)</f>
        <v/>
      </c>
      <c r="G21" s="67">
        <f>IF(B21="","",SUM(C21:F21))</f>
        <v/>
      </c>
      <c r="H21" s="67">
        <f>IF(B21="","",B21-G21)</f>
        <v/>
      </c>
      <c r="I21" s="75">
        <f>IF(B21=0,"",H21/B21)</f>
        <v/>
      </c>
      <c r="J21" s="239" t="n">
        <v>0.1399</v>
      </c>
    </row>
    <row r="22">
      <c r="A22" s="66" t="inlineStr">
        <is>
          <t>Purificador Everest Plus Prata</t>
        </is>
      </c>
      <c r="B22" s="69" t="n">
        <v>1569</v>
      </c>
      <c r="C22" s="121" t="n">
        <v>906.9299999999999</v>
      </c>
      <c r="D22" s="69" t="n">
        <v>30</v>
      </c>
      <c r="E22" s="69">
        <f>IF(B22="","",B22*IF($J22="",$B$4,$J22))</f>
        <v/>
      </c>
      <c r="F22" s="69">
        <f>IF(B22="","",B22*$D$4)</f>
        <v/>
      </c>
      <c r="G22" s="69">
        <f>IF(B22="","",SUM(C22:F22))</f>
        <v/>
      </c>
      <c r="H22" s="69">
        <f>IF(B22="","",B22-G22)</f>
        <v/>
      </c>
      <c r="I22" s="76">
        <f>IF(B22=0,"",H22/B22)</f>
        <v/>
      </c>
      <c r="J22" s="240" t="n">
        <v>0.1399</v>
      </c>
    </row>
    <row r="23">
      <c r="A23" s="64" t="inlineStr">
        <is>
          <t>Purificador Everest Fit Branco</t>
        </is>
      </c>
      <c r="B23" s="67" t="n">
        <v>1429</v>
      </c>
      <c r="C23" s="121" t="n">
        <v>756.73</v>
      </c>
      <c r="D23" s="67" t="n">
        <v>30</v>
      </c>
      <c r="E23" s="67">
        <f>IF(B23="","",B23*IF($J23="",$B$4,$J23))</f>
        <v/>
      </c>
      <c r="F23" s="67">
        <f>IF(B23="","",B23*$D$4)</f>
        <v/>
      </c>
      <c r="G23" s="67">
        <f>IF(B23="","",SUM(C23:F23))</f>
        <v/>
      </c>
      <c r="H23" s="67">
        <f>IF(B23="","",B23-G23)</f>
        <v/>
      </c>
      <c r="I23" s="75">
        <f>IF(B23=0,"",H23/B23)</f>
        <v/>
      </c>
      <c r="J23" s="239" t="n">
        <v>0.1399</v>
      </c>
    </row>
    <row r="24">
      <c r="A24" s="66" t="inlineStr">
        <is>
          <t>Purificador Everest Fit Preto</t>
        </is>
      </c>
      <c r="B24" s="69" t="n">
        <v>1486</v>
      </c>
      <c r="C24" s="121" t="n">
        <v>784.96</v>
      </c>
      <c r="D24" s="69" t="n">
        <v>30</v>
      </c>
      <c r="E24" s="69">
        <f>IF(B24="","",B24*IF($J24="",$B$4,$J24))</f>
        <v/>
      </c>
      <c r="F24" s="69">
        <f>IF(B24="","",B24*$D$4)</f>
        <v/>
      </c>
      <c r="G24" s="69">
        <f>IF(B24="","",SUM(C24:F24))</f>
        <v/>
      </c>
      <c r="H24" s="69">
        <f>IF(B24="","",B24-G24)</f>
        <v/>
      </c>
      <c r="I24" s="76">
        <f>IF(B24=0,"",H24/B24)</f>
        <v/>
      </c>
      <c r="J24" s="240" t="n">
        <v>0.1399</v>
      </c>
    </row>
    <row r="25">
      <c r="A25" s="64" t="inlineStr">
        <is>
          <t>Purificador Everest Fit Prata</t>
        </is>
      </c>
      <c r="B25" s="67" t="n">
        <v>1486</v>
      </c>
      <c r="C25" s="121" t="n">
        <v>739.37</v>
      </c>
      <c r="D25" s="67" t="n">
        <v>30</v>
      </c>
      <c r="E25" s="67">
        <f>IF(B25="","",B25*IF($J25="",$B$4,$J25))</f>
        <v/>
      </c>
      <c r="F25" s="67">
        <f>IF(B25="","",B25*$D$4)</f>
        <v/>
      </c>
      <c r="G25" s="67">
        <f>IF(B25="","",SUM(C25:F25))</f>
        <v/>
      </c>
      <c r="H25" s="67">
        <f>IF(B25="","",B25-G25)</f>
        <v/>
      </c>
      <c r="I25" s="75">
        <f>IF(B25=0,"",H25/B25)</f>
        <v/>
      </c>
      <c r="J25" s="239" t="n">
        <v>0.1399</v>
      </c>
    </row>
    <row r="26">
      <c r="A26" s="66" t="inlineStr">
        <is>
          <t>Purificador Everest Star Preto</t>
        </is>
      </c>
      <c r="B26" s="77" t="n">
        <v>1486</v>
      </c>
      <c r="C26" s="121" t="n">
        <v>784.96</v>
      </c>
      <c r="D26" s="69" t="n">
        <v>30</v>
      </c>
      <c r="E26" s="69">
        <f>IF(B26="","",B26*IF($J26="",$B$4,$J26))</f>
        <v/>
      </c>
      <c r="F26" s="69">
        <f>IF(B26="","",B26*$D$4)</f>
        <v/>
      </c>
      <c r="G26" s="69">
        <f>IF(B26="","",SUM(C26:F26))</f>
        <v/>
      </c>
      <c r="H26" s="69">
        <f>IF(B26="","",B26-G26)</f>
        <v/>
      </c>
      <c r="I26" s="76">
        <f>IF(B26=0,"",H26/B26)</f>
        <v/>
      </c>
      <c r="J26" s="240" t="n">
        <v>0.1399</v>
      </c>
    </row>
    <row r="27">
      <c r="A27" s="66" t="inlineStr">
        <is>
          <t>Purificador Everest Foz Branco</t>
        </is>
      </c>
      <c r="B27" s="77" t="n">
        <v>1589</v>
      </c>
      <c r="C27" s="121" t="n">
        <v>767.95</v>
      </c>
      <c r="D27" s="69" t="n">
        <v>30</v>
      </c>
      <c r="E27" s="69">
        <f>IF(B27="","",B27*IF($J27="",$B$4,$J27))</f>
        <v/>
      </c>
      <c r="F27" s="69">
        <f>IF(B27="","",B27*$D$4)</f>
        <v/>
      </c>
      <c r="G27" s="69">
        <f>IF(B27="","",SUM(C27:F27))</f>
        <v/>
      </c>
      <c r="H27" s="69">
        <f>IF(B27="","",B27-G27)</f>
        <v/>
      </c>
      <c r="I27" s="76">
        <f>IF(B27=0,"",H27/B27)</f>
        <v/>
      </c>
      <c r="J27" s="240" t="n">
        <v>0.1399</v>
      </c>
    </row>
    <row r="28">
      <c r="A28" s="66" t="inlineStr">
        <is>
          <t>Purificador Everest Foz Cinza/Grafite</t>
        </is>
      </c>
      <c r="B28" s="77" t="n">
        <v>1689</v>
      </c>
      <c r="C28" s="121" t="n">
        <v>819.5700000000001</v>
      </c>
      <c r="D28" s="69" t="n">
        <v>30</v>
      </c>
      <c r="E28" s="69">
        <f>IF(B28="","",B28*IF($J28="",$B$4,$J28))</f>
        <v/>
      </c>
      <c r="F28" s="69">
        <f>IF(B28="","",B28*$D$4)</f>
        <v/>
      </c>
      <c r="G28" s="69">
        <f>IF(B28="","",SUM(C28:F28))</f>
        <v/>
      </c>
      <c r="H28" s="69">
        <f>IF(B28="","",B28-G28)</f>
        <v/>
      </c>
      <c r="I28" s="76">
        <f>IF(B28=0,"",H28/B28)</f>
        <v/>
      </c>
      <c r="J28" s="240" t="n">
        <v>0.1399</v>
      </c>
    </row>
    <row r="29">
      <c r="A29" s="66" t="inlineStr">
        <is>
          <t>Purificador Everest Baby (todas as cores)</t>
        </is>
      </c>
      <c r="B29" s="77" t="n">
        <v>420</v>
      </c>
      <c r="C29" s="121" t="n">
        <v>150.13</v>
      </c>
      <c r="D29" s="69" t="n">
        <v>30</v>
      </c>
      <c r="E29" s="69">
        <f>IF(B29="","",B29*IF($J29="",$B$4,$J29))</f>
        <v/>
      </c>
      <c r="F29" s="69">
        <f>IF(B29="","",B29*$D$4)</f>
        <v/>
      </c>
      <c r="G29" s="69">
        <f>IF(B29="","",SUM(C29:F29))</f>
        <v/>
      </c>
      <c r="H29" s="69">
        <f>IF(B29="","",B29-G29)</f>
        <v/>
      </c>
      <c r="I29" s="76">
        <f>IF(B29=0,"",H29/B29)</f>
        <v/>
      </c>
      <c r="J29" s="240" t="n">
        <v>0.11</v>
      </c>
    </row>
    <row r="31">
      <c r="A31" s="220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</t>
        </is>
      </c>
    </row>
    <row r="32">
      <c r="A32" s="220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216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Termostato: sem compra em 2026.</t>
        </is>
      </c>
    </row>
    <row r="34">
      <c r="A34" s="216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8" min="1" max="1"/>
    <col width="44" customWidth="1" style="158" min="2" max="2"/>
    <col width="18" customWidth="1" style="158" min="3" max="4"/>
    <col width="16" customWidth="1" style="158" min="5" max="6"/>
    <col width="40" customWidth="1" style="158" min="7" max="7"/>
  </cols>
  <sheetData>
    <row r="1" ht="21" customHeight="1" s="158">
      <c r="A1" s="209" t="inlineStr">
        <is>
          <t>CONCILIAÇÃO BANCÁRIA</t>
        </is>
      </c>
    </row>
    <row r="2">
      <c r="A2" s="219" t="inlineStr">
        <is>
          <t>Compare o que está lançado na planilha com o que aparece no extrato do banco. Qualquer diferença aparece sozinha na coluna Status.</t>
        </is>
      </c>
    </row>
    <row r="3">
      <c r="A3" s="146" t="inlineStr">
        <is>
          <t>← Início</t>
        </is>
      </c>
    </row>
    <row r="4" ht="30" customHeight="1" s="158">
      <c r="A4" s="63" t="inlineStr">
        <is>
          <t>Data</t>
        </is>
      </c>
      <c r="B4" s="63" t="inlineStr">
        <is>
          <t>Descrição</t>
        </is>
      </c>
      <c r="C4" s="63" t="inlineStr">
        <is>
          <t>Valor na Planilha (R$)</t>
        </is>
      </c>
      <c r="D4" s="63" t="inlineStr">
        <is>
          <t>Valor no Extrato (R$)</t>
        </is>
      </c>
      <c r="E4" s="63" t="inlineStr">
        <is>
          <t>Diferença (R$)</t>
        </is>
      </c>
      <c r="F4" s="63" t="inlineStr">
        <is>
          <t>Status</t>
        </is>
      </c>
      <c r="G4" s="63" t="inlineStr">
        <is>
          <t>Observações</t>
        </is>
      </c>
    </row>
    <row r="5">
      <c r="A5" s="86" t="n"/>
      <c r="B5" s="64" t="n"/>
      <c r="C5" s="67" t="n"/>
      <c r="D5" s="67" t="n"/>
      <c r="E5" s="67">
        <f>IF(AND(C5="",D5=""),"",C5-D5)</f>
        <v/>
      </c>
      <c r="F5" s="68">
        <f>IF(AND(C5="",D5=""),"",IF(ROUND(E5,2)=0,"OK","DIVERGENTE"))</f>
        <v/>
      </c>
      <c r="G5" s="64" t="n"/>
    </row>
    <row r="6">
      <c r="A6" s="85" t="n"/>
      <c r="B6" s="66" t="n"/>
      <c r="C6" s="69" t="n"/>
      <c r="D6" s="69" t="n"/>
      <c r="E6" s="69">
        <f>IF(AND(C6="",D6=""),"",C6-D6)</f>
        <v/>
      </c>
      <c r="F6" s="70">
        <f>IF(AND(C6="",D6=""),"",IF(ROUND(E6,2)=0,"OK","DIVERGENTE"))</f>
        <v/>
      </c>
      <c r="G6" s="66" t="n"/>
    </row>
    <row r="7">
      <c r="A7" s="86" t="n"/>
      <c r="B7" s="64" t="n"/>
      <c r="C7" s="67" t="n"/>
      <c r="D7" s="67" t="n"/>
      <c r="E7" s="67">
        <f>IF(AND(C7="",D7=""),"",C7-D7)</f>
        <v/>
      </c>
      <c r="F7" s="68">
        <f>IF(AND(C7="",D7=""),"",IF(ROUND(E7,2)=0,"OK","DIVERGENTE"))</f>
        <v/>
      </c>
      <c r="G7" s="64" t="n"/>
    </row>
    <row r="8">
      <c r="A8" s="85" t="n"/>
      <c r="B8" s="66" t="n"/>
      <c r="C8" s="69" t="n"/>
      <c r="D8" s="69" t="n"/>
      <c r="E8" s="69">
        <f>IF(AND(C8="",D8=""),"",C8-D8)</f>
        <v/>
      </c>
      <c r="F8" s="70">
        <f>IF(AND(C8="",D8=""),"",IF(ROUND(E8,2)=0,"OK","DIVERGENTE"))</f>
        <v/>
      </c>
      <c r="G8" s="66" t="n"/>
    </row>
    <row r="9">
      <c r="A9" s="86" t="n"/>
      <c r="B9" s="64" t="n"/>
      <c r="C9" s="67" t="n"/>
      <c r="D9" s="67" t="n"/>
      <c r="E9" s="67">
        <f>IF(AND(C9="",D9=""),"",C9-D9)</f>
        <v/>
      </c>
      <c r="F9" s="68">
        <f>IF(AND(C9="",D9=""),"",IF(ROUND(E9,2)=0,"OK","DIVERGENTE"))</f>
        <v/>
      </c>
      <c r="G9" s="64" t="n"/>
    </row>
    <row r="10">
      <c r="A10" s="85" t="n"/>
      <c r="B10" s="66" t="n"/>
      <c r="C10" s="69" t="n"/>
      <c r="D10" s="69" t="n"/>
      <c r="E10" s="69">
        <f>IF(AND(C10="",D10=""),"",C10-D10)</f>
        <v/>
      </c>
      <c r="F10" s="70">
        <f>IF(AND(C10="",D10=""),"",IF(ROUND(E10,2)=0,"OK","DIVERGENTE"))</f>
        <v/>
      </c>
      <c r="G10" s="66" t="n"/>
    </row>
    <row r="11">
      <c r="A11" s="86" t="n"/>
      <c r="B11" s="64" t="n"/>
      <c r="C11" s="67" t="n"/>
      <c r="D11" s="67" t="n"/>
      <c r="E11" s="67">
        <f>IF(AND(C11="",D11=""),"",C11-D11)</f>
        <v/>
      </c>
      <c r="F11" s="68">
        <f>IF(AND(C11="",D11=""),"",IF(ROUND(E11,2)=0,"OK","DIVERGENTE"))</f>
        <v/>
      </c>
      <c r="G11" s="64" t="n"/>
    </row>
    <row r="12">
      <c r="A12" s="85" t="n"/>
      <c r="B12" s="66" t="n"/>
      <c r="C12" s="69" t="n"/>
      <c r="D12" s="69" t="n"/>
      <c r="E12" s="69">
        <f>IF(AND(C12="",D12=""),"",C12-D12)</f>
        <v/>
      </c>
      <c r="F12" s="70">
        <f>IF(AND(C12="",D12=""),"",IF(ROUND(E12,2)=0,"OK","DIVERGENTE"))</f>
        <v/>
      </c>
      <c r="G12" s="66" t="n"/>
    </row>
    <row r="13">
      <c r="A13" s="86" t="n"/>
      <c r="B13" s="64" t="n"/>
      <c r="C13" s="67" t="n"/>
      <c r="D13" s="67" t="n"/>
      <c r="E13" s="67">
        <f>IF(AND(C13="",D13=""),"",C13-D13)</f>
        <v/>
      </c>
      <c r="F13" s="68">
        <f>IF(AND(C13="",D13=""),"",IF(ROUND(E13,2)=0,"OK","DIVERGENTE"))</f>
        <v/>
      </c>
      <c r="G13" s="64" t="n"/>
    </row>
    <row r="14">
      <c r="A14" s="85" t="n"/>
      <c r="B14" s="66" t="n"/>
      <c r="C14" s="69" t="n"/>
      <c r="D14" s="69" t="n"/>
      <c r="E14" s="69">
        <f>IF(AND(C14="",D14=""),"",C14-D14)</f>
        <v/>
      </c>
      <c r="F14" s="70">
        <f>IF(AND(C14="",D14=""),"",IF(ROUND(E14,2)=0,"OK","DIVERGENTE"))</f>
        <v/>
      </c>
      <c r="G14" s="66" t="n"/>
    </row>
    <row r="15">
      <c r="A15" s="86" t="n"/>
      <c r="B15" s="64" t="n"/>
      <c r="C15" s="67" t="n"/>
      <c r="D15" s="67" t="n"/>
      <c r="E15" s="67">
        <f>IF(AND(C15="",D15=""),"",C15-D15)</f>
        <v/>
      </c>
      <c r="F15" s="68">
        <f>IF(AND(C15="",D15=""),"",IF(ROUND(E15,2)=0,"OK","DIVERGENTE"))</f>
        <v/>
      </c>
      <c r="G15" s="64" t="n"/>
    </row>
    <row r="16">
      <c r="A16" s="85" t="n"/>
      <c r="B16" s="66" t="n"/>
      <c r="C16" s="69" t="n"/>
      <c r="D16" s="69" t="n"/>
      <c r="E16" s="69">
        <f>IF(AND(C16="",D16=""),"",C16-D16)</f>
        <v/>
      </c>
      <c r="F16" s="70">
        <f>IF(AND(C16="",D16=""),"",IF(ROUND(E16,2)=0,"OK","DIVERGENTE"))</f>
        <v/>
      </c>
      <c r="G16" s="66" t="n"/>
    </row>
    <row r="17">
      <c r="A17" s="86" t="n"/>
      <c r="B17" s="64" t="n"/>
      <c r="C17" s="67" t="n"/>
      <c r="D17" s="67" t="n"/>
      <c r="E17" s="67">
        <f>IF(AND(C17="",D17=""),"",C17-D17)</f>
        <v/>
      </c>
      <c r="F17" s="68">
        <f>IF(AND(C17="",D17=""),"",IF(ROUND(E17,2)=0,"OK","DIVERGENTE"))</f>
        <v/>
      </c>
      <c r="G17" s="64" t="n"/>
    </row>
    <row r="18">
      <c r="A18" s="85" t="n"/>
      <c r="B18" s="66" t="n"/>
      <c r="C18" s="69" t="n"/>
      <c r="D18" s="69" t="n"/>
      <c r="E18" s="69">
        <f>IF(AND(C18="",D18=""),"",C18-D18)</f>
        <v/>
      </c>
      <c r="F18" s="70">
        <f>IF(AND(C18="",D18=""),"",IF(ROUND(E18,2)=0,"OK","DIVERGENTE"))</f>
        <v/>
      </c>
      <c r="G18" s="66" t="n"/>
    </row>
    <row r="19">
      <c r="A19" s="86" t="n"/>
      <c r="B19" s="64" t="n"/>
      <c r="C19" s="67" t="n"/>
      <c r="D19" s="67" t="n"/>
      <c r="E19" s="67">
        <f>IF(AND(C19="",D19=""),"",C19-D19)</f>
        <v/>
      </c>
      <c r="F19" s="68">
        <f>IF(AND(C19="",D19=""),"",IF(ROUND(E19,2)=0,"OK","DIVERGENTE"))</f>
        <v/>
      </c>
      <c r="G19" s="64" t="n"/>
    </row>
    <row r="20">
      <c r="A20" s="85" t="n"/>
      <c r="B20" s="66" t="n"/>
      <c r="C20" s="69" t="n"/>
      <c r="D20" s="69" t="n"/>
      <c r="E20" s="69">
        <f>IF(AND(C20="",D20=""),"",C20-D20)</f>
        <v/>
      </c>
      <c r="F20" s="70">
        <f>IF(AND(C20="",D20=""),"",IF(ROUND(E20,2)=0,"OK","DIVERGENTE"))</f>
        <v/>
      </c>
      <c r="G20" s="66" t="n"/>
    </row>
    <row r="21">
      <c r="A21" s="86" t="n"/>
      <c r="B21" s="64" t="n"/>
      <c r="C21" s="67" t="n"/>
      <c r="D21" s="67" t="n"/>
      <c r="E21" s="67">
        <f>IF(AND(C21="",D21=""),"",C21-D21)</f>
        <v/>
      </c>
      <c r="F21" s="68">
        <f>IF(AND(C21="",D21=""),"",IF(ROUND(E21,2)=0,"OK","DIVERGENTE"))</f>
        <v/>
      </c>
      <c r="G21" s="64" t="n"/>
    </row>
    <row r="22">
      <c r="A22" s="85" t="n"/>
      <c r="B22" s="66" t="n"/>
      <c r="C22" s="69" t="n"/>
      <c r="D22" s="69" t="n"/>
      <c r="E22" s="69">
        <f>IF(AND(C22="",D22=""),"",C22-D22)</f>
        <v/>
      </c>
      <c r="F22" s="70">
        <f>IF(AND(C22="",D22=""),"",IF(ROUND(E22,2)=0,"OK","DIVERGENTE"))</f>
        <v/>
      </c>
      <c r="G22" s="66" t="n"/>
    </row>
    <row r="23">
      <c r="A23" s="86" t="n"/>
      <c r="B23" s="64" t="n"/>
      <c r="C23" s="67" t="n"/>
      <c r="D23" s="67" t="n"/>
      <c r="E23" s="67">
        <f>IF(AND(C23="",D23=""),"",C23-D23)</f>
        <v/>
      </c>
      <c r="F23" s="68">
        <f>IF(AND(C23="",D23=""),"",IF(ROUND(E23,2)=0,"OK","DIVERGENTE"))</f>
        <v/>
      </c>
      <c r="G23" s="64" t="n"/>
    </row>
    <row r="24">
      <c r="A24" s="85" t="n"/>
      <c r="B24" s="66" t="n"/>
      <c r="C24" s="69" t="n"/>
      <c r="D24" s="69" t="n"/>
      <c r="E24" s="69">
        <f>IF(AND(C24="",D24=""),"",C24-D24)</f>
        <v/>
      </c>
      <c r="F24" s="70">
        <f>IF(AND(C24="",D24=""),"",IF(ROUND(E24,2)=0,"OK","DIVERGENTE"))</f>
        <v/>
      </c>
      <c r="G24" s="66" t="n"/>
    </row>
    <row r="25">
      <c r="A25" s="86" t="n"/>
      <c r="B25" s="64" t="n"/>
      <c r="C25" s="67" t="n"/>
      <c r="D25" s="67" t="n"/>
      <c r="E25" s="67">
        <f>IF(AND(C25="",D25=""),"",C25-D25)</f>
        <v/>
      </c>
      <c r="F25" s="68">
        <f>IF(AND(C25="",D25=""),"",IF(ROUND(E25,2)=0,"OK","DIVERGENTE"))</f>
        <v/>
      </c>
      <c r="G25" s="64" t="n"/>
    </row>
    <row r="26">
      <c r="A26" s="85" t="n"/>
      <c r="B26" s="66" t="n"/>
      <c r="C26" s="69" t="n"/>
      <c r="D26" s="69" t="n"/>
      <c r="E26" s="69">
        <f>IF(AND(C26="",D26=""),"",C26-D26)</f>
        <v/>
      </c>
      <c r="F26" s="70">
        <f>IF(AND(C26="",D26=""),"",IF(ROUND(E26,2)=0,"OK","DIVERGENTE"))</f>
        <v/>
      </c>
      <c r="G26" s="66" t="n"/>
    </row>
    <row r="27">
      <c r="A27" s="86" t="n"/>
      <c r="B27" s="64" t="n"/>
      <c r="C27" s="67" t="n"/>
      <c r="D27" s="67" t="n"/>
      <c r="E27" s="67">
        <f>IF(AND(C27="",D27=""),"",C27-D27)</f>
        <v/>
      </c>
      <c r="F27" s="68">
        <f>IF(AND(C27="",D27=""),"",IF(ROUND(E27,2)=0,"OK","DIVERGENTE"))</f>
        <v/>
      </c>
      <c r="G27" s="64" t="n"/>
    </row>
    <row r="28">
      <c r="A28" s="85" t="n"/>
      <c r="B28" s="66" t="n"/>
      <c r="C28" s="69" t="n"/>
      <c r="D28" s="69" t="n"/>
      <c r="E28" s="69">
        <f>IF(AND(C28="",D28=""),"",C28-D28)</f>
        <v/>
      </c>
      <c r="F28" s="70">
        <f>IF(AND(C28="",D28=""),"",IF(ROUND(E28,2)=0,"OK","DIVERGENTE"))</f>
        <v/>
      </c>
      <c r="G28" s="66" t="n"/>
    </row>
    <row r="29">
      <c r="A29" s="86" t="n"/>
      <c r="B29" s="64" t="n"/>
      <c r="C29" s="67" t="n"/>
      <c r="D29" s="67" t="n"/>
      <c r="E29" s="67">
        <f>IF(AND(C29="",D29=""),"",C29-D29)</f>
        <v/>
      </c>
      <c r="F29" s="68">
        <f>IF(AND(C29="",D29=""),"",IF(ROUND(E29,2)=0,"OK","DIVERGENTE"))</f>
        <v/>
      </c>
      <c r="G29" s="64" t="n"/>
    </row>
    <row r="30">
      <c r="A30" s="85" t="n"/>
      <c r="B30" s="66" t="n"/>
      <c r="C30" s="69" t="n"/>
      <c r="D30" s="69" t="n"/>
      <c r="E30" s="69">
        <f>IF(AND(C30="",D30=""),"",C30-D30)</f>
        <v/>
      </c>
      <c r="F30" s="70">
        <f>IF(AND(C30="",D30=""),"",IF(ROUND(E30,2)=0,"OK","DIVERGENTE"))</f>
        <v/>
      </c>
      <c r="G30" s="66" t="n"/>
    </row>
    <row r="31">
      <c r="A31" s="86" t="n"/>
      <c r="B31" s="64" t="n"/>
      <c r="C31" s="67" t="n"/>
      <c r="D31" s="67" t="n"/>
      <c r="E31" s="67">
        <f>IF(AND(C31="",D31=""),"",C31-D31)</f>
        <v/>
      </c>
      <c r="F31" s="68">
        <f>IF(AND(C31="",D31=""),"",IF(ROUND(E31,2)=0,"OK","DIVERGENTE"))</f>
        <v/>
      </c>
      <c r="G31" s="64" t="n"/>
    </row>
    <row r="32">
      <c r="A32" s="85" t="n"/>
      <c r="B32" s="66" t="n"/>
      <c r="C32" s="69" t="n"/>
      <c r="D32" s="69" t="n"/>
      <c r="E32" s="69">
        <f>IF(AND(C32="",D32=""),"",C32-D32)</f>
        <v/>
      </c>
      <c r="F32" s="70">
        <f>IF(AND(C32="",D32=""),"",IF(ROUND(E32,2)=0,"OK","DIVERGENTE"))</f>
        <v/>
      </c>
      <c r="G32" s="66" t="n"/>
    </row>
    <row r="33">
      <c r="A33" s="86" t="n"/>
      <c r="B33" s="64" t="n"/>
      <c r="C33" s="67" t="n"/>
      <c r="D33" s="67" t="n"/>
      <c r="E33" s="67">
        <f>IF(AND(C33="",D33=""),"",C33-D33)</f>
        <v/>
      </c>
      <c r="F33" s="68">
        <f>IF(AND(C33="",D33=""),"",IF(ROUND(E33,2)=0,"OK","DIVERGENTE"))</f>
        <v/>
      </c>
      <c r="G33" s="64" t="n"/>
    </row>
    <row r="34">
      <c r="A34" s="85" t="n"/>
      <c r="B34" s="66" t="n"/>
      <c r="C34" s="69" t="n"/>
      <c r="D34" s="69" t="n"/>
      <c r="E34" s="69">
        <f>IF(AND(C34="",D34=""),"",C34-D34)</f>
        <v/>
      </c>
      <c r="F34" s="70">
        <f>IF(AND(C34="",D34=""),"",IF(ROUND(E34,2)=0,"OK","DIVERGENTE"))</f>
        <v/>
      </c>
      <c r="G34" s="66" t="n"/>
    </row>
    <row r="35">
      <c r="A35" s="86" t="n"/>
      <c r="B35" s="64" t="n"/>
      <c r="C35" s="67" t="n"/>
      <c r="D35" s="67" t="n"/>
      <c r="E35" s="67">
        <f>IF(AND(C35="",D35=""),"",C35-D35)</f>
        <v/>
      </c>
      <c r="F35" s="68">
        <f>IF(AND(C35="",D35=""),"",IF(ROUND(E35,2)=0,"OK","DIVERGENTE"))</f>
        <v/>
      </c>
      <c r="G35" s="64" t="n"/>
    </row>
    <row r="36">
      <c r="A36" s="85" t="n"/>
      <c r="B36" s="66" t="n"/>
      <c r="C36" s="69" t="n"/>
      <c r="D36" s="69" t="n"/>
      <c r="E36" s="69">
        <f>IF(AND(C36="",D36=""),"",C36-D36)</f>
        <v/>
      </c>
      <c r="F36" s="70">
        <f>IF(AND(C36="",D36=""),"",IF(ROUND(E36,2)=0,"OK","DIVERGENTE"))</f>
        <v/>
      </c>
      <c r="G36" s="66" t="n"/>
    </row>
    <row r="37">
      <c r="A37" s="86" t="n"/>
      <c r="B37" s="64" t="n"/>
      <c r="C37" s="67" t="n"/>
      <c r="D37" s="67" t="n"/>
      <c r="E37" s="67">
        <f>IF(AND(C37="",D37=""),"",C37-D37)</f>
        <v/>
      </c>
      <c r="F37" s="68">
        <f>IF(AND(C37="",D37=""),"",IF(ROUND(E37,2)=0,"OK","DIVERGENTE"))</f>
        <v/>
      </c>
      <c r="G37" s="64" t="n"/>
    </row>
    <row r="38">
      <c r="A38" s="85" t="n"/>
      <c r="B38" s="66" t="n"/>
      <c r="C38" s="69" t="n"/>
      <c r="D38" s="69" t="n"/>
      <c r="E38" s="69">
        <f>IF(AND(C38="",D38=""),"",C38-D38)</f>
        <v/>
      </c>
      <c r="F38" s="70">
        <f>IF(AND(C38="",D38=""),"",IF(ROUND(E38,2)=0,"OK","DIVERGENTE"))</f>
        <v/>
      </c>
      <c r="G38" s="66" t="n"/>
    </row>
    <row r="39">
      <c r="A39" s="86" t="n"/>
      <c r="B39" s="64" t="n"/>
      <c r="C39" s="67" t="n"/>
      <c r="D39" s="67" t="n"/>
      <c r="E39" s="67">
        <f>IF(AND(C39="",D39=""),"",C39-D39)</f>
        <v/>
      </c>
      <c r="F39" s="68">
        <f>IF(AND(C39="",D39=""),"",IF(ROUND(E39,2)=0,"OK","DIVERGENTE"))</f>
        <v/>
      </c>
      <c r="G39" s="64" t="n"/>
    </row>
    <row r="40">
      <c r="A40" s="85" t="n"/>
      <c r="B40" s="66" t="n"/>
      <c r="C40" s="69" t="n"/>
      <c r="D40" s="69" t="n"/>
      <c r="E40" s="69">
        <f>IF(AND(C40="",D40=""),"",C40-D40)</f>
        <v/>
      </c>
      <c r="F40" s="70">
        <f>IF(AND(C40="",D40=""),"",IF(ROUND(E40,2)=0,"OK","DIVERGENTE"))</f>
        <v/>
      </c>
      <c r="G40" s="66" t="n"/>
    </row>
    <row r="41">
      <c r="A41" s="86" t="n"/>
      <c r="B41" s="64" t="n"/>
      <c r="C41" s="67" t="n"/>
      <c r="D41" s="67" t="n"/>
      <c r="E41" s="67">
        <f>IF(AND(C41="",D41=""),"",C41-D41)</f>
        <v/>
      </c>
      <c r="F41" s="68">
        <f>IF(AND(C41="",D41=""),"",IF(ROUND(E41,2)=0,"OK","DIVERGENTE"))</f>
        <v/>
      </c>
      <c r="G41" s="64" t="n"/>
    </row>
    <row r="42">
      <c r="A42" s="85" t="n"/>
      <c r="B42" s="66" t="n"/>
      <c r="C42" s="69" t="n"/>
      <c r="D42" s="69" t="n"/>
      <c r="E42" s="69">
        <f>IF(AND(C42="",D42=""),"",C42-D42)</f>
        <v/>
      </c>
      <c r="F42" s="70">
        <f>IF(AND(C42="",D42=""),"",IF(ROUND(E42,2)=0,"OK","DIVERGENTE"))</f>
        <v/>
      </c>
      <c r="G42" s="66" t="n"/>
    </row>
    <row r="43">
      <c r="A43" s="86" t="n"/>
      <c r="B43" s="64" t="n"/>
      <c r="C43" s="67" t="n"/>
      <c r="D43" s="67" t="n"/>
      <c r="E43" s="67">
        <f>IF(AND(C43="",D43=""),"",C43-D43)</f>
        <v/>
      </c>
      <c r="F43" s="68">
        <f>IF(AND(C43="",D43=""),"",IF(ROUND(E43,2)=0,"OK","DIVERGENTE"))</f>
        <v/>
      </c>
      <c r="G43" s="64" t="n"/>
    </row>
    <row r="44">
      <c r="A44" s="85" t="n"/>
      <c r="B44" s="66" t="n"/>
      <c r="C44" s="69" t="n"/>
      <c r="D44" s="69" t="n"/>
      <c r="E44" s="69">
        <f>IF(AND(C44="",D44=""),"",C44-D44)</f>
        <v/>
      </c>
      <c r="F44" s="70">
        <f>IF(AND(C44="",D44=""),"",IF(ROUND(E44,2)=0,"OK","DIVERGENTE"))</f>
        <v/>
      </c>
      <c r="G44" s="66" t="n"/>
    </row>
    <row r="45">
      <c r="A45" s="71" t="inlineStr">
        <is>
          <t>TOTAIS</t>
        </is>
      </c>
      <c r="B45" s="71" t="n"/>
      <c r="C45" s="72">
        <f>SUM(C5:C44)</f>
        <v/>
      </c>
      <c r="D45" s="72">
        <f>SUM(D5:D44)</f>
        <v/>
      </c>
      <c r="E45" s="72">
        <f>SUM(E5:E44)</f>
        <v/>
      </c>
      <c r="F45" s="80">
        <f>COUNTIF(F5:F44,"DIVERGENTE")&amp;" divergência(s)"</f>
        <v/>
      </c>
      <c r="G45" s="71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zoomScale="85" zoomScaleNormal="85" workbookViewId="0">
      <pane ySplit="4" topLeftCell="A5" activePane="bottomLeft" state="frozen"/>
      <selection pane="bottomLeft" activeCell="A1" sqref="A1:I1"/>
    </sheetView>
  </sheetViews>
  <sheetFormatPr baseColWidth="8" defaultRowHeight="15"/>
  <cols>
    <col width="42" customWidth="1" style="158" min="1" max="1"/>
    <col width="14" customWidth="1" style="158" min="2" max="2"/>
    <col width="12" customWidth="1" style="158" min="3" max="3"/>
    <col width="22" customWidth="1" style="158" min="4" max="4"/>
    <col width="24" customWidth="1" style="158" min="5" max="5"/>
    <col width="28" customWidth="1" style="158" min="6" max="6"/>
    <col width="44" customWidth="1" style="158" min="7" max="7"/>
    <col width="18" customWidth="1" style="158" min="8" max="8"/>
    <col width="28" customWidth="1" style="158" min="9" max="9"/>
  </cols>
  <sheetData>
    <row r="1" ht="21" customHeight="1" s="158">
      <c r="A1" s="209" t="inlineStr">
        <is>
          <t>CADASTRO DE CLIENTES E FORNECEDORES</t>
        </is>
      </c>
    </row>
    <row r="2">
      <c r="A2" s="219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46" t="inlineStr">
        <is>
          <t>← Início</t>
        </is>
      </c>
    </row>
    <row r="4">
      <c r="A4" s="63" t="inlineStr">
        <is>
          <t>Nome</t>
        </is>
      </c>
      <c r="B4" s="63" t="inlineStr">
        <is>
          <t>Tipo</t>
        </is>
      </c>
      <c r="C4" s="63" t="inlineStr">
        <is>
          <t>PF ou PJ</t>
        </is>
      </c>
      <c r="D4" s="63" t="inlineStr">
        <is>
          <t>CPF / CNPJ</t>
        </is>
      </c>
      <c r="E4" s="63" t="inlineStr">
        <is>
          <t>Telefone / WhatsApp</t>
        </is>
      </c>
      <c r="F4" s="63" t="inlineStr">
        <is>
          <t>E-mail</t>
        </is>
      </c>
      <c r="G4" s="63" t="inlineStr">
        <is>
          <t>Endereço</t>
        </is>
      </c>
      <c r="H4" s="63" t="inlineStr">
        <is>
          <t>Cidade</t>
        </is>
      </c>
      <c r="I4" s="63" t="inlineStr">
        <is>
          <t>Observações</t>
        </is>
      </c>
    </row>
    <row r="5">
      <c r="A5" s="64" t="inlineStr">
        <is>
          <t>Graciete Cordeiro</t>
        </is>
      </c>
      <c r="B5" s="64" t="inlineStr">
        <is>
          <t>Cliente</t>
        </is>
      </c>
      <c r="C5" s="65" t="n"/>
      <c r="D5" s="65" t="n"/>
      <c r="E5" s="64" t="n">
        <v>991403050</v>
      </c>
      <c r="F5" s="65" t="n"/>
      <c r="G5" s="64" t="inlineStr">
        <is>
          <t>Rua Deodoro da Fonseca, 104, Ap 106</t>
        </is>
      </c>
      <c r="H5" s="64" t="inlineStr">
        <is>
          <t>Jacobina - BA</t>
        </is>
      </c>
      <c r="I5" s="64" t="inlineStr">
        <is>
          <t>Caixa Dágua</t>
        </is>
      </c>
    </row>
    <row r="6">
      <c r="A6" s="66" t="inlineStr">
        <is>
          <t>Lojão das Maquiagens</t>
        </is>
      </c>
      <c r="B6" s="66" t="inlineStr">
        <is>
          <t>Cliente</t>
        </is>
      </c>
      <c r="C6" s="65" t="n"/>
      <c r="D6" s="65" t="n"/>
      <c r="E6" s="66" t="inlineStr">
        <is>
          <t>981460585 May</t>
        </is>
      </c>
      <c r="F6" s="65" t="n"/>
      <c r="G6" s="66" t="inlineStr">
        <is>
          <t>Rua Coronel Teixeira, 84</t>
        </is>
      </c>
      <c r="H6" s="66" t="inlineStr">
        <is>
          <t>Jacobina - BA</t>
        </is>
      </c>
      <c r="I6" s="66" t="inlineStr">
        <is>
          <t>Centro</t>
        </is>
      </c>
    </row>
    <row r="7">
      <c r="A7" s="64" t="inlineStr">
        <is>
          <t>Edelmir Cordeiro</t>
        </is>
      </c>
      <c r="B7" s="64" t="inlineStr">
        <is>
          <t>Cliente</t>
        </is>
      </c>
      <c r="C7" s="65" t="n"/>
      <c r="D7" s="65" t="n"/>
      <c r="E7" s="64" t="n">
        <v>991217035</v>
      </c>
      <c r="F7" s="65" t="n"/>
      <c r="G7" s="64" t="inlineStr">
        <is>
          <t>Rua Coronel Deraldo Dias, 40</t>
        </is>
      </c>
      <c r="H7" s="64" t="inlineStr">
        <is>
          <t>Jacobina - BA</t>
        </is>
      </c>
      <c r="I7" s="64" t="inlineStr">
        <is>
          <t>Leader</t>
        </is>
      </c>
    </row>
    <row r="8">
      <c r="A8" s="66" t="inlineStr">
        <is>
          <t>Atacadão das Confecções</t>
        </is>
      </c>
      <c r="B8" s="66" t="inlineStr">
        <is>
          <t>Cliente</t>
        </is>
      </c>
      <c r="C8" s="65" t="n"/>
      <c r="D8" s="65" t="n"/>
      <c r="E8" s="66" t="inlineStr">
        <is>
          <t>981460585 May</t>
        </is>
      </c>
      <c r="F8" s="65" t="n"/>
      <c r="G8" s="66" t="inlineStr">
        <is>
          <t>Rua Coronel Teixeira, 270</t>
        </is>
      </c>
      <c r="H8" s="66" t="inlineStr">
        <is>
          <t>Jacobina - BA</t>
        </is>
      </c>
      <c r="I8" s="66" t="inlineStr">
        <is>
          <t>Centro</t>
        </is>
      </c>
    </row>
    <row r="9">
      <c r="A9" s="64" t="inlineStr">
        <is>
          <t>Silva e Silva Advogados</t>
        </is>
      </c>
      <c r="B9" s="64" t="inlineStr">
        <is>
          <t>Cliente</t>
        </is>
      </c>
      <c r="C9" s="65" t="n"/>
      <c r="D9" s="65" t="n"/>
      <c r="E9" s="64" t="n">
        <v>991330608</v>
      </c>
      <c r="F9" s="65" t="n"/>
      <c r="G9" s="64" t="inlineStr">
        <is>
          <t>Rua D Casa 20 (Proximo a Associação)</t>
        </is>
      </c>
      <c r="H9" s="64" t="inlineStr">
        <is>
          <t>Jacobina - BA</t>
        </is>
      </c>
      <c r="I9" s="64" t="inlineStr">
        <is>
          <t>Jacobina 2</t>
        </is>
      </c>
    </row>
    <row r="10">
      <c r="A10" s="66" t="inlineStr">
        <is>
          <t>Multipet</t>
        </is>
      </c>
      <c r="B10" s="66" t="inlineStr">
        <is>
          <t>Cliente</t>
        </is>
      </c>
      <c r="C10" s="65" t="n"/>
      <c r="D10" s="65" t="n"/>
      <c r="E10" s="66" t="n"/>
      <c r="F10" s="65" t="n"/>
      <c r="G10" s="66" t="inlineStr">
        <is>
          <t>Rua Ruy Barbosa</t>
        </is>
      </c>
      <c r="H10" s="66" t="inlineStr">
        <is>
          <t>Jacobina - BA</t>
        </is>
      </c>
      <c r="I10" s="66" t="inlineStr">
        <is>
          <t>Matriz</t>
        </is>
      </c>
    </row>
    <row r="11">
      <c r="A11" s="64" t="inlineStr">
        <is>
          <t>Cilmara Melo Nunes de Souza</t>
        </is>
      </c>
      <c r="B11" s="64" t="inlineStr">
        <is>
          <t>Cliente</t>
        </is>
      </c>
      <c r="C11" s="65" t="n"/>
      <c r="D11" s="65" t="n"/>
      <c r="E11" s="64" t="n">
        <v>988221828</v>
      </c>
      <c r="F11" s="65" t="n"/>
      <c r="G11" s="64" t="inlineStr">
        <is>
          <t>Condominio Alamedas do Rio, 490</t>
        </is>
      </c>
      <c r="H11" s="64" t="inlineStr">
        <is>
          <t>Jacobina - BA</t>
        </is>
      </c>
      <c r="I11" s="64" t="inlineStr">
        <is>
          <t>Nazare</t>
        </is>
      </c>
    </row>
    <row r="12">
      <c r="A12" s="66" t="inlineStr">
        <is>
          <t>Farmácia Popular</t>
        </is>
      </c>
      <c r="B12" s="66" t="inlineStr">
        <is>
          <t>Cliente</t>
        </is>
      </c>
      <c r="C12" s="65" t="n"/>
      <c r="D12" s="65" t="n"/>
      <c r="E12" s="66" t="inlineStr">
        <is>
          <t>98873-1939</t>
        </is>
      </c>
      <c r="F12" s="65" t="n"/>
      <c r="G12" s="66" t="inlineStr">
        <is>
          <t>Rua do Triangulo, 477</t>
        </is>
      </c>
      <c r="H12" s="66" t="inlineStr">
        <is>
          <t>Jacobina - BA</t>
        </is>
      </c>
      <c r="I12" s="66" t="inlineStr">
        <is>
          <t>Peru</t>
        </is>
      </c>
    </row>
    <row r="13">
      <c r="A13" s="64" t="inlineStr">
        <is>
          <t>Ivanilton Costa</t>
        </is>
      </c>
      <c r="B13" s="64" t="inlineStr">
        <is>
          <t>Cliente</t>
        </is>
      </c>
      <c r="C13" s="65" t="n"/>
      <c r="D13" s="65" t="n"/>
      <c r="E13" s="64" t="inlineStr">
        <is>
          <t>36213804/ 991231675</t>
        </is>
      </c>
      <c r="F13" s="65" t="n"/>
      <c r="G13" s="64" t="inlineStr">
        <is>
          <t>Travessa Alberto Torres, 126</t>
        </is>
      </c>
      <c r="H13" s="64" t="inlineStr">
        <is>
          <t>Jacobina - BA</t>
        </is>
      </c>
      <c r="I13" s="64" t="inlineStr">
        <is>
          <t>Estação</t>
        </is>
      </c>
    </row>
    <row r="14">
      <c r="A14" s="66" t="inlineStr">
        <is>
          <t>Centro de Especialidades Odontomédicas</t>
        </is>
      </c>
      <c r="B14" s="66" t="inlineStr">
        <is>
          <t>Cliente</t>
        </is>
      </c>
      <c r="C14" s="65" t="n"/>
      <c r="D14" s="65" t="n"/>
      <c r="E14" s="66" t="inlineStr">
        <is>
          <t>988044240 1 Cobertura (clínica)</t>
        </is>
      </c>
      <c r="F14" s="65" t="n"/>
      <c r="G14" s="66" t="inlineStr">
        <is>
          <t>Rua Senador Pedro Lago , 17 Edificio Edite</t>
        </is>
      </c>
      <c r="H14" s="66" t="inlineStr">
        <is>
          <t>Jacobina - BA</t>
        </is>
      </c>
      <c r="I14" s="66" t="inlineStr">
        <is>
          <t>Centro</t>
        </is>
      </c>
    </row>
    <row r="15">
      <c r="A15" s="64" t="inlineStr">
        <is>
          <t>Supermercado Brasil</t>
        </is>
      </c>
      <c r="B15" s="64" t="inlineStr">
        <is>
          <t>Cliente</t>
        </is>
      </c>
      <c r="C15" s="65" t="n"/>
      <c r="D15" s="65" t="n"/>
      <c r="E15" s="64" t="inlineStr">
        <is>
          <t>99195-3324</t>
        </is>
      </c>
      <c r="F15" s="65" t="n"/>
      <c r="G15" s="64" t="inlineStr">
        <is>
          <t>Rua Silvio Dias Pires, 70</t>
        </is>
      </c>
      <c r="H15" s="64" t="inlineStr">
        <is>
          <t>Jacobina - BA</t>
        </is>
      </c>
      <c r="I15" s="64" t="inlineStr">
        <is>
          <t>Estação</t>
        </is>
      </c>
    </row>
    <row r="16">
      <c r="A16" s="66" t="inlineStr">
        <is>
          <t>Marcio Itamar</t>
        </is>
      </c>
      <c r="B16" s="66" t="inlineStr">
        <is>
          <t>Cliente</t>
        </is>
      </c>
      <c r="C16" s="65" t="n"/>
      <c r="D16" s="65" t="n"/>
      <c r="E16" s="66" t="inlineStr">
        <is>
          <t>9902-1170</t>
        </is>
      </c>
      <c r="F16" s="65" t="n"/>
      <c r="G16" s="66" t="inlineStr">
        <is>
          <t>Rua José Marcelino, 317</t>
        </is>
      </c>
      <c r="H16" s="66" t="inlineStr">
        <is>
          <t>Jacobina - BA</t>
        </is>
      </c>
      <c r="I16" s="66" t="inlineStr">
        <is>
          <t>Mundo Novo</t>
        </is>
      </c>
    </row>
    <row r="17">
      <c r="A17" s="64" t="inlineStr">
        <is>
          <t>Arena Jacobina Society</t>
        </is>
      </c>
      <c r="B17" s="64" t="inlineStr">
        <is>
          <t>Cliente</t>
        </is>
      </c>
      <c r="C17" s="65" t="n"/>
      <c r="D17" s="65" t="n"/>
      <c r="E17" s="64" t="n">
        <v>991343522</v>
      </c>
      <c r="F17" s="65" t="n"/>
      <c r="G17" s="64" t="inlineStr">
        <is>
          <t>Rua Renato Rocha, 90</t>
        </is>
      </c>
      <c r="H17" s="64" t="inlineStr">
        <is>
          <t>Jacobina - BA</t>
        </is>
      </c>
      <c r="I17" s="64" t="inlineStr">
        <is>
          <t>Felix Tomaz</t>
        </is>
      </c>
    </row>
    <row r="18">
      <c r="A18" s="66" t="inlineStr">
        <is>
          <t>Verdes Mares Tintas</t>
        </is>
      </c>
      <c r="B18" s="66" t="inlineStr">
        <is>
          <t>Cliente</t>
        </is>
      </c>
      <c r="C18" s="65" t="n"/>
      <c r="D18" s="65" t="n"/>
      <c r="E18" s="66" t="inlineStr">
        <is>
          <t>3621-3207/981024265</t>
        </is>
      </c>
      <c r="F18" s="65" t="n"/>
      <c r="G18" s="66" t="inlineStr">
        <is>
          <t>Avenida Orlando Oliveira Pires, 843</t>
        </is>
      </c>
      <c r="H18" s="66" t="inlineStr">
        <is>
          <t>Jacobina - BA</t>
        </is>
      </c>
      <c r="I18" s="66" t="inlineStr">
        <is>
          <t>Centro</t>
        </is>
      </c>
    </row>
    <row r="19">
      <c r="A19" s="64" t="inlineStr">
        <is>
          <t>Silvania Mota</t>
        </is>
      </c>
      <c r="B19" s="64" t="inlineStr">
        <is>
          <t>Cliente</t>
        </is>
      </c>
      <c r="C19" s="65" t="n"/>
      <c r="D19" s="65" t="n"/>
      <c r="E19" s="64" t="inlineStr">
        <is>
          <t>36211743/991543136</t>
        </is>
      </c>
      <c r="F19" s="65" t="n"/>
      <c r="G19" s="64" t="inlineStr">
        <is>
          <t>Rua Costa e Silva, 46</t>
        </is>
      </c>
      <c r="H19" s="64" t="inlineStr">
        <is>
          <t>Jacobina - BA</t>
        </is>
      </c>
      <c r="I19" s="64" t="inlineStr">
        <is>
          <t>Mundo Novo</t>
        </is>
      </c>
    </row>
    <row r="20">
      <c r="A20" s="66" t="inlineStr">
        <is>
          <t>Ariosvaldo Mendes</t>
        </is>
      </c>
      <c r="B20" s="66" t="inlineStr">
        <is>
          <t>Cliente</t>
        </is>
      </c>
      <c r="C20" s="65" t="n"/>
      <c r="D20" s="65" t="n"/>
      <c r="E20" s="66" t="n"/>
      <c r="F20" s="65" t="n"/>
      <c r="G20" s="66" t="n"/>
      <c r="H20" s="66" t="n"/>
      <c r="I20" s="66" t="n"/>
    </row>
    <row r="21">
      <c r="A21" s="64" t="inlineStr">
        <is>
          <t>Andrea Lopes dos Santos</t>
        </is>
      </c>
      <c r="B21" s="64" t="inlineStr">
        <is>
          <t>Cliente</t>
        </is>
      </c>
      <c r="C21" s="65" t="n"/>
      <c r="D21" s="65" t="n"/>
      <c r="E21" s="64" t="inlineStr">
        <is>
          <t xml:space="preserve">999240849 / </t>
        </is>
      </c>
      <c r="F21" s="65" t="n"/>
      <c r="G21" s="64" t="inlineStr">
        <is>
          <t>Rua 10, s/n (Proximo a casa de cigano)</t>
        </is>
      </c>
      <c r="H21" s="64" t="inlineStr">
        <is>
          <t>Jacobina - BA</t>
        </is>
      </c>
      <c r="I21" s="64" t="inlineStr">
        <is>
          <t xml:space="preserve">Jacobina 2 </t>
        </is>
      </c>
    </row>
    <row r="22">
      <c r="A22" s="66" t="inlineStr">
        <is>
          <t>Marsilia Marmores e Granitos Erelli</t>
        </is>
      </c>
      <c r="B22" s="66" t="inlineStr">
        <is>
          <t>Cliente</t>
        </is>
      </c>
      <c r="C22" s="65" t="n"/>
      <c r="D22" s="65" t="n"/>
      <c r="E22" s="66" t="n">
        <v>999773095</v>
      </c>
      <c r="F22" s="65" t="n"/>
      <c r="G22" s="66" t="inlineStr">
        <is>
          <t>Estrada de Canavieiras, 9999 - Oficina</t>
        </is>
      </c>
      <c r="H22" s="66" t="inlineStr">
        <is>
          <t>Jacobina - BA</t>
        </is>
      </c>
      <c r="I22" s="66" t="inlineStr">
        <is>
          <t>Jacobina 3</t>
        </is>
      </c>
    </row>
    <row r="23">
      <c r="A23" s="64" t="inlineStr">
        <is>
          <t>Clinica da Mulher - MR Valois Serviços</t>
        </is>
      </c>
      <c r="B23" s="64" t="inlineStr">
        <is>
          <t>Cliente</t>
        </is>
      </c>
      <c r="C23" s="65" t="n"/>
      <c r="D23" s="65" t="n"/>
      <c r="E23" s="64" t="inlineStr">
        <is>
          <t>98819-2425</t>
        </is>
      </c>
      <c r="F23" s="65" t="n"/>
      <c r="G23" s="64" t="inlineStr">
        <is>
          <t>Rua JJ Seabra, 275</t>
        </is>
      </c>
      <c r="H23" s="64" t="inlineStr">
        <is>
          <t>Jacobina - BA</t>
        </is>
      </c>
      <c r="I23" s="64" t="inlineStr">
        <is>
          <t>Estação</t>
        </is>
      </c>
    </row>
    <row r="24">
      <c r="A24" s="66" t="inlineStr">
        <is>
          <t>Acerto de Armando</t>
        </is>
      </c>
      <c r="B24" s="66" t="inlineStr">
        <is>
          <t>Cliente</t>
        </is>
      </c>
      <c r="C24" s="65" t="n"/>
      <c r="D24" s="65" t="n"/>
      <c r="E24" s="66" t="n">
        <v>999980107</v>
      </c>
      <c r="F24" s="65" t="n"/>
      <c r="G24" s="66" t="inlineStr">
        <is>
          <t>Condomínio Alamedas do Rio, 230</t>
        </is>
      </c>
      <c r="H24" s="66" t="inlineStr">
        <is>
          <t>Jacobina - BA</t>
        </is>
      </c>
      <c r="I24" s="66" t="inlineStr">
        <is>
          <t>Nazare</t>
        </is>
      </c>
    </row>
    <row r="25">
      <c r="A25" s="64" t="inlineStr">
        <is>
          <t>Audioclin Clinca Médica LTDA - Tarcisio Nascimento</t>
        </is>
      </c>
      <c r="B25" s="64" t="inlineStr">
        <is>
          <t>Cliente</t>
        </is>
      </c>
      <c r="C25" s="65" t="n"/>
      <c r="D25" s="65" t="n"/>
      <c r="E25" s="64" t="inlineStr">
        <is>
          <t>99912-1735/98102-8696</t>
        </is>
      </c>
      <c r="F25" s="65" t="n"/>
      <c r="G25" s="64" t="inlineStr">
        <is>
          <t xml:space="preserve">Avenida Orlando Oliveira Pires, 370 </t>
        </is>
      </c>
      <c r="H25" s="64" t="inlineStr">
        <is>
          <t>Jacobina - BA</t>
        </is>
      </c>
      <c r="I25" s="64" t="inlineStr">
        <is>
          <t>Centro</t>
        </is>
      </c>
    </row>
    <row r="26">
      <c r="A26" s="66" t="inlineStr">
        <is>
          <t>Maria das Dores e Reje Celia</t>
        </is>
      </c>
      <c r="B26" s="66" t="inlineStr">
        <is>
          <t>Cliente</t>
        </is>
      </c>
      <c r="C26" s="65" t="n"/>
      <c r="D26" s="65" t="n"/>
      <c r="E26" s="66" t="inlineStr">
        <is>
          <t>991322761/988599211</t>
        </is>
      </c>
      <c r="F26" s="65" t="n"/>
      <c r="G26" s="66" t="inlineStr">
        <is>
          <t>Rua São João, 127 térreo</t>
        </is>
      </c>
      <c r="H26" s="66" t="inlineStr">
        <is>
          <t>Jacobina - BA</t>
        </is>
      </c>
      <c r="I26" s="66" t="inlineStr">
        <is>
          <t>Missão</t>
        </is>
      </c>
    </row>
    <row r="27">
      <c r="A27" s="64" t="inlineStr">
        <is>
          <t>Nlx Comercio e Serviços Subway - Alexandre Neder</t>
        </is>
      </c>
      <c r="B27" s="64" t="inlineStr">
        <is>
          <t>Cliente</t>
        </is>
      </c>
      <c r="C27" s="65" t="n"/>
      <c r="D27" s="65" t="n"/>
      <c r="E27" s="64" t="inlineStr">
        <is>
          <t>3622-2382</t>
        </is>
      </c>
      <c r="F27" s="65" t="n"/>
      <c r="G27" s="64" t="inlineStr">
        <is>
          <t>Avenida Orlando Oliveira Pires, 95</t>
        </is>
      </c>
      <c r="H27" s="64" t="inlineStr">
        <is>
          <t>Jacobina - BA</t>
        </is>
      </c>
      <c r="I27" s="64" t="inlineStr">
        <is>
          <t>Centro</t>
        </is>
      </c>
    </row>
    <row r="28">
      <c r="A28" s="66" t="inlineStr">
        <is>
          <t>Tropical Motos LTDA</t>
        </is>
      </c>
      <c r="B28" s="66" t="inlineStr">
        <is>
          <t>Cliente</t>
        </is>
      </c>
      <c r="C28" s="65" t="n"/>
      <c r="D28" s="65" t="n"/>
      <c r="E28" s="66" t="inlineStr">
        <is>
          <t>98814-8239</t>
        </is>
      </c>
      <c r="F28" s="65" t="n"/>
      <c r="G28" s="66" t="inlineStr">
        <is>
          <t>Rua Reinaldo Jacobina Vieira, s/n</t>
        </is>
      </c>
      <c r="H28" s="66" t="inlineStr">
        <is>
          <t>Jacobina - BA</t>
        </is>
      </c>
      <c r="I28" s="66" t="inlineStr">
        <is>
          <t>Peru</t>
        </is>
      </c>
    </row>
    <row r="29">
      <c r="A29" s="64" t="inlineStr">
        <is>
          <t>Ivanir Carneiro de Oliveira</t>
        </is>
      </c>
      <c r="B29" s="64" t="inlineStr">
        <is>
          <t>Cliente</t>
        </is>
      </c>
      <c r="C29" s="65" t="n"/>
      <c r="D29" s="65" t="n"/>
      <c r="E29" s="64" t="n">
        <v>981090497</v>
      </c>
      <c r="F29" s="65" t="n"/>
      <c r="G29" s="64" t="inlineStr">
        <is>
          <t>Rua Presidente Medici, 507</t>
        </is>
      </c>
      <c r="H29" s="64" t="inlineStr">
        <is>
          <t>Jacobina - BA</t>
        </is>
      </c>
      <c r="I29" s="64" t="inlineStr">
        <is>
          <t>Felix Tomaz</t>
        </is>
      </c>
    </row>
    <row r="30">
      <c r="A30" s="66" t="inlineStr">
        <is>
          <t>Condominio Ilha do Ouro</t>
        </is>
      </c>
      <c r="B30" s="66" t="inlineStr">
        <is>
          <t>Cliente</t>
        </is>
      </c>
      <c r="C30" s="65" t="n"/>
      <c r="D30" s="65" t="n"/>
      <c r="E30" s="66" t="inlineStr">
        <is>
          <t>99937-4915</t>
        </is>
      </c>
      <c r="F30" s="65" t="n"/>
      <c r="G30" s="66" t="inlineStr">
        <is>
          <t>Avenida Centenario, s/n</t>
        </is>
      </c>
      <c r="H30" s="66" t="inlineStr">
        <is>
          <t>Jacobina - BA</t>
        </is>
      </c>
      <c r="I30" s="66" t="inlineStr">
        <is>
          <t>Nazaré</t>
        </is>
      </c>
    </row>
    <row r="31">
      <c r="A31" s="64" t="inlineStr">
        <is>
          <t>Angelo Marcio Bispo</t>
        </is>
      </c>
      <c r="B31" s="64" t="inlineStr">
        <is>
          <t>Cliente</t>
        </is>
      </c>
      <c r="C31" s="65" t="n"/>
      <c r="D31" s="65" t="n"/>
      <c r="E31" s="64" t="inlineStr">
        <is>
          <t xml:space="preserve">36215685/991352253 </t>
        </is>
      </c>
      <c r="F31" s="65" t="n"/>
      <c r="G31" s="64" t="inlineStr">
        <is>
          <t>Rua do Cajueiro, 11</t>
        </is>
      </c>
      <c r="H31" s="64" t="inlineStr">
        <is>
          <t>Jacobina - BA</t>
        </is>
      </c>
      <c r="I31" s="64" t="inlineStr">
        <is>
          <t>Caixa Dágua</t>
        </is>
      </c>
    </row>
    <row r="32">
      <c r="A32" s="66" t="inlineStr">
        <is>
          <t>Elio Pereira dos Santos</t>
        </is>
      </c>
      <c r="B32" s="66" t="inlineStr">
        <is>
          <t>Cliente</t>
        </is>
      </c>
      <c r="C32" s="65" t="n"/>
      <c r="D32" s="65" t="n"/>
      <c r="E32" s="66" t="n">
        <v>991166458</v>
      </c>
      <c r="F32" s="65" t="n"/>
      <c r="G32" s="66" t="inlineStr">
        <is>
          <t>Rua do Cajueiro, 315</t>
        </is>
      </c>
      <c r="H32" s="66" t="inlineStr">
        <is>
          <t>Jacobina - BA</t>
        </is>
      </c>
      <c r="I32" s="66" t="inlineStr">
        <is>
          <t>Caixa Dágua</t>
        </is>
      </c>
    </row>
    <row r="33">
      <c r="A33" s="64" t="inlineStr">
        <is>
          <t>Maria Madalena de Santana Santos</t>
        </is>
      </c>
      <c r="B33" s="64" t="inlineStr">
        <is>
          <t>Cliente</t>
        </is>
      </c>
      <c r="C33" s="65" t="n"/>
      <c r="D33" s="65" t="n"/>
      <c r="E33" s="64" t="n">
        <v>981211491</v>
      </c>
      <c r="F33" s="65" t="n"/>
      <c r="G33" s="64" t="inlineStr">
        <is>
          <t>Travessa João Teixeira, 283</t>
        </is>
      </c>
      <c r="H33" s="64" t="inlineStr">
        <is>
          <t>Jacobina - BA</t>
        </is>
      </c>
      <c r="I33" s="64" t="inlineStr">
        <is>
          <t>Peru</t>
        </is>
      </c>
    </row>
    <row r="34">
      <c r="A34" s="66" t="inlineStr">
        <is>
          <t>SESC Administração Regional do Estado da Bahia</t>
        </is>
      </c>
      <c r="B34" s="66" t="inlineStr">
        <is>
          <t>Cliente</t>
        </is>
      </c>
      <c r="C34" s="65" t="n"/>
      <c r="D34" s="65" t="n"/>
      <c r="E34" s="66" t="n"/>
      <c r="F34" s="65" t="n"/>
      <c r="G34" s="66" t="n"/>
      <c r="H34" s="66" t="n"/>
      <c r="I34" s="66" t="n"/>
    </row>
    <row r="35">
      <c r="A35" s="64" t="inlineStr">
        <is>
          <t>Lilian Patrícia</t>
        </is>
      </c>
      <c r="B35" s="64" t="inlineStr">
        <is>
          <t>Cliente</t>
        </is>
      </c>
      <c r="C35" s="65" t="n"/>
      <c r="D35" s="65" t="n"/>
      <c r="E35" s="64" t="n"/>
      <c r="F35" s="65" t="n"/>
      <c r="G35" s="64" t="n"/>
      <c r="H35" s="64" t="n"/>
      <c r="I35" s="64" t="n"/>
    </row>
    <row r="36">
      <c r="A36" s="66" t="inlineStr">
        <is>
          <t>Natalice da Silva Masquarenhas</t>
        </is>
      </c>
      <c r="B36" s="66" t="inlineStr">
        <is>
          <t>Cliente</t>
        </is>
      </c>
      <c r="C36" s="65" t="n"/>
      <c r="D36" s="65" t="n"/>
      <c r="E36" s="66" t="n">
        <v>991102473</v>
      </c>
      <c r="F36" s="65" t="n"/>
      <c r="G36" s="66" t="inlineStr">
        <is>
          <t>Rua Divino Espirito Santo, 588</t>
        </is>
      </c>
      <c r="H36" s="66" t="inlineStr">
        <is>
          <t>Jacobina - BA</t>
        </is>
      </c>
      <c r="I36" s="66" t="inlineStr">
        <is>
          <t>Felix Tomaz</t>
        </is>
      </c>
    </row>
    <row r="37">
      <c r="A37" s="64" t="inlineStr">
        <is>
          <t>Joelma Almeida</t>
        </is>
      </c>
      <c r="B37" s="64" t="inlineStr">
        <is>
          <t>Cliente</t>
        </is>
      </c>
      <c r="C37" s="65" t="n"/>
      <c r="D37" s="65" t="n"/>
      <c r="E37" s="64" t="n">
        <v>999128394</v>
      </c>
      <c r="F37" s="65" t="n"/>
      <c r="G37" s="64" t="inlineStr">
        <is>
          <t>Rua Bom Jesus da Gloria, 57</t>
        </is>
      </c>
      <c r="H37" s="64" t="inlineStr">
        <is>
          <t>Jacobina - BA</t>
        </is>
      </c>
      <c r="I37" s="64" t="inlineStr">
        <is>
          <t>Missão</t>
        </is>
      </c>
    </row>
    <row r="38">
      <c r="A38" s="66" t="inlineStr">
        <is>
          <t>Ten Internet</t>
        </is>
      </c>
      <c r="B38" s="66" t="inlineStr">
        <is>
          <t>Cliente</t>
        </is>
      </c>
      <c r="C38" s="65" t="n"/>
      <c r="D38" s="65" t="n"/>
      <c r="E38" s="66" t="n"/>
      <c r="F38" s="65" t="n"/>
      <c r="G38" s="66" t="n"/>
      <c r="H38" s="66" t="n"/>
      <c r="I38" s="66" t="n"/>
    </row>
    <row r="39">
      <c r="A39" s="64" t="inlineStr">
        <is>
          <t>Ivanilton</t>
        </is>
      </c>
      <c r="B39" s="64" t="inlineStr">
        <is>
          <t>Cliente</t>
        </is>
      </c>
      <c r="C39" s="65" t="n"/>
      <c r="D39" s="65" t="n"/>
      <c r="E39" s="64" t="n">
        <v>991390102</v>
      </c>
      <c r="F39" s="65" t="n"/>
      <c r="G39" s="64" t="inlineStr">
        <is>
          <t>Rua da Independencia, s/n</t>
        </is>
      </c>
      <c r="H39" s="64" t="inlineStr">
        <is>
          <t>Jacobina - BA</t>
        </is>
      </c>
      <c r="I39" s="64" t="inlineStr">
        <is>
          <t>Mundo Novo</t>
        </is>
      </c>
    </row>
    <row r="40">
      <c r="A40" s="66" t="inlineStr">
        <is>
          <t>Maria Conceição Dias Da Silva</t>
        </is>
      </c>
      <c r="B40" s="66" t="inlineStr">
        <is>
          <t>Cliente</t>
        </is>
      </c>
      <c r="C40" s="65" t="n"/>
      <c r="D40" s="65" t="n"/>
      <c r="E40" s="66" t="n">
        <v>7191754415</v>
      </c>
      <c r="F40" s="65" t="n"/>
      <c r="G40" s="66" t="inlineStr">
        <is>
          <t>Loteamento Orlando Touro, 82</t>
        </is>
      </c>
      <c r="H40" s="66" t="inlineStr">
        <is>
          <t>Jacobina - BA</t>
        </is>
      </c>
      <c r="I40" s="66" t="inlineStr">
        <is>
          <t>Mundo Novo</t>
        </is>
      </c>
    </row>
    <row r="41">
      <c r="A41" s="64" t="inlineStr">
        <is>
          <t>Free Way</t>
        </is>
      </c>
      <c r="B41" s="64" t="inlineStr">
        <is>
          <t>Cliente</t>
        </is>
      </c>
      <c r="C41" s="65" t="n"/>
      <c r="D41" s="65" t="n"/>
      <c r="E41" s="64" t="inlineStr">
        <is>
          <t>99816-1451</t>
        </is>
      </c>
      <c r="F41" s="65" t="n"/>
      <c r="G41" s="64" t="inlineStr">
        <is>
          <t>Avenida Luiz Alberto Dourado, s/n  Academia</t>
        </is>
      </c>
      <c r="H41" s="64" t="inlineStr">
        <is>
          <t>Jacobina - BA</t>
        </is>
      </c>
      <c r="I41" s="64" t="inlineStr">
        <is>
          <t>Jacobina 4</t>
        </is>
      </c>
    </row>
    <row r="42">
      <c r="A42" s="66" t="inlineStr">
        <is>
          <t>Everest Refrigeração</t>
        </is>
      </c>
      <c r="B42" s="66" t="inlineStr">
        <is>
          <t>Fornecedor</t>
        </is>
      </c>
      <c r="C42" s="66" t="inlineStr">
        <is>
          <t>PJ</t>
        </is>
      </c>
      <c r="D42" s="65" t="n"/>
      <c r="E42" s="65" t="n"/>
      <c r="F42" s="65" t="n"/>
      <c r="G42" s="66" t="n"/>
      <c r="H42" s="66" t="n"/>
      <c r="I42" s="66" t="inlineStr">
        <is>
          <t>Fornecedores / Mercadoria</t>
        </is>
      </c>
    </row>
    <row r="43">
      <c r="A43" s="64" t="inlineStr">
        <is>
          <t>Filtros Planeta Água</t>
        </is>
      </c>
      <c r="B43" s="64" t="inlineStr">
        <is>
          <t>Fornecedor</t>
        </is>
      </c>
      <c r="C43" s="64" t="inlineStr">
        <is>
          <t>PJ</t>
        </is>
      </c>
      <c r="D43" s="65" t="n"/>
      <c r="E43" s="65" t="n"/>
      <c r="F43" s="65" t="n"/>
      <c r="G43" s="64" t="n"/>
      <c r="H43" s="64" t="n"/>
      <c r="I43" s="64" t="inlineStr">
        <is>
          <t>Fornecedores / Mercadoria</t>
        </is>
      </c>
    </row>
    <row r="44">
      <c r="A44" s="66" t="inlineStr">
        <is>
          <t>Eversoft</t>
        </is>
      </c>
      <c r="B44" s="66" t="inlineStr">
        <is>
          <t>Fornecedor</t>
        </is>
      </c>
      <c r="C44" s="66" t="inlineStr">
        <is>
          <t>PJ</t>
        </is>
      </c>
      <c r="D44" s="65" t="n"/>
      <c r="E44" s="65" t="n"/>
      <c r="F44" s="65" t="n"/>
      <c r="G44" s="66" t="n"/>
      <c r="H44" s="66" t="n"/>
      <c r="I44" s="66" t="inlineStr">
        <is>
          <t>Fornecedores / Mercadoria</t>
        </is>
      </c>
    </row>
    <row r="45">
      <c r="A45" s="64" t="inlineStr">
        <is>
          <t>Culligan Latam Eireli</t>
        </is>
      </c>
      <c r="B45" s="64" t="inlineStr">
        <is>
          <t>Fornecedor</t>
        </is>
      </c>
      <c r="C45" s="64" t="inlineStr">
        <is>
          <t>PJ</t>
        </is>
      </c>
      <c r="D45" s="65" t="n"/>
      <c r="E45" s="65" t="n"/>
      <c r="F45" s="65" t="n"/>
      <c r="G45" s="64" t="n"/>
      <c r="H45" s="64" t="n"/>
      <c r="I45" s="64" t="inlineStr">
        <is>
          <t>Fornecedores / Mercadoria</t>
        </is>
      </c>
    </row>
    <row r="46">
      <c r="A46" s="66" t="inlineStr">
        <is>
          <t>Fracione Transportes</t>
        </is>
      </c>
      <c r="B46" s="66" t="inlineStr">
        <is>
          <t>Fornecedor</t>
        </is>
      </c>
      <c r="C46" s="66" t="inlineStr">
        <is>
          <t>PJ</t>
        </is>
      </c>
      <c r="D46" s="65" t="n"/>
      <c r="E46" s="65" t="n"/>
      <c r="F46" s="65" t="n"/>
      <c r="G46" s="66" t="n"/>
      <c r="H46" s="66" t="n"/>
      <c r="I46" s="66" t="inlineStr">
        <is>
          <t>Transporte e Entregas</t>
        </is>
      </c>
    </row>
    <row r="47">
      <c r="A47" s="64" t="inlineStr">
        <is>
          <t>Correios</t>
        </is>
      </c>
      <c r="B47" s="64" t="inlineStr">
        <is>
          <t>Fornecedor</t>
        </is>
      </c>
      <c r="C47" s="64" t="inlineStr">
        <is>
          <t>PJ</t>
        </is>
      </c>
      <c r="D47" s="65" t="n"/>
      <c r="E47" s="65" t="n"/>
      <c r="F47" s="65" t="n"/>
      <c r="G47" s="64" t="n"/>
      <c r="H47" s="64" t="n"/>
      <c r="I47" s="64" t="inlineStr">
        <is>
          <t>Transporte e Entregas</t>
        </is>
      </c>
    </row>
    <row r="48">
      <c r="A48" s="66" t="inlineStr">
        <is>
          <t>Tarcisio Oliveira Lima</t>
        </is>
      </c>
      <c r="B48" s="66" t="inlineStr">
        <is>
          <t>Fornecedor</t>
        </is>
      </c>
      <c r="C48" s="66" t="inlineStr">
        <is>
          <t>PJ</t>
        </is>
      </c>
      <c r="D48" s="65" t="n"/>
      <c r="E48" s="65" t="n"/>
      <c r="F48" s="65" t="n"/>
      <c r="G48" s="66" t="n"/>
      <c r="H48" s="66" t="n"/>
      <c r="I48" s="66" t="inlineStr">
        <is>
          <t>Transporte e Entregas</t>
        </is>
      </c>
    </row>
    <row r="49">
      <c r="A49" s="64" t="n"/>
      <c r="B49" s="64" t="n"/>
      <c r="C49" s="65" t="n"/>
      <c r="D49" s="65" t="n"/>
      <c r="E49" s="64" t="n"/>
      <c r="F49" s="65" t="n"/>
      <c r="G49" s="64" t="n"/>
      <c r="H49" s="64" t="n"/>
      <c r="I49" s="64" t="n"/>
    </row>
    <row r="50">
      <c r="A50" s="66" t="n"/>
      <c r="B50" s="66" t="n"/>
      <c r="C50" s="65" t="n"/>
      <c r="D50" s="65" t="n"/>
      <c r="E50" s="66" t="n"/>
      <c r="F50" s="65" t="n"/>
      <c r="G50" s="66" t="n"/>
      <c r="H50" s="66" t="n"/>
      <c r="I50" s="66" t="n"/>
    </row>
    <row r="51">
      <c r="A51" s="64" t="n"/>
      <c r="B51" s="64" t="n"/>
      <c r="C51" s="65" t="n"/>
      <c r="D51" s="65" t="n"/>
      <c r="E51" s="64" t="n"/>
      <c r="F51" s="65" t="n"/>
      <c r="G51" s="64" t="n"/>
      <c r="H51" s="64" t="n"/>
      <c r="I51" s="64" t="n"/>
    </row>
    <row r="52">
      <c r="A52" s="66" t="n"/>
      <c r="B52" s="66" t="n"/>
      <c r="C52" s="65" t="n"/>
      <c r="D52" s="65" t="n"/>
      <c r="E52" s="66" t="n"/>
      <c r="F52" s="65" t="n"/>
      <c r="G52" s="66" t="n"/>
      <c r="H52" s="66" t="n"/>
      <c r="I52" s="66" t="n"/>
    </row>
    <row r="53">
      <c r="A53" s="64" t="n"/>
      <c r="B53" s="64" t="n"/>
      <c r="C53" s="65" t="n"/>
      <c r="D53" s="65" t="n"/>
      <c r="E53" s="64" t="n"/>
      <c r="F53" s="65" t="n"/>
      <c r="G53" s="64" t="n"/>
      <c r="H53" s="64" t="n"/>
      <c r="I53" s="64" t="n"/>
    </row>
    <row r="54">
      <c r="A54" s="66" t="n"/>
      <c r="B54" s="66" t="n"/>
      <c r="C54" s="65" t="n"/>
      <c r="D54" s="65" t="n"/>
      <c r="E54" s="66" t="n"/>
      <c r="F54" s="65" t="n"/>
      <c r="G54" s="66" t="n"/>
      <c r="H54" s="66" t="n"/>
      <c r="I54" s="66" t="n"/>
    </row>
    <row r="55">
      <c r="A55" s="64" t="n"/>
      <c r="B55" s="64" t="n"/>
      <c r="C55" s="65" t="n"/>
      <c r="D55" s="65" t="n"/>
      <c r="E55" s="64" t="n"/>
      <c r="F55" s="65" t="n"/>
      <c r="G55" s="64" t="n"/>
      <c r="H55" s="64" t="n"/>
      <c r="I55" s="64" t="n"/>
    </row>
    <row r="56">
      <c r="A56" s="66" t="n"/>
      <c r="B56" s="66" t="n"/>
      <c r="C56" s="65" t="n"/>
      <c r="D56" s="65" t="n"/>
      <c r="E56" s="66" t="n"/>
      <c r="F56" s="65" t="n"/>
      <c r="G56" s="66" t="n"/>
      <c r="H56" s="66" t="n"/>
      <c r="I56" s="66" t="n"/>
    </row>
    <row r="57">
      <c r="A57" s="64" t="n"/>
      <c r="B57" s="64" t="n"/>
      <c r="C57" s="65" t="n"/>
      <c r="D57" s="65" t="n"/>
      <c r="E57" s="64" t="n"/>
      <c r="F57" s="65" t="n"/>
      <c r="G57" s="64" t="n"/>
      <c r="H57" s="64" t="n"/>
      <c r="I57" s="64" t="n"/>
    </row>
    <row r="58">
      <c r="A58" s="66" t="n"/>
      <c r="B58" s="66" t="n"/>
      <c r="C58" s="65" t="n"/>
      <c r="D58" s="65" t="n"/>
      <c r="E58" s="66" t="n"/>
      <c r="F58" s="65" t="n"/>
      <c r="G58" s="66" t="n"/>
      <c r="H58" s="66" t="n"/>
      <c r="I58" s="66" t="n"/>
    </row>
    <row r="59">
      <c r="A59" s="64" t="n"/>
      <c r="B59" s="64" t="n"/>
      <c r="C59" s="65" t="n"/>
      <c r="D59" s="65" t="n"/>
      <c r="E59" s="64" t="n"/>
      <c r="F59" s="65" t="n"/>
      <c r="G59" s="64" t="n"/>
      <c r="H59" s="64" t="n"/>
      <c r="I59" s="64" t="n"/>
    </row>
    <row r="60">
      <c r="A60" s="66" t="n"/>
      <c r="B60" s="66" t="n"/>
      <c r="C60" s="65" t="n"/>
      <c r="D60" s="65" t="n"/>
      <c r="E60" s="66" t="n"/>
      <c r="F60" s="65" t="n"/>
      <c r="G60" s="66" t="n"/>
      <c r="H60" s="66" t="n"/>
      <c r="I60" s="66" t="n"/>
    </row>
    <row r="61">
      <c r="A61" s="64" t="n"/>
      <c r="B61" s="64" t="n"/>
      <c r="C61" s="65" t="n"/>
      <c r="D61" s="65" t="n"/>
      <c r="E61" s="64" t="n"/>
      <c r="F61" s="65" t="n"/>
      <c r="G61" s="64" t="n"/>
      <c r="H61" s="64" t="n"/>
      <c r="I61" s="64" t="n"/>
    </row>
    <row r="62">
      <c r="A62" s="66" t="n"/>
      <c r="B62" s="66" t="n"/>
      <c r="C62" s="65" t="n"/>
      <c r="D62" s="65" t="n"/>
      <c r="E62" s="66" t="n"/>
      <c r="F62" s="65" t="n"/>
      <c r="G62" s="66" t="n"/>
      <c r="H62" s="66" t="n"/>
      <c r="I62" s="66" t="n"/>
    </row>
    <row r="63">
      <c r="A63" s="64" t="n"/>
      <c r="B63" s="64" t="n"/>
      <c r="C63" s="65" t="n"/>
      <c r="D63" s="65" t="n"/>
      <c r="E63" s="64" t="n"/>
      <c r="F63" s="65" t="n"/>
      <c r="G63" s="64" t="n"/>
      <c r="H63" s="64" t="n"/>
      <c r="I63" s="64" t="n"/>
    </row>
    <row r="64">
      <c r="A64" s="66" t="n"/>
      <c r="B64" s="66" t="n"/>
      <c r="C64" s="65" t="n"/>
      <c r="D64" s="65" t="n"/>
      <c r="E64" s="66" t="n"/>
      <c r="F64" s="65" t="n"/>
      <c r="G64" s="66" t="n"/>
      <c r="H64" s="66" t="n"/>
      <c r="I64" s="66" t="n"/>
    </row>
    <row r="65">
      <c r="A65" s="64" t="n"/>
      <c r="B65" s="64" t="n"/>
      <c r="C65" s="65" t="n"/>
      <c r="D65" s="65" t="n"/>
      <c r="E65" s="64" t="n"/>
      <c r="F65" s="65" t="n"/>
      <c r="G65" s="64" t="n"/>
      <c r="H65" s="64" t="n"/>
      <c r="I65" s="64" t="n"/>
    </row>
    <row r="66">
      <c r="A66" s="66" t="n"/>
      <c r="B66" s="66" t="n"/>
      <c r="C66" s="65" t="n"/>
      <c r="D66" s="65" t="n"/>
      <c r="E66" s="66" t="n"/>
      <c r="F66" s="65" t="n"/>
      <c r="G66" s="66" t="n"/>
      <c r="H66" s="66" t="n"/>
      <c r="I66" s="66" t="n"/>
    </row>
    <row r="67">
      <c r="A67" s="64" t="n"/>
      <c r="B67" s="64" t="n"/>
      <c r="C67" s="65" t="n"/>
      <c r="D67" s="65" t="n"/>
      <c r="E67" s="64" t="n"/>
      <c r="F67" s="65" t="n"/>
      <c r="G67" s="64" t="n"/>
      <c r="H67" s="64" t="n"/>
      <c r="I67" s="64" t="n"/>
    </row>
    <row r="68">
      <c r="A68" s="66" t="n"/>
      <c r="B68" s="66" t="n"/>
      <c r="C68" s="65" t="n"/>
      <c r="D68" s="65" t="n"/>
      <c r="E68" s="66" t="n"/>
      <c r="F68" s="65" t="n"/>
      <c r="G68" s="66" t="n"/>
      <c r="H68" s="66" t="n"/>
      <c r="I68" s="66" t="n"/>
    </row>
    <row r="69">
      <c r="A69" s="64" t="n"/>
      <c r="B69" s="64" t="n"/>
      <c r="C69" s="65" t="n"/>
      <c r="D69" s="65" t="n"/>
      <c r="E69" s="64" t="n"/>
      <c r="F69" s="65" t="n"/>
      <c r="G69" s="64" t="n"/>
      <c r="H69" s="64" t="n"/>
      <c r="I69" s="64" t="n"/>
    </row>
    <row r="70">
      <c r="A70" s="66" t="n"/>
      <c r="B70" s="66" t="n"/>
      <c r="C70" s="65" t="n"/>
      <c r="D70" s="65" t="n"/>
      <c r="E70" s="66" t="n"/>
      <c r="F70" s="65" t="n"/>
      <c r="G70" s="66" t="n"/>
      <c r="H70" s="66" t="n"/>
      <c r="I70" s="66" t="n"/>
    </row>
    <row r="71">
      <c r="A71" s="64" t="n"/>
      <c r="B71" s="64" t="n"/>
      <c r="C71" s="65" t="n"/>
      <c r="D71" s="65" t="n"/>
      <c r="E71" s="64" t="n"/>
      <c r="F71" s="65" t="n"/>
      <c r="G71" s="64" t="n"/>
      <c r="H71" s="64" t="n"/>
      <c r="I71" s="64" t="n"/>
    </row>
    <row r="72">
      <c r="A72" s="66" t="n"/>
      <c r="B72" s="66" t="n"/>
      <c r="C72" s="65" t="n"/>
      <c r="D72" s="65" t="n"/>
      <c r="E72" s="66" t="n"/>
      <c r="F72" s="65" t="n"/>
      <c r="G72" s="66" t="n"/>
      <c r="H72" s="66" t="n"/>
      <c r="I72" s="66" t="n"/>
    </row>
    <row r="73">
      <c r="A73" s="64" t="n"/>
      <c r="B73" s="64" t="n"/>
      <c r="C73" s="65" t="n"/>
      <c r="D73" s="65" t="n"/>
      <c r="E73" s="64" t="n"/>
      <c r="F73" s="65" t="n"/>
      <c r="G73" s="64" t="n"/>
      <c r="H73" s="64" t="n"/>
      <c r="I73" s="64" t="n"/>
    </row>
    <row r="74">
      <c r="A74" s="66" t="n"/>
      <c r="B74" s="66" t="n"/>
      <c r="C74" s="65" t="n"/>
      <c r="D74" s="65" t="n"/>
      <c r="E74" s="66" t="n"/>
      <c r="F74" s="65" t="n"/>
      <c r="G74" s="66" t="n"/>
      <c r="H74" s="66" t="n"/>
      <c r="I74" s="66" t="n"/>
    </row>
    <row r="75">
      <c r="A75" s="64" t="n"/>
      <c r="B75" s="64" t="n"/>
      <c r="C75" s="65" t="n"/>
      <c r="D75" s="65" t="n"/>
      <c r="E75" s="64" t="n"/>
      <c r="F75" s="65" t="n"/>
      <c r="G75" s="64" t="n"/>
      <c r="H75" s="64" t="n"/>
      <c r="I75" s="64" t="n"/>
    </row>
    <row r="76">
      <c r="A76" s="66" t="n"/>
      <c r="B76" s="66" t="n"/>
      <c r="C76" s="65" t="n"/>
      <c r="D76" s="65" t="n"/>
      <c r="E76" s="66" t="n"/>
      <c r="F76" s="65" t="n"/>
      <c r="G76" s="66" t="n"/>
      <c r="H76" s="66" t="n"/>
      <c r="I76" s="66" t="n"/>
    </row>
    <row r="77">
      <c r="A77" s="64" t="n"/>
      <c r="B77" s="64" t="n"/>
      <c r="C77" s="65" t="n"/>
      <c r="D77" s="65" t="n"/>
      <c r="E77" s="64" t="n"/>
      <c r="F77" s="65" t="n"/>
      <c r="G77" s="64" t="n"/>
      <c r="H77" s="64" t="n"/>
      <c r="I77" s="64" t="n"/>
    </row>
    <row r="78">
      <c r="A78" s="66" t="n"/>
      <c r="B78" s="66" t="n"/>
      <c r="C78" s="65" t="n"/>
      <c r="D78" s="65" t="n"/>
      <c r="E78" s="66" t="n"/>
      <c r="F78" s="65" t="n"/>
      <c r="G78" s="66" t="n"/>
      <c r="H78" s="66" t="n"/>
      <c r="I78" s="66" t="n"/>
    </row>
    <row r="79">
      <c r="A79" s="64" t="n"/>
      <c r="B79" s="64" t="n"/>
      <c r="C79" s="65" t="n"/>
      <c r="D79" s="65" t="n"/>
      <c r="E79" s="64" t="n"/>
      <c r="F79" s="65" t="n"/>
      <c r="G79" s="64" t="n"/>
      <c r="H79" s="64" t="n"/>
      <c r="I79" s="64" t="n"/>
    </row>
    <row r="80">
      <c r="A80" s="66" t="n"/>
      <c r="B80" s="66" t="n"/>
      <c r="C80" s="65" t="n"/>
      <c r="D80" s="65" t="n"/>
      <c r="E80" s="66" t="n"/>
      <c r="F80" s="65" t="n"/>
      <c r="G80" s="66" t="n"/>
      <c r="H80" s="66" t="n"/>
      <c r="I80" s="66" t="n"/>
    </row>
    <row r="81">
      <c r="A81" s="64" t="n"/>
      <c r="B81" s="64" t="n"/>
      <c r="C81" s="65" t="n"/>
      <c r="D81" s="65" t="n"/>
      <c r="E81" s="64" t="n"/>
      <c r="F81" s="65" t="n"/>
      <c r="G81" s="64" t="n"/>
      <c r="H81" s="64" t="n"/>
      <c r="I81" s="64" t="n"/>
    </row>
    <row r="82">
      <c r="A82" s="66" t="n"/>
      <c r="B82" s="66" t="n"/>
      <c r="C82" s="65" t="n"/>
      <c r="D82" s="65" t="n"/>
      <c r="E82" s="66" t="n"/>
      <c r="F82" s="65" t="n"/>
      <c r="G82" s="66" t="n"/>
      <c r="H82" s="66" t="n"/>
      <c r="I82" s="66" t="n"/>
    </row>
    <row r="83">
      <c r="A83" s="64" t="n"/>
      <c r="B83" s="64" t="n"/>
      <c r="C83" s="65" t="n"/>
      <c r="D83" s="65" t="n"/>
      <c r="E83" s="64" t="n"/>
      <c r="F83" s="65" t="n"/>
      <c r="G83" s="64" t="n"/>
      <c r="H83" s="64" t="n"/>
      <c r="I83" s="64" t="n"/>
    </row>
    <row r="84">
      <c r="A84" s="66" t="n"/>
      <c r="B84" s="66" t="n"/>
      <c r="C84" s="65" t="n"/>
      <c r="D84" s="65" t="n"/>
      <c r="E84" s="66" t="n"/>
      <c r="F84" s="65" t="n"/>
      <c r="G84" s="66" t="n"/>
      <c r="H84" s="66" t="n"/>
      <c r="I84" s="66" t="n"/>
    </row>
    <row r="85">
      <c r="A85" s="64" t="n"/>
      <c r="B85" s="64" t="n"/>
      <c r="C85" s="65" t="n"/>
      <c r="D85" s="65" t="n"/>
      <c r="E85" s="64" t="n"/>
      <c r="F85" s="65" t="n"/>
      <c r="G85" s="64" t="n"/>
      <c r="H85" s="64" t="n"/>
      <c r="I85" s="64" t="n"/>
    </row>
    <row r="86">
      <c r="A86" s="66" t="n"/>
      <c r="B86" s="66" t="n"/>
      <c r="C86" s="65" t="n"/>
      <c r="D86" s="65" t="n"/>
      <c r="E86" s="66" t="n"/>
      <c r="F86" s="65" t="n"/>
      <c r="G86" s="66" t="n"/>
      <c r="H86" s="66" t="n"/>
      <c r="I86" s="66" t="n"/>
    </row>
    <row r="87">
      <c r="A87" s="64" t="n"/>
      <c r="B87" s="64" t="n"/>
      <c r="C87" s="65" t="n"/>
      <c r="D87" s="65" t="n"/>
      <c r="E87" s="64" t="n"/>
      <c r="F87" s="65" t="n"/>
      <c r="G87" s="64" t="n"/>
      <c r="H87" s="64" t="n"/>
      <c r="I87" s="64" t="n"/>
    </row>
    <row r="88">
      <c r="A88" s="66" t="n"/>
      <c r="B88" s="66" t="n"/>
      <c r="C88" s="65" t="n"/>
      <c r="D88" s="65" t="n"/>
      <c r="E88" s="66" t="n"/>
      <c r="F88" s="65" t="n"/>
      <c r="G88" s="66" t="n"/>
      <c r="H88" s="66" t="n"/>
      <c r="I88" s="66" t="n"/>
    </row>
    <row r="90">
      <c r="A90" s="220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Q134"/>
  <sheetViews>
    <sheetView showGridLines="0" zoomScale="70" zoomScaleNormal="70" workbookViewId="0">
      <pane ySplit="4" topLeftCell="A5" activePane="bottomLeft" state="frozen"/>
      <selection pane="bottomLeft" activeCell="B13" sqref="B1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JANEIRO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46023</v>
      </c>
      <c r="B5" s="18" t="inlineStr">
        <is>
          <t>Pagamento parcela ALUGUEL VITORIA MARIA Doc.: 1 Ordem: 9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SUMIF(F5:F132,I5,E5:E132)</f>
        <v/>
      </c>
      <c r="L5" s="230">
        <f>D133</f>
        <v/>
      </c>
      <c r="N5" s="232">
        <f>J18</f>
        <v/>
      </c>
      <c r="P5" s="231">
        <f>D134</f>
        <v/>
      </c>
    </row>
    <row r="6" ht="14.1" customHeight="1" s="158">
      <c r="A6" s="22" t="n">
        <v>46024</v>
      </c>
      <c r="B6" s="23" t="inlineStr">
        <is>
          <t>Recebimento à vista Gerado pelo sistema Doc.: 8769 Ordem: 1</t>
        </is>
      </c>
      <c r="C6" s="23" t="inlineStr">
        <is>
          <t>TISSIA CRISTINA MONCORVO</t>
        </is>
      </c>
      <c r="D6" s="24" t="n">
        <v>130</v>
      </c>
      <c r="E6" s="25" t="n"/>
      <c r="F6" s="26" t="n"/>
      <c r="G6" s="23" t="n"/>
      <c r="I6" s="13" t="inlineStr">
        <is>
          <t>Aluguel</t>
        </is>
      </c>
      <c r="J6" s="14">
        <f>SUMIF(F5:F132,I6,E5:E132)</f>
        <v/>
      </c>
    </row>
    <row r="7">
      <c r="A7" s="17" t="n">
        <v>46024</v>
      </c>
      <c r="B7" s="18" t="inlineStr">
        <is>
          <t>Recebimento à vista Gerado pelo sistema Doc.: 8770 Ordem: 1</t>
        </is>
      </c>
      <c r="C7" s="18" t="inlineStr">
        <is>
          <t>MARIA DAS DORES JORDAO MOREIRA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SUMIF(F5:F132,I7,E5:E132)</f>
        <v/>
      </c>
    </row>
    <row r="8">
      <c r="A8" s="22" t="n">
        <v>46024</v>
      </c>
      <c r="B8" s="23" t="inlineStr">
        <is>
          <t>Pagamento parcela Gerado pelo sistema - nº 358698 Doc.: 358698 Ord</t>
        </is>
      </c>
      <c r="C8" s="23" t="inlineStr">
        <is>
          <t>EVEREST REFRIGERACAO E INDUSTRIA</t>
        </is>
      </c>
      <c r="D8" s="25" t="n"/>
      <c r="E8" s="28" t="n">
        <v>597.74</v>
      </c>
      <c r="F8" s="26" t="inlineStr">
        <is>
          <t>Fornecedores / Mercadoria</t>
        </is>
      </c>
      <c r="G8" s="23" t="n"/>
      <c r="I8" s="13" t="inlineStr">
        <is>
          <t>Impostos e Taxas</t>
        </is>
      </c>
      <c r="J8" s="14">
        <f>SUMIF(F5:F132,I8,E5:E132)</f>
        <v/>
      </c>
    </row>
    <row r="9">
      <c r="A9" s="17" t="n">
        <v>46024</v>
      </c>
      <c r="B9" s="18" t="inlineStr">
        <is>
          <t>Pagamento parcela Gerado pelo sistema - nº 123868 Doc.: 123868 Ord</t>
        </is>
      </c>
      <c r="C9" s="18" t="inlineStr">
        <is>
          <t>FILTROS PLANETA AGUA IND E COM LTDA</t>
        </is>
      </c>
      <c r="D9" s="19" t="n"/>
      <c r="E9" s="20" t="n">
        <v>771.5599999999999</v>
      </c>
      <c r="F9" s="21" t="inlineStr">
        <is>
          <t>Fornecedores / Mercadoria</t>
        </is>
      </c>
      <c r="G9" s="18" t="n"/>
      <c r="I9" s="10" t="inlineStr">
        <is>
          <t>Tarifas Bancárias e Cartão</t>
        </is>
      </c>
      <c r="J9" s="11">
        <f>SUMIF(F5:F132,I9,E5:E132)</f>
        <v/>
      </c>
    </row>
    <row r="10">
      <c r="A10" s="22" t="n">
        <v>46024</v>
      </c>
      <c r="B10" s="23" t="inlineStr">
        <is>
          <t>Recebimento parcela Gerado pelo sistema. Doc.: 4001 Ordem: 1</t>
        </is>
      </c>
      <c r="C10" s="23" t="inlineStr">
        <is>
          <t>RF SUPERMERCADO BRASIL LTDA</t>
        </is>
      </c>
      <c r="D10" s="24" t="n">
        <v>700</v>
      </c>
      <c r="E10" s="25" t="n"/>
      <c r="F10" s="26" t="n"/>
      <c r="G10" s="23" t="n"/>
      <c r="I10" s="13" t="inlineStr">
        <is>
          <t>Transporte e Entregas</t>
        </is>
      </c>
      <c r="J10" s="14">
        <f>SUMIF(F5:F132,I10,E5:E132)</f>
        <v/>
      </c>
    </row>
    <row r="11">
      <c r="A11" s="17" t="n">
        <v>46025</v>
      </c>
      <c r="B11" s="18" t="inlineStr">
        <is>
          <t>Recebimento à vista Gerado pelo sistema. Doc.: 4019 Ordem: 1</t>
        </is>
      </c>
      <c r="C11" s="18" t="inlineStr">
        <is>
          <t>FLAVIA MONYQUE MUNIZ RIBEIRO</t>
        </is>
      </c>
      <c r="D11" s="27" t="n">
        <v>510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SUMIF(F5:F132,I11,E5:E132)</f>
        <v/>
      </c>
    </row>
    <row r="12">
      <c r="A12" s="22" t="n">
        <v>46025</v>
      </c>
      <c r="B12" s="23" t="inlineStr">
        <is>
          <t>Recebimento à vista Gerado pelo sistema Doc.: 8771 Ordem: 1</t>
        </is>
      </c>
      <c r="C12" s="23" t="inlineStr">
        <is>
          <t>Cliente Consumidor</t>
        </is>
      </c>
      <c r="D12" s="24" t="n">
        <v>100</v>
      </c>
      <c r="E12" s="25" t="n"/>
      <c r="F12" s="26" t="n"/>
      <c r="G12" s="23" t="n"/>
      <c r="I12" s="13" t="inlineStr">
        <is>
          <t>Contabilidade</t>
        </is>
      </c>
      <c r="J12" s="14">
        <f>SUMIF(F5:F132,I12,E5:E132)</f>
        <v/>
      </c>
    </row>
    <row r="13">
      <c r="A13" s="17" t="n">
        <v>46027</v>
      </c>
      <c r="B13" s="18" t="inlineStr">
        <is>
          <t>Recebimento à vista Gerado pelo sistema Doc.: 8772 Ordem: 1</t>
        </is>
      </c>
      <c r="C13" s="18" t="inlineStr">
        <is>
          <t>JACKSON MACEDO DE SALES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SUMIF(F5:F132,I13,E5:E132)</f>
        <v/>
      </c>
    </row>
    <row r="14">
      <c r="A14" s="22" t="n">
        <v>46027</v>
      </c>
      <c r="B14" s="23" t="inlineStr">
        <is>
          <t>Pagamento parcela Gerado pelo sistema - nº 66404 Doc.: 66404 Orde</t>
        </is>
      </c>
      <c r="C14" s="23" t="inlineStr">
        <is>
          <t>EVERSOFT IND E COM DE PLASTICOS LTDA</t>
        </is>
      </c>
      <c r="D14" s="25" t="n"/>
      <c r="E14" s="28" t="n">
        <v>980.8099999999999</v>
      </c>
      <c r="F14" s="26" t="inlineStr">
        <is>
          <t>Fornecedores / Mercadoria</t>
        </is>
      </c>
      <c r="G14" s="23" t="n"/>
      <c r="I14" s="13" t="inlineStr">
        <is>
          <t>Material de Limpeza e Escritório</t>
        </is>
      </c>
      <c r="J14" s="14">
        <f>SUMIF(F5:F132,I14,E5:E132)</f>
        <v/>
      </c>
    </row>
    <row r="15">
      <c r="A15" s="17" t="n">
        <v>46028</v>
      </c>
      <c r="B15" s="18" t="inlineStr">
        <is>
          <t>Recebimento à vista Gerado pelo sistema Doc.: 8773 Ordem: 1</t>
        </is>
      </c>
      <c r="C15" s="18" t="inlineStr">
        <is>
          <t>TAMO JUNTO COMERCIAL E SOLUCOES LTDA</t>
        </is>
      </c>
      <c r="D15" s="27" t="n">
        <v>60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SUMIF(F5:F132,I15,E5:E132)</f>
        <v/>
      </c>
    </row>
    <row r="16">
      <c r="A16" s="22" t="n">
        <v>46028</v>
      </c>
      <c r="B16" s="23" t="inlineStr">
        <is>
          <t>Recebimento à vista Gerado pelo sistema Doc.: 8774 Ordem: 1</t>
        </is>
      </c>
      <c r="C16" s="23" t="inlineStr">
        <is>
          <t>Cliente Consumidor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SUMIF(F5:F132,I16,E5:E132)</f>
        <v/>
      </c>
    </row>
    <row r="17">
      <c r="A17" s="17" t="n">
        <v>46028</v>
      </c>
      <c r="B17" s="18" t="inlineStr">
        <is>
          <t>Recebimento à vista Gerado pelo sistema Doc.: 8775 Ordem: 1</t>
        </is>
      </c>
      <c r="C17" s="18" t="inlineStr">
        <is>
          <t>Cielo S. A.</t>
        </is>
      </c>
      <c r="D17" s="27" t="n">
        <v>260</v>
      </c>
      <c r="E17" s="19" t="n"/>
      <c r="F17" s="21" t="n"/>
      <c r="G17" s="18" t="n"/>
      <c r="I17" s="42" t="inlineStr">
        <is>
          <t>Pro Labore Edilânia</t>
        </is>
      </c>
      <c r="J17" s="8">
        <f>SUMIF(F5:F132,I17,E5:E132)</f>
        <v/>
      </c>
    </row>
    <row r="18">
      <c r="A18" s="22" t="n">
        <v>46028</v>
      </c>
      <c r="B18" s="23" t="inlineStr">
        <is>
          <t>Recebimento à vista Gerado pelo sistema. Doc.: 4020 Ordem: 1</t>
        </is>
      </c>
      <c r="C18" s="23" t="inlineStr">
        <is>
          <t>BOMBONIERE DOCE MANIA LTDA - VERONILDO BASILIO</t>
        </is>
      </c>
      <c r="D18" s="24" t="n">
        <v>1420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46028</v>
      </c>
      <c r="B19" s="18" t="inlineStr">
        <is>
          <t>Recebimento à vista Gerado pelo sistema Doc.: 8776 Ordem: 1</t>
        </is>
      </c>
      <c r="C19" s="18" t="inlineStr">
        <is>
          <t>JACOBINA VEICULOS LTDA</t>
        </is>
      </c>
      <c r="D19" s="27" t="n">
        <v>180</v>
      </c>
      <c r="E19" s="19" t="n"/>
      <c r="F19" s="21" t="n"/>
      <c r="G19" s="18" t="n"/>
    </row>
    <row r="20">
      <c r="A20" s="22" t="n">
        <v>46028</v>
      </c>
      <c r="B20" s="23" t="inlineStr">
        <is>
          <t>Estorno de recebimento do documento: Gerado pelo sistema Doc.: 877</t>
        </is>
      </c>
      <c r="C20" s="23" t="inlineStr">
        <is>
          <t>JACOBINA VEICULOS LTDA</t>
        </is>
      </c>
      <c r="D20" s="25" t="n"/>
      <c r="E20" s="28" t="n">
        <v>180</v>
      </c>
      <c r="F20" s="26" t="inlineStr">
        <is>
          <t>Estornos de Vendas (Cancelamentos)</t>
        </is>
      </c>
      <c r="G20" s="23" t="n"/>
    </row>
    <row r="21">
      <c r="A21" s="17" t="n">
        <v>46028</v>
      </c>
      <c r="B21" s="18" t="inlineStr">
        <is>
          <t>Recebimento à vista Gerado pelo sistema Doc.: 8777 Ordem: 1</t>
        </is>
      </c>
      <c r="C21" s="18" t="inlineStr">
        <is>
          <t>JACOBINA VEICULOS LTDA</t>
        </is>
      </c>
      <c r="D21" s="27" t="n">
        <v>190</v>
      </c>
      <c r="E21" s="19" t="n"/>
      <c r="F21" s="21" t="n"/>
      <c r="G21" s="18" t="n"/>
    </row>
    <row r="22">
      <c r="A22" s="22" t="n">
        <v>46028</v>
      </c>
      <c r="B22" s="23" t="inlineStr">
        <is>
          <t>Recebimento à vista Gerado pelo sistema Doc.: 8778 Ordem: 1</t>
        </is>
      </c>
      <c r="C22" s="23" t="inlineStr">
        <is>
          <t>CLINICA ODONTO GOLD</t>
        </is>
      </c>
      <c r="D22" s="24" t="n">
        <v>140</v>
      </c>
      <c r="E22" s="25" t="n"/>
      <c r="F22" s="26" t="n"/>
      <c r="G22" s="23" t="n"/>
    </row>
    <row r="23">
      <c r="A23" s="17" t="n">
        <v>46028</v>
      </c>
      <c r="B23" s="18" t="inlineStr">
        <is>
          <t>Recebimento à vista Gerado pelo sistema. Doc.: 4022 Ordem: 1</t>
        </is>
      </c>
      <c r="C23" s="18" t="inlineStr">
        <is>
          <t>VILAS BOAS SHOPPING DA CONSTRUCAO LTDA</t>
        </is>
      </c>
      <c r="D23" s="27" t="n">
        <v>280</v>
      </c>
      <c r="E23" s="19" t="n"/>
      <c r="F23" s="21" t="n"/>
      <c r="G23" s="18" t="n"/>
    </row>
    <row r="24">
      <c r="A24" s="22" t="n">
        <v>46028</v>
      </c>
      <c r="B24" s="23" t="inlineStr">
        <is>
          <t>Recebimento à vista Gerado pelo sistema Doc.: 8779 Ordem: 1</t>
        </is>
      </c>
      <c r="C24" s="23" t="inlineStr">
        <is>
          <t>REJANE MAGALHAES BORGES MAIA</t>
        </is>
      </c>
      <c r="D24" s="24" t="n">
        <v>190</v>
      </c>
      <c r="E24" s="25" t="n"/>
      <c r="F24" s="26" t="n"/>
      <c r="G24" s="23" t="n"/>
    </row>
    <row r="25">
      <c r="A25" s="17" t="n">
        <v>46028</v>
      </c>
      <c r="B25" s="18" t="inlineStr">
        <is>
          <t>Recebimento parcela Gerado pelo sistema. Doc.: 4005 Ordem: 1</t>
        </is>
      </c>
      <c r="C25" s="18" t="inlineStr">
        <is>
          <t>BURITI VEICULOS PECAS E SERVICOS LTDA</t>
        </is>
      </c>
      <c r="D25" s="27" t="n">
        <v>140</v>
      </c>
      <c r="E25" s="19" t="n"/>
      <c r="F25" s="21" t="n"/>
      <c r="G25" s="18" t="n"/>
    </row>
    <row r="26">
      <c r="A26" s="22" t="n">
        <v>46028</v>
      </c>
      <c r="B26" s="23" t="inlineStr">
        <is>
          <t>Recebimento parcela Gerado pelo sistema. Doc.: 4004 Ordem: 1</t>
        </is>
      </c>
      <c r="C26" s="23" t="inlineStr">
        <is>
          <t>MASTER COMERCIAL DE VEICULOS LTDA</t>
        </is>
      </c>
      <c r="D26" s="24" t="n">
        <v>280</v>
      </c>
      <c r="E26" s="25" t="n"/>
      <c r="F26" s="26" t="n"/>
      <c r="G26" s="23" t="n"/>
    </row>
    <row r="27">
      <c r="A27" s="17" t="n">
        <v>46029</v>
      </c>
      <c r="B27" s="18" t="inlineStr">
        <is>
          <t>Recebimento à vista Gerado pelo sistema. Doc.: 4023 Ordem: 1</t>
        </is>
      </c>
      <c r="C27" s="18" t="inlineStr">
        <is>
          <t>LEAL VILAS BOAS &amp; CIA LTDA</t>
        </is>
      </c>
      <c r="D27" s="27" t="n">
        <v>1508</v>
      </c>
      <c r="E27" s="19" t="n"/>
      <c r="F27" s="21" t="n"/>
      <c r="G27" s="18" t="n"/>
    </row>
    <row r="28">
      <c r="A28" s="22" t="n">
        <v>46029</v>
      </c>
      <c r="B28" s="23" t="inlineStr">
        <is>
          <t>Recebimento à vista Gerado pelo sistema Doc.: 8780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46029</v>
      </c>
      <c r="B29" s="18" t="inlineStr">
        <is>
          <t>Recebimento à vista Gerado pelo sistema Doc.: 8781 Ordem: 1</t>
        </is>
      </c>
      <c r="C29" s="18" t="inlineStr">
        <is>
          <t>Cielo S. A.</t>
        </is>
      </c>
      <c r="D29" s="27" t="n">
        <v>60</v>
      </c>
      <c r="E29" s="19" t="n"/>
      <c r="F29" s="21" t="n"/>
      <c r="G29" s="18" t="n"/>
    </row>
    <row r="30">
      <c r="A30" s="22" t="n">
        <v>46029</v>
      </c>
      <c r="B30" s="23" t="inlineStr">
        <is>
          <t>Recebimento à vista Gerado pelo sistema Doc.: 8782 Ordem: 1</t>
        </is>
      </c>
      <c r="C30" s="23" t="inlineStr">
        <is>
          <t>Cliente Consumidor</t>
        </is>
      </c>
      <c r="D30" s="24" t="n">
        <v>40</v>
      </c>
      <c r="E30" s="25" t="n"/>
      <c r="F30" s="26" t="n"/>
      <c r="G30" s="23" t="n"/>
    </row>
    <row r="31">
      <c r="A31" s="17" t="n">
        <v>46029</v>
      </c>
      <c r="B31" s="18" t="inlineStr">
        <is>
          <t>Recebimento à vista Gerado pelo sistema Doc.: 8783 Ordem: 1</t>
        </is>
      </c>
      <c r="C31" s="18" t="inlineStr">
        <is>
          <t>Cliente Consumidor</t>
        </is>
      </c>
      <c r="D31" s="27" t="n">
        <v>95</v>
      </c>
      <c r="E31" s="19" t="n"/>
      <c r="F31" s="21" t="n"/>
      <c r="G31" s="18" t="n"/>
    </row>
    <row r="32">
      <c r="A32" s="22" t="n">
        <v>46029</v>
      </c>
      <c r="B32" s="23" t="inlineStr">
        <is>
          <t>Recebimento à vista Gerado pelo sistema Doc.: 8784 Ordem: 1</t>
        </is>
      </c>
      <c r="C32" s="23" t="inlineStr">
        <is>
          <t>Cliente Consumidor</t>
        </is>
      </c>
      <c r="D32" s="24" t="n">
        <v>85</v>
      </c>
      <c r="E32" s="25" t="n"/>
      <c r="F32" s="26" t="n"/>
      <c r="G32" s="23" t="n"/>
    </row>
    <row r="33">
      <c r="A33" s="17" t="n">
        <v>46029</v>
      </c>
      <c r="B33" s="18" t="inlineStr">
        <is>
          <t>Pagamento parcela Gerado pelo sistema - nº 125587 Doc.: 125587 Ord</t>
        </is>
      </c>
      <c r="C33" s="18" t="inlineStr">
        <is>
          <t>FILTROS PLANETA AGUA IND E COM LTDA</t>
        </is>
      </c>
      <c r="D33" s="19" t="n"/>
      <c r="E33" s="20" t="n">
        <v>513.0700000000001</v>
      </c>
      <c r="F33" s="21" t="inlineStr">
        <is>
          <t>Fornecedores / Mercadoria</t>
        </is>
      </c>
      <c r="G33" s="18" t="n"/>
    </row>
    <row r="34">
      <c r="A34" s="22" t="n">
        <v>46029</v>
      </c>
      <c r="B34" s="23" t="inlineStr">
        <is>
          <t>Pagamento parcela CONTA DE ENERGIA LOJA Doc.: 1 Ordem: 10</t>
        </is>
      </c>
      <c r="C34" s="23" t="inlineStr">
        <is>
          <t>COMPANHIA DE ELETRICIDADE DO ESTADO DA BAHIA COELBA</t>
        </is>
      </c>
      <c r="D34" s="25" t="n"/>
      <c r="E34" s="28" t="n">
        <v>159.68</v>
      </c>
      <c r="F34" s="26" t="inlineStr">
        <is>
          <t>Água, Energia e Internet</t>
        </is>
      </c>
      <c r="G34" s="23" t="n"/>
    </row>
    <row r="35">
      <c r="A35" s="17" t="n">
        <v>46030</v>
      </c>
      <c r="B35" s="18" t="inlineStr">
        <is>
          <t>Recebimento à vista Gerado pelo sistema. Doc.: 4024 Ordem: 1</t>
        </is>
      </c>
      <c r="C35" s="18" t="inlineStr">
        <is>
          <t>ANA MARCIA ROSARIO DE OLIVEIRA</t>
        </is>
      </c>
      <c r="D35" s="27" t="n">
        <v>1448</v>
      </c>
      <c r="E35" s="19" t="n"/>
      <c r="F35" s="21" t="n"/>
      <c r="G35" s="18" t="n"/>
    </row>
    <row r="36">
      <c r="A36" s="22" t="n">
        <v>46030</v>
      </c>
      <c r="B36" s="23" t="inlineStr">
        <is>
          <t>Recebimento à vista Gerado pelo sistema. Doc.: 4025 Ordem: 1</t>
        </is>
      </c>
      <c r="C36" s="23" t="inlineStr">
        <is>
          <t>EUZETE MARIA DE OLIVEIRA ARAUJO</t>
        </is>
      </c>
      <c r="D36" s="24" t="n">
        <v>140</v>
      </c>
      <c r="E36" s="25" t="n"/>
      <c r="F36" s="26" t="n"/>
      <c r="G36" s="23" t="n"/>
    </row>
    <row r="37">
      <c r="A37" s="17" t="n">
        <v>46030</v>
      </c>
      <c r="B37" s="18" t="inlineStr">
        <is>
          <t>Recebimento à vista Gerado pelo sistema Doc.: 8785 Ordem: 1</t>
        </is>
      </c>
      <c r="C37" s="18" t="inlineStr">
        <is>
          <t>Cielo S. A.</t>
        </is>
      </c>
      <c r="D37" s="27" t="n">
        <v>95</v>
      </c>
      <c r="E37" s="19" t="n"/>
      <c r="F37" s="21" t="n"/>
      <c r="G37" s="18" t="n"/>
    </row>
    <row r="38">
      <c r="A38" s="22" t="n">
        <v>46030</v>
      </c>
      <c r="B38" s="23" t="inlineStr">
        <is>
          <t>Recebimento à vista Gerado pelo sistema Doc.: 8786 Ordem: 1</t>
        </is>
      </c>
      <c r="C38" s="23" t="inlineStr">
        <is>
          <t>Cliente Consumidor</t>
        </is>
      </c>
      <c r="D38" s="24" t="n">
        <v>95</v>
      </c>
      <c r="E38" s="25" t="n"/>
      <c r="F38" s="26" t="n"/>
      <c r="G38" s="23" t="n"/>
    </row>
    <row r="39">
      <c r="A39" s="17" t="n">
        <v>46030</v>
      </c>
      <c r="B39" s="18" t="inlineStr">
        <is>
          <t>Recebimento à vista Gerado pelo sistema Doc.: 8787 Ordem: 1</t>
        </is>
      </c>
      <c r="C39" s="18" t="inlineStr">
        <is>
          <t>Cliente Consumidor</t>
        </is>
      </c>
      <c r="D39" s="27" t="n">
        <v>10</v>
      </c>
      <c r="E39" s="19" t="n"/>
      <c r="F39" s="21" t="n"/>
      <c r="G39" s="18" t="n"/>
    </row>
    <row r="40">
      <c r="A40" s="22" t="n">
        <v>46030</v>
      </c>
      <c r="B40" s="23" t="inlineStr">
        <is>
          <t>Recebimento à vista Gerado pelo sistema Doc.: 8788 Ordem: 1</t>
        </is>
      </c>
      <c r="C40" s="23" t="inlineStr">
        <is>
          <t>Cliente Consumidor</t>
        </is>
      </c>
      <c r="D40" s="24" t="n">
        <v>30</v>
      </c>
      <c r="E40" s="25" t="n"/>
      <c r="F40" s="26" t="n"/>
      <c r="G40" s="23" t="n"/>
    </row>
    <row r="41">
      <c r="A41" s="17" t="n">
        <v>46030</v>
      </c>
      <c r="B41" s="18" t="inlineStr">
        <is>
          <t>Pagamento parcela Gerado pelo sistema - nº 361446 Doc.: 361446 Ord</t>
        </is>
      </c>
      <c r="C41" s="18" t="inlineStr">
        <is>
          <t>EVEREST REFRIGERACAO E INDUSTRIA</t>
        </is>
      </c>
      <c r="D41" s="19" t="n"/>
      <c r="E41" s="20" t="n">
        <v>781.4</v>
      </c>
      <c r="F41" s="21" t="inlineStr">
        <is>
          <t>Fornecedores / Mercadoria</t>
        </is>
      </c>
      <c r="G41" s="18" t="n"/>
    </row>
    <row r="42">
      <c r="A42" s="22" t="n">
        <v>46030</v>
      </c>
      <c r="B42" s="23" t="inlineStr">
        <is>
          <t>Pagamento parcela SHOPEE (TORNEIRAS) Doc.: 1 Ordem: 4</t>
        </is>
      </c>
      <c r="C42" s="23" t="inlineStr">
        <is>
          <t>ADYEN DO BRASIL INTITUICAO PAGAMENTO LTDA</t>
        </is>
      </c>
      <c r="D42" s="25" t="n"/>
      <c r="E42" s="28" t="n">
        <v>143.09</v>
      </c>
      <c r="F42" s="26" t="inlineStr">
        <is>
          <t>Tarifas Bancárias e Cartão</t>
        </is>
      </c>
      <c r="G42" s="23" t="n"/>
    </row>
    <row r="43">
      <c r="A43" s="17" t="n">
        <v>46031</v>
      </c>
      <c r="B43" s="18" t="inlineStr">
        <is>
          <t>Recebimento à vista Gerado pelo sistema Doc.: 8789 Ordem: 1</t>
        </is>
      </c>
      <c r="C43" s="18" t="inlineStr">
        <is>
          <t>Cielo S. A.</t>
        </is>
      </c>
      <c r="D43" s="27" t="n">
        <v>35</v>
      </c>
      <c r="E43" s="19" t="n"/>
      <c r="F43" s="21" t="n"/>
      <c r="G43" s="18" t="n"/>
    </row>
    <row r="44">
      <c r="A44" s="22" t="n">
        <v>46031</v>
      </c>
      <c r="B44" s="23" t="inlineStr">
        <is>
          <t>Recebimento à vista Gerado pelo sistema Doc.: 8790 Ordem: 1</t>
        </is>
      </c>
      <c r="C44" s="23" t="inlineStr">
        <is>
          <t>Cliente Consumidor</t>
        </is>
      </c>
      <c r="D44" s="24" t="n">
        <v>80</v>
      </c>
      <c r="E44" s="25" t="n"/>
      <c r="F44" s="26" t="n"/>
      <c r="G44" s="23" t="n"/>
    </row>
    <row r="45">
      <c r="A45" s="17" t="n">
        <v>46031</v>
      </c>
      <c r="B45" s="18" t="inlineStr">
        <is>
          <t>Recebimento à vista Gerado pelo sistema Doc.: 8791 Ordem: 1</t>
        </is>
      </c>
      <c r="C45" s="18" t="inlineStr">
        <is>
          <t>Cielo S. A.</t>
        </is>
      </c>
      <c r="D45" s="27" t="n">
        <v>140</v>
      </c>
      <c r="E45" s="19" t="n"/>
      <c r="F45" s="21" t="n"/>
      <c r="G45" s="18" t="n"/>
    </row>
    <row r="46">
      <c r="A46" s="22" t="n">
        <v>46031</v>
      </c>
      <c r="B46" s="23" t="inlineStr">
        <is>
          <t>Recebimento à vista Gerado pelo sistema. Doc.: 4026 Ordem: 1</t>
        </is>
      </c>
      <c r="C46" s="23" t="inlineStr">
        <is>
          <t>UNIAO LESTE BRASILEIRA DA IASD</t>
        </is>
      </c>
      <c r="D46" s="24" t="n">
        <v>170</v>
      </c>
      <c r="E46" s="25" t="n"/>
      <c r="F46" s="26" t="n"/>
      <c r="G46" s="23" t="n"/>
    </row>
    <row r="47">
      <c r="A47" s="17" t="n">
        <v>46031</v>
      </c>
      <c r="B47" s="18" t="inlineStr">
        <is>
          <t>Estorno de recebimento do documento: Gerado pelo sistema. Doc.: 40</t>
        </is>
      </c>
      <c r="C47" s="18" t="inlineStr">
        <is>
          <t>UNIAO LESTE BRASILEIRA DA IASD</t>
        </is>
      </c>
      <c r="D47" s="19" t="n"/>
      <c r="E47" s="20" t="n">
        <v>170</v>
      </c>
      <c r="F47" s="21" t="inlineStr">
        <is>
          <t>Estornos de Vendas (Cancelamentos)</t>
        </is>
      </c>
      <c r="G47" s="18" t="n"/>
    </row>
    <row r="48">
      <c r="A48" s="22" t="n">
        <v>46031</v>
      </c>
      <c r="B48" s="23" t="inlineStr">
        <is>
          <t>Recebimento à vista Gerado pelo sistema. Doc.: 4027 Ordem: 1</t>
        </is>
      </c>
      <c r="C48" s="23" t="inlineStr">
        <is>
          <t>UNIAO LESTE BRASILEIRA DA IASD</t>
        </is>
      </c>
      <c r="D48" s="24" t="n">
        <v>170</v>
      </c>
      <c r="E48" s="25" t="n"/>
      <c r="F48" s="26" t="n"/>
      <c r="G48" s="23" t="n"/>
    </row>
    <row r="49">
      <c r="A49" s="17" t="n">
        <v>46032</v>
      </c>
      <c r="B49" s="18" t="inlineStr">
        <is>
          <t>Recebimento à vista Gerado pelo sistema Doc.: 8792 Ordem: 1</t>
        </is>
      </c>
      <c r="C49" s="18" t="inlineStr">
        <is>
          <t>Cielo S. A.</t>
        </is>
      </c>
      <c r="D49" s="27" t="n">
        <v>20</v>
      </c>
      <c r="E49" s="19" t="n"/>
      <c r="F49" s="21" t="n"/>
      <c r="G49" s="18" t="n"/>
    </row>
    <row r="50">
      <c r="A50" s="22" t="n">
        <v>46032</v>
      </c>
      <c r="B50" s="23" t="inlineStr">
        <is>
          <t>Recebimento à vista Gerado pelo sistema Doc.: 8793 Ordem: 1</t>
        </is>
      </c>
      <c r="C50" s="23" t="inlineStr">
        <is>
          <t>Cielo S. A.</t>
        </is>
      </c>
      <c r="D50" s="24" t="n">
        <v>50</v>
      </c>
      <c r="E50" s="25" t="n"/>
      <c r="F50" s="26" t="n"/>
      <c r="G50" s="23" t="n"/>
    </row>
    <row r="51">
      <c r="A51" s="17" t="n">
        <v>46032</v>
      </c>
      <c r="B51" s="18" t="inlineStr">
        <is>
          <t>Recebimento à vista Gerado pelo sistema Doc.: 8794 Ordem: 1</t>
        </is>
      </c>
      <c r="C51" s="18" t="inlineStr">
        <is>
          <t>Cliente Consumidor</t>
        </is>
      </c>
      <c r="D51" s="27" t="n">
        <v>30</v>
      </c>
      <c r="E51" s="19" t="n"/>
      <c r="F51" s="21" t="n"/>
      <c r="G51" s="18" t="n"/>
    </row>
    <row r="52">
      <c r="A52" s="22" t="n">
        <v>46034</v>
      </c>
      <c r="B52" s="23" t="inlineStr">
        <is>
          <t>Recebimento à vista Gerado pelo sistema. Doc.: 4028 Ordem: 1</t>
        </is>
      </c>
      <c r="C52" s="23" t="inlineStr">
        <is>
          <t>TEN SOLUCOES, E TECNOLOGIA LTDA</t>
        </is>
      </c>
      <c r="D52" s="24" t="n">
        <v>160</v>
      </c>
      <c r="E52" s="25" t="n"/>
      <c r="F52" s="26" t="n"/>
      <c r="G52" s="23" t="n"/>
    </row>
    <row r="53">
      <c r="A53" s="17" t="n">
        <v>46034</v>
      </c>
      <c r="B53" s="18" t="inlineStr">
        <is>
          <t>Recebimento à vista Gerado pelo sistema. Doc.: 4029 Ordem: 1</t>
        </is>
      </c>
      <c r="C53" s="18" t="inlineStr">
        <is>
          <t>MARIUA CONSTRUCOES LTDA</t>
        </is>
      </c>
      <c r="D53" s="27" t="n">
        <v>180</v>
      </c>
      <c r="E53" s="19" t="n"/>
      <c r="F53" s="21" t="n"/>
      <c r="G53" s="18" t="n"/>
    </row>
    <row r="54">
      <c r="A54" s="22" t="n">
        <v>46034</v>
      </c>
      <c r="B54" s="23" t="inlineStr">
        <is>
          <t>Pagamento parcela Gerado pelo sistema - nº 366264 Doc.: 366264 Ord</t>
        </is>
      </c>
      <c r="C54" s="23" t="inlineStr">
        <is>
          <t>EVEREST REFRIGERACAO E INDUSTRIA</t>
        </is>
      </c>
      <c r="D54" s="25" t="n"/>
      <c r="E54" s="28" t="n">
        <v>841.0599999999999</v>
      </c>
      <c r="F54" s="26" t="inlineStr">
        <is>
          <t>Fornecedores / Mercadoria</t>
        </is>
      </c>
      <c r="G54" s="23" t="n"/>
    </row>
    <row r="55">
      <c r="A55" s="17" t="n">
        <v>46034</v>
      </c>
      <c r="B55" s="18" t="inlineStr">
        <is>
          <t>Pagamento parcela Gerado pelo sistema - nº 357294 Doc.: 357294 Ord</t>
        </is>
      </c>
      <c r="C55" s="18" t="inlineStr">
        <is>
          <t>EVEREST REFRIGERACAO E INDUSTRIA</t>
        </is>
      </c>
      <c r="D55" s="19" t="n"/>
      <c r="E55" s="20" t="n">
        <v>577.35</v>
      </c>
      <c r="F55" s="21" t="inlineStr">
        <is>
          <t>Fornecedores / Mercadoria</t>
        </is>
      </c>
      <c r="G55" s="18" t="n"/>
    </row>
    <row r="56">
      <c r="A56" s="22" t="n">
        <v>46034</v>
      </c>
      <c r="B56" s="23" t="inlineStr">
        <is>
          <t>Pagamento parcela FERIAS WILIAM 1 PARCELA Doc.: 1 Ordem: 4</t>
        </is>
      </c>
      <c r="C56" s="23" t="inlineStr">
        <is>
          <t>WILIAM PINTO BISPO</t>
        </is>
      </c>
      <c r="D56" s="25" t="n"/>
      <c r="E56" s="28" t="n">
        <v>1405</v>
      </c>
      <c r="F56" s="26" t="inlineStr">
        <is>
          <t>Salários, Comissões e Encargos</t>
        </is>
      </c>
      <c r="G56" s="23" t="n"/>
    </row>
    <row r="57">
      <c r="A57" s="17" t="n">
        <v>46035</v>
      </c>
      <c r="B57" s="18" t="inlineStr">
        <is>
          <t>Recebimento à vista Gerado pelo sistema Doc.: 8795 Ordem: 1</t>
        </is>
      </c>
      <c r="C57" s="18" t="inlineStr">
        <is>
          <t>Cliente Consumidor</t>
        </is>
      </c>
      <c r="D57" s="27" t="n">
        <v>40</v>
      </c>
      <c r="E57" s="19" t="n"/>
      <c r="F57" s="21" t="n"/>
      <c r="G57" s="18" t="n"/>
    </row>
    <row r="58">
      <c r="A58" s="22" t="n">
        <v>46035</v>
      </c>
      <c r="B58" s="23" t="inlineStr">
        <is>
          <t>Recebimento à vista Gerado pelo sistema Doc.: 8796 Ordem: 1</t>
        </is>
      </c>
      <c r="C58" s="23" t="inlineStr">
        <is>
          <t>Cielo S. A.</t>
        </is>
      </c>
      <c r="D58" s="24" t="n">
        <v>140</v>
      </c>
      <c r="E58" s="25" t="n"/>
      <c r="F58" s="26" t="n"/>
      <c r="G58" s="23" t="n"/>
    </row>
    <row r="59">
      <c r="A59" s="17" t="n">
        <v>46035</v>
      </c>
      <c r="B59" s="18" t="inlineStr">
        <is>
          <t>Recebimento à vista Gerado pelo sistema Doc.: 8797 Ordem: 1</t>
        </is>
      </c>
      <c r="C59" s="18" t="inlineStr">
        <is>
          <t>Cielo S. A.</t>
        </is>
      </c>
      <c r="D59" s="27" t="n">
        <v>140</v>
      </c>
      <c r="E59" s="19" t="n"/>
      <c r="F59" s="21" t="n"/>
      <c r="G59" s="18" t="n"/>
    </row>
    <row r="60">
      <c r="A60" s="22" t="n">
        <v>46035</v>
      </c>
      <c r="B60" s="23" t="inlineStr">
        <is>
          <t>Recebimento à vista Gerado pelo sistema Doc.: 8798 Ordem: 1</t>
        </is>
      </c>
      <c r="C60" s="23" t="inlineStr">
        <is>
          <t>Cielo S. A.</t>
        </is>
      </c>
      <c r="D60" s="24" t="n">
        <v>90</v>
      </c>
      <c r="E60" s="25" t="n"/>
      <c r="F60" s="26" t="n"/>
      <c r="G60" s="23" t="n"/>
    </row>
    <row r="61">
      <c r="A61" s="17" t="n">
        <v>46035</v>
      </c>
      <c r="B61" s="18" t="inlineStr">
        <is>
          <t>Recebimento à vista Gerado pelo sistema Doc.: 8799 Ordem: 1</t>
        </is>
      </c>
      <c r="C61" s="18" t="inlineStr">
        <is>
          <t>ANDRADINA MOTA DOS SANTOS</t>
        </is>
      </c>
      <c r="D61" s="27" t="n">
        <v>200</v>
      </c>
      <c r="E61" s="19" t="n"/>
      <c r="F61" s="21" t="n"/>
      <c r="G61" s="18" t="n"/>
    </row>
    <row r="62">
      <c r="A62" s="22" t="n">
        <v>46035</v>
      </c>
      <c r="B62" s="23" t="inlineStr">
        <is>
          <t>Recebimento à vista Gerado pelo sistema Doc.: 8800 Ordem: 1</t>
        </is>
      </c>
      <c r="C62" s="23" t="inlineStr">
        <is>
          <t>MARIA DA CONCEIÇÃO COSTA E SILVA</t>
        </is>
      </c>
      <c r="D62" s="24" t="n">
        <v>50</v>
      </c>
      <c r="E62" s="25" t="n"/>
      <c r="F62" s="26" t="n"/>
      <c r="G62" s="23" t="n"/>
    </row>
    <row r="63">
      <c r="A63" s="17" t="n">
        <v>46035</v>
      </c>
      <c r="B63" s="18" t="inlineStr">
        <is>
          <t>Recebimento à vista Gerado pelo sistema Doc.: 8801 Ordem: 1</t>
        </is>
      </c>
      <c r="C63" s="18" t="inlineStr">
        <is>
          <t>JOSE PEREIRA DA SILVA - JOSE TIAGO SOUZA</t>
        </is>
      </c>
      <c r="D63" s="27" t="n">
        <v>185</v>
      </c>
      <c r="E63" s="19" t="n"/>
      <c r="F63" s="21" t="n"/>
      <c r="G63" s="18" t="n"/>
    </row>
    <row r="64">
      <c r="A64" s="22" t="n">
        <v>46035</v>
      </c>
      <c r="B64" s="23" t="inlineStr">
        <is>
          <t>Recebimento à vista Gerado pelo sistema Doc.: 8802 Ordem: 1</t>
        </is>
      </c>
      <c r="C64" s="23" t="inlineStr">
        <is>
          <t>PREMIERE ODONTOLOGIA LTDA.ME - ANA CAROLINA</t>
        </is>
      </c>
      <c r="D64" s="24" t="n">
        <v>140</v>
      </c>
      <c r="E64" s="25" t="n"/>
      <c r="F64" s="26" t="n"/>
      <c r="G64" s="23" t="n"/>
    </row>
    <row r="65">
      <c r="A65" s="17" t="n">
        <v>46036</v>
      </c>
      <c r="B65" s="18" t="inlineStr">
        <is>
          <t>Recebimento à vista Gerado pelo sistema Doc.: 8803 Ordem: 1</t>
        </is>
      </c>
      <c r="C65" s="18" t="inlineStr">
        <is>
          <t>IGOR SANTOS SILVA - ME</t>
        </is>
      </c>
      <c r="D65" s="27" t="n">
        <v>140</v>
      </c>
      <c r="E65" s="19" t="n"/>
      <c r="F65" s="21" t="n"/>
      <c r="G65" s="18" t="n"/>
    </row>
    <row r="66">
      <c r="A66" s="22" t="n">
        <v>46036</v>
      </c>
      <c r="B66" s="23" t="inlineStr">
        <is>
          <t>Recebimento à vista Gerado pelo sistema Doc.: 8804 Ordem: 1</t>
        </is>
      </c>
      <c r="C66" s="23" t="inlineStr">
        <is>
          <t>Cliente Consumidor</t>
        </is>
      </c>
      <c r="D66" s="24" t="n">
        <v>90</v>
      </c>
      <c r="E66" s="25" t="n"/>
      <c r="F66" s="26" t="n"/>
      <c r="G66" s="23" t="n"/>
    </row>
    <row r="67">
      <c r="A67" s="17" t="n">
        <v>46036</v>
      </c>
      <c r="B67" s="18" t="inlineStr">
        <is>
          <t>Recebimento à vista Gerado pelo sistema Doc.: 8805 Ordem: 1</t>
        </is>
      </c>
      <c r="C67" s="18" t="inlineStr">
        <is>
          <t>Cliente Consumidor</t>
        </is>
      </c>
      <c r="D67" s="27" t="n">
        <v>125</v>
      </c>
      <c r="E67" s="19" t="n"/>
      <c r="F67" s="21" t="n"/>
      <c r="G67" s="18" t="n"/>
    </row>
    <row r="68">
      <c r="A68" s="22" t="n">
        <v>46037</v>
      </c>
      <c r="B68" s="23" t="inlineStr">
        <is>
          <t>Recebimento à vista Gerado pelo sistema. Doc.: 4030 Ordem: 1</t>
        </is>
      </c>
      <c r="C68" s="23" t="inlineStr">
        <is>
          <t>PC JACOBINA ADMINISTRADORA DE CARTOES LTDA</t>
        </is>
      </c>
      <c r="D68" s="24" t="n">
        <v>1348</v>
      </c>
      <c r="E68" s="25" t="n"/>
      <c r="F68" s="26" t="n"/>
      <c r="G68" s="23" t="n"/>
    </row>
    <row r="69">
      <c r="A69" s="17" t="n">
        <v>46037</v>
      </c>
      <c r="B69" s="18" t="inlineStr">
        <is>
          <t>Recebimento à vista Gerado pelo sistema Doc.: 8806 Ordem: 1</t>
        </is>
      </c>
      <c r="C69" s="18" t="inlineStr">
        <is>
          <t>Cielo S. A.</t>
        </is>
      </c>
      <c r="D69" s="27" t="n">
        <v>60</v>
      </c>
      <c r="E69" s="19" t="n"/>
      <c r="F69" s="21" t="n"/>
      <c r="G69" s="18" t="n"/>
    </row>
    <row r="70">
      <c r="A70" s="22" t="n">
        <v>46037</v>
      </c>
      <c r="B70" s="23" t="inlineStr">
        <is>
          <t>Recebimento à vista Gerado pelo sistema Doc.: 8807 Ordem: 1</t>
        </is>
      </c>
      <c r="C70" s="23" t="inlineStr">
        <is>
          <t>Cliente Consumidor</t>
        </is>
      </c>
      <c r="D70" s="24" t="n">
        <v>145</v>
      </c>
      <c r="E70" s="25" t="n"/>
      <c r="F70" s="26" t="n"/>
      <c r="G70" s="23" t="n"/>
    </row>
    <row r="71">
      <c r="A71" s="17" t="n">
        <v>46037</v>
      </c>
      <c r="B71" s="18" t="inlineStr">
        <is>
          <t>Estorno de recebimento do documento: Gerado pelo sistema Doc.: 880</t>
        </is>
      </c>
      <c r="C71" s="18" t="inlineStr">
        <is>
          <t>Cliente Consumidor</t>
        </is>
      </c>
      <c r="D71" s="19" t="n"/>
      <c r="E71" s="20" t="n">
        <v>145</v>
      </c>
      <c r="F71" s="21" t="inlineStr">
        <is>
          <t>Estornos de Vendas (Cancelamentos)</t>
        </is>
      </c>
      <c r="G71" s="18" t="n"/>
    </row>
    <row r="72">
      <c r="A72" s="22" t="n">
        <v>46037</v>
      </c>
      <c r="B72" s="23" t="inlineStr">
        <is>
          <t>Recebimento à vista Gerado pelo sistema Doc.: 8808 Ordem: 1</t>
        </is>
      </c>
      <c r="C72" s="23" t="inlineStr">
        <is>
          <t>Cliente Consumidor</t>
        </is>
      </c>
      <c r="D72" s="24" t="n">
        <v>135</v>
      </c>
      <c r="E72" s="25" t="n"/>
      <c r="F72" s="26" t="n"/>
      <c r="G72" s="23" t="n"/>
    </row>
    <row r="73">
      <c r="A73" s="17" t="n">
        <v>46038</v>
      </c>
      <c r="B73" s="18" t="inlineStr">
        <is>
          <t>Recebimento à vista Gerado pelo sistema Doc.: 8809 Ordem: 1</t>
        </is>
      </c>
      <c r="C73" s="18" t="inlineStr">
        <is>
          <t>Cliente Consumidor</t>
        </is>
      </c>
      <c r="D73" s="27" t="n">
        <v>10</v>
      </c>
      <c r="E73" s="19" t="n"/>
      <c r="F73" s="21" t="n"/>
      <c r="G73" s="18" t="n"/>
    </row>
    <row r="74">
      <c r="A74" s="22" t="n">
        <v>46038</v>
      </c>
      <c r="B74" s="23" t="inlineStr">
        <is>
          <t>Pagamento parcela TARCISIO OLIVEIRA LIMA Doc.: 1 Ordem: 6</t>
        </is>
      </c>
      <c r="C74" s="23" t="inlineStr">
        <is>
          <t>CONTABILIDADE TARCISIO OLIVEIRA LIMA</t>
        </is>
      </c>
      <c r="D74" s="25" t="n"/>
      <c r="E74" s="28" t="n">
        <v>455.4</v>
      </c>
      <c r="F74" s="26" t="inlineStr">
        <is>
          <t>Contabilidade</t>
        </is>
      </c>
      <c r="G74" s="23" t="n"/>
    </row>
    <row r="75">
      <c r="A75" s="17" t="n">
        <v>46038</v>
      </c>
      <c r="B75" s="18" t="inlineStr">
        <is>
          <t>Pagamento parcela Gerado pelo sistema - nº 357493 Doc.: 357493 Ord</t>
        </is>
      </c>
      <c r="C75" s="18" t="inlineStr">
        <is>
          <t>EVEREST REFRIGERACAO E INDUSTRIA</t>
        </is>
      </c>
      <c r="D75" s="19" t="n"/>
      <c r="E75" s="20" t="n">
        <v>824.74</v>
      </c>
      <c r="F75" s="21" t="inlineStr">
        <is>
          <t>Fornecedores / Mercadoria</t>
        </is>
      </c>
      <c r="G75" s="18" t="n"/>
    </row>
    <row r="76">
      <c r="A76" s="22" t="n">
        <v>46038</v>
      </c>
      <c r="B76" s="23" t="inlineStr">
        <is>
          <t>Pagamento parcela Gerado pelo sistema - nº 123868 Doc.: 123868 Ord</t>
        </is>
      </c>
      <c r="C76" s="23" t="inlineStr">
        <is>
          <t>FILTROS PLANETA AGUA IND E COM LTDA</t>
        </is>
      </c>
      <c r="D76" s="25" t="n"/>
      <c r="E76" s="28" t="n">
        <v>771.5599999999999</v>
      </c>
      <c r="F76" s="26" t="inlineStr">
        <is>
          <t>Fornecedores / Mercadoria</t>
        </is>
      </c>
      <c r="G76" s="23" t="n"/>
    </row>
    <row r="77">
      <c r="A77" s="17" t="n">
        <v>46038</v>
      </c>
      <c r="B77" s="18" t="inlineStr">
        <is>
          <t>Pagamento parcela JAMEF Doc.: 1 Ordem: 33</t>
        </is>
      </c>
      <c r="C77" s="18" t="inlineStr">
        <is>
          <t>JAMEF TRANSPORTES LTDA</t>
        </is>
      </c>
      <c r="D77" s="19" t="n"/>
      <c r="E77" s="20" t="n">
        <v>358.82</v>
      </c>
      <c r="F77" s="21" t="inlineStr">
        <is>
          <t>Transporte e Entregas</t>
        </is>
      </c>
      <c r="G77" s="18" t="n"/>
    </row>
    <row r="78">
      <c r="A78" s="22" t="n">
        <v>46041</v>
      </c>
      <c r="B78" s="23" t="inlineStr">
        <is>
          <t>Recebimento à vista Gerado pelo sistema. Doc.: 4031 Ordem: 1</t>
        </is>
      </c>
      <c r="C78" s="23" t="inlineStr">
        <is>
          <t>LUCAS SANTOS PINTO DE SOUZA</t>
        </is>
      </c>
      <c r="D78" s="24" t="n">
        <v>1398</v>
      </c>
      <c r="E78" s="25" t="n"/>
      <c r="F78" s="26" t="n"/>
      <c r="G78" s="23" t="n"/>
    </row>
    <row r="79">
      <c r="A79" s="17" t="n">
        <v>46041</v>
      </c>
      <c r="B79" s="18" t="inlineStr">
        <is>
          <t>Recebimento à vista Gerado pelo sistema Doc.: 8810 Ordem: 1</t>
        </is>
      </c>
      <c r="C79" s="18" t="inlineStr">
        <is>
          <t>ILA CARIELE CORREIA DANTAS</t>
        </is>
      </c>
      <c r="D79" s="27" t="n">
        <v>140</v>
      </c>
      <c r="E79" s="19" t="n"/>
      <c r="F79" s="21" t="n"/>
      <c r="G79" s="18" t="n"/>
    </row>
    <row r="80">
      <c r="A80" s="22" t="n">
        <v>46041</v>
      </c>
      <c r="B80" s="23" t="inlineStr">
        <is>
          <t>Recebimento à vista Gerado pelo sistema Doc.: 8811 Ordem: 1</t>
        </is>
      </c>
      <c r="C80" s="23" t="inlineStr">
        <is>
          <t>Cielo S. A.</t>
        </is>
      </c>
      <c r="D80" s="24" t="n">
        <v>140</v>
      </c>
      <c r="E80" s="25" t="n"/>
      <c r="F80" s="26" t="n"/>
      <c r="G80" s="23" t="n"/>
    </row>
    <row r="81">
      <c r="A81" s="17" t="n">
        <v>46041</v>
      </c>
      <c r="B81" s="18" t="inlineStr">
        <is>
          <t>Recebimento à vista Gerado pelo sistema Doc.: 8812 Ordem: 1</t>
        </is>
      </c>
      <c r="C81" s="18" t="inlineStr">
        <is>
          <t>SUELENE SOARES LIMA</t>
        </is>
      </c>
      <c r="D81" s="27" t="n">
        <v>140</v>
      </c>
      <c r="E81" s="19" t="n"/>
      <c r="F81" s="21" t="n"/>
      <c r="G81" s="18" t="n"/>
    </row>
    <row r="82">
      <c r="A82" s="22" t="n">
        <v>46041</v>
      </c>
      <c r="B82" s="23" t="inlineStr">
        <is>
          <t>Pagamento parcela Gerado pelo sistema - nº 67435 Doc.: 67435 Orde</t>
        </is>
      </c>
      <c r="C82" s="23" t="inlineStr">
        <is>
          <t>EVERSOFT IND E COM DE PLASTICOS LTDA</t>
        </is>
      </c>
      <c r="D82" s="25" t="n"/>
      <c r="E82" s="28" t="n">
        <v>878.92</v>
      </c>
      <c r="F82" s="26" t="inlineStr">
        <is>
          <t>Fornecedores / Mercadoria</t>
        </is>
      </c>
      <c r="G82" s="23" t="n"/>
    </row>
    <row r="83">
      <c r="A83" s="17" t="n">
        <v>46041</v>
      </c>
      <c r="B83" s="18" t="inlineStr">
        <is>
          <t>Pagamento à vista: FILTROS PLANETA AGUA Doc.: 1 Ordem: 5</t>
        </is>
      </c>
      <c r="C83" s="18" t="inlineStr">
        <is>
          <t>FILTROS PLANETA AGUA IND E COM LTDA</t>
        </is>
      </c>
      <c r="D83" s="19" t="n"/>
      <c r="E83" s="20" t="n">
        <v>519.1900000000001</v>
      </c>
      <c r="F83" s="21" t="inlineStr">
        <is>
          <t>Fornecedores / Mercadoria</t>
        </is>
      </c>
      <c r="G83" s="18" t="n"/>
    </row>
    <row r="84">
      <c r="A84" s="22" t="n">
        <v>46042</v>
      </c>
      <c r="B84" s="23" t="inlineStr">
        <is>
          <t>Recebimento à vista Gerado pelo sistema. Doc.: 4032 Ordem: 1</t>
        </is>
      </c>
      <c r="C84" s="23" t="inlineStr">
        <is>
          <t>SILVA &amp; SILVA SOCIEDADE DE ADVOGADOS</t>
        </is>
      </c>
      <c r="D84" s="24" t="n">
        <v>140</v>
      </c>
      <c r="E84" s="25" t="n"/>
      <c r="F84" s="26" t="n"/>
      <c r="G84" s="23" t="n"/>
    </row>
    <row r="85">
      <c r="A85" s="17" t="n">
        <v>46042</v>
      </c>
      <c r="B85" s="18" t="inlineStr">
        <is>
          <t>Recebimento à vista Gerado pelo sistema Doc.: 8813 Ordem: 1</t>
        </is>
      </c>
      <c r="C85" s="18" t="inlineStr">
        <is>
          <t>Cielo S. A.</t>
        </is>
      </c>
      <c r="D85" s="27" t="n">
        <v>320</v>
      </c>
      <c r="E85" s="19" t="n"/>
      <c r="F85" s="21" t="n"/>
      <c r="G85" s="18" t="n"/>
    </row>
    <row r="86">
      <c r="A86" s="22" t="n">
        <v>46042</v>
      </c>
      <c r="B86" s="23" t="inlineStr">
        <is>
          <t>Recebimento à vista Gerado pelo sistema Doc.: 8814 Ordem: 1</t>
        </is>
      </c>
      <c r="C86" s="23" t="inlineStr">
        <is>
          <t>MARIA ALENCAR DE SOUZA</t>
        </is>
      </c>
      <c r="D86" s="24" t="n">
        <v>140</v>
      </c>
      <c r="E86" s="25" t="n"/>
      <c r="F86" s="26" t="n"/>
      <c r="G86" s="23" t="n"/>
    </row>
    <row r="87">
      <c r="A87" s="17" t="n">
        <v>46042</v>
      </c>
      <c r="B87" s="18" t="inlineStr">
        <is>
          <t>Recebimento à vista Gerado pelo sistema. Doc.: 4033 Ordem: 1</t>
        </is>
      </c>
      <c r="C87" s="18" t="inlineStr">
        <is>
          <t>COSTA E SA ADVOGADOS</t>
        </is>
      </c>
      <c r="D87" s="27" t="n">
        <v>100</v>
      </c>
      <c r="E87" s="19" t="n"/>
      <c r="F87" s="21" t="n"/>
      <c r="G87" s="18" t="n"/>
    </row>
    <row r="88">
      <c r="A88" s="22" t="n">
        <v>46042</v>
      </c>
      <c r="B88" s="23" t="inlineStr">
        <is>
          <t>Recebimento à vista Gerado pelo sistema Doc.: 8815 Ordem: 1</t>
        </is>
      </c>
      <c r="C88" s="23" t="inlineStr">
        <is>
          <t>Cielo S. A.</t>
        </is>
      </c>
      <c r="D88" s="24" t="n">
        <v>140</v>
      </c>
      <c r="E88" s="25" t="n"/>
      <c r="F88" s="26" t="n"/>
      <c r="G88" s="23" t="n"/>
    </row>
    <row r="89">
      <c r="A89" s="17" t="n">
        <v>46042</v>
      </c>
      <c r="B89" s="18" t="inlineStr">
        <is>
          <t>Recebimento à vista Gerado pelo sistema. Doc.: 4034 Ordem: 1</t>
        </is>
      </c>
      <c r="C89" s="18" t="inlineStr">
        <is>
          <t>J DIESEL MOTORES E REPAROS AUTOMOTIVOS EIRELI</t>
        </is>
      </c>
      <c r="D89" s="27" t="n">
        <v>140</v>
      </c>
      <c r="E89" s="19" t="n"/>
      <c r="F89" s="21" t="n"/>
      <c r="G89" s="18" t="n"/>
    </row>
    <row r="90">
      <c r="A90" s="22" t="n">
        <v>46042</v>
      </c>
      <c r="B90" s="23" t="inlineStr">
        <is>
          <t>Recebimento à vista Gerado pelo sistema Doc.: 8816 Ordem: 1</t>
        </is>
      </c>
      <c r="C90" s="23" t="inlineStr">
        <is>
          <t>ARIVALDO PEREIRA TEIXEIRA</t>
        </is>
      </c>
      <c r="D90" s="24" t="n">
        <v>140</v>
      </c>
      <c r="E90" s="25" t="n"/>
      <c r="F90" s="26" t="n"/>
      <c r="G90" s="23" t="n"/>
    </row>
    <row r="91">
      <c r="A91" s="17" t="n">
        <v>46042</v>
      </c>
      <c r="B91" s="18" t="inlineStr">
        <is>
          <t>Pagamento parcela Gerado pelo sistema - nº 362188 Doc.: 362188 Ord</t>
        </is>
      </c>
      <c r="C91" s="18" t="inlineStr">
        <is>
          <t>EVEREST REFRIGERACAO E INDUSTRIA</t>
        </is>
      </c>
      <c r="D91" s="19" t="n"/>
      <c r="E91" s="20" t="n">
        <v>800.65</v>
      </c>
      <c r="F91" s="21" t="inlineStr">
        <is>
          <t>Fornecedores / Mercadoria</t>
        </is>
      </c>
      <c r="G91" s="18" t="n"/>
    </row>
    <row r="92">
      <c r="A92" s="22" t="n">
        <v>46042</v>
      </c>
      <c r="B92" s="23" t="inlineStr">
        <is>
          <t>Pagamento parcela GUIA DO FGTS DIGITAL Doc.: 1 Ordem: 58</t>
        </is>
      </c>
      <c r="C92" s="23" t="inlineStr">
        <is>
          <t>PLANETA AGUA LTDA</t>
        </is>
      </c>
      <c r="D92" s="25" t="n"/>
      <c r="E92" s="28" t="n">
        <v>249.44</v>
      </c>
      <c r="F92" s="26" t="inlineStr">
        <is>
          <t>Impostos e Taxas</t>
        </is>
      </c>
      <c r="G92" s="23" t="n"/>
    </row>
    <row r="93">
      <c r="A93" s="17" t="n">
        <v>46042</v>
      </c>
      <c r="B93" s="18" t="inlineStr">
        <is>
          <t>Pagamento parcela DOCUMENTO DE ARRECADAÇÃO DE RECEITAS FE</t>
        </is>
      </c>
      <c r="C93" s="18" t="inlineStr">
        <is>
          <t>PLANETA AGUA LTDA</t>
        </is>
      </c>
      <c r="D93" s="19" t="n"/>
      <c r="E93" s="20" t="n">
        <v>402.06</v>
      </c>
      <c r="F93" s="21" t="inlineStr">
        <is>
          <t>Impostos e Taxas</t>
        </is>
      </c>
      <c r="G93" s="18" t="n"/>
    </row>
    <row r="94">
      <c r="A94" s="22" t="n">
        <v>46042</v>
      </c>
      <c r="B94" s="23" t="inlineStr">
        <is>
          <t>Pagamento à vista: SIMPLES NACIONAL Doc.: 1 Ordem: 61</t>
        </is>
      </c>
      <c r="C94" s="23" t="inlineStr">
        <is>
          <t>PLANETA AGUA LTDA</t>
        </is>
      </c>
      <c r="D94" s="25" t="n"/>
      <c r="E94" s="28" t="n">
        <v>1644.44</v>
      </c>
      <c r="F94" s="26" t="inlineStr">
        <is>
          <t>Impostos e Taxas</t>
        </is>
      </c>
      <c r="G94" s="23" t="n"/>
    </row>
    <row r="95">
      <c r="A95" s="17" t="n">
        <v>46043</v>
      </c>
      <c r="B95" s="18" t="inlineStr">
        <is>
          <t>Recebimento à vista Gerado pelo sistema Doc.: 8817 Ordem: 1</t>
        </is>
      </c>
      <c r="C95" s="18" t="inlineStr">
        <is>
          <t>Cliente Consumidor</t>
        </is>
      </c>
      <c r="D95" s="27" t="n">
        <v>85</v>
      </c>
      <c r="E95" s="19" t="n"/>
      <c r="F95" s="21" t="n"/>
      <c r="G95" s="18" t="n"/>
    </row>
    <row r="96">
      <c r="A96" s="22" t="n">
        <v>46043</v>
      </c>
      <c r="B96" s="23" t="inlineStr">
        <is>
          <t>Recebimento à vista Gerado pelo sistema Doc.: 8818 Ordem: 1</t>
        </is>
      </c>
      <c r="C96" s="23" t="inlineStr">
        <is>
          <t>VIVALDA VIEIRA DE BRITO</t>
        </is>
      </c>
      <c r="D96" s="24" t="n">
        <v>140</v>
      </c>
      <c r="E96" s="25" t="n"/>
      <c r="F96" s="26" t="n"/>
      <c r="G96" s="23" t="n"/>
    </row>
    <row r="97">
      <c r="A97" s="17" t="n">
        <v>46043</v>
      </c>
      <c r="B97" s="18" t="inlineStr">
        <is>
          <t>Recebimento à vista Gerado pelo sistema Doc.: 8819 Ordem: 1</t>
        </is>
      </c>
      <c r="C97" s="18" t="inlineStr">
        <is>
          <t>Cielo S. A.</t>
        </is>
      </c>
      <c r="D97" s="27" t="n">
        <v>200</v>
      </c>
      <c r="E97" s="19" t="n"/>
      <c r="F97" s="21" t="n"/>
      <c r="G97" s="18" t="n"/>
    </row>
    <row r="98">
      <c r="A98" s="22" t="n">
        <v>46043</v>
      </c>
      <c r="B98" s="23" t="inlineStr">
        <is>
          <t>Recebimento à vista Gerado pelo sistema. Doc.: 4035 Ordem: 1</t>
        </is>
      </c>
      <c r="C98" s="23" t="inlineStr">
        <is>
          <t>BIO IMAGEM SERVICO DE DIAGNOSTICO LTDA EPP</t>
        </is>
      </c>
      <c r="D98" s="24" t="n">
        <v>280</v>
      </c>
      <c r="E98" s="25" t="n"/>
      <c r="F98" s="26" t="n"/>
      <c r="G98" s="23" t="n"/>
    </row>
    <row r="99">
      <c r="A99" s="17" t="n">
        <v>46043</v>
      </c>
      <c r="B99" s="18" t="inlineStr">
        <is>
          <t>Recebimento à vista Gerado pelo sistema. Doc.: 4036 Ordem: 1</t>
        </is>
      </c>
      <c r="C99" s="18" t="inlineStr">
        <is>
          <t>CLINICA ODONTO X</t>
        </is>
      </c>
      <c r="D99" s="27" t="n">
        <v>140</v>
      </c>
      <c r="E99" s="19" t="n"/>
      <c r="F99" s="21" t="n"/>
      <c r="G99" s="18" t="n"/>
    </row>
    <row r="100">
      <c r="A100" s="22" t="n">
        <v>46043</v>
      </c>
      <c r="B100" s="23" t="inlineStr">
        <is>
          <t>Recebimento à vista Gerado pelo sistema Doc.: 8820 Ordem: 1</t>
        </is>
      </c>
      <c r="C100" s="23" t="inlineStr">
        <is>
          <t>Cielo S. A.</t>
        </is>
      </c>
      <c r="D100" s="24" t="n">
        <v>40</v>
      </c>
      <c r="E100" s="25" t="n"/>
      <c r="F100" s="26" t="n"/>
      <c r="G100" s="23" t="n"/>
    </row>
    <row r="101">
      <c r="A101" s="17" t="n">
        <v>46043</v>
      </c>
      <c r="B101" s="18" t="inlineStr">
        <is>
          <t>Recebimento à vista Gerado pelo sistema Doc.: 8821 Ordem: 1</t>
        </is>
      </c>
      <c r="C101" s="18" t="inlineStr">
        <is>
          <t>Cielo S. A.</t>
        </is>
      </c>
      <c r="D101" s="27" t="n">
        <v>10</v>
      </c>
      <c r="E101" s="19" t="n"/>
      <c r="F101" s="21" t="n"/>
      <c r="G101" s="18" t="n"/>
    </row>
    <row r="102">
      <c r="A102" s="22" t="n">
        <v>46043</v>
      </c>
      <c r="B102" s="23" t="inlineStr">
        <is>
          <t>Recebimento à vista Gerado pelo sistema Doc.: 8822 Ordem: 1</t>
        </is>
      </c>
      <c r="C102" s="23" t="inlineStr">
        <is>
          <t>Cielo S. A.</t>
        </is>
      </c>
      <c r="D102" s="24" t="n">
        <v>10</v>
      </c>
      <c r="E102" s="25" t="n"/>
      <c r="F102" s="26" t="n"/>
      <c r="G102" s="23" t="n"/>
    </row>
    <row r="103">
      <c r="A103" s="17" t="n">
        <v>46043</v>
      </c>
      <c r="B103" s="18" t="inlineStr">
        <is>
          <t>Recebimento à vista Gerado pelo sistema. Doc.: 4037 Ordem: 1</t>
        </is>
      </c>
      <c r="C103" s="18" t="inlineStr">
        <is>
          <t>BANCO DO NORDESTE DO BRASIL</t>
        </is>
      </c>
      <c r="D103" s="27" t="n">
        <v>200</v>
      </c>
      <c r="E103" s="19" t="n"/>
      <c r="F103" s="21" t="n"/>
      <c r="G103" s="18" t="n"/>
    </row>
    <row r="104">
      <c r="A104" s="22" t="n">
        <v>46043</v>
      </c>
      <c r="B104" s="23" t="inlineStr">
        <is>
          <t>Pagamento parcela Gerado pelo sistema - nº 125587 Doc.: 125587 Ord</t>
        </is>
      </c>
      <c r="C104" s="23" t="inlineStr">
        <is>
          <t>FILTROS PLANETA AGUA IND E COM LTDA</t>
        </is>
      </c>
      <c r="D104" s="25" t="n"/>
      <c r="E104" s="28" t="n">
        <v>426.73</v>
      </c>
      <c r="F104" s="26" t="inlineStr">
        <is>
          <t>Fornecedores / Mercadoria</t>
        </is>
      </c>
      <c r="G104" s="23" t="n"/>
    </row>
    <row r="105">
      <c r="A105" s="17" t="n">
        <v>46043</v>
      </c>
      <c r="B105" s="18" t="inlineStr">
        <is>
          <t>Pagamento à vista: JAMEF Doc.: 1 Ordem: 35</t>
        </is>
      </c>
      <c r="C105" s="18" t="inlineStr">
        <is>
          <t>JAMEF TRANSPORTES LTDA</t>
        </is>
      </c>
      <c r="D105" s="19" t="n"/>
      <c r="E105" s="20" t="n">
        <v>418.41</v>
      </c>
      <c r="F105" s="21" t="inlineStr">
        <is>
          <t>Transporte e Entregas</t>
        </is>
      </c>
      <c r="G105" s="18" t="n"/>
    </row>
    <row r="106">
      <c r="A106" s="22" t="n">
        <v>46044</v>
      </c>
      <c r="B106" s="23" t="inlineStr">
        <is>
          <t>Recebimento à vista Gerado pelo sistema Doc.: 8823 Ordem: 1</t>
        </is>
      </c>
      <c r="C106" s="23" t="inlineStr">
        <is>
          <t>Cielo S. A.</t>
        </is>
      </c>
      <c r="D106" s="24" t="n">
        <v>35</v>
      </c>
      <c r="E106" s="25" t="n"/>
      <c r="F106" s="26" t="n"/>
      <c r="G106" s="23" t="n"/>
    </row>
    <row r="107">
      <c r="A107" s="17" t="n">
        <v>46044</v>
      </c>
      <c r="B107" s="18" t="inlineStr">
        <is>
          <t>Recebimento à vista Gerado pelo sistema Doc.: 8824 Ordem: 1</t>
        </is>
      </c>
      <c r="C107" s="18" t="inlineStr">
        <is>
          <t>Cliente Consumidor</t>
        </is>
      </c>
      <c r="D107" s="27" t="n">
        <v>135</v>
      </c>
      <c r="E107" s="19" t="n"/>
      <c r="F107" s="21" t="n"/>
      <c r="G107" s="18" t="n"/>
    </row>
    <row r="108">
      <c r="A108" s="22" t="n">
        <v>46044</v>
      </c>
      <c r="B108" s="23" t="inlineStr">
        <is>
          <t>Recebimento à vista Gerado pelo sistema. Doc.: 4038 Ordem: 1</t>
        </is>
      </c>
      <c r="C108" s="23" t="inlineStr">
        <is>
          <t>CENTRAL DO SUPLEMENTO MERCADO NATURAL LTDA</t>
        </is>
      </c>
      <c r="D108" s="24" t="n">
        <v>140</v>
      </c>
      <c r="E108" s="25" t="n"/>
      <c r="F108" s="26" t="n"/>
      <c r="G108" s="23" t="n"/>
    </row>
    <row r="109">
      <c r="A109" s="17" t="n">
        <v>46044</v>
      </c>
      <c r="B109" s="18" t="inlineStr">
        <is>
          <t>Recebimento à vista Gerado pelo sistema Doc.: 8825 Ordem: 1</t>
        </is>
      </c>
      <c r="C109" s="18" t="inlineStr">
        <is>
          <t>Cielo S. A.</t>
        </is>
      </c>
      <c r="D109" s="27" t="n">
        <v>40</v>
      </c>
      <c r="E109" s="19" t="n"/>
      <c r="F109" s="21" t="n"/>
      <c r="G109" s="18" t="n"/>
    </row>
    <row r="110">
      <c r="A110" s="22" t="n">
        <v>46045</v>
      </c>
      <c r="B110" s="23" t="inlineStr">
        <is>
          <t>Recebimento à vista Gerado pelo sistema Doc.: 8826 Ordem: 1</t>
        </is>
      </c>
      <c r="C110" s="23" t="inlineStr">
        <is>
          <t>Cliente Consumidor</t>
        </is>
      </c>
      <c r="D110" s="24" t="n">
        <v>2160</v>
      </c>
      <c r="E110" s="25" t="n"/>
      <c r="F110" s="26" t="n"/>
      <c r="G110" s="23" t="n"/>
    </row>
    <row r="111">
      <c r="A111" s="17" t="n">
        <v>46045</v>
      </c>
      <c r="B111" s="18" t="inlineStr">
        <is>
          <t>Recebimento à vista Gerado pelo sistema. Doc.: 4040 Ordem: 1</t>
        </is>
      </c>
      <c r="C111" s="18" t="inlineStr">
        <is>
          <t>INT ODONTOLOGIA LTDA</t>
        </is>
      </c>
      <c r="D111" s="27" t="n">
        <v>140</v>
      </c>
      <c r="E111" s="19" t="n"/>
      <c r="F111" s="21" t="n"/>
      <c r="G111" s="18" t="n"/>
    </row>
    <row r="112">
      <c r="A112" s="22" t="n">
        <v>46045</v>
      </c>
      <c r="B112" s="23" t="inlineStr">
        <is>
          <t>Recebimento à vista Gerado pelo sistema Doc.: 8827 Ordem: 1</t>
        </is>
      </c>
      <c r="C112" s="23" t="inlineStr">
        <is>
          <t>Cliente Consumidor</t>
        </is>
      </c>
      <c r="D112" s="24" t="n">
        <v>75</v>
      </c>
      <c r="E112" s="25" t="n"/>
      <c r="F112" s="26" t="n"/>
      <c r="G112" s="23" t="n"/>
    </row>
    <row r="113">
      <c r="A113" s="17" t="n">
        <v>46045</v>
      </c>
      <c r="B113" s="18" t="inlineStr">
        <is>
          <t>Recebimento à vista Gerado pelo sistema Doc.: 8828 Ordem: 1</t>
        </is>
      </c>
      <c r="C113" s="18" t="inlineStr">
        <is>
          <t>Cielo S. A.</t>
        </is>
      </c>
      <c r="D113" s="27" t="n">
        <v>24</v>
      </c>
      <c r="E113" s="19" t="n"/>
      <c r="F113" s="21" t="n"/>
      <c r="G113" s="18" t="n"/>
    </row>
    <row r="114">
      <c r="A114" s="22" t="n">
        <v>46046</v>
      </c>
      <c r="B114" s="23" t="inlineStr">
        <is>
          <t>Recebimento à vista Gerado pelo sistema Doc.: 8829 Ordem: 1</t>
        </is>
      </c>
      <c r="C114" s="23" t="inlineStr">
        <is>
          <t>Cielo S. A.</t>
        </is>
      </c>
      <c r="D114" s="24" t="n">
        <v>313</v>
      </c>
      <c r="E114" s="25" t="n"/>
      <c r="F114" s="26" t="n"/>
      <c r="G114" s="23" t="n"/>
    </row>
    <row r="115">
      <c r="A115" s="17" t="n">
        <v>46048</v>
      </c>
      <c r="B115" s="18" t="inlineStr">
        <is>
          <t>Recebimento à vista Gerado pelo sistema. Doc.: 4041 Ordem: 1</t>
        </is>
      </c>
      <c r="C115" s="18" t="inlineStr">
        <is>
          <t>BURGUER JACOBINA LTDA</t>
        </is>
      </c>
      <c r="D115" s="27" t="n">
        <v>140</v>
      </c>
      <c r="E115" s="19" t="n"/>
      <c r="F115" s="21" t="n"/>
      <c r="G115" s="18" t="n"/>
    </row>
    <row r="116">
      <c r="A116" s="22" t="n">
        <v>46048</v>
      </c>
      <c r="B116" s="23" t="inlineStr">
        <is>
          <t>Pagamento parcela ICMS ANTECIPAÇÃO PARCIAL Doc.: 1 Ordem: 60</t>
        </is>
      </c>
      <c r="C116" s="23" t="inlineStr">
        <is>
          <t>PLANETA AGUA LTDA</t>
        </is>
      </c>
      <c r="D116" s="25" t="n"/>
      <c r="E116" s="28" t="n">
        <v>1122.45</v>
      </c>
      <c r="F116" s="26" t="inlineStr">
        <is>
          <t>Impostos e Taxas</t>
        </is>
      </c>
      <c r="G116" s="23" t="n"/>
    </row>
    <row r="117">
      <c r="A117" s="17" t="n">
        <v>46048</v>
      </c>
      <c r="B117" s="18" t="inlineStr">
        <is>
          <t>Pagamento parcela Gerado pelo sistema - nº 69107 Doc.: 69107 Orde</t>
        </is>
      </c>
      <c r="C117" s="18" t="inlineStr">
        <is>
          <t>EVERSOFT IND E COM DE PLASTICOS LTDA</t>
        </is>
      </c>
      <c r="D117" s="19" t="n"/>
      <c r="E117" s="20" t="n">
        <v>980.83</v>
      </c>
      <c r="F117" s="21" t="inlineStr">
        <is>
          <t>Fornecedores / Mercadoria</t>
        </is>
      </c>
      <c r="G117" s="18" t="n"/>
    </row>
    <row r="118">
      <c r="A118" s="22" t="n">
        <v>46048</v>
      </c>
      <c r="B118" s="23" t="inlineStr">
        <is>
          <t>Pagamento parcela FERIAS WILIAM (SEGUNDA PARCELA) Doc.: 1 Orde</t>
        </is>
      </c>
      <c r="C118" s="23" t="inlineStr">
        <is>
          <t>WILIAM PINTO BISPO</t>
        </is>
      </c>
      <c r="D118" s="25" t="n"/>
      <c r="E118" s="28" t="n">
        <v>1405</v>
      </c>
      <c r="F118" s="26" t="inlineStr">
        <is>
          <t>Salários, Comissões e Encargos</t>
        </is>
      </c>
      <c r="G118" s="23" t="n"/>
    </row>
    <row r="119">
      <c r="A119" s="17" t="n">
        <v>46048</v>
      </c>
      <c r="B119" s="18" t="inlineStr">
        <is>
          <t>Pagamento parcela JAMEF Doc.: 1 Ordem: 34</t>
        </is>
      </c>
      <c r="C119" s="18" t="inlineStr">
        <is>
          <t>JAMEF TRANSPORTES LTDA</t>
        </is>
      </c>
      <c r="D119" s="19" t="n"/>
      <c r="E119" s="20" t="n">
        <v>420.82</v>
      </c>
      <c r="F119" s="21" t="inlineStr">
        <is>
          <t>Transporte e Entregas</t>
        </is>
      </c>
      <c r="G119" s="18" t="n"/>
    </row>
    <row r="120">
      <c r="A120" s="22" t="n">
        <v>46048</v>
      </c>
      <c r="B120" s="23" t="inlineStr">
        <is>
          <t>Pagamento parcela Gerado pelo sistema - nº 69886 Doc.: 69886 Orde</t>
        </is>
      </c>
      <c r="C120" s="23" t="inlineStr">
        <is>
          <t>EVERSOFT IND E COM DE PLASTICOS LTDA</t>
        </is>
      </c>
      <c r="D120" s="25" t="n"/>
      <c r="E120" s="28" t="n">
        <v>878.92</v>
      </c>
      <c r="F120" s="26" t="inlineStr">
        <is>
          <t>Fornecedores / Mercadoria</t>
        </is>
      </c>
      <c r="G120" s="23" t="n"/>
    </row>
    <row r="121">
      <c r="A121" s="17" t="n">
        <v>46049</v>
      </c>
      <c r="B121" s="18" t="inlineStr">
        <is>
          <t>Recebimento à vista Gerado pelo sistema Doc.: 8830 Ordem: 1</t>
        </is>
      </c>
      <c r="C121" s="18" t="inlineStr">
        <is>
          <t>Cielo S. A.</t>
        </is>
      </c>
      <c r="D121" s="27" t="n">
        <v>140</v>
      </c>
      <c r="E121" s="19" t="n"/>
      <c r="F121" s="21" t="n"/>
      <c r="G121" s="18" t="n"/>
    </row>
    <row r="122">
      <c r="A122" s="22" t="n">
        <v>46049</v>
      </c>
      <c r="B122" s="23" t="inlineStr">
        <is>
          <t>Recebimento à vista Gerado pelo sistema. Doc.: 4042 Ordem: 1</t>
        </is>
      </c>
      <c r="C122" s="23" t="inlineStr">
        <is>
          <t>WILSON LUIS TRANSPORTES E SERVICOS LTDA</t>
        </is>
      </c>
      <c r="D122" s="24" t="n">
        <v>250</v>
      </c>
      <c r="E122" s="25" t="n"/>
      <c r="F122" s="26" t="n"/>
      <c r="G122" s="23" t="n"/>
    </row>
    <row r="123">
      <c r="A123" s="17" t="n">
        <v>46050</v>
      </c>
      <c r="B123" s="18" t="inlineStr">
        <is>
          <t>Recebimento à vista Gerado pelo sistema. Doc.: 4043 Ordem: 1</t>
        </is>
      </c>
      <c r="C123" s="18" t="inlineStr">
        <is>
          <t>TATIANA MIRANDA SIQUEIRA - PRIMEIRO TABELIONATO DE NOTAS</t>
        </is>
      </c>
      <c r="D123" s="27" t="n">
        <v>135</v>
      </c>
      <c r="E123" s="19" t="n"/>
      <c r="F123" s="21" t="n"/>
      <c r="G123" s="18" t="n"/>
    </row>
    <row r="124">
      <c r="A124" s="22" t="n">
        <v>46050</v>
      </c>
      <c r="B124" s="23" t="inlineStr">
        <is>
          <t>Recebimento parcela Gerado pelo sistema. Doc.: 4008 Ordem: 1</t>
        </is>
      </c>
      <c r="C124" s="23" t="inlineStr">
        <is>
          <t>AUDIOCLIN CLINICA MEDICA LTDA</t>
        </is>
      </c>
      <c r="D124" s="24" t="n">
        <v>560</v>
      </c>
      <c r="E124" s="25" t="n"/>
      <c r="F124" s="26" t="n"/>
      <c r="G124" s="23" t="n"/>
    </row>
    <row r="125">
      <c r="A125" s="17" t="n">
        <v>46051</v>
      </c>
      <c r="B125" s="18" t="inlineStr">
        <is>
          <t>Recebimento à vista Gerado pelo sistema. Doc.: 4044 Ordem: 1</t>
        </is>
      </c>
      <c r="C125" s="18" t="inlineStr">
        <is>
          <t>TROPICAL MOTOS LTDA</t>
        </is>
      </c>
      <c r="D125" s="27" t="n">
        <v>670</v>
      </c>
      <c r="E125" s="19" t="n"/>
      <c r="F125" s="21" t="n"/>
      <c r="G125" s="18" t="n"/>
    </row>
    <row r="126">
      <c r="A126" s="22" t="n">
        <v>46052</v>
      </c>
      <c r="B126" s="23" t="inlineStr">
        <is>
          <t>Recebimento à vista Gerado pelo sistema. Doc.: 4045 Ordem: 1</t>
        </is>
      </c>
      <c r="C126" s="23" t="inlineStr">
        <is>
          <t>LOURIVAL M DE SOUZA</t>
        </is>
      </c>
      <c r="D126" s="24" t="n">
        <v>290</v>
      </c>
      <c r="E126" s="25" t="n"/>
      <c r="F126" s="26" t="n"/>
      <c r="G126" s="23" t="n"/>
    </row>
    <row r="127">
      <c r="A127" s="17" t="n">
        <v>46052</v>
      </c>
      <c r="B127" s="18" t="inlineStr">
        <is>
          <t>Recebimento à vista Gerado pelo sistema. Doc.: 4046 Ordem: 1</t>
        </is>
      </c>
      <c r="C127" s="18" t="inlineStr">
        <is>
          <t>RLR CENTRAL LTDA</t>
        </is>
      </c>
      <c r="D127" s="27" t="n">
        <v>135</v>
      </c>
      <c r="E127" s="19" t="n"/>
      <c r="F127" s="21" t="n"/>
      <c r="G127" s="18" t="n"/>
    </row>
    <row r="128">
      <c r="A128" s="22" t="n">
        <v>46052</v>
      </c>
      <c r="B128" s="23" t="inlineStr">
        <is>
          <t>Recebimento à vista Gerado pelo sistema. Doc.: 4047 Ordem: 1</t>
        </is>
      </c>
      <c r="C128" s="23" t="inlineStr">
        <is>
          <t>INSTITUICAO ADVENTISTA NORDESTE BRASILEIRO DE EDUCACAO E</t>
        </is>
      </c>
      <c r="D128" s="24" t="n">
        <v>370</v>
      </c>
      <c r="E128" s="25" t="n"/>
      <c r="F128" s="26" t="n"/>
      <c r="G128" s="23" t="n"/>
    </row>
    <row r="129">
      <c r="A129" s="17" t="n">
        <v>46052</v>
      </c>
      <c r="B129" s="18" t="inlineStr">
        <is>
          <t>Recebimento à vista Gerado pelo sistema Doc.: 8831 Ordem: 1</t>
        </is>
      </c>
      <c r="C129" s="18" t="inlineStr">
        <is>
          <t>Cielo S. A.</t>
        </is>
      </c>
      <c r="D129" s="27" t="n">
        <v>135</v>
      </c>
      <c r="E129" s="19" t="n"/>
      <c r="F129" s="21" t="n"/>
      <c r="G129" s="18" t="n"/>
    </row>
    <row r="130">
      <c r="A130" s="22" t="n">
        <v>46052</v>
      </c>
      <c r="B130" s="23" t="inlineStr">
        <is>
          <t>Recebimento parcela Gerado pelo sistema Doc.: 8695 Ordem: 3</t>
        </is>
      </c>
      <c r="C130" s="23" t="inlineStr">
        <is>
          <t>GILDETE PEREIRA DE ALMEIDA OLIVEIRA</t>
        </is>
      </c>
      <c r="D130" s="24" t="n">
        <v>80</v>
      </c>
      <c r="E130" s="25" t="n"/>
      <c r="F130" s="26" t="n"/>
      <c r="G130" s="23" t="n"/>
    </row>
    <row r="131">
      <c r="A131" s="17" t="n">
        <v>46053</v>
      </c>
      <c r="B131" s="18" t="inlineStr">
        <is>
          <t>Pagamento parcela SALARIO DANIEL Doc.: 1 Ordem: 3</t>
        </is>
      </c>
      <c r="C131" s="18" t="inlineStr">
        <is>
          <t>DANIEL BARBOSA DOS SANTOS</t>
        </is>
      </c>
      <c r="D131" s="19" t="n"/>
      <c r="E131" s="20" t="n">
        <v>973.25</v>
      </c>
      <c r="F131" s="21" t="inlineStr">
        <is>
          <t>Salários, Comissões e Encargos</t>
        </is>
      </c>
      <c r="G131" s="18" t="n"/>
    </row>
    <row r="132">
      <c r="A132" s="22" t="n">
        <v>46053</v>
      </c>
      <c r="B132" s="23" t="inlineStr">
        <is>
          <t>Pagamento parcela SALARIO WILIAM Doc.: 1 Ordem: 3</t>
        </is>
      </c>
      <c r="C132" s="23" t="inlineStr">
        <is>
          <t>WILIAM PINTO BISPO</t>
        </is>
      </c>
      <c r="D132" s="25" t="n"/>
      <c r="E132" s="28" t="n">
        <v>1469.67</v>
      </c>
      <c r="F132" s="26" t="inlineStr">
        <is>
          <t>Salários, Comissões e Encargos</t>
        </is>
      </c>
      <c r="G132" s="23" t="n"/>
    </row>
    <row r="133">
      <c r="A133" s="29" t="n"/>
      <c r="B133" s="228" t="inlineStr">
        <is>
          <t>TOTAL DO MÊS</t>
        </is>
      </c>
      <c r="C133" s="161" t="n"/>
      <c r="D133" s="8">
        <f>SUM(D5:D132)</f>
        <v/>
      </c>
      <c r="E133" s="8">
        <f>SUM(E5:E132)</f>
        <v/>
      </c>
      <c r="F133" s="29" t="n"/>
      <c r="G133" s="29" t="n"/>
    </row>
    <row r="134" ht="15.75" customHeight="1" s="158">
      <c r="A134" s="30" t="n"/>
      <c r="B134" s="227" t="inlineStr">
        <is>
          <t>SALDO DO MÊS (Entradas − Despesas da loja)</t>
        </is>
      </c>
      <c r="D134" s="226">
        <f>D133-J18</f>
        <v/>
      </c>
      <c r="F134" s="30" t="n"/>
      <c r="G134" s="30" t="n"/>
    </row>
  </sheetData>
  <autoFilter ref="A4:G132"/>
  <mergeCells count="12">
    <mergeCell ref="P4:Q4"/>
    <mergeCell ref="I4:J4"/>
    <mergeCell ref="A1:G1"/>
    <mergeCell ref="L4:M4"/>
    <mergeCell ref="D134:E134"/>
    <mergeCell ref="B134:C134"/>
    <mergeCell ref="B133:C13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Q14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FEVEREIRO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46054</v>
      </c>
      <c r="B5" s="18" t="inlineStr">
        <is>
          <t>Pagamento à vista: ALUGUEL VITORIA MARIA Doc.: 1 Ordem: 12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SUMIF(F5:F145,I5,E5:E145)</f>
        <v/>
      </c>
      <c r="L5" s="230">
        <f>D146</f>
        <v/>
      </c>
      <c r="N5" s="232">
        <f>J18</f>
        <v/>
      </c>
      <c r="P5" s="231">
        <f>D147</f>
        <v/>
      </c>
    </row>
    <row r="6" ht="14.1" customHeight="1" s="158">
      <c r="A6" s="22" t="n">
        <v>46055</v>
      </c>
      <c r="B6" s="23" t="inlineStr">
        <is>
          <t>Recebimento à vista Gerado pelo sistema Doc.: 8832 Ordem: 1</t>
        </is>
      </c>
      <c r="C6" s="23" t="inlineStr">
        <is>
          <t>TEREZINHA SOUZA MAIA</t>
        </is>
      </c>
      <c r="D6" s="24" t="n">
        <v>190</v>
      </c>
      <c r="E6" s="25" t="n"/>
      <c r="F6" s="26" t="n"/>
      <c r="G6" s="23" t="n"/>
      <c r="I6" s="13" t="inlineStr">
        <is>
          <t>Aluguel</t>
        </is>
      </c>
      <c r="J6" s="14">
        <f>SUMIF(F5:F145,I6,E5:E145)</f>
        <v/>
      </c>
    </row>
    <row r="7">
      <c r="A7" s="17" t="n">
        <v>46055</v>
      </c>
      <c r="B7" s="18" t="inlineStr">
        <is>
          <t>Recebimento à vista Gerado pelo sistema Doc.: 8833 Ordem: 1</t>
        </is>
      </c>
      <c r="C7" s="18" t="inlineStr">
        <is>
          <t>Cielo S. A.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SUMIF(F5:F145,I7,E5:E145)</f>
        <v/>
      </c>
    </row>
    <row r="8">
      <c r="A8" s="22" t="n">
        <v>46055</v>
      </c>
      <c r="B8" s="23" t="inlineStr">
        <is>
          <t>Recebimento à vista Gerado pelo sistema Doc.: 8834 Ordem: 1</t>
        </is>
      </c>
      <c r="C8" s="23" t="inlineStr">
        <is>
          <t>JOSELIA SOUZA BARCELAR</t>
        </is>
      </c>
      <c r="D8" s="24" t="n">
        <v>135</v>
      </c>
      <c r="E8" s="25" t="n"/>
      <c r="F8" s="26" t="n"/>
      <c r="G8" s="23" t="n"/>
      <c r="I8" s="13" t="inlineStr">
        <is>
          <t>Impostos e Taxas</t>
        </is>
      </c>
      <c r="J8" s="14">
        <f>SUMIF(F5:F145,I8,E5:E145)</f>
        <v/>
      </c>
    </row>
    <row r="9">
      <c r="A9" s="17" t="n">
        <v>46055</v>
      </c>
      <c r="B9" s="18" t="inlineStr">
        <is>
          <t>Recebimento à vista Gerado pelo sistema Doc.: 8835 Ordem: 1</t>
        </is>
      </c>
      <c r="C9" s="18" t="inlineStr">
        <is>
          <t>EDNA DA SILVA FARIAS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SUMIF(F5:F145,I9,E5:E145)</f>
        <v/>
      </c>
    </row>
    <row r="10">
      <c r="A10" s="22" t="n">
        <v>46055</v>
      </c>
      <c r="B10" s="23" t="inlineStr">
        <is>
          <t>Recebimento à vista Gerado pelo sistema Doc.: 8836 Ordem: 1</t>
        </is>
      </c>
      <c r="C10" s="23" t="inlineStr">
        <is>
          <t>CREMILDA MATOS DOS SANTOS - FARMACIA POPULAR - AMILTON</t>
        </is>
      </c>
      <c r="D10" s="24" t="n">
        <v>180</v>
      </c>
      <c r="E10" s="25" t="n"/>
      <c r="F10" s="26" t="n"/>
      <c r="G10" s="23" t="n"/>
      <c r="I10" s="13" t="inlineStr">
        <is>
          <t>Transporte e Entregas</t>
        </is>
      </c>
      <c r="J10" s="14">
        <f>SUMIF(F5:F145,I10,E5:E145)</f>
        <v/>
      </c>
    </row>
    <row r="11">
      <c r="A11" s="17" t="n">
        <v>46055</v>
      </c>
      <c r="B11" s="18" t="inlineStr">
        <is>
          <t>Recebimento à vista Gerado pelo sistema Doc.: 8837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SUMIF(F5:F145,I11,E5:E145)</f>
        <v/>
      </c>
    </row>
    <row r="12">
      <c r="A12" s="22" t="n">
        <v>46055</v>
      </c>
      <c r="B12" s="23" t="inlineStr">
        <is>
          <t>Recebimento à vista Gerado pelo sistema. Doc.: 4048 Ordem: 1</t>
        </is>
      </c>
      <c r="C12" s="23" t="inlineStr">
        <is>
          <t>CATUABA MATERIAIS DE CONSTRUCAO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SUMIF(F5:F145,I12,E5:E145)</f>
        <v/>
      </c>
    </row>
    <row r="13">
      <c r="A13" s="17" t="n">
        <v>46055</v>
      </c>
      <c r="B13" s="18" t="inlineStr">
        <is>
          <t>Recebimento à vista Gerado pelo sistema. Doc.: 4049 Ordem: 1</t>
        </is>
      </c>
      <c r="C13" s="18" t="inlineStr">
        <is>
          <t>L SILVA DOS SANTOS - LELIANE SILVA</t>
        </is>
      </c>
      <c r="D13" s="27" t="n">
        <v>135</v>
      </c>
      <c r="E13" s="19" t="n"/>
      <c r="F13" s="21" t="n"/>
      <c r="G13" s="18" t="n"/>
      <c r="I13" s="10" t="inlineStr">
        <is>
          <t>Manutenção e Reparos</t>
        </is>
      </c>
      <c r="J13" s="11">
        <f>SUMIF(F5:F145,I13,E5:E145)</f>
        <v/>
      </c>
    </row>
    <row r="14">
      <c r="A14" s="22" t="n">
        <v>46055</v>
      </c>
      <c r="B14" s="23" t="inlineStr">
        <is>
          <t>Recebimento à vista Gerado pelo sistema Doc.: 8838 Ordem: 1</t>
        </is>
      </c>
      <c r="C14" s="23" t="inlineStr">
        <is>
          <t>Cielo S. A.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SUMIF(F5:F145,I14,E5:E145)</f>
        <v/>
      </c>
    </row>
    <row r="15">
      <c r="A15" s="17" t="n">
        <v>46055</v>
      </c>
      <c r="B15" s="18" t="inlineStr">
        <is>
          <t>Recebimento à vista Gerado pelo sistema Doc.: 8839 Ordem: 1</t>
        </is>
      </c>
      <c r="C15" s="18" t="inlineStr">
        <is>
          <t>Cliente Consumidor</t>
        </is>
      </c>
      <c r="D15" s="27" t="n">
        <v>175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SUMIF(F5:F145,I15,E5:E145)</f>
        <v/>
      </c>
    </row>
    <row r="16">
      <c r="A16" s="22" t="n">
        <v>46055</v>
      </c>
      <c r="B16" s="23" t="inlineStr">
        <is>
          <t>Recebimento à vista Gerado pelo sistema Doc.: 8840 Ordem: 1</t>
        </is>
      </c>
      <c r="C16" s="23" t="inlineStr">
        <is>
          <t>AMANDA CAROLINE VIERIA BISPO - CLINICA SORRISO LINDO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SUMIF(F5:F145,I16,E5:E145)</f>
        <v/>
      </c>
    </row>
    <row r="17">
      <c r="A17" s="17" t="n">
        <v>46055</v>
      </c>
      <c r="B17" s="18" t="inlineStr">
        <is>
          <t>Recebimento à vista Gerado pelo sistema. Doc.: 4050 Ordem: 1</t>
        </is>
      </c>
      <c r="C17" s="18" t="inlineStr">
        <is>
          <t>INSTITUTO PSICOPEDAGOGICO MARIA RITA EIRELI</t>
        </is>
      </c>
      <c r="D17" s="27" t="n">
        <v>160</v>
      </c>
      <c r="E17" s="19" t="n"/>
      <c r="F17" s="21" t="n"/>
      <c r="G17" s="18" t="n"/>
      <c r="I17" s="42" t="inlineStr">
        <is>
          <t>Pro Labore Edilânia</t>
        </is>
      </c>
      <c r="J17" s="8">
        <f>SUMIF(F5:F145,I17,E5:E145)</f>
        <v/>
      </c>
    </row>
    <row r="18">
      <c r="A18" s="22" t="n">
        <v>46055</v>
      </c>
      <c r="B18" s="23" t="inlineStr">
        <is>
          <t>Recebimento à vista Gerado pelo sistema. Doc.: 4051 Ordem: 1</t>
        </is>
      </c>
      <c r="C18" s="23" t="inlineStr">
        <is>
          <t>MARIA CAROLINA GOMES VASCONCELOS LTDA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46055</v>
      </c>
      <c r="B19" s="18" t="inlineStr">
        <is>
          <t>Recebimento à vista Gerado pelo sistema Doc.: 8841 Ordem: 1</t>
        </is>
      </c>
      <c r="C19" s="18" t="inlineStr">
        <is>
          <t>TIAGO RODRIGO DE ARAUJO VALGUEIRO</t>
        </is>
      </c>
      <c r="D19" s="27" t="n">
        <v>140</v>
      </c>
      <c r="E19" s="19" t="n"/>
      <c r="F19" s="21" t="n"/>
      <c r="G19" s="18" t="n"/>
    </row>
    <row r="20">
      <c r="A20" s="22" t="n">
        <v>46055</v>
      </c>
      <c r="B20" s="23" t="inlineStr">
        <is>
          <t>Recebimento à vista Gerado pelo sistema Doc.: 8842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46055</v>
      </c>
      <c r="B21" s="18" t="inlineStr">
        <is>
          <t>Recebimento à vista Gerado pelo sistema. Doc.: 4052 Ordem: 1</t>
        </is>
      </c>
      <c r="C21" s="18" t="inlineStr">
        <is>
          <t>FAGNER PALMEIRAS GOMES</t>
        </is>
      </c>
      <c r="D21" s="27" t="n">
        <v>1398</v>
      </c>
      <c r="E21" s="19" t="n"/>
      <c r="F21" s="21" t="n"/>
      <c r="G21" s="18" t="n"/>
    </row>
    <row r="22">
      <c r="A22" s="22" t="n">
        <v>46055</v>
      </c>
      <c r="B22" s="23" t="inlineStr">
        <is>
          <t>Recebimento à vista Gerado pelo sistema Doc.: 8843 Ordem: 1</t>
        </is>
      </c>
      <c r="C22" s="23" t="inlineStr">
        <is>
          <t>ALEX ASSIS FERREIRA FRANCO</t>
        </is>
      </c>
      <c r="D22" s="24" t="n">
        <v>180</v>
      </c>
      <c r="E22" s="25" t="n"/>
      <c r="F22" s="26" t="n"/>
      <c r="G22" s="23" t="n"/>
    </row>
    <row r="23">
      <c r="A23" s="17" t="n">
        <v>46055</v>
      </c>
      <c r="B23" s="18" t="inlineStr">
        <is>
          <t>Recebimento à vista Gerado pelo sistema Doc.: 8844 Ordem: 1</t>
        </is>
      </c>
      <c r="C23" s="18" t="inlineStr">
        <is>
          <t>Cliente Consumidor</t>
        </is>
      </c>
      <c r="D23" s="27" t="n">
        <v>100</v>
      </c>
      <c r="E23" s="19" t="n"/>
      <c r="F23" s="21" t="n"/>
      <c r="G23" s="18" t="n"/>
    </row>
    <row r="24">
      <c r="A24" s="22" t="n">
        <v>46055</v>
      </c>
      <c r="B24" s="23" t="inlineStr">
        <is>
          <t>Recebimento à vista Gerado pelo sistema. Doc.: 4053 Ordem: 1</t>
        </is>
      </c>
      <c r="C24" s="23" t="inlineStr">
        <is>
          <t>COLEGIO AQUARELA LTDA</t>
        </is>
      </c>
      <c r="D24" s="24" t="n">
        <v>180</v>
      </c>
      <c r="E24" s="25" t="n"/>
      <c r="F24" s="26" t="n"/>
      <c r="G24" s="23" t="n"/>
    </row>
    <row r="25">
      <c r="A25" s="17" t="n">
        <v>46055</v>
      </c>
      <c r="B25" s="18" t="inlineStr">
        <is>
          <t>Recebimento à vista Gerado pelo sistema Doc.: 8845 Ordem: 1</t>
        </is>
      </c>
      <c r="C25" s="18" t="inlineStr">
        <is>
          <t>Cielo S. A.</t>
        </is>
      </c>
      <c r="D25" s="27" t="n">
        <v>140</v>
      </c>
      <c r="E25" s="19" t="n"/>
      <c r="F25" s="21" t="n"/>
      <c r="G25" s="18" t="n"/>
    </row>
    <row r="26">
      <c r="A26" s="22" t="n">
        <v>46055</v>
      </c>
      <c r="B26" s="23" t="inlineStr">
        <is>
          <t>Recebimento à vista Gerado pelo sistema Doc.: 8846 Ordem: 1</t>
        </is>
      </c>
      <c r="C26" s="23" t="inlineStr">
        <is>
          <t>Cielo S. A.</t>
        </is>
      </c>
      <c r="D26" s="24" t="n">
        <v>140</v>
      </c>
      <c r="E26" s="25" t="n"/>
      <c r="F26" s="26" t="n"/>
      <c r="G26" s="23" t="n"/>
    </row>
    <row r="27">
      <c r="A27" s="17" t="n">
        <v>46055</v>
      </c>
      <c r="B27" s="18" t="inlineStr">
        <is>
          <t>Recebimento à vista Gerado pelo sistema Doc.: 8847 Ordem: 1</t>
        </is>
      </c>
      <c r="C27" s="18" t="inlineStr">
        <is>
          <t>RIVANILDO AMORIM LAGOS - CLAUDENIR AMORIM</t>
        </is>
      </c>
      <c r="D27" s="27" t="n">
        <v>190</v>
      </c>
      <c r="E27" s="19" t="n"/>
      <c r="F27" s="21" t="n"/>
      <c r="G27" s="18" t="n"/>
    </row>
    <row r="28">
      <c r="A28" s="22" t="n">
        <v>46055</v>
      </c>
      <c r="B28" s="23" t="inlineStr">
        <is>
          <t>Recebimento à vista Gerado pelo sistema Doc.: 8848 Ordem: 1</t>
        </is>
      </c>
      <c r="C28" s="23" t="inlineStr">
        <is>
          <t>Cliente Consumidor</t>
        </is>
      </c>
      <c r="D28" s="24" t="n">
        <v>20</v>
      </c>
      <c r="E28" s="25" t="n"/>
      <c r="F28" s="26" t="n"/>
      <c r="G28" s="23" t="n"/>
    </row>
    <row r="29">
      <c r="A29" s="17" t="n">
        <v>46055</v>
      </c>
      <c r="B29" s="18" t="inlineStr">
        <is>
          <t>Recebimento à vista Gerado pelo sistema Doc.: 8849 Ordem: 1</t>
        </is>
      </c>
      <c r="C29" s="18" t="inlineStr">
        <is>
          <t>Cliente Consumidor</t>
        </is>
      </c>
      <c r="D29" s="27" t="n">
        <v>70</v>
      </c>
      <c r="E29" s="19" t="n"/>
      <c r="F29" s="21" t="n"/>
      <c r="G29" s="18" t="n"/>
    </row>
    <row r="30">
      <c r="A30" s="22" t="n">
        <v>46056</v>
      </c>
      <c r="B30" s="23" t="inlineStr">
        <is>
          <t>Recebimento à vista Gerado pelo sistema Doc.: 8850 Ordem: 1</t>
        </is>
      </c>
      <c r="C30" s="23" t="inlineStr">
        <is>
          <t>Cliente Consumidor</t>
        </is>
      </c>
      <c r="D30" s="24" t="n">
        <v>200</v>
      </c>
      <c r="E30" s="25" t="n"/>
      <c r="F30" s="26" t="n"/>
      <c r="G30" s="23" t="n"/>
    </row>
    <row r="31">
      <c r="A31" s="17" t="n">
        <v>46056</v>
      </c>
      <c r="B31" s="18" t="inlineStr">
        <is>
          <t>Recebimento à vista Gerado pelo sistema Doc.: 8851 Ordem: 1</t>
        </is>
      </c>
      <c r="C31" s="18" t="inlineStr">
        <is>
          <t>Cliente Consumidor</t>
        </is>
      </c>
      <c r="D31" s="27" t="n">
        <v>30</v>
      </c>
      <c r="E31" s="19" t="n"/>
      <c r="F31" s="21" t="n"/>
      <c r="G31" s="18" t="n"/>
    </row>
    <row r="32">
      <c r="A32" s="22" t="n">
        <v>46056</v>
      </c>
      <c r="B32" s="23" t="inlineStr">
        <is>
          <t>Estorno de recebimento do documento: Gerado pelo sistema Doc.: 885</t>
        </is>
      </c>
      <c r="C32" s="23" t="inlineStr">
        <is>
          <t>Cliente Consumidor</t>
        </is>
      </c>
      <c r="D32" s="25" t="n"/>
      <c r="E32" s="28" t="n">
        <v>30</v>
      </c>
      <c r="F32" s="26" t="inlineStr">
        <is>
          <t>Estornos de Vendas (Cancelamentos)</t>
        </is>
      </c>
      <c r="G32" s="23" t="n"/>
    </row>
    <row r="33">
      <c r="A33" s="17" t="n">
        <v>46056</v>
      </c>
      <c r="B33" s="18" t="inlineStr">
        <is>
          <t>Recebimento à vista Gerado pelo sistema Doc.: 8852 Ordem: 1</t>
        </is>
      </c>
      <c r="C33" s="18" t="inlineStr">
        <is>
          <t>Cliente Consumidor</t>
        </is>
      </c>
      <c r="D33" s="27" t="n">
        <v>30</v>
      </c>
      <c r="E33" s="19" t="n"/>
      <c r="F33" s="21" t="n"/>
      <c r="G33" s="18" t="n"/>
    </row>
    <row r="34">
      <c r="A34" s="22" t="n">
        <v>46056</v>
      </c>
      <c r="B34" s="23" t="inlineStr">
        <is>
          <t>Recebimento à vista Gerado pelo sistema Doc.: 8853 Ordem: 1</t>
        </is>
      </c>
      <c r="C34" s="23" t="inlineStr">
        <is>
          <t>Cliente Consumidor</t>
        </is>
      </c>
      <c r="D34" s="24" t="n">
        <v>10</v>
      </c>
      <c r="E34" s="25" t="n"/>
      <c r="F34" s="26" t="n"/>
      <c r="G34" s="23" t="n"/>
    </row>
    <row r="35">
      <c r="A35" s="17" t="n">
        <v>46056</v>
      </c>
      <c r="B35" s="18" t="inlineStr">
        <is>
          <t>Recebimento à vista Gerado pelo sistema Doc.: 8854 Ordem: 1</t>
        </is>
      </c>
      <c r="C35" s="18" t="inlineStr">
        <is>
          <t>Cliente Consumidor</t>
        </is>
      </c>
      <c r="D35" s="27" t="n">
        <v>65</v>
      </c>
      <c r="E35" s="19" t="n"/>
      <c r="F35" s="21" t="n"/>
      <c r="G35" s="18" t="n"/>
    </row>
    <row r="36">
      <c r="A36" s="22" t="n">
        <v>46056</v>
      </c>
      <c r="B36" s="23" t="inlineStr">
        <is>
          <t>Recebimento à vista Gerado pelo sistema. Doc.: 4055 Ordem: 1</t>
        </is>
      </c>
      <c r="C36" s="23" t="inlineStr">
        <is>
          <t>RENATA CAMPOS TAVARES GOMES NUNES - CEPI PEDIATRIA</t>
        </is>
      </c>
      <c r="D36" s="24" t="n">
        <v>140</v>
      </c>
      <c r="E36" s="25" t="n"/>
      <c r="F36" s="26" t="n"/>
      <c r="G36" s="23" t="n"/>
    </row>
    <row r="37">
      <c r="A37" s="17" t="n">
        <v>46056</v>
      </c>
      <c r="B37" s="18" t="inlineStr">
        <is>
          <t>Pagamento parcela Gerado pelo sistema - nº 358698 Doc.: 358698 Ord</t>
        </is>
      </c>
      <c r="C37" s="18" t="inlineStr">
        <is>
          <t>EVEREST REFRIGERACAO E INDUSTRIA</t>
        </is>
      </c>
      <c r="D37" s="19" t="n"/>
      <c r="E37" s="20" t="n">
        <v>597.74</v>
      </c>
      <c r="F37" s="21" t="inlineStr">
        <is>
          <t>Fornecedores / Mercadoria</t>
        </is>
      </c>
      <c r="G37" s="18" t="n"/>
    </row>
    <row r="38">
      <c r="A38" s="22" t="n">
        <v>46056</v>
      </c>
      <c r="B38" s="23" t="inlineStr">
        <is>
          <t>Pagamento à vista: EMBASA ADRIANO Doc.: 2 Ordem: 1</t>
        </is>
      </c>
      <c r="C38" s="23" t="inlineStr">
        <is>
          <t>ADRIANO SILVA FONTES</t>
        </is>
      </c>
      <c r="D38" s="25" t="n"/>
      <c r="E38" s="28" t="n">
        <v>74.27</v>
      </c>
      <c r="F38" s="26" t="inlineStr">
        <is>
          <t>Pro Labore Edilânia</t>
        </is>
      </c>
      <c r="G38" s="23" t="n"/>
    </row>
    <row r="39">
      <c r="A39" s="17" t="n">
        <v>46056</v>
      </c>
      <c r="B39" s="18" t="inlineStr">
        <is>
          <t>Pagamento à vista: COELBA ADRIANO Doc.: 1 Ordem: 2</t>
        </is>
      </c>
      <c r="C39" s="18" t="inlineStr">
        <is>
          <t>ADRIANO SILVA FONTES</t>
        </is>
      </c>
      <c r="D39" s="19" t="n"/>
      <c r="E39" s="20" t="n">
        <v>435.39</v>
      </c>
      <c r="F39" s="21" t="inlineStr">
        <is>
          <t>Pro Labore Edilânia</t>
        </is>
      </c>
      <c r="G39" s="18" t="n"/>
    </row>
    <row r="40">
      <c r="A40" s="22" t="n">
        <v>46056</v>
      </c>
      <c r="B40" s="23" t="inlineStr">
        <is>
          <t>Recebimento à vista Gerado pelo sistema Doc.: 8855 Ordem: 1</t>
        </is>
      </c>
      <c r="C40" s="23" t="inlineStr">
        <is>
          <t>Cliente Consumidor</t>
        </is>
      </c>
      <c r="D40" s="24" t="n">
        <v>90</v>
      </c>
      <c r="E40" s="25" t="n"/>
      <c r="F40" s="26" t="n"/>
      <c r="G40" s="23" t="n"/>
    </row>
    <row r="41">
      <c r="A41" s="17" t="n">
        <v>46056</v>
      </c>
      <c r="B41" s="18" t="inlineStr">
        <is>
          <t>Pagamento parcela Gerado pelo sistema - nº 125587 Doc.: 125587 Ord</t>
        </is>
      </c>
      <c r="C41" s="18" t="inlineStr">
        <is>
          <t>FILTROS PLANETA AGUA IND E COM LTDA</t>
        </is>
      </c>
      <c r="D41" s="19" t="n"/>
      <c r="E41" s="20" t="n">
        <v>426.73</v>
      </c>
      <c r="F41" s="21" t="inlineStr">
        <is>
          <t>Fornecedores / Mercadoria</t>
        </is>
      </c>
      <c r="G41" s="18" t="n"/>
    </row>
    <row r="42">
      <c r="A42" s="22" t="n">
        <v>46056</v>
      </c>
      <c r="B42" s="23" t="inlineStr">
        <is>
          <t>Pagamento parcela COELBA LOJA Doc.: 1 Ordem: 18</t>
        </is>
      </c>
      <c r="C42" s="23" t="inlineStr">
        <is>
          <t>COMPANHIA DE ELETRICIDADE DO ESTADO DA BAHIA COELBA</t>
        </is>
      </c>
      <c r="D42" s="25" t="n"/>
      <c r="E42" s="28" t="n">
        <v>145.99</v>
      </c>
      <c r="F42" s="26" t="inlineStr">
        <is>
          <t>Água, Energia e Internet</t>
        </is>
      </c>
      <c r="G42" s="23" t="n"/>
    </row>
    <row r="43">
      <c r="A43" s="17" t="n">
        <v>46057</v>
      </c>
      <c r="B43" s="18" t="inlineStr">
        <is>
          <t>Recebimento à vista Gerado pelo sistema. Doc.: 4056 Ordem: 1</t>
        </is>
      </c>
      <c r="C43" s="18" t="inlineStr">
        <is>
          <t>SALÃO DO REINO CONGREGAÇÃO OESTE</t>
        </is>
      </c>
      <c r="D43" s="27" t="n">
        <v>90</v>
      </c>
      <c r="E43" s="19" t="n"/>
      <c r="F43" s="21" t="n"/>
      <c r="G43" s="18" t="n"/>
    </row>
    <row r="44">
      <c r="A44" s="22" t="n">
        <v>46057</v>
      </c>
      <c r="B44" s="23" t="inlineStr">
        <is>
          <t>Recebimento à vista Gerado pelo sistema Doc.: 8856 Ordem: 1</t>
        </is>
      </c>
      <c r="C44" s="23" t="inlineStr">
        <is>
          <t>TARCISIO FIALHO CESAR CARDOSO</t>
        </is>
      </c>
      <c r="D44" s="24" t="n">
        <v>130</v>
      </c>
      <c r="E44" s="25" t="n"/>
      <c r="F44" s="26" t="n"/>
      <c r="G44" s="23" t="n"/>
    </row>
    <row r="45">
      <c r="A45" s="17" t="n">
        <v>46057</v>
      </c>
      <c r="B45" s="18" t="inlineStr">
        <is>
          <t>Recebimento à vista Gerado pelo sistema. Doc.: 4057 Ordem: 1</t>
        </is>
      </c>
      <c r="C45" s="18" t="inlineStr">
        <is>
          <t>IGREJA EVANGELICA ASSEMBLEIA DE DEUS</t>
        </is>
      </c>
      <c r="D45" s="27" t="n">
        <v>180</v>
      </c>
      <c r="E45" s="19" t="n"/>
      <c r="F45" s="21" t="n"/>
      <c r="G45" s="18" t="n"/>
    </row>
    <row r="46">
      <c r="A46" s="22" t="n">
        <v>46057</v>
      </c>
      <c r="B46" s="23" t="inlineStr">
        <is>
          <t>Recebimento à vista Gerado pelo sistema Doc.: 8857 Ordem: 1</t>
        </is>
      </c>
      <c r="C46" s="23" t="inlineStr">
        <is>
          <t>Cliente Consumidor</t>
        </is>
      </c>
      <c r="D46" s="24" t="n">
        <v>80</v>
      </c>
      <c r="E46" s="25" t="n"/>
      <c r="F46" s="26" t="n"/>
      <c r="G46" s="23" t="n"/>
    </row>
    <row r="47">
      <c r="A47" s="17" t="n">
        <v>46057</v>
      </c>
      <c r="B47" s="18" t="inlineStr">
        <is>
          <t>Recebimento à vista Gerado pelo sistema Doc.: 8858 Ordem: 1</t>
        </is>
      </c>
      <c r="C47" s="18" t="inlineStr">
        <is>
          <t>Cliente Consumidor</t>
        </is>
      </c>
      <c r="D47" s="27" t="n">
        <v>140</v>
      </c>
      <c r="E47" s="19" t="n"/>
      <c r="F47" s="21" t="n"/>
      <c r="G47" s="18" t="n"/>
    </row>
    <row r="48">
      <c r="A48" s="22" t="n">
        <v>46058</v>
      </c>
      <c r="B48" s="23" t="inlineStr">
        <is>
          <t>Recebimento à vista Gerado pelo sistema Doc.: 8859 Ordem: 1</t>
        </is>
      </c>
      <c r="C48" s="23" t="inlineStr">
        <is>
          <t>TATIANA MIRANDA SIQUEIRA</t>
        </is>
      </c>
      <c r="D48" s="24" t="n">
        <v>190</v>
      </c>
      <c r="E48" s="25" t="n"/>
      <c r="F48" s="26" t="n"/>
      <c r="G48" s="23" t="n"/>
    </row>
    <row r="49">
      <c r="A49" s="17" t="n">
        <v>46058</v>
      </c>
      <c r="B49" s="18" t="inlineStr">
        <is>
          <t>Recebimento à vista Gerado pelo sistema Doc.: 8860 Ordem: 1</t>
        </is>
      </c>
      <c r="C49" s="18" t="inlineStr">
        <is>
          <t>Cliente Consumidor</t>
        </is>
      </c>
      <c r="D49" s="27" t="n">
        <v>100</v>
      </c>
      <c r="E49" s="19" t="n"/>
      <c r="F49" s="21" t="n"/>
      <c r="G49" s="18" t="n"/>
    </row>
    <row r="50">
      <c r="A50" s="22" t="n">
        <v>46058</v>
      </c>
      <c r="B50" s="23" t="inlineStr">
        <is>
          <t>Recebimento parcela Gerado pelo sistema. Doc.: 4058 Ordem: 1</t>
        </is>
      </c>
      <c r="C50" s="23" t="inlineStr">
        <is>
          <t>VITALI JACOBINA LTDA</t>
        </is>
      </c>
      <c r="D50" s="24" t="n">
        <v>140</v>
      </c>
      <c r="E50" s="25" t="n"/>
      <c r="F50" s="26" t="n"/>
      <c r="G50" s="23" t="n"/>
    </row>
    <row r="51">
      <c r="A51" s="17" t="n">
        <v>46058</v>
      </c>
      <c r="B51" s="18" t="inlineStr">
        <is>
          <t>Recebimento à vista Gerado pelo sistema. Doc.: 4059 Ordem: 1</t>
        </is>
      </c>
      <c r="C51" s="18" t="inlineStr">
        <is>
          <t>PAYAYA LOJA DE CONVENIENCIAS E AUTO PECAS LTDA</t>
        </is>
      </c>
      <c r="D51" s="27" t="n">
        <v>2470</v>
      </c>
      <c r="E51" s="19" t="n"/>
      <c r="F51" s="21" t="n"/>
      <c r="G51" s="18" t="n"/>
    </row>
    <row r="52">
      <c r="A52" s="22" t="n">
        <v>46058</v>
      </c>
      <c r="B52" s="23" t="inlineStr">
        <is>
          <t>Recebimento à vista Gerado pelo sistema Doc.: 8861 Ordem: 1</t>
        </is>
      </c>
      <c r="C52" s="23" t="inlineStr">
        <is>
          <t>IEDA BAHIA DE ANDRADE - TARCISIO BAHIA DE ANDRADE</t>
        </is>
      </c>
      <c r="D52" s="24" t="n">
        <v>140</v>
      </c>
      <c r="E52" s="25" t="n"/>
      <c r="F52" s="26" t="n"/>
      <c r="G52" s="23" t="n"/>
    </row>
    <row r="53">
      <c r="A53" s="17" t="n">
        <v>46058</v>
      </c>
      <c r="B53" s="18" t="inlineStr">
        <is>
          <t>Recebimento à vista Gerado pelo sistema. Doc.: 4060 Ordem: 1</t>
        </is>
      </c>
      <c r="C53" s="18" t="inlineStr">
        <is>
          <t>PEDRO WESLEY PASSOS ALVES</t>
        </is>
      </c>
      <c r="D53" s="27" t="n">
        <v>1501.56</v>
      </c>
      <c r="E53" s="19" t="n"/>
      <c r="F53" s="21" t="n"/>
      <c r="G53" s="18" t="n"/>
    </row>
    <row r="54">
      <c r="A54" s="22" t="n">
        <v>46059</v>
      </c>
      <c r="B54" s="23" t="inlineStr">
        <is>
          <t>Recebimento à vista Gerado pelo sistema Doc.: 8862 Ordem: 1</t>
        </is>
      </c>
      <c r="C54" s="23" t="inlineStr">
        <is>
          <t>Cielo S. A.</t>
        </is>
      </c>
      <c r="D54" s="24" t="n">
        <v>140</v>
      </c>
      <c r="E54" s="25" t="n"/>
      <c r="F54" s="26" t="n"/>
      <c r="G54" s="23" t="n"/>
    </row>
    <row r="55">
      <c r="A55" s="17" t="n">
        <v>46059</v>
      </c>
      <c r="B55" s="18" t="inlineStr">
        <is>
          <t>Recebimento à vista Gerado pelo sistema Doc.: 8863 Ordem: 1</t>
        </is>
      </c>
      <c r="C55" s="18" t="inlineStr">
        <is>
          <t>MATHEUS GUIMARAES OLIVEIRA</t>
        </is>
      </c>
      <c r="D55" s="27" t="n">
        <v>140</v>
      </c>
      <c r="E55" s="19" t="n"/>
      <c r="F55" s="21" t="n"/>
      <c r="G55" s="18" t="n"/>
    </row>
    <row r="56">
      <c r="A56" s="22" t="n">
        <v>46059</v>
      </c>
      <c r="B56" s="23" t="inlineStr">
        <is>
          <t>Recebimento à vista Gerado pelo sistema Doc.: 8864 Ordem: 1</t>
        </is>
      </c>
      <c r="C56" s="23" t="inlineStr">
        <is>
          <t>Cliente Consumidor</t>
        </is>
      </c>
      <c r="D56" s="24" t="n">
        <v>140</v>
      </c>
      <c r="E56" s="25" t="n"/>
      <c r="F56" s="26" t="n"/>
      <c r="G56" s="23" t="n"/>
    </row>
    <row r="57">
      <c r="A57" s="17" t="n">
        <v>46059</v>
      </c>
      <c r="B57" s="18" t="inlineStr">
        <is>
          <t>Recebimento à vista Gerado pelo sistema Doc.: 8865 Ordem: 1</t>
        </is>
      </c>
      <c r="C57" s="18" t="inlineStr">
        <is>
          <t>CREUZA MIRANDA FREIRE</t>
        </is>
      </c>
      <c r="D57" s="27" t="n">
        <v>140</v>
      </c>
      <c r="E57" s="19" t="n"/>
      <c r="F57" s="21" t="n"/>
      <c r="G57" s="18" t="n"/>
    </row>
    <row r="58">
      <c r="A58" s="22" t="n">
        <v>46060</v>
      </c>
      <c r="B58" s="23" t="inlineStr">
        <is>
          <t>Recebimento à vista Gerado pelo sistema Doc.: 8866 Ordem: 1</t>
        </is>
      </c>
      <c r="C58" s="23" t="inlineStr">
        <is>
          <t>Cielo S. A.</t>
        </is>
      </c>
      <c r="D58" s="24" t="n">
        <v>80</v>
      </c>
      <c r="E58" s="25" t="n"/>
      <c r="F58" s="26" t="n"/>
      <c r="G58" s="23" t="n"/>
    </row>
    <row r="59">
      <c r="A59" s="17" t="n">
        <v>46060</v>
      </c>
      <c r="B59" s="18" t="inlineStr">
        <is>
          <t>Recebimento à vista Gerado pelo sistema Doc.: 8867 Ordem: 1</t>
        </is>
      </c>
      <c r="C59" s="18" t="inlineStr">
        <is>
          <t>Cliente Consumidor</t>
        </is>
      </c>
      <c r="D59" s="27" t="n">
        <v>35</v>
      </c>
      <c r="E59" s="19" t="n"/>
      <c r="F59" s="21" t="n"/>
      <c r="G59" s="18" t="n"/>
    </row>
    <row r="60">
      <c r="A60" s="22" t="n">
        <v>46060</v>
      </c>
      <c r="B60" s="23" t="inlineStr">
        <is>
          <t>Recebimento à vista Gerado pelo sistema Doc.: 8868 Ordem: 1</t>
        </is>
      </c>
      <c r="C60" s="23" t="inlineStr">
        <is>
          <t>Cliente Consumidor</t>
        </is>
      </c>
      <c r="D60" s="24" t="n">
        <v>40</v>
      </c>
      <c r="E60" s="25" t="n"/>
      <c r="F60" s="26" t="n"/>
      <c r="G60" s="23" t="n"/>
    </row>
    <row r="61">
      <c r="A61" s="17" t="n">
        <v>46060</v>
      </c>
      <c r="B61" s="18" t="inlineStr">
        <is>
          <t>Recebimento à vista Gerado pelo sistema Doc.: 8869 Ordem: 1</t>
        </is>
      </c>
      <c r="C61" s="18" t="inlineStr">
        <is>
          <t>Cliente Consumidor</t>
        </is>
      </c>
      <c r="D61" s="27" t="n">
        <v>140</v>
      </c>
      <c r="E61" s="19" t="n"/>
      <c r="F61" s="21" t="n"/>
      <c r="G61" s="18" t="n"/>
    </row>
    <row r="62">
      <c r="A62" s="22" t="n">
        <v>46062</v>
      </c>
      <c r="B62" s="23" t="inlineStr">
        <is>
          <t>Recebimento à vista Gerado pelo sistema Doc.: 8870 Ordem: 1</t>
        </is>
      </c>
      <c r="C62" s="23" t="inlineStr">
        <is>
          <t>Cielo S. A.</t>
        </is>
      </c>
      <c r="D62" s="24" t="n">
        <v>135</v>
      </c>
      <c r="E62" s="25" t="n"/>
      <c r="F62" s="26" t="n"/>
      <c r="G62" s="23" t="n"/>
    </row>
    <row r="63">
      <c r="A63" s="17" t="n">
        <v>46062</v>
      </c>
      <c r="B63" s="18" t="inlineStr">
        <is>
          <t>Estorno de recebimento do documento: Gerado pelo sistema Doc.: 887</t>
        </is>
      </c>
      <c r="C63" s="18" t="inlineStr">
        <is>
          <t>Cielo S. A.</t>
        </is>
      </c>
      <c r="D63" s="19" t="n"/>
      <c r="E63" s="20" t="n">
        <v>135</v>
      </c>
      <c r="F63" s="21" t="inlineStr">
        <is>
          <t>Estornos de Vendas (Cancelamentos)</t>
        </is>
      </c>
      <c r="G63" s="18" t="n"/>
    </row>
    <row r="64">
      <c r="A64" s="22" t="n">
        <v>46062</v>
      </c>
      <c r="B64" s="23" t="inlineStr">
        <is>
          <t>Recebimento à vista Gerado pelo sistema Doc.: 8871 Ordem: 1</t>
        </is>
      </c>
      <c r="C64" s="23" t="inlineStr">
        <is>
          <t>Cielo S. A.</t>
        </is>
      </c>
      <c r="D64" s="24" t="n">
        <v>135</v>
      </c>
      <c r="E64" s="25" t="n"/>
      <c r="F64" s="26" t="n"/>
      <c r="G64" s="23" t="n"/>
    </row>
    <row r="65">
      <c r="A65" s="17" t="n">
        <v>46062</v>
      </c>
      <c r="B65" s="18" t="inlineStr">
        <is>
          <t>Recebimento à vista Gerado pelo sistema Doc.: 8872 Ordem: 1</t>
        </is>
      </c>
      <c r="C65" s="18" t="inlineStr">
        <is>
          <t>HELENA CRUZ</t>
        </is>
      </c>
      <c r="D65" s="27" t="n">
        <v>130</v>
      </c>
      <c r="E65" s="19" t="n"/>
      <c r="F65" s="21" t="n"/>
      <c r="G65" s="18" t="n"/>
    </row>
    <row r="66">
      <c r="A66" s="22" t="n">
        <v>46062</v>
      </c>
      <c r="B66" s="23" t="inlineStr">
        <is>
          <t>Recebimento parcela Gerado pelo sistema. Doc.: 4063 Ordem: 1</t>
        </is>
      </c>
      <c r="C66" s="23" t="inlineStr">
        <is>
          <t>MARSILIA MARMORES E GRANITOS EIRELI</t>
        </is>
      </c>
      <c r="D66" s="24" t="n">
        <v>140</v>
      </c>
      <c r="E66" s="25" t="n"/>
      <c r="F66" s="26" t="n"/>
      <c r="G66" s="23" t="n"/>
    </row>
    <row r="67">
      <c r="A67" s="17" t="n">
        <v>46063</v>
      </c>
      <c r="B67" s="18" t="inlineStr">
        <is>
          <t>Recebimento à vista Gerado pelo sistema Doc.: 8873 Ordem: 1</t>
        </is>
      </c>
      <c r="C67" s="18" t="inlineStr">
        <is>
          <t>TEMISTOCLES DE CARVALHO ANDRADE</t>
        </is>
      </c>
      <c r="D67" s="27" t="n">
        <v>140</v>
      </c>
      <c r="E67" s="19" t="n"/>
      <c r="F67" s="21" t="n"/>
      <c r="G67" s="18" t="n"/>
    </row>
    <row r="68">
      <c r="A68" s="22" t="n">
        <v>46063</v>
      </c>
      <c r="B68" s="23" t="inlineStr">
        <is>
          <t>Recebimento à vista Gerado pelo sistema. Doc.: 4064 Ordem: 1</t>
        </is>
      </c>
      <c r="C68" s="23" t="inlineStr">
        <is>
          <t>ITAMAR CASTRO RIBEIRO LTDA</t>
        </is>
      </c>
      <c r="D68" s="24" t="n">
        <v>185</v>
      </c>
      <c r="E68" s="25" t="n"/>
      <c r="F68" s="26" t="n"/>
      <c r="G68" s="23" t="n"/>
    </row>
    <row r="69">
      <c r="A69" s="17" t="n">
        <v>46063</v>
      </c>
      <c r="B69" s="18" t="inlineStr">
        <is>
          <t>Recebimento à vista Gerado pelo sistema Doc.: 8874 Ordem: 1</t>
        </is>
      </c>
      <c r="C69" s="18" t="inlineStr">
        <is>
          <t>MARIA CONCEICAO CARVALHO MESQUITA MAIA - LOANE MESQUITA</t>
        </is>
      </c>
      <c r="D69" s="27" t="n">
        <v>135</v>
      </c>
      <c r="E69" s="19" t="n"/>
      <c r="F69" s="21" t="n"/>
      <c r="G69" s="18" t="n"/>
    </row>
    <row r="70">
      <c r="A70" s="22" t="n">
        <v>46063</v>
      </c>
      <c r="B70" s="23" t="inlineStr">
        <is>
          <t>Estorno de recebimento do documento: Gerado pelo sistema Doc.: 887</t>
        </is>
      </c>
      <c r="C70" s="23" t="inlineStr">
        <is>
          <t>MARIA CONCEICAO CARVALHO MESQUITA MAIA - LOANE MESQUITA</t>
        </is>
      </c>
      <c r="D70" s="25" t="n"/>
      <c r="E70" s="28" t="n">
        <v>135</v>
      </c>
      <c r="F70" s="26" t="inlineStr">
        <is>
          <t>Estornos de Vendas (Cancelamentos)</t>
        </is>
      </c>
      <c r="G70" s="23" t="n"/>
    </row>
    <row r="71">
      <c r="A71" s="17" t="n">
        <v>46063</v>
      </c>
      <c r="B71" s="18" t="inlineStr">
        <is>
          <t>Recebimento à vista Gerado pelo sistema Doc.: 8875 Ordem: 1</t>
        </is>
      </c>
      <c r="C71" s="18" t="inlineStr">
        <is>
          <t>RONALDO FERREIRA DOS ANJOS - MARIA LUCIA</t>
        </is>
      </c>
      <c r="D71" s="27" t="n">
        <v>135</v>
      </c>
      <c r="E71" s="19" t="n"/>
      <c r="F71" s="21" t="n"/>
      <c r="G71" s="18" t="n"/>
    </row>
    <row r="72">
      <c r="A72" s="22" t="n">
        <v>46063</v>
      </c>
      <c r="B72" s="23" t="inlineStr">
        <is>
          <t>Recebimento à vista Gerado pelo sistema Doc.: 8876 Ordem: 1</t>
        </is>
      </c>
      <c r="C72" s="23" t="inlineStr">
        <is>
          <t>Cielo S. A.</t>
        </is>
      </c>
      <c r="D72" s="24" t="n">
        <v>40</v>
      </c>
      <c r="E72" s="25" t="n"/>
      <c r="F72" s="26" t="n"/>
      <c r="G72" s="23" t="n"/>
    </row>
    <row r="73">
      <c r="A73" s="17" t="n">
        <v>46063</v>
      </c>
      <c r="B73" s="18" t="inlineStr">
        <is>
          <t>Recebimento à vista Gerado pelo sistema Doc.: 8877 Ordem: 1</t>
        </is>
      </c>
      <c r="C73" s="18" t="inlineStr">
        <is>
          <t>Cielo S. A.</t>
        </is>
      </c>
      <c r="D73" s="27" t="n">
        <v>200</v>
      </c>
      <c r="E73" s="19" t="n"/>
      <c r="F73" s="21" t="n"/>
      <c r="G73" s="18" t="n"/>
    </row>
    <row r="74">
      <c r="A74" s="22" t="n">
        <v>46063</v>
      </c>
      <c r="B74" s="23" t="inlineStr">
        <is>
          <t>Recebimento à vista Gerado pelo sistema Doc.: 8878 Ordem: 1</t>
        </is>
      </c>
      <c r="C74" s="23" t="inlineStr">
        <is>
          <t>MARIA JOSE AZEVEDO DE ALMEIDA</t>
        </is>
      </c>
      <c r="D74" s="24" t="n">
        <v>140</v>
      </c>
      <c r="E74" s="25" t="n"/>
      <c r="F74" s="26" t="n"/>
      <c r="G74" s="23" t="n"/>
    </row>
    <row r="75">
      <c r="A75" s="17" t="n">
        <v>46063</v>
      </c>
      <c r="B75" s="18" t="inlineStr">
        <is>
          <t>Recebimento à vista Gerado pelo sistema Doc.: 8879 Ordem: 1</t>
        </is>
      </c>
      <c r="C75" s="18" t="inlineStr">
        <is>
          <t>Cliente Consumidor</t>
        </is>
      </c>
      <c r="D75" s="27" t="n">
        <v>10</v>
      </c>
      <c r="E75" s="19" t="n"/>
      <c r="F75" s="21" t="n"/>
      <c r="G75" s="18" t="n"/>
    </row>
    <row r="76">
      <c r="A76" s="22" t="n">
        <v>46063</v>
      </c>
      <c r="B76" s="23" t="inlineStr">
        <is>
          <t>Recebimento à vista Gerado pelo sistema Doc.: 8880 Ordem: 1</t>
        </is>
      </c>
      <c r="C76" s="23" t="inlineStr">
        <is>
          <t>MARIA CONCEICAO CARVALHO MESQUITA MAIA - LOANE MESQUITA</t>
        </is>
      </c>
      <c r="D76" s="24" t="n">
        <v>270</v>
      </c>
      <c r="E76" s="25" t="n"/>
      <c r="F76" s="26" t="n"/>
      <c r="G76" s="23" t="n"/>
    </row>
    <row r="77">
      <c r="A77" s="17" t="n">
        <v>46064</v>
      </c>
      <c r="B77" s="18" t="inlineStr">
        <is>
          <t>Recebimento à vista Gerado pelo sistema. Doc.: 4066 Ordem: 1</t>
        </is>
      </c>
      <c r="C77" s="18" t="inlineStr">
        <is>
          <t>CAMIONEIRO AUTO PECAS EIRELI EPP</t>
        </is>
      </c>
      <c r="D77" s="27" t="n">
        <v>190</v>
      </c>
      <c r="E77" s="19" t="n"/>
      <c r="F77" s="21" t="n"/>
      <c r="G77" s="18" t="n"/>
    </row>
    <row r="78">
      <c r="A78" s="22" t="n">
        <v>46064</v>
      </c>
      <c r="B78" s="23" t="inlineStr">
        <is>
          <t>Recebimento à vista Gerado pelo sistema Doc.: 8881 Ordem: 1</t>
        </is>
      </c>
      <c r="C78" s="23" t="inlineStr">
        <is>
          <t>Cielo S. A.</t>
        </is>
      </c>
      <c r="D78" s="24" t="n">
        <v>140</v>
      </c>
      <c r="E78" s="25" t="n"/>
      <c r="F78" s="26" t="n"/>
      <c r="G78" s="23" t="n"/>
    </row>
    <row r="79">
      <c r="A79" s="17" t="n">
        <v>46064</v>
      </c>
      <c r="B79" s="18" t="inlineStr">
        <is>
          <t>Recebimento à vista Gerado pelo sistema Doc.: 8882 Ordem: 1</t>
        </is>
      </c>
      <c r="C79" s="18" t="inlineStr">
        <is>
          <t>MAIARA NASCIMENTO GRASSI SANGALO - MARCUS ANTONIO SANGALO</t>
        </is>
      </c>
      <c r="D79" s="27" t="n">
        <v>340</v>
      </c>
      <c r="E79" s="19" t="n"/>
      <c r="F79" s="21" t="n"/>
      <c r="G79" s="18" t="n"/>
    </row>
    <row r="80">
      <c r="A80" s="22" t="n">
        <v>46064</v>
      </c>
      <c r="B80" s="23" t="inlineStr">
        <is>
          <t>Recebimento à vista Gerado pelo sistema Doc.: 8883 Ordem: 1</t>
        </is>
      </c>
      <c r="C80" s="23" t="inlineStr">
        <is>
          <t>Cielo S. A.</t>
        </is>
      </c>
      <c r="D80" s="24" t="n">
        <v>20</v>
      </c>
      <c r="E80" s="25" t="n"/>
      <c r="F80" s="26" t="n"/>
      <c r="G80" s="23" t="n"/>
    </row>
    <row r="81">
      <c r="A81" s="17" t="n">
        <v>46064</v>
      </c>
      <c r="B81" s="18" t="inlineStr">
        <is>
          <t>Recebimento à vista Gerado pelo sistema. Doc.: 4067 Ordem: 1</t>
        </is>
      </c>
      <c r="C81" s="18" t="inlineStr">
        <is>
          <t>REAL CALÇADOS</t>
        </is>
      </c>
      <c r="D81" s="27" t="n">
        <v>500</v>
      </c>
      <c r="E81" s="19" t="n"/>
      <c r="F81" s="21" t="n"/>
      <c r="G81" s="18" t="n"/>
    </row>
    <row r="82">
      <c r="A82" s="22" t="n">
        <v>46064</v>
      </c>
      <c r="B82" s="23" t="inlineStr">
        <is>
          <t>Recebimento à vista Gerado pelo sistema Doc.: 8884 Ordem: 1</t>
        </is>
      </c>
      <c r="C82" s="23" t="inlineStr">
        <is>
          <t>Cielo S. A.</t>
        </is>
      </c>
      <c r="D82" s="24" t="n">
        <v>140</v>
      </c>
      <c r="E82" s="25" t="n"/>
      <c r="F82" s="26" t="n"/>
      <c r="G82" s="23" t="n"/>
    </row>
    <row r="83">
      <c r="A83" s="17" t="n">
        <v>46065</v>
      </c>
      <c r="B83" s="18" t="inlineStr">
        <is>
          <t>Recebimento à vista Gerado pelo sistema. Doc.: 4069 Ordem: 1</t>
        </is>
      </c>
      <c r="C83" s="18" t="inlineStr">
        <is>
          <t>PATRICIA LIMA FRANCO BARBOSA</t>
        </is>
      </c>
      <c r="D83" s="27" t="n">
        <v>1448</v>
      </c>
      <c r="E83" s="19" t="n"/>
      <c r="F83" s="21" t="n"/>
      <c r="G83" s="18" t="n"/>
    </row>
    <row r="84">
      <c r="A84" s="22" t="n">
        <v>46065</v>
      </c>
      <c r="B84" s="23" t="inlineStr">
        <is>
          <t>Recebimento à vista Gerado pelo sistema Doc.: 8885 Ordem: 1</t>
        </is>
      </c>
      <c r="C84" s="23" t="inlineStr">
        <is>
          <t>ROSIANE FERREIRA LIMA</t>
        </is>
      </c>
      <c r="D84" s="24" t="n">
        <v>135</v>
      </c>
      <c r="E84" s="25" t="n"/>
      <c r="F84" s="26" t="n"/>
      <c r="G84" s="23" t="n"/>
    </row>
    <row r="85">
      <c r="A85" s="17" t="n">
        <v>46065</v>
      </c>
      <c r="B85" s="18" t="inlineStr">
        <is>
          <t>Recebimento à vista Gerado pelo sistema Doc.: 8886 Ordem: 1</t>
        </is>
      </c>
      <c r="C85" s="18" t="inlineStr">
        <is>
          <t>Cielo S. A.</t>
        </is>
      </c>
      <c r="D85" s="27" t="n">
        <v>200</v>
      </c>
      <c r="E85" s="19" t="n"/>
      <c r="F85" s="21" t="n"/>
      <c r="G85" s="18" t="n"/>
    </row>
    <row r="86">
      <c r="A86" s="22" t="n">
        <v>46066</v>
      </c>
      <c r="B86" s="23" t="inlineStr">
        <is>
          <t>Recebimento à vista Gerado pelo sistema Doc.: 8887 Ordem: 1</t>
        </is>
      </c>
      <c r="C86" s="23" t="inlineStr">
        <is>
          <t>LUCELIO PEREIRA DO NASCIMENTO</t>
        </is>
      </c>
      <c r="D86" s="24" t="n">
        <v>130</v>
      </c>
      <c r="E86" s="25" t="n"/>
      <c r="F86" s="26" t="n"/>
      <c r="G86" s="23" t="n"/>
    </row>
    <row r="87">
      <c r="A87" s="17" t="n">
        <v>46066</v>
      </c>
      <c r="B87" s="18" t="inlineStr">
        <is>
          <t>Recebimento à vista Gerado pelo sistema. Doc.: 4070 Ordem: 1</t>
        </is>
      </c>
      <c r="C87" s="18" t="inlineStr">
        <is>
          <t>CARNEIRO ULTRA DROGARIA LTDA - FILIAL 2</t>
        </is>
      </c>
      <c r="D87" s="27" t="n">
        <v>140</v>
      </c>
      <c r="E87" s="19" t="n"/>
      <c r="F87" s="21" t="n"/>
      <c r="G87" s="18" t="n"/>
    </row>
    <row r="88">
      <c r="A88" s="22" t="n">
        <v>46066</v>
      </c>
      <c r="B88" s="23" t="inlineStr">
        <is>
          <t>Recebimento à vista Gerado pelo sistema. Doc.: 4071 Ordem: 1</t>
        </is>
      </c>
      <c r="C88" s="23" t="inlineStr">
        <is>
          <t>ATACADAO DAS CONFECCOES E UTILIDADES LTDA</t>
        </is>
      </c>
      <c r="D88" s="24" t="n">
        <v>140</v>
      </c>
      <c r="E88" s="25" t="n"/>
      <c r="F88" s="26" t="n"/>
      <c r="G88" s="23" t="n"/>
    </row>
    <row r="89">
      <c r="A89" s="17" t="n">
        <v>46066</v>
      </c>
      <c r="B89" s="18" t="inlineStr">
        <is>
          <t>Recebimento à vista Gerado pelo sistema Doc.: 8888 Ordem: 1</t>
        </is>
      </c>
      <c r="C89" s="18" t="inlineStr">
        <is>
          <t>ELISETE PEREIRA DA SILVA</t>
        </is>
      </c>
      <c r="D89" s="27" t="n">
        <v>140</v>
      </c>
      <c r="E89" s="19" t="n"/>
      <c r="F89" s="21" t="n"/>
      <c r="G89" s="18" t="n"/>
    </row>
    <row r="90">
      <c r="A90" s="22" t="n">
        <v>46066</v>
      </c>
      <c r="B90" s="23" t="inlineStr">
        <is>
          <t>Pagamento parcela Gerado pelo sistema - nº 361446 Doc.: 361446 Ord</t>
        </is>
      </c>
      <c r="C90" s="23" t="inlineStr">
        <is>
          <t>EVEREST REFRIGERACAO E INDUSTRIA</t>
        </is>
      </c>
      <c r="D90" s="25" t="n"/>
      <c r="E90" s="28" t="n">
        <v>781.4</v>
      </c>
      <c r="F90" s="26" t="inlineStr">
        <is>
          <t>Fornecedores / Mercadoria</t>
        </is>
      </c>
      <c r="G90" s="23" t="n"/>
    </row>
    <row r="91">
      <c r="A91" s="17" t="n">
        <v>46066</v>
      </c>
      <c r="B91" s="18" t="inlineStr">
        <is>
          <t>Pagamento parcela Gerado pelo sistema - nº 368012 Doc.: 368012 Ord</t>
        </is>
      </c>
      <c r="C91" s="18" t="inlineStr">
        <is>
          <t>EVEREST REFRIGERACAO E INDUSTRIA</t>
        </is>
      </c>
      <c r="D91" s="19" t="n"/>
      <c r="E91" s="20" t="n">
        <v>810.99</v>
      </c>
      <c r="F91" s="21" t="inlineStr">
        <is>
          <t>Fornecedores / Mercadoria</t>
        </is>
      </c>
      <c r="G91" s="18" t="n"/>
    </row>
    <row r="92">
      <c r="A92" s="22" t="n">
        <v>46066</v>
      </c>
      <c r="B92" s="23" t="inlineStr">
        <is>
          <t>Pagamento parcela Gerado pelo sistema - nº 366264 Doc.: 366264 Ord</t>
        </is>
      </c>
      <c r="C92" s="23" t="inlineStr">
        <is>
          <t>EVEREST REFRIGERACAO E INDUSTRIA</t>
        </is>
      </c>
      <c r="D92" s="25" t="n"/>
      <c r="E92" s="28" t="n">
        <v>841.0599999999999</v>
      </c>
      <c r="F92" s="26" t="inlineStr">
        <is>
          <t>Fornecedores / Mercadoria</t>
        </is>
      </c>
      <c r="G92" s="23" t="n"/>
    </row>
    <row r="93">
      <c r="A93" s="17" t="n">
        <v>46066</v>
      </c>
      <c r="B93" s="18" t="inlineStr">
        <is>
          <t>Pagamento parcela JAMEF Doc.: 1 Ordem: 36</t>
        </is>
      </c>
      <c r="C93" s="18" t="inlineStr">
        <is>
          <t>JAMEF TRANSPORTES LTDA</t>
        </is>
      </c>
      <c r="D93" s="19" t="n"/>
      <c r="E93" s="20" t="n">
        <v>477.32</v>
      </c>
      <c r="F93" s="21" t="inlineStr">
        <is>
          <t>Transporte e Entregas</t>
        </is>
      </c>
      <c r="G93" s="18" t="n"/>
    </row>
    <row r="94">
      <c r="A94" s="22" t="n">
        <v>46066</v>
      </c>
      <c r="B94" s="23" t="inlineStr">
        <is>
          <t>Pagamento parcela Gerado pelo sistema - nº 368529 Doc.: 368529 Ord</t>
        </is>
      </c>
      <c r="C94" s="23" t="inlineStr">
        <is>
          <t>EVEREST REFRIGERACAO E INDUSTRIA</t>
        </is>
      </c>
      <c r="D94" s="25" t="n"/>
      <c r="E94" s="28" t="n">
        <v>865.5</v>
      </c>
      <c r="F94" s="26" t="inlineStr">
        <is>
          <t>Fornecedores / Mercadoria</t>
        </is>
      </c>
      <c r="G94" s="23" t="n"/>
    </row>
    <row r="95">
      <c r="A95" s="17" t="n">
        <v>46066</v>
      </c>
      <c r="B95" s="18" t="inlineStr">
        <is>
          <t>Recebimento parcela Gerado pelo sistema. Doc.: 4062 Ordem: 1</t>
        </is>
      </c>
      <c r="C95" s="18" t="inlineStr">
        <is>
          <t>TESLA IMAGEM MEDICINA DIAGNOSTICA LTDA</t>
        </is>
      </c>
      <c r="D95" s="27" t="n">
        <v>540</v>
      </c>
      <c r="E95" s="19" t="n"/>
      <c r="F95" s="21" t="n"/>
      <c r="G95" s="18" t="n"/>
    </row>
    <row r="96">
      <c r="A96" s="22" t="n">
        <v>46067</v>
      </c>
      <c r="B96" s="23" t="inlineStr">
        <is>
          <t>Recebimento à vista Gerado pelo sistema Doc.: 8889 Ordem: 1</t>
        </is>
      </c>
      <c r="C96" s="23" t="inlineStr">
        <is>
          <t>NEIDE FERREIRA DE JESUS</t>
        </is>
      </c>
      <c r="D96" s="24" t="n">
        <v>140</v>
      </c>
      <c r="E96" s="25" t="n"/>
      <c r="F96" s="26" t="n"/>
      <c r="G96" s="23" t="n"/>
    </row>
    <row r="97">
      <c r="A97" s="17" t="n">
        <v>46067</v>
      </c>
      <c r="B97" s="18" t="inlineStr">
        <is>
          <t>Recebimento à vista Gerado pelo sistema Doc.: 8890 Ordem: 1</t>
        </is>
      </c>
      <c r="C97" s="18" t="inlineStr">
        <is>
          <t>Cliente Consumidor</t>
        </is>
      </c>
      <c r="D97" s="27" t="n">
        <v>175</v>
      </c>
      <c r="E97" s="19" t="n"/>
      <c r="F97" s="21" t="n"/>
      <c r="G97" s="18" t="n"/>
    </row>
    <row r="98">
      <c r="A98" s="22" t="n">
        <v>46067</v>
      </c>
      <c r="B98" s="23" t="inlineStr">
        <is>
          <t>Recebimento à vista Gerado pelo sistema Doc.: 8891 Ordem: 1</t>
        </is>
      </c>
      <c r="C98" s="23" t="inlineStr">
        <is>
          <t>Cliente Consumidor</t>
        </is>
      </c>
      <c r="D98" s="24" t="n">
        <v>150</v>
      </c>
      <c r="E98" s="25" t="n"/>
      <c r="F98" s="26" t="n"/>
      <c r="G98" s="23" t="n"/>
    </row>
    <row r="99">
      <c r="A99" s="17" t="n">
        <v>46067</v>
      </c>
      <c r="B99" s="18" t="inlineStr">
        <is>
          <t>Recebimento à vista Gerado pelo sistema Doc.: 8892 Ordem: 1</t>
        </is>
      </c>
      <c r="C99" s="18" t="inlineStr">
        <is>
          <t>Cielo S. A.</t>
        </is>
      </c>
      <c r="D99" s="27" t="n">
        <v>37</v>
      </c>
      <c r="E99" s="19" t="n"/>
      <c r="F99" s="21" t="n"/>
      <c r="G99" s="18" t="n"/>
    </row>
    <row r="100">
      <c r="A100" s="22" t="n">
        <v>46067</v>
      </c>
      <c r="B100" s="23" t="inlineStr">
        <is>
          <t>Recebimento à vista Gerado pelo sistema Doc.: 8893 Ordem: 1</t>
        </is>
      </c>
      <c r="C100" s="23" t="inlineStr">
        <is>
          <t>GODOVAL MATOS LACERDA / MARIA DA CONCEIÇÃO</t>
        </is>
      </c>
      <c r="D100" s="24" t="n">
        <v>180</v>
      </c>
      <c r="E100" s="25" t="n"/>
      <c r="F100" s="26" t="n"/>
      <c r="G100" s="23" t="n"/>
    </row>
    <row r="101">
      <c r="A101" s="17" t="n">
        <v>46071</v>
      </c>
      <c r="B101" s="18" t="inlineStr">
        <is>
          <t>Recebimento à vista Gerado pelo sistema Doc.: 8894 Ordem: 1</t>
        </is>
      </c>
      <c r="C101" s="18" t="inlineStr">
        <is>
          <t>LIGIA SILVA BARBOSA DE MIRANDA DE ALMEIDA</t>
        </is>
      </c>
      <c r="D101" s="27" t="n">
        <v>140</v>
      </c>
      <c r="E101" s="19" t="n"/>
      <c r="F101" s="21" t="n"/>
      <c r="G101" s="18" t="n"/>
    </row>
    <row r="102">
      <c r="A102" s="22" t="n">
        <v>46071</v>
      </c>
      <c r="B102" s="23" t="inlineStr">
        <is>
          <t>Recebimento à vista Gerado pelo sistema Doc.: 8895 Ordem: 1</t>
        </is>
      </c>
      <c r="C102" s="23" t="inlineStr">
        <is>
          <t>Cliente Consumidor</t>
        </is>
      </c>
      <c r="D102" s="24" t="n">
        <v>130</v>
      </c>
      <c r="E102" s="25" t="n"/>
      <c r="F102" s="26" t="n"/>
      <c r="G102" s="23" t="n"/>
    </row>
    <row r="103">
      <c r="A103" s="17" t="n">
        <v>46071</v>
      </c>
      <c r="B103" s="18" t="inlineStr">
        <is>
          <t>Recebimento à vista Gerado pelo sistema Doc.: 8896 Ordem: 1</t>
        </is>
      </c>
      <c r="C103" s="18" t="inlineStr">
        <is>
          <t>Cielo S. A.</t>
        </is>
      </c>
      <c r="D103" s="27" t="n">
        <v>140</v>
      </c>
      <c r="E103" s="19" t="n"/>
      <c r="F103" s="21" t="n"/>
      <c r="G103" s="18" t="n"/>
    </row>
    <row r="104">
      <c r="A104" s="22" t="n">
        <v>46071</v>
      </c>
      <c r="B104" s="23" t="inlineStr">
        <is>
          <t>Recebimento à vista Gerado pelo sistema Doc.: 8897 Ordem: 1</t>
        </is>
      </c>
      <c r="C104" s="23" t="inlineStr">
        <is>
          <t>ALDO HENRIQUE DO NASCIMENTO FREITAS</t>
        </is>
      </c>
      <c r="D104" s="24" t="n">
        <v>140</v>
      </c>
      <c r="E104" s="25" t="n"/>
      <c r="F104" s="26" t="n"/>
      <c r="G104" s="23" t="n"/>
    </row>
    <row r="105">
      <c r="A105" s="17" t="n">
        <v>46071</v>
      </c>
      <c r="B105" s="18" t="inlineStr">
        <is>
          <t>Recebimento à vista Gerado pelo sistema Doc.: 8898 Ordem: 1</t>
        </is>
      </c>
      <c r="C105" s="18" t="inlineStr">
        <is>
          <t>Cielo S. A.</t>
        </is>
      </c>
      <c r="D105" s="27" t="n">
        <v>40</v>
      </c>
      <c r="E105" s="19" t="n"/>
      <c r="F105" s="21" t="n"/>
      <c r="G105" s="18" t="n"/>
    </row>
    <row r="106">
      <c r="A106" s="22" t="n">
        <v>46071</v>
      </c>
      <c r="B106" s="23" t="inlineStr">
        <is>
          <t>Pagamento parcela TARCISIO OLIVEIRA LIMA Doc.: 1 Ordem: 12</t>
        </is>
      </c>
      <c r="C106" s="23" t="inlineStr">
        <is>
          <t>TARCISIO OLIVEIRA LIMA</t>
        </is>
      </c>
      <c r="D106" s="25" t="n"/>
      <c r="E106" s="28" t="n">
        <v>486.32</v>
      </c>
      <c r="F106" s="26" t="inlineStr">
        <is>
          <t>Contabilidade</t>
        </is>
      </c>
      <c r="G106" s="23" t="n"/>
    </row>
    <row r="107">
      <c r="A107" s="17" t="n">
        <v>46071</v>
      </c>
      <c r="B107" s="18" t="inlineStr">
        <is>
          <t>Pagamento parcela Gerado pelo sistema - nº 67435 Doc.: 67435 Orde</t>
        </is>
      </c>
      <c r="C107" s="18" t="inlineStr">
        <is>
          <t>EVERSOFT IND E COM DE PLASTICOS LTDA</t>
        </is>
      </c>
      <c r="D107" s="19" t="n"/>
      <c r="E107" s="20" t="n">
        <v>878.9299999999999</v>
      </c>
      <c r="F107" s="21" t="inlineStr">
        <is>
          <t>Fornecedores / Mercadoria</t>
        </is>
      </c>
      <c r="G107" s="18" t="n"/>
    </row>
    <row r="108">
      <c r="A108" s="22" t="n">
        <v>46071</v>
      </c>
      <c r="B108" s="23" t="inlineStr">
        <is>
          <t>Pagamento parcela Gerado pelo sistema - nº 126565 Doc.: 126565 Ord</t>
        </is>
      </c>
      <c r="C108" s="23" t="inlineStr">
        <is>
          <t>FILTROS PLANETA AGUA IND E COM LTDA</t>
        </is>
      </c>
      <c r="D108" s="25" t="n"/>
      <c r="E108" s="28" t="n">
        <v>508.43</v>
      </c>
      <c r="F108" s="26" t="inlineStr">
        <is>
          <t>Fornecedores / Mercadoria</t>
        </is>
      </c>
      <c r="G108" s="23" t="n"/>
    </row>
    <row r="109">
      <c r="A109" s="17" t="n">
        <v>46071</v>
      </c>
      <c r="B109" s="18" t="inlineStr">
        <is>
          <t>Pagamento parcela Gerado pelo sistema - nº 125587 Doc.: 125587 Ord</t>
        </is>
      </c>
      <c r="C109" s="18" t="inlineStr">
        <is>
          <t>FILTROS PLANETA AGUA IND E COM LTDA</t>
        </is>
      </c>
      <c r="D109" s="19" t="n"/>
      <c r="E109" s="20" t="n">
        <v>426.73</v>
      </c>
      <c r="F109" s="21" t="inlineStr">
        <is>
          <t>Fornecedores / Mercadoria</t>
        </is>
      </c>
      <c r="G109" s="18" t="n"/>
    </row>
    <row r="110">
      <c r="A110" s="22" t="n">
        <v>46071</v>
      </c>
      <c r="B110" s="23" t="inlineStr">
        <is>
          <t>Pagamento parcela Gerado pelo sistema - nº 362188 Doc.: 362188 Ord</t>
        </is>
      </c>
      <c r="C110" s="23" t="inlineStr">
        <is>
          <t>EVEREST REFRIGERACAO E INDUSTRIA</t>
        </is>
      </c>
      <c r="D110" s="25" t="n"/>
      <c r="E110" s="28" t="n">
        <v>800.65</v>
      </c>
      <c r="F110" s="26" t="inlineStr">
        <is>
          <t>Fornecedores / Mercadoria</t>
        </is>
      </c>
      <c r="G110" s="23" t="n"/>
    </row>
    <row r="111">
      <c r="A111" s="17" t="n">
        <v>46072</v>
      </c>
      <c r="B111" s="18" t="inlineStr">
        <is>
          <t>Recebimento à vista Gerado pelo sistema Doc.: 8899 Ordem: 1</t>
        </is>
      </c>
      <c r="C111" s="18" t="inlineStr">
        <is>
          <t>Cielo S. A.</t>
        </is>
      </c>
      <c r="D111" s="27" t="n">
        <v>90</v>
      </c>
      <c r="E111" s="19" t="n"/>
      <c r="F111" s="21" t="n"/>
      <c r="G111" s="18" t="n"/>
    </row>
    <row r="112">
      <c r="A112" s="22" t="n">
        <v>46072</v>
      </c>
      <c r="B112" s="23" t="inlineStr">
        <is>
          <t>Recebimento à vista Gerado pelo sistema Doc.: 8900 Ordem: 1</t>
        </is>
      </c>
      <c r="C112" s="23" t="inlineStr">
        <is>
          <t>ROBERIO ANTONIO BONFIM DA SILVA</t>
        </is>
      </c>
      <c r="D112" s="24" t="n">
        <v>140</v>
      </c>
      <c r="E112" s="25" t="n"/>
      <c r="F112" s="26" t="n"/>
      <c r="G112" s="23" t="n"/>
    </row>
    <row r="113">
      <c r="A113" s="17" t="n">
        <v>46073</v>
      </c>
      <c r="B113" s="18" t="inlineStr">
        <is>
          <t>Recebimento à vista Gerado pelo sistema Doc.: 8901 Ordem: 1</t>
        </is>
      </c>
      <c r="C113" s="18" t="inlineStr">
        <is>
          <t>Cielo S. A.</t>
        </is>
      </c>
      <c r="D113" s="27" t="n">
        <v>140</v>
      </c>
      <c r="E113" s="19" t="n"/>
      <c r="F113" s="21" t="n"/>
      <c r="G113" s="18" t="n"/>
    </row>
    <row r="114">
      <c r="A114" s="22" t="n">
        <v>46073</v>
      </c>
      <c r="B114" s="23" t="inlineStr">
        <is>
          <t>Recebimento à vista Gerado pelo sistema. Doc.: 4076 Ordem: 1</t>
        </is>
      </c>
      <c r="C114" s="23" t="inlineStr">
        <is>
          <t>VANUZIA MARIA DOS SANTOS</t>
        </is>
      </c>
      <c r="D114" s="24" t="n">
        <v>1448</v>
      </c>
      <c r="E114" s="25" t="n"/>
      <c r="F114" s="26" t="n"/>
      <c r="G114" s="23" t="n"/>
    </row>
    <row r="115">
      <c r="A115" s="17" t="n">
        <v>46073</v>
      </c>
      <c r="B115" s="18" t="inlineStr">
        <is>
          <t>Recebimento à vista Gerado pelo sistema Doc.: 8902 Ordem: 1</t>
        </is>
      </c>
      <c r="C115" s="18" t="inlineStr">
        <is>
          <t>Cielo S. A.</t>
        </is>
      </c>
      <c r="D115" s="27" t="n">
        <v>75</v>
      </c>
      <c r="E115" s="19" t="n"/>
      <c r="F115" s="21" t="n"/>
      <c r="G115" s="18" t="n"/>
    </row>
    <row r="116">
      <c r="A116" s="22" t="n">
        <v>46073</v>
      </c>
      <c r="B116" s="23" t="inlineStr">
        <is>
          <t>Pagamento parcela RECEITAS FEDERAIS Doc.: 1 Ordem: 62</t>
        </is>
      </c>
      <c r="C116" s="23" t="inlineStr">
        <is>
          <t>PLANETA AGUA LTDA</t>
        </is>
      </c>
      <c r="D116" s="25" t="n"/>
      <c r="E116" s="28" t="n">
        <v>478.17</v>
      </c>
      <c r="F116" s="26" t="inlineStr">
        <is>
          <t>Impostos e Taxas</t>
        </is>
      </c>
      <c r="G116" s="23" t="n"/>
    </row>
    <row r="117">
      <c r="A117" s="17" t="n">
        <v>46073</v>
      </c>
      <c r="B117" s="18" t="inlineStr">
        <is>
          <t>Pagamento parcela GUIA DO FGTS DIGITAL Doc.: 1 Ordem: 63</t>
        </is>
      </c>
      <c r="C117" s="18" t="inlineStr">
        <is>
          <t>PLANETA AGUA LTDA</t>
        </is>
      </c>
      <c r="D117" s="19" t="n"/>
      <c r="E117" s="20" t="n">
        <v>309.78</v>
      </c>
      <c r="F117" s="21" t="inlineStr">
        <is>
          <t>Impostos e Taxas</t>
        </is>
      </c>
      <c r="G117" s="18" t="n"/>
    </row>
    <row r="118">
      <c r="A118" s="22" t="n">
        <v>46073</v>
      </c>
      <c r="B118" s="23" t="inlineStr">
        <is>
          <t>Pagamento parcela DOCUMENTO DE ARRECADAÇÃO DO SIMPLES NA</t>
        </is>
      </c>
      <c r="C118" s="23" t="inlineStr">
        <is>
          <t>PLANETA AGUA LTDA</t>
        </is>
      </c>
      <c r="D118" s="25" t="n"/>
      <c r="E118" s="28" t="n">
        <v>1219.79</v>
      </c>
      <c r="F118" s="26" t="inlineStr">
        <is>
          <t>Impostos e Taxas</t>
        </is>
      </c>
      <c r="G118" s="23" t="n"/>
    </row>
    <row r="119">
      <c r="A119" s="17" t="n">
        <v>46076</v>
      </c>
      <c r="B119" s="18" t="inlineStr">
        <is>
          <t>Recebimento à vista Gerado pelo sistema Doc.: 8903 Ordem: 1</t>
        </is>
      </c>
      <c r="C119" s="18" t="inlineStr">
        <is>
          <t>UALASSE SANTOS CRUZ</t>
        </is>
      </c>
      <c r="D119" s="27" t="n">
        <v>140</v>
      </c>
      <c r="E119" s="19" t="n"/>
      <c r="F119" s="21" t="n"/>
      <c r="G119" s="18" t="n"/>
    </row>
    <row r="120">
      <c r="A120" s="22" t="n">
        <v>46076</v>
      </c>
      <c r="B120" s="23" t="inlineStr">
        <is>
          <t>Recebimento à vista Gerado pelo sistema Doc.: 8904 Ordem: 1</t>
        </is>
      </c>
      <c r="C120" s="23" t="inlineStr">
        <is>
          <t>THAISE TEIXEIRA ROCHA DA SILVA</t>
        </is>
      </c>
      <c r="D120" s="24" t="n">
        <v>135</v>
      </c>
      <c r="E120" s="25" t="n"/>
      <c r="F120" s="26" t="n"/>
      <c r="G120" s="23" t="n"/>
    </row>
    <row r="121">
      <c r="A121" s="17" t="n">
        <v>46076</v>
      </c>
      <c r="B121" s="18" t="inlineStr">
        <is>
          <t>Recebimento à vista Gerado pelo sistema. Doc.: 4077 Ordem: 1</t>
        </is>
      </c>
      <c r="C121" s="18" t="inlineStr">
        <is>
          <t>MARIANA SANTOS CUNHA MORAES</t>
        </is>
      </c>
      <c r="D121" s="27" t="n">
        <v>510</v>
      </c>
      <c r="E121" s="19" t="n"/>
      <c r="F121" s="21" t="n"/>
      <c r="G121" s="18" t="n"/>
    </row>
    <row r="122">
      <c r="A122" s="22" t="n">
        <v>46076</v>
      </c>
      <c r="B122" s="23" t="inlineStr">
        <is>
          <t>Recebimento à vista Gerado pelo sistema Doc.: 8905 Ordem: 1</t>
        </is>
      </c>
      <c r="C122" s="23" t="inlineStr">
        <is>
          <t>Cielo S. A.</t>
        </is>
      </c>
      <c r="D122" s="24" t="n">
        <v>140</v>
      </c>
      <c r="E122" s="25" t="n"/>
      <c r="F122" s="26" t="n"/>
      <c r="G122" s="23" t="n"/>
    </row>
    <row r="123">
      <c r="A123" s="17" t="n">
        <v>46077</v>
      </c>
      <c r="B123" s="18" t="inlineStr">
        <is>
          <t>Recebimento à vista Gerado pelo sistema Doc.: 8906 Ordem: 1</t>
        </is>
      </c>
      <c r="C123" s="18" t="inlineStr">
        <is>
          <t>ANGELICE MOREIRA BRASILEIRO OLIVEIRA</t>
        </is>
      </c>
      <c r="D123" s="27" t="n">
        <v>140</v>
      </c>
      <c r="E123" s="19" t="n"/>
      <c r="F123" s="21" t="n"/>
      <c r="G123" s="18" t="n"/>
    </row>
    <row r="124">
      <c r="A124" s="22" t="n">
        <v>46077</v>
      </c>
      <c r="B124" s="23" t="inlineStr">
        <is>
          <t>Recebimento à vista Gerado pelo sistema. Doc.: 4079 Ordem: 1</t>
        </is>
      </c>
      <c r="C124" s="23" t="inlineStr">
        <is>
          <t>FRANCIS ROGER LAUXEN</t>
        </is>
      </c>
      <c r="D124" s="24" t="n">
        <v>140</v>
      </c>
      <c r="E124" s="25" t="n"/>
      <c r="F124" s="26" t="n"/>
      <c r="G124" s="23" t="n"/>
    </row>
    <row r="125">
      <c r="A125" s="17" t="n">
        <v>46077</v>
      </c>
      <c r="B125" s="18" t="inlineStr">
        <is>
          <t>Recebimento à vista Gerado pelo sistema. Doc.: 4080 Ordem: 1</t>
        </is>
      </c>
      <c r="C125" s="18" t="inlineStr">
        <is>
          <t>THAISE TEIXEIRA ROCHA DA SILVA</t>
        </is>
      </c>
      <c r="D125" s="27" t="n">
        <v>1498</v>
      </c>
      <c r="E125" s="19" t="n"/>
      <c r="F125" s="21" t="n"/>
      <c r="G125" s="18" t="n"/>
    </row>
    <row r="126">
      <c r="A126" s="22" t="n">
        <v>46077</v>
      </c>
      <c r="B126" s="23" t="inlineStr">
        <is>
          <t>Recebimento à vista Gerado pelo sistema Doc.: 8907 Ordem: 1</t>
        </is>
      </c>
      <c r="C126" s="23" t="inlineStr">
        <is>
          <t>Cliente Consumidor</t>
        </is>
      </c>
      <c r="D126" s="24" t="n">
        <v>24</v>
      </c>
      <c r="E126" s="25" t="n"/>
      <c r="F126" s="26" t="n"/>
      <c r="G126" s="23" t="n"/>
    </row>
    <row r="127">
      <c r="A127" s="17" t="n">
        <v>46078</v>
      </c>
      <c r="B127" s="18" t="inlineStr">
        <is>
          <t>Recebimento à vista Gerado pelo sistema. Doc.: 4081 Ordem: 1</t>
        </is>
      </c>
      <c r="C127" s="18" t="inlineStr">
        <is>
          <t>VANESSA SILVA DO CARMO LTD</t>
        </is>
      </c>
      <c r="D127" s="27" t="n">
        <v>140</v>
      </c>
      <c r="E127" s="19" t="n"/>
      <c r="F127" s="21" t="n"/>
      <c r="G127" s="18" t="n"/>
    </row>
    <row r="128">
      <c r="A128" s="22" t="n">
        <v>46078</v>
      </c>
      <c r="B128" s="23" t="inlineStr">
        <is>
          <t>Recebimento parcela Gerado pelo sistema. Doc.: 4082 Ordem: 1</t>
        </is>
      </c>
      <c r="C128" s="23" t="inlineStr">
        <is>
          <t>MS ODONTO SAULO RIOS - SUPREME ODONTOLOGIA</t>
        </is>
      </c>
      <c r="D128" s="24" t="n">
        <v>140</v>
      </c>
      <c r="E128" s="25" t="n"/>
      <c r="F128" s="26" t="n"/>
      <c r="G128" s="23" t="n"/>
    </row>
    <row r="129">
      <c r="A129" s="17" t="n">
        <v>46079</v>
      </c>
      <c r="B129" s="18" t="inlineStr">
        <is>
          <t>Recebimento à vista Gerado pelo sistema Doc.: 8908 Ordem: 1</t>
        </is>
      </c>
      <c r="C129" s="18" t="inlineStr">
        <is>
          <t>Cielo S. A.</t>
        </is>
      </c>
      <c r="D129" s="27" t="n">
        <v>140</v>
      </c>
      <c r="E129" s="19" t="n"/>
      <c r="F129" s="21" t="n"/>
      <c r="G129" s="18" t="n"/>
    </row>
    <row r="130">
      <c r="A130" s="22" t="n">
        <v>46079</v>
      </c>
      <c r="B130" s="23" t="inlineStr">
        <is>
          <t>Recebimento à vista Gerado pelo sistema. Doc.: 4083 Ordem: 1</t>
        </is>
      </c>
      <c r="C130" s="23" t="inlineStr">
        <is>
          <t>MARIA CLEIDE DE OLIVEIRA</t>
        </is>
      </c>
      <c r="D130" s="24" t="n">
        <v>130</v>
      </c>
      <c r="E130" s="25" t="n"/>
      <c r="F130" s="26" t="n"/>
      <c r="G130" s="23" t="n"/>
    </row>
    <row r="131">
      <c r="A131" s="17" t="n">
        <v>46079</v>
      </c>
      <c r="B131" s="18" t="inlineStr">
        <is>
          <t>Recebimento à vista Gerado pelo sistema Doc.: 8909 Ordem: 1</t>
        </is>
      </c>
      <c r="C131" s="18" t="inlineStr">
        <is>
          <t>Cielo S. A.</t>
        </is>
      </c>
      <c r="D131" s="27" t="n">
        <v>140</v>
      </c>
      <c r="E131" s="19" t="n"/>
      <c r="F131" s="21" t="n"/>
      <c r="G131" s="18" t="n"/>
    </row>
    <row r="132">
      <c r="A132" s="22" t="n">
        <v>46080</v>
      </c>
      <c r="B132" s="23" t="inlineStr">
        <is>
          <t>Recebimento à vista Gerado pelo sistema Doc.: 8910 Ordem: 1</t>
        </is>
      </c>
      <c r="C132" s="23" t="inlineStr">
        <is>
          <t>ARSENIO PEREIRA TEIXEIRA</t>
        </is>
      </c>
      <c r="D132" s="24" t="n">
        <v>140</v>
      </c>
      <c r="E132" s="25" t="n"/>
      <c r="F132" s="26" t="n"/>
      <c r="G132" s="23" t="n"/>
    </row>
    <row r="133">
      <c r="A133" s="17" t="n">
        <v>46080</v>
      </c>
      <c r="B133" s="18" t="inlineStr">
        <is>
          <t>Recebimento à vista Gerado pelo sistema Doc.: 8911 Ordem: 1</t>
        </is>
      </c>
      <c r="C133" s="18" t="inlineStr">
        <is>
          <t>RENILDE TEIXEIRA</t>
        </is>
      </c>
      <c r="D133" s="27" t="n">
        <v>130</v>
      </c>
      <c r="E133" s="19" t="n"/>
      <c r="F133" s="21" t="n"/>
      <c r="G133" s="18" t="n"/>
    </row>
    <row r="134">
      <c r="A134" s="22" t="n">
        <v>46080</v>
      </c>
      <c r="B134" s="23" t="inlineStr">
        <is>
          <t>Recebimento à vista Gerado pelo sistema. Doc.: 4084 Ordem: 1</t>
        </is>
      </c>
      <c r="C134" s="23" t="inlineStr">
        <is>
          <t>SERTAO PRODUTOS NATURAIS LTDA</t>
        </is>
      </c>
      <c r="D134" s="24" t="n">
        <v>130</v>
      </c>
      <c r="E134" s="25" t="n"/>
      <c r="F134" s="26" t="n"/>
      <c r="G134" s="23" t="n"/>
    </row>
    <row r="135">
      <c r="A135" s="17" t="n">
        <v>46080</v>
      </c>
      <c r="B135" s="18" t="inlineStr">
        <is>
          <t>Pagamento parcela Gerado pelo sistema - nº 68349 Doc.: 68349 Orde</t>
        </is>
      </c>
      <c r="C135" s="18" t="inlineStr">
        <is>
          <t>EVERSOFT IND E COM DE PLASTICOS LTDA</t>
        </is>
      </c>
      <c r="D135" s="19" t="n"/>
      <c r="E135" s="20" t="n">
        <v>878.92</v>
      </c>
      <c r="F135" s="21" t="inlineStr">
        <is>
          <t>Fornecedores / Mercadoria</t>
        </is>
      </c>
      <c r="G135" s="18" t="n"/>
    </row>
    <row r="136">
      <c r="A136" s="22" t="n">
        <v>46080</v>
      </c>
      <c r="B136" s="23" t="inlineStr">
        <is>
          <t>Pagamento parcela Gerado pelo sistema - nº 360351 Doc.: 360351 Ord</t>
        </is>
      </c>
      <c r="C136" s="23" t="inlineStr">
        <is>
          <t>EVEREST REFRIGERACAO E INDUSTRIA</t>
        </is>
      </c>
      <c r="D136" s="25" t="n"/>
      <c r="E136" s="28" t="n">
        <v>546.78</v>
      </c>
      <c r="F136" s="26" t="inlineStr">
        <is>
          <t>Fornecedores / Mercadoria</t>
        </is>
      </c>
      <c r="G136" s="23" t="n"/>
    </row>
    <row r="137">
      <c r="A137" s="17" t="n">
        <v>46080</v>
      </c>
      <c r="B137" s="18" t="inlineStr">
        <is>
          <t>Pagamento parcela Gerado pelo sistema - nº 70444 Doc.: 70444 Orde</t>
        </is>
      </c>
      <c r="C137" s="18" t="inlineStr">
        <is>
          <t>EVERSOFT IND E COM DE PLASTICOS LTDA</t>
        </is>
      </c>
      <c r="D137" s="19" t="n"/>
      <c r="E137" s="20" t="n">
        <v>541.37</v>
      </c>
      <c r="F137" s="21" t="inlineStr">
        <is>
          <t>Fornecedores / Mercadoria</t>
        </is>
      </c>
      <c r="G137" s="18" t="n"/>
    </row>
    <row r="138">
      <c r="A138" s="22" t="n">
        <v>46080</v>
      </c>
      <c r="B138" s="23" t="inlineStr">
        <is>
          <t>Pagamento parcela Gerado pelo sistema - nº 69107 Doc.: 69107 Orde</t>
        </is>
      </c>
      <c r="C138" s="23" t="inlineStr">
        <is>
          <t>EVERSOFT IND E COM DE PLASTICOS LTDA</t>
        </is>
      </c>
      <c r="D138" s="25" t="n"/>
      <c r="E138" s="28" t="n">
        <v>980.83</v>
      </c>
      <c r="F138" s="26" t="inlineStr">
        <is>
          <t>Fornecedores / Mercadoria</t>
        </is>
      </c>
      <c r="G138" s="23" t="n"/>
    </row>
    <row r="139">
      <c r="A139" s="17" t="n">
        <v>46080</v>
      </c>
      <c r="B139" s="18" t="inlineStr">
        <is>
          <t>Pagamento parcela ICMS ANTECIPAÇÃO PARCIAL Doc.: 1 Ordem: 65</t>
        </is>
      </c>
      <c r="C139" s="18" t="inlineStr">
        <is>
          <t>PLANETA AGUA LTDA</t>
        </is>
      </c>
      <c r="D139" s="19" t="n"/>
      <c r="E139" s="20" t="n">
        <v>1808.35</v>
      </c>
      <c r="F139" s="21" t="inlineStr">
        <is>
          <t>Impostos e Taxas</t>
        </is>
      </c>
      <c r="G139" s="18" t="n"/>
    </row>
    <row r="140">
      <c r="A140" s="22" t="n">
        <v>46080</v>
      </c>
      <c r="B140" s="23" t="inlineStr">
        <is>
          <t>Pagamento parcela Gerado pelo sistema - nº 369793 Doc.: 369793 Ord</t>
        </is>
      </c>
      <c r="C140" s="23" t="inlineStr">
        <is>
          <t>EVEREST REFRIGERACAO E INDUSTRIA</t>
        </is>
      </c>
      <c r="D140" s="25" t="n"/>
      <c r="E140" s="28" t="n">
        <v>1279.66</v>
      </c>
      <c r="F140" s="26" t="inlineStr">
        <is>
          <t>Fornecedores / Mercadoria</t>
        </is>
      </c>
      <c r="G140" s="23" t="n"/>
    </row>
    <row r="141">
      <c r="A141" s="17" t="n">
        <v>46080</v>
      </c>
      <c r="B141" s="18" t="inlineStr">
        <is>
          <t>Recebimento parcela Gerado pelo sistema. Doc.: 4072 Ordem: 1</t>
        </is>
      </c>
      <c r="C141" s="18" t="inlineStr">
        <is>
          <t>DRILLGEO GEOLOGIA E SONDAGENS S/A</t>
        </is>
      </c>
      <c r="D141" s="27" t="n">
        <v>360</v>
      </c>
      <c r="E141" s="19" t="n"/>
      <c r="F141" s="21" t="n"/>
      <c r="G141" s="18" t="n"/>
    </row>
    <row r="142">
      <c r="A142" s="22" t="n">
        <v>46081</v>
      </c>
      <c r="B142" s="23" t="inlineStr">
        <is>
          <t>Recebimento à vista Gerado pelo sistema Doc.: 8912 Ordem: 1</t>
        </is>
      </c>
      <c r="C142" s="23" t="inlineStr">
        <is>
          <t>Cielo S. A.</t>
        </is>
      </c>
      <c r="D142" s="24" t="n">
        <v>212</v>
      </c>
      <c r="E142" s="25" t="n"/>
      <c r="F142" s="26" t="n"/>
      <c r="G142" s="23" t="n"/>
    </row>
    <row r="143">
      <c r="A143" s="17" t="n">
        <v>46081</v>
      </c>
      <c r="B143" s="18" t="inlineStr">
        <is>
          <t>Recebimento parcela Gerado pelo sistema. Doc.: 4068 Ordem: 1</t>
        </is>
      </c>
      <c r="C143" s="18" t="inlineStr">
        <is>
          <t>TAIS SANTANA ODONTOLOGIA LTDA</t>
        </is>
      </c>
      <c r="D143" s="27" t="n">
        <v>140</v>
      </c>
      <c r="E143" s="19" t="n"/>
      <c r="F143" s="21" t="n"/>
      <c r="G143" s="18" t="n"/>
    </row>
    <row r="144">
      <c r="A144" s="22" t="n">
        <v>46081</v>
      </c>
      <c r="B144" s="23" t="inlineStr">
        <is>
          <t>Pagamento parcela SALARIO WILIAM Doc.: 1 Ordem: 7</t>
        </is>
      </c>
      <c r="C144" s="23" t="inlineStr">
        <is>
          <t>WILIAM PINTO BISPO</t>
        </is>
      </c>
      <c r="D144" s="25" t="n"/>
      <c r="E144" s="28" t="n">
        <v>1571.32</v>
      </c>
      <c r="F144" s="26" t="inlineStr">
        <is>
          <t>Salários, Comissões e Encargos</t>
        </is>
      </c>
      <c r="G144" s="23" t="n"/>
    </row>
    <row r="145">
      <c r="A145" s="17" t="n">
        <v>46081</v>
      </c>
      <c r="B145" s="18" t="inlineStr">
        <is>
          <t>Pagamento à vista: SALARIO DANIEL Doc.: 1 Ordem: 6</t>
        </is>
      </c>
      <c r="C145" s="18" t="inlineStr">
        <is>
          <t>DANIEL BARBOSA DOS SANTOS</t>
        </is>
      </c>
      <c r="D145" s="19" t="n"/>
      <c r="E145" s="20" t="n">
        <v>1517</v>
      </c>
      <c r="F145" s="21" t="inlineStr">
        <is>
          <t>Salários, Comissões e Encargos</t>
        </is>
      </c>
      <c r="G145" s="18" t="n"/>
    </row>
    <row r="146">
      <c r="A146" s="29" t="n"/>
      <c r="B146" s="228" t="inlineStr">
        <is>
          <t>TOTAL DO MÊS</t>
        </is>
      </c>
      <c r="C146" s="161" t="n"/>
      <c r="D146" s="8">
        <f>SUM(D5:D145)</f>
        <v/>
      </c>
      <c r="E146" s="8">
        <f>SUM(E5:E145)</f>
        <v/>
      </c>
      <c r="F146" s="29" t="n"/>
      <c r="G146" s="29" t="n"/>
    </row>
    <row r="147" ht="15.75" customHeight="1" s="158">
      <c r="A147" s="30" t="n"/>
      <c r="B147" s="227" t="inlineStr">
        <is>
          <t>SALDO DO MÊS (Entradas − Despesas da loja)</t>
        </is>
      </c>
      <c r="D147" s="226">
        <f>D146-J18</f>
        <v/>
      </c>
      <c r="F147" s="30" t="n"/>
      <c r="G147" s="30" t="n"/>
    </row>
  </sheetData>
  <autoFilter ref="A4:G145"/>
  <mergeCells count="12">
    <mergeCell ref="P4:Q4"/>
    <mergeCell ref="B147:C147"/>
    <mergeCell ref="A1:G1"/>
    <mergeCell ref="I4:J4"/>
    <mergeCell ref="D147:E147"/>
    <mergeCell ref="L4:M4"/>
    <mergeCell ref="B146:C146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Q123"/>
  <sheetViews>
    <sheetView showGridLines="0" zoomScale="70" zoomScaleNormal="7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MARÇO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46082</v>
      </c>
      <c r="B5" s="18" t="inlineStr">
        <is>
          <t>Pagamento à vista: ALUGUEL VITORIA MARIA Doc.: 1 Ordem: 13</t>
        </is>
      </c>
      <c r="C5" s="18" t="inlineStr">
        <is>
          <t>VITORIA MARIA F SANTOS</t>
        </is>
      </c>
      <c r="D5" s="19" t="n"/>
      <c r="E5" s="20" t="n">
        <v>870</v>
      </c>
      <c r="F5" s="21" t="inlineStr">
        <is>
          <t>Aluguel</t>
        </is>
      </c>
      <c r="G5" s="18" t="n"/>
      <c r="I5" s="10" t="inlineStr">
        <is>
          <t>Fornecedores / Mercadoria</t>
        </is>
      </c>
      <c r="J5" s="11">
        <f>SUMIF(F5:F121,I5,E5:E121)</f>
        <v/>
      </c>
      <c r="L5" s="230">
        <f>D122</f>
        <v/>
      </c>
      <c r="N5" s="232">
        <f>J18</f>
        <v/>
      </c>
      <c r="P5" s="231">
        <f>D123</f>
        <v/>
      </c>
    </row>
    <row r="6" ht="14.1" customHeight="1" s="158">
      <c r="A6" s="22" t="n">
        <v>46083</v>
      </c>
      <c r="B6" s="23" t="inlineStr">
        <is>
          <t>Recebimento à vista Gerado pelo sistema Doc.: 8913 Ordem: 1</t>
        </is>
      </c>
      <c r="C6" s="23" t="inlineStr">
        <is>
          <t>Cliente Consumidor</t>
        </is>
      </c>
      <c r="D6" s="24" t="n">
        <v>10</v>
      </c>
      <c r="E6" s="25" t="n"/>
      <c r="F6" s="26" t="n"/>
      <c r="G6" s="23" t="n"/>
      <c r="I6" s="13" t="inlineStr">
        <is>
          <t>Aluguel</t>
        </is>
      </c>
      <c r="J6" s="14">
        <f>SUMIF(F5:F121,I6,E5:E121)</f>
        <v/>
      </c>
    </row>
    <row r="7">
      <c r="A7" s="17" t="n">
        <v>46083</v>
      </c>
      <c r="B7" s="18" t="inlineStr">
        <is>
          <t>Recebimento à vista Gerado pelo sistema Doc.: 8914 Ordem: 1</t>
        </is>
      </c>
      <c r="C7" s="18" t="inlineStr">
        <is>
          <t>Cliente Consumidor</t>
        </is>
      </c>
      <c r="D7" s="27" t="n">
        <v>7</v>
      </c>
      <c r="E7" s="19" t="n"/>
      <c r="F7" s="21" t="n"/>
      <c r="G7" s="18" t="n"/>
      <c r="I7" s="10" t="inlineStr">
        <is>
          <t>Água, Energia e Internet</t>
        </is>
      </c>
      <c r="J7" s="11">
        <f>SUMIF(F5:F121,I7,E5:E121)</f>
        <v/>
      </c>
    </row>
    <row r="8">
      <c r="A8" s="22" t="n">
        <v>46084</v>
      </c>
      <c r="B8" s="23" t="inlineStr">
        <is>
          <t>Recebimento à vista Gerado pelo sistema. Doc.: 4093 Ordem: 1</t>
        </is>
      </c>
      <c r="C8" s="23" t="inlineStr">
        <is>
          <t>LUCAS SOUZA</t>
        </is>
      </c>
      <c r="D8" s="24" t="n">
        <v>140</v>
      </c>
      <c r="E8" s="25" t="n"/>
      <c r="F8" s="26" t="n"/>
      <c r="G8" s="23" t="n"/>
      <c r="I8" s="13" t="inlineStr">
        <is>
          <t>Impostos e Taxas</t>
        </is>
      </c>
      <c r="J8" s="14">
        <f>SUMIF(F5:F121,I8,E5:E121)</f>
        <v/>
      </c>
    </row>
    <row r="9">
      <c r="A9" s="17" t="n">
        <v>46085</v>
      </c>
      <c r="B9" s="18" t="inlineStr">
        <is>
          <t>Recebimento à vista Gerado pelo sistema. Doc.: 4094 Ordem: 1</t>
        </is>
      </c>
      <c r="C9" s="18" t="inlineStr">
        <is>
          <t>LIDIA MARIA CARDOSO SILVA</t>
        </is>
      </c>
      <c r="D9" s="27" t="n">
        <v>1200</v>
      </c>
      <c r="E9" s="19" t="n"/>
      <c r="F9" s="21" t="n"/>
      <c r="G9" s="18" t="n"/>
      <c r="I9" s="10" t="inlineStr">
        <is>
          <t>Tarifas Bancárias e Cartão</t>
        </is>
      </c>
      <c r="J9" s="11">
        <f>SUMIF(F5:F121,I9,E5:E121)</f>
        <v/>
      </c>
    </row>
    <row r="10">
      <c r="A10" s="22" t="n">
        <v>46085</v>
      </c>
      <c r="B10" s="23" t="inlineStr">
        <is>
          <t>Recebimento à vista Gerado pelo sistema Doc.: 8915 Ordem: 1</t>
        </is>
      </c>
      <c r="C10" s="23" t="inlineStr">
        <is>
          <t>Cliente Consumidor</t>
        </is>
      </c>
      <c r="D10" s="24" t="n">
        <v>50</v>
      </c>
      <c r="E10" s="25" t="n"/>
      <c r="F10" s="26" t="n"/>
      <c r="G10" s="23" t="n"/>
      <c r="I10" s="13" t="inlineStr">
        <is>
          <t>Transporte e Entregas</t>
        </is>
      </c>
      <c r="J10" s="14">
        <f>SUMIF(F5:F121,I10,E5:E121)</f>
        <v/>
      </c>
    </row>
    <row r="11">
      <c r="A11" s="17" t="n">
        <v>46085</v>
      </c>
      <c r="B11" s="18" t="inlineStr">
        <is>
          <t>Recebimento à vista Gerado pelo sistema. Doc.: 4095 Ordem: 1</t>
        </is>
      </c>
      <c r="C11" s="18" t="inlineStr">
        <is>
          <t>JACKSON MACEDO DE SALES</t>
        </is>
      </c>
      <c r="D11" s="27" t="n">
        <v>60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SUMIF(F5:F121,I11,E5:E121)</f>
        <v/>
      </c>
    </row>
    <row r="12">
      <c r="A12" s="22" t="n">
        <v>46085</v>
      </c>
      <c r="B12" s="23" t="inlineStr">
        <is>
          <t>Recebimento à vista Gerado pelo sistema Doc.: 8916 Ordem: 1</t>
        </is>
      </c>
      <c r="C12" s="23" t="inlineStr">
        <is>
          <t>JULIANA BORGES ALVES MONTEIRO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SUMIF(F5:F121,I12,E5:E121)</f>
        <v/>
      </c>
    </row>
    <row r="13">
      <c r="A13" s="17" t="n">
        <v>46085</v>
      </c>
      <c r="B13" s="18" t="inlineStr">
        <is>
          <t>Pagamento à vista: Gerado pelo sistema. Doc.: 4096 Ordem: 1</t>
        </is>
      </c>
      <c r="C13" s="18" t="inlineStr">
        <is>
          <t>BANCO DO NORDESTE DO BRASIL</t>
        </is>
      </c>
      <c r="D13" s="19" t="n"/>
      <c r="E13" s="20" t="n">
        <v>200</v>
      </c>
      <c r="F13" s="21" t="inlineStr">
        <is>
          <t>Outras Despesas</t>
        </is>
      </c>
      <c r="G13" s="18" t="n"/>
      <c r="I13" s="10" t="inlineStr">
        <is>
          <t>Manutenção e Reparos</t>
        </is>
      </c>
      <c r="J13" s="11">
        <f>SUMIF(F5:F121,I13,E5:E121)</f>
        <v/>
      </c>
    </row>
    <row r="14">
      <c r="A14" s="22" t="n">
        <v>46085</v>
      </c>
      <c r="B14" s="23" t="inlineStr">
        <is>
          <t>Recebimento à vista Gerado pelo sistema. Doc.: 4097 Ordem: 1</t>
        </is>
      </c>
      <c r="C14" s="23" t="inlineStr">
        <is>
          <t>BANCO DO NORDESTE DO BRASIL</t>
        </is>
      </c>
      <c r="D14" s="24" t="n">
        <v>200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SUMIF(F5:F121,I14,E5:E121)</f>
        <v/>
      </c>
    </row>
    <row r="15">
      <c r="A15" s="17" t="n">
        <v>46085</v>
      </c>
      <c r="B15" s="18" t="inlineStr">
        <is>
          <t>Recebimento à vista Gerado pelo sistema. Doc.: 4098 Ordem: 1</t>
        </is>
      </c>
      <c r="C15" s="18" t="inlineStr">
        <is>
          <t>CENTRO DE CULTURA ANGLO AMERICANO DE JACOBINA LTDA</t>
        </is>
      </c>
      <c r="D15" s="27" t="n">
        <v>120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SUMIF(F5:F121,I15,E5:E121)</f>
        <v/>
      </c>
    </row>
    <row r="16">
      <c r="A16" s="22" t="n">
        <v>46086</v>
      </c>
      <c r="B16" s="23" t="inlineStr">
        <is>
          <t>Recebimento à vista Gerado pelo sistema Doc.: 8917 Ordem: 1</t>
        </is>
      </c>
      <c r="C16" s="23" t="inlineStr">
        <is>
          <t>Cielo S. A.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SUMIF(F5:F121,I16,E5:E121)</f>
        <v/>
      </c>
    </row>
    <row r="17">
      <c r="A17" s="17" t="n">
        <v>46087</v>
      </c>
      <c r="B17" s="18" t="inlineStr">
        <is>
          <t>Recebimento à vista Gerado pelo sistema. Doc.: 4099 Ordem: 1</t>
        </is>
      </c>
      <c r="C17" s="18" t="inlineStr">
        <is>
          <t>JACIRA DO CARMO DE OLIVEIRA</t>
        </is>
      </c>
      <c r="D17" s="27" t="n">
        <v>478</v>
      </c>
      <c r="E17" s="19" t="n"/>
      <c r="F17" s="21" t="n"/>
      <c r="G17" s="18" t="n"/>
      <c r="I17" s="42" t="inlineStr">
        <is>
          <t>Pro Labore Edilânia</t>
        </is>
      </c>
      <c r="J17" s="8">
        <f>SUMIF(F5:F121,I17,E5:E121)</f>
        <v/>
      </c>
    </row>
    <row r="18">
      <c r="A18" s="22" t="n">
        <v>46088</v>
      </c>
      <c r="B18" s="23" t="inlineStr">
        <is>
          <t>Recebimento à vista Gerado pelo sistema. Doc.: 4101 Ordem: 1</t>
        </is>
      </c>
      <c r="C18" s="23" t="inlineStr">
        <is>
          <t>DANILO PEREIRA SANTOS</t>
        </is>
      </c>
      <c r="D18" s="24" t="n">
        <v>1348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46088</v>
      </c>
      <c r="B19" s="18" t="inlineStr">
        <is>
          <t>Recebimento parcela Gerado pelo sistema Doc.: 8918 Ordem: 1</t>
        </is>
      </c>
      <c r="C19" s="18" t="inlineStr">
        <is>
          <t>EVA LAGES MATOS DE FREITAS</t>
        </is>
      </c>
      <c r="D19" s="27" t="n">
        <v>70</v>
      </c>
      <c r="E19" s="19" t="n"/>
      <c r="F19" s="21" t="n"/>
      <c r="G19" s="18" t="n"/>
    </row>
    <row r="20">
      <c r="A20" s="22" t="n">
        <v>46090</v>
      </c>
      <c r="B20" s="23" t="inlineStr">
        <is>
          <t>Recebimento à vista Gerado pelo sistema Doc.: 8919 Ordem: 1</t>
        </is>
      </c>
      <c r="C20" s="23" t="inlineStr">
        <is>
          <t>PAULO VITOR BIULCHI DOS SANTOS</t>
        </is>
      </c>
      <c r="D20" s="24" t="n">
        <v>140</v>
      </c>
      <c r="E20" s="25" t="n"/>
      <c r="F20" s="26" t="n"/>
      <c r="G20" s="23" t="n"/>
    </row>
    <row r="21">
      <c r="A21" s="17" t="n">
        <v>46090</v>
      </c>
      <c r="B21" s="18" t="inlineStr">
        <is>
          <t>Recebimento parcela Gerado pelo sistema. Doc.: 4100 Ordem: 1</t>
        </is>
      </c>
      <c r="C21" s="18" t="inlineStr">
        <is>
          <t>LUCIA MARIA OLIVEIRA SILVA DIAS EPP</t>
        </is>
      </c>
      <c r="D21" s="27" t="n">
        <v>140</v>
      </c>
      <c r="E21" s="19" t="n"/>
      <c r="F21" s="21" t="n"/>
      <c r="G21" s="18" t="n"/>
    </row>
    <row r="22">
      <c r="A22" s="22" t="n">
        <v>46090</v>
      </c>
      <c r="B22" s="23" t="inlineStr">
        <is>
          <t>Recebimento à vista Gerado pelo sistema Doc.: 8920 Ordem: 1</t>
        </is>
      </c>
      <c r="C22" s="23" t="inlineStr">
        <is>
          <t>ADILSON BRASILEIRO DOS SANTOS</t>
        </is>
      </c>
      <c r="D22" s="24" t="n">
        <v>140</v>
      </c>
      <c r="E22" s="25" t="n"/>
      <c r="F22" s="26" t="n"/>
      <c r="G22" s="23" t="n"/>
    </row>
    <row r="23">
      <c r="A23" s="17" t="n">
        <v>46090</v>
      </c>
      <c r="B23" s="18" t="inlineStr">
        <is>
          <t>Recebimento à vista Gerado pelo sistema Doc.: 8921 Ordem: 1</t>
        </is>
      </c>
      <c r="C23" s="18" t="inlineStr">
        <is>
          <t>Cliente Consumidor</t>
        </is>
      </c>
      <c r="D23" s="27" t="n">
        <v>80</v>
      </c>
      <c r="E23" s="19" t="n"/>
      <c r="F23" s="21" t="n"/>
      <c r="G23" s="18" t="n"/>
    </row>
    <row r="24">
      <c r="A24" s="22" t="n">
        <v>46090</v>
      </c>
      <c r="B24" s="23" t="inlineStr">
        <is>
          <t>Recebimento à vista Gerado pelo sistema Doc.: 8922 Ordem: 1</t>
        </is>
      </c>
      <c r="C24" s="23" t="inlineStr">
        <is>
          <t>Cielo S. A.</t>
        </is>
      </c>
      <c r="D24" s="24" t="n">
        <v>200</v>
      </c>
      <c r="E24" s="25" t="n"/>
      <c r="F24" s="26" t="n"/>
      <c r="G24" s="23" t="n"/>
    </row>
    <row r="25">
      <c r="A25" s="17" t="n">
        <v>46090</v>
      </c>
      <c r="B25" s="18" t="inlineStr">
        <is>
          <t>Recebimento à vista Gerado pelo sistema Doc.: 8923 Ordem: 1</t>
        </is>
      </c>
      <c r="C25" s="18" t="inlineStr">
        <is>
          <t>Cliente Consumidor</t>
        </is>
      </c>
      <c r="D25" s="27" t="n">
        <v>18</v>
      </c>
      <c r="E25" s="19" t="n"/>
      <c r="F25" s="21" t="n"/>
      <c r="G25" s="18" t="n"/>
    </row>
    <row r="26">
      <c r="A26" s="22" t="n">
        <v>46090</v>
      </c>
      <c r="B26" s="23" t="inlineStr">
        <is>
          <t>Recebimento parcela Gerado pelo sistema. Doc.: 4061 Ordem: 1</t>
        </is>
      </c>
      <c r="C26" s="23" t="inlineStr">
        <is>
          <t>SERVICO NACIONAL DE APRENDIZAGEM COMERCIAL</t>
        </is>
      </c>
      <c r="D26" s="24" t="n">
        <v>140</v>
      </c>
      <c r="E26" s="25" t="n"/>
      <c r="F26" s="26" t="n"/>
      <c r="G26" s="23" t="n"/>
    </row>
    <row r="27">
      <c r="A27" s="17" t="n">
        <v>46090</v>
      </c>
      <c r="B27" s="18" t="inlineStr">
        <is>
          <t>Recebimento parcela Gerado pelo sistema. Doc.: 4073 Ordem: 1</t>
        </is>
      </c>
      <c r="C27" s="18" t="inlineStr">
        <is>
          <t>DRILLGEO GEOLOGIA E SONDAGENS S/A</t>
        </is>
      </c>
      <c r="D27" s="27" t="n">
        <v>180</v>
      </c>
      <c r="E27" s="19" t="n"/>
      <c r="F27" s="21" t="n"/>
      <c r="G27" s="18" t="n"/>
    </row>
    <row r="28">
      <c r="A28" s="22" t="n">
        <v>46091</v>
      </c>
      <c r="B28" s="23" t="inlineStr">
        <is>
          <t>Recebimento à vista Gerado pelo sistema Doc.: 8924 Ordem: 1</t>
        </is>
      </c>
      <c r="C28" s="23" t="inlineStr">
        <is>
          <t>Cielo S. A.</t>
        </is>
      </c>
      <c r="D28" s="24" t="n">
        <v>140</v>
      </c>
      <c r="E28" s="25" t="n"/>
      <c r="F28" s="26" t="n"/>
      <c r="G28" s="23" t="n"/>
    </row>
    <row r="29">
      <c r="A29" s="17" t="n">
        <v>46091</v>
      </c>
      <c r="B29" s="18" t="inlineStr">
        <is>
          <t>Recebimento à vista Gerado pelo sistema Doc.: 8925 Ordem: 1</t>
        </is>
      </c>
      <c r="C29" s="18" t="inlineStr">
        <is>
          <t>Cielo S. A.</t>
        </is>
      </c>
      <c r="D29" s="27" t="n">
        <v>140</v>
      </c>
      <c r="E29" s="19" t="n"/>
      <c r="F29" s="21" t="n"/>
      <c r="G29" s="18" t="n"/>
    </row>
    <row r="30">
      <c r="A30" s="22" t="n">
        <v>46091</v>
      </c>
      <c r="B30" s="23" t="inlineStr">
        <is>
          <t>Recebimento à vista Gerado pelo sistema. Doc.: 4102 Ordem: 1</t>
        </is>
      </c>
      <c r="C30" s="23" t="inlineStr">
        <is>
          <t>CENTRO MEDICO BOA SAUDE</t>
        </is>
      </c>
      <c r="D30" s="24" t="n">
        <v>140</v>
      </c>
      <c r="E30" s="25" t="n"/>
      <c r="F30" s="26" t="n"/>
      <c r="G30" s="23" t="n"/>
    </row>
    <row r="31">
      <c r="A31" s="17" t="n">
        <v>46091</v>
      </c>
      <c r="B31" s="18" t="inlineStr">
        <is>
          <t>Recebimento à vista Gerado pelo sistema. Doc.: 4103 Ordem: 1</t>
        </is>
      </c>
      <c r="C31" s="18" t="inlineStr">
        <is>
          <t>DFLL SERVICOS MEDICOS LTDA</t>
        </is>
      </c>
      <c r="D31" s="27" t="n">
        <v>380</v>
      </c>
      <c r="E31" s="19" t="n"/>
      <c r="F31" s="21" t="n"/>
      <c r="G31" s="18" t="n"/>
    </row>
    <row r="32">
      <c r="A32" s="22" t="n">
        <v>46092</v>
      </c>
      <c r="B32" s="23" t="inlineStr">
        <is>
          <t>Recebimento à vista Gerado pelo sistema. Doc.: 4104 Ordem: 1</t>
        </is>
      </c>
      <c r="C32" s="23" t="inlineStr">
        <is>
          <t>EMPERI ODONTOLOGIA LTDA</t>
        </is>
      </c>
      <c r="D32" s="24" t="n">
        <v>280</v>
      </c>
      <c r="E32" s="25" t="n"/>
      <c r="F32" s="26" t="n"/>
      <c r="G32" s="23" t="n"/>
    </row>
    <row r="33">
      <c r="A33" s="17" t="n">
        <v>46092</v>
      </c>
      <c r="B33" s="18" t="inlineStr">
        <is>
          <t>Recebimento à vista Gerado pelo sistema Doc.: 8926 Ordem: 1</t>
        </is>
      </c>
      <c r="C33" s="18" t="inlineStr">
        <is>
          <t>UILLIAM TARCIO LOPES BRITO</t>
        </is>
      </c>
      <c r="D33" s="27" t="n">
        <v>140</v>
      </c>
      <c r="E33" s="19" t="n"/>
      <c r="F33" s="21" t="n"/>
      <c r="G33" s="18" t="n"/>
    </row>
    <row r="34">
      <c r="A34" s="22" t="n">
        <v>46093</v>
      </c>
      <c r="B34" s="23" t="inlineStr">
        <is>
          <t>Recebimento à vista Gerado pelo sistema Doc.: 8927 Ordem: 1</t>
        </is>
      </c>
      <c r="C34" s="23" t="inlineStr">
        <is>
          <t>Cliente Consumidor</t>
        </is>
      </c>
      <c r="D34" s="24" t="n">
        <v>60</v>
      </c>
      <c r="E34" s="25" t="n"/>
      <c r="F34" s="26" t="n"/>
      <c r="G34" s="23" t="n"/>
    </row>
    <row r="35">
      <c r="A35" s="17" t="n">
        <v>46093</v>
      </c>
      <c r="B35" s="18" t="inlineStr">
        <is>
          <t>Recebimento à vista Gerado pelo sistema Doc.: 8928 Ordem: 1</t>
        </is>
      </c>
      <c r="C35" s="18" t="inlineStr">
        <is>
          <t>Cielo S. A.</t>
        </is>
      </c>
      <c r="D35" s="27" t="n">
        <v>85</v>
      </c>
      <c r="E35" s="19" t="n"/>
      <c r="F35" s="21" t="n"/>
      <c r="G35" s="18" t="n"/>
    </row>
    <row r="36">
      <c r="A36" s="22" t="n">
        <v>46093</v>
      </c>
      <c r="B36" s="23" t="inlineStr">
        <is>
          <t>Recebimento à vista Gerado pelo sistema Doc.: 8929 Ordem: 1</t>
        </is>
      </c>
      <c r="C36" s="23" t="inlineStr">
        <is>
          <t>Cielo S. A.</t>
        </is>
      </c>
      <c r="D36" s="24" t="n">
        <v>24</v>
      </c>
      <c r="E36" s="25" t="n"/>
      <c r="F36" s="26" t="n"/>
      <c r="G36" s="23" t="n"/>
    </row>
    <row r="37">
      <c r="A37" s="17" t="n">
        <v>46093</v>
      </c>
      <c r="B37" s="18" t="inlineStr">
        <is>
          <t>Recebimento à vista Gerado pelo sistema Doc.: 8930 Ordem: 1</t>
        </is>
      </c>
      <c r="C37" s="18" t="inlineStr">
        <is>
          <t>Cielo S. A.</t>
        </is>
      </c>
      <c r="D37" s="27" t="n">
        <v>90</v>
      </c>
      <c r="E37" s="19" t="n"/>
      <c r="F37" s="21" t="n"/>
      <c r="G37" s="18" t="n"/>
    </row>
    <row r="38">
      <c r="A38" s="22" t="n">
        <v>46093</v>
      </c>
      <c r="B38" s="23" t="inlineStr">
        <is>
          <t>Pagamento parcela Gerado pelo sistema - nº 361446 Doc.: 361446 Ord</t>
        </is>
      </c>
      <c r="C38" s="23" t="inlineStr">
        <is>
          <t>EVEREST REFRIGERACAO E INDUSTRIA</t>
        </is>
      </c>
      <c r="D38" s="25" t="n"/>
      <c r="E38" s="28" t="n">
        <v>781.39</v>
      </c>
      <c r="F38" s="26" t="inlineStr">
        <is>
          <t>Fornecedores / Mercadoria</t>
        </is>
      </c>
      <c r="G38" s="23" t="n"/>
    </row>
    <row r="39">
      <c r="A39" s="17" t="n">
        <v>46093</v>
      </c>
      <c r="B39" s="18" t="inlineStr">
        <is>
          <t>Pagamento parcela Gerado pelo sistema - nº 368012 Doc.: 368012 Ord</t>
        </is>
      </c>
      <c r="C39" s="18" t="inlineStr">
        <is>
          <t>EVEREST REFRIGERACAO E INDUSTRIA</t>
        </is>
      </c>
      <c r="D39" s="19" t="n"/>
      <c r="E39" s="20" t="n">
        <v>810.99</v>
      </c>
      <c r="F39" s="21" t="inlineStr">
        <is>
          <t>Fornecedores / Mercadoria</t>
        </is>
      </c>
      <c r="G39" s="18" t="n"/>
    </row>
    <row r="40">
      <c r="A40" s="22" t="n">
        <v>46093</v>
      </c>
      <c r="B40" s="23" t="inlineStr">
        <is>
          <t>Pagamento parcela Gerado pelo sistema - nº 366264 Doc.: 366264 Ord</t>
        </is>
      </c>
      <c r="C40" s="23" t="inlineStr">
        <is>
          <t>EVEREST REFRIGERACAO E INDUSTRIA</t>
        </is>
      </c>
      <c r="D40" s="25" t="n"/>
      <c r="E40" s="28" t="n">
        <v>841.0599999999999</v>
      </c>
      <c r="F40" s="26" t="inlineStr">
        <is>
          <t>Fornecedores / Mercadoria</t>
        </is>
      </c>
      <c r="G40" s="23" t="n"/>
    </row>
    <row r="41">
      <c r="A41" s="17" t="n">
        <v>46093</v>
      </c>
      <c r="B41" s="18" t="inlineStr">
        <is>
          <t>Pagamento parcela JAMEF Doc.: 1 Ordem: 37</t>
        </is>
      </c>
      <c r="C41" s="18" t="inlineStr">
        <is>
          <t>JAMEF TRANSPORTES LTDA</t>
        </is>
      </c>
      <c r="D41" s="19" t="n"/>
      <c r="E41" s="20" t="n">
        <v>708.72</v>
      </c>
      <c r="F41" s="21" t="inlineStr">
        <is>
          <t>Transporte e Entregas</t>
        </is>
      </c>
      <c r="G41" s="18" t="n"/>
    </row>
    <row r="42">
      <c r="A42" s="22" t="n">
        <v>46093</v>
      </c>
      <c r="B42" s="23" t="inlineStr">
        <is>
          <t>Pagamento parcela Gerado pelo sistema - nº 132866 Doc.: 132866 Ord</t>
        </is>
      </c>
      <c r="C42" s="23" t="inlineStr">
        <is>
          <t>CULLIGAN LATAM EIRELI</t>
        </is>
      </c>
      <c r="D42" s="25" t="n"/>
      <c r="E42" s="28" t="n">
        <v>1391.96</v>
      </c>
      <c r="F42" s="26" t="inlineStr">
        <is>
          <t>Fornecedores / Mercadoria</t>
        </is>
      </c>
      <c r="G42" s="23" t="n"/>
    </row>
    <row r="43">
      <c r="A43" s="17" t="n">
        <v>46093</v>
      </c>
      <c r="B43" s="18" t="inlineStr">
        <is>
          <t>Pagamento parcela CONTA DE ENERGIA LOJA Doc.: 1 Ordem: 19</t>
        </is>
      </c>
      <c r="C43" s="18" t="inlineStr">
        <is>
          <t>COMPANHIA DE ELETRICIDADE DO ESTADO DA BAHIA COELBA</t>
        </is>
      </c>
      <c r="D43" s="19" t="n"/>
      <c r="E43" s="20" t="n">
        <v>139.92</v>
      </c>
      <c r="F43" s="21" t="inlineStr">
        <is>
          <t>Água, Energia e Internet</t>
        </is>
      </c>
      <c r="G43" s="18" t="n"/>
    </row>
    <row r="44">
      <c r="A44" s="22" t="n">
        <v>46094</v>
      </c>
      <c r="B44" s="23" t="inlineStr">
        <is>
          <t>Recebimento à vista Gerado pelo sistema Doc.: 8931 Ordem: 1</t>
        </is>
      </c>
      <c r="C44" s="23" t="inlineStr">
        <is>
          <t>Cielo S. A.</t>
        </is>
      </c>
      <c r="D44" s="24" t="n">
        <v>145</v>
      </c>
      <c r="E44" s="25" t="n"/>
      <c r="F44" s="26" t="n"/>
      <c r="G44" s="23" t="n"/>
    </row>
    <row r="45">
      <c r="A45" s="17" t="n">
        <v>46094</v>
      </c>
      <c r="B45" s="18" t="inlineStr">
        <is>
          <t>Recebimento à vista Gerado pelo sistema. Doc.: 4106 Ordem: 1</t>
        </is>
      </c>
      <c r="C45" s="18" t="inlineStr">
        <is>
          <t>CARNEIRO ULTRA DROGARIA LTDA - FILIAL 1</t>
        </is>
      </c>
      <c r="D45" s="27" t="n">
        <v>200</v>
      </c>
      <c r="E45" s="19" t="n"/>
      <c r="F45" s="21" t="n"/>
      <c r="G45" s="18" t="n"/>
    </row>
    <row r="46">
      <c r="A46" s="22" t="n">
        <v>46095</v>
      </c>
      <c r="B46" s="23" t="inlineStr">
        <is>
          <t>Recebimento à vista Gerado pelo sistema. Doc.: 4107 Ordem: 1</t>
        </is>
      </c>
      <c r="C46" s="23" t="inlineStr">
        <is>
          <t>JAIRO CESAR MORO</t>
        </is>
      </c>
      <c r="D46" s="24" t="n">
        <v>1398</v>
      </c>
      <c r="E46" s="25" t="n"/>
      <c r="F46" s="26" t="n"/>
      <c r="G46" s="23" t="n"/>
    </row>
    <row r="47">
      <c r="A47" s="17" t="n">
        <v>46095</v>
      </c>
      <c r="B47" s="18" t="inlineStr">
        <is>
          <t>Recebimento parcela Gerado pelo sistema. Doc.: 4085 Ordem: 1</t>
        </is>
      </c>
      <c r="C47" s="18" t="inlineStr">
        <is>
          <t>RF SUPERMERCADO BRASIL LTDA</t>
        </is>
      </c>
      <c r="D47" s="27" t="n">
        <v>370</v>
      </c>
      <c r="E47" s="19" t="n"/>
      <c r="F47" s="21" t="n"/>
      <c r="G47" s="18" t="n"/>
    </row>
    <row r="48">
      <c r="A48" s="22" t="n">
        <v>46095</v>
      </c>
      <c r="B48" s="23" t="inlineStr">
        <is>
          <t>Recebimento parcela Gerado pelo sistema. Doc.: 4086 Ordem: 1</t>
        </is>
      </c>
      <c r="C48" s="23" t="inlineStr">
        <is>
          <t>RF SUPERMERCADO BRASIL LTDA</t>
        </is>
      </c>
      <c r="D48" s="24" t="n">
        <v>420</v>
      </c>
      <c r="E48" s="25" t="n"/>
      <c r="F48" s="26" t="n"/>
      <c r="G48" s="23" t="n"/>
    </row>
    <row r="49">
      <c r="A49" s="17" t="n">
        <v>46097</v>
      </c>
      <c r="B49" s="18" t="inlineStr">
        <is>
          <t>Recebimento à vista Gerado pelo sistema. Doc.: 4108 Ordem: 1</t>
        </is>
      </c>
      <c r="C49" s="18" t="inlineStr">
        <is>
          <t>L.C. SERVICOS E TRANSPORTE LTDA</t>
        </is>
      </c>
      <c r="D49" s="27" t="n">
        <v>2500</v>
      </c>
      <c r="E49" s="19" t="n"/>
      <c r="F49" s="21" t="n"/>
      <c r="G49" s="18" t="n"/>
    </row>
    <row r="50">
      <c r="A50" s="22" t="n">
        <v>46097</v>
      </c>
      <c r="B50" s="23" t="inlineStr">
        <is>
          <t>Recebimento à vista Gerado pelo sistema Doc.: 8932 Ordem: 1</t>
        </is>
      </c>
      <c r="C50" s="23" t="inlineStr">
        <is>
          <t>Cliente Consumidor</t>
        </is>
      </c>
      <c r="D50" s="24" t="n">
        <v>165</v>
      </c>
      <c r="E50" s="25" t="n"/>
      <c r="F50" s="26" t="n"/>
      <c r="G50" s="23" t="n"/>
    </row>
    <row r="51">
      <c r="A51" s="17" t="n">
        <v>46098</v>
      </c>
      <c r="B51" s="18" t="inlineStr">
        <is>
          <t>Recebimento à vista Gerado pelo sistema Doc.: 8933 Ordem: 1</t>
        </is>
      </c>
      <c r="C51" s="18" t="inlineStr">
        <is>
          <t>JACY LIMA DA SILVA</t>
        </is>
      </c>
      <c r="D51" s="27" t="n">
        <v>140</v>
      </c>
      <c r="E51" s="19" t="n"/>
      <c r="F51" s="21" t="n"/>
      <c r="G51" s="18" t="n"/>
    </row>
    <row r="52">
      <c r="A52" s="22" t="n">
        <v>46098</v>
      </c>
      <c r="B52" s="23" t="inlineStr">
        <is>
          <t>Recebimento à vista Gerado pelo sistema. Doc.: 4109 Ordem: 1</t>
        </is>
      </c>
      <c r="C52" s="23" t="inlineStr">
        <is>
          <t>SARA ANDREIA BARROS DE SOUZA SANTANA - ME</t>
        </is>
      </c>
      <c r="D52" s="24" t="n">
        <v>135</v>
      </c>
      <c r="E52" s="25" t="n"/>
      <c r="F52" s="26" t="n"/>
      <c r="G52" s="23" t="n"/>
    </row>
    <row r="53">
      <c r="A53" s="17" t="n">
        <v>46098</v>
      </c>
      <c r="B53" s="18" t="inlineStr">
        <is>
          <t>Recebimento à vista Gerado pelo sistema Doc.: 8934 Ordem: 1</t>
        </is>
      </c>
      <c r="C53" s="18" t="inlineStr">
        <is>
          <t>Cliente Consumidor</t>
        </is>
      </c>
      <c r="D53" s="27" t="n">
        <v>150</v>
      </c>
      <c r="E53" s="19" t="n"/>
      <c r="F53" s="21" t="n"/>
      <c r="G53" s="18" t="n"/>
    </row>
    <row r="54">
      <c r="A54" s="22" t="n">
        <v>46098</v>
      </c>
      <c r="B54" s="23" t="inlineStr">
        <is>
          <t>Recebimento à vista Gerado pelo sistema Doc.: 8935 Ordem: 1</t>
        </is>
      </c>
      <c r="C54" s="23" t="inlineStr">
        <is>
          <t>Cliente Consumidor</t>
        </is>
      </c>
      <c r="D54" s="24" t="n">
        <v>140</v>
      </c>
      <c r="E54" s="25" t="n"/>
      <c r="F54" s="26" t="n"/>
      <c r="G54" s="23" t="n"/>
    </row>
    <row r="55">
      <c r="A55" s="17" t="n">
        <v>46098</v>
      </c>
      <c r="B55" s="18" t="inlineStr">
        <is>
          <t>Recebimento à vista Gerado pelo sistema Doc.: 8936 Ordem: 1</t>
        </is>
      </c>
      <c r="C55" s="18" t="inlineStr">
        <is>
          <t>MOAB LIMA RIOS</t>
        </is>
      </c>
      <c r="D55" s="27" t="n">
        <v>140</v>
      </c>
      <c r="E55" s="19" t="n"/>
      <c r="F55" s="21" t="n"/>
      <c r="G55" s="18" t="n"/>
    </row>
    <row r="56">
      <c r="A56" s="22" t="n">
        <v>46098</v>
      </c>
      <c r="B56" s="23" t="inlineStr">
        <is>
          <t>Recebimento à vista Gerado pelo sistema Doc.: 8937 Ordem: 1</t>
        </is>
      </c>
      <c r="C56" s="23" t="inlineStr">
        <is>
          <t>Cliente Consumidor</t>
        </is>
      </c>
      <c r="D56" s="24" t="n">
        <v>10</v>
      </c>
      <c r="E56" s="25" t="n"/>
      <c r="F56" s="26" t="n"/>
      <c r="G56" s="23" t="n"/>
    </row>
    <row r="57">
      <c r="A57" s="17" t="n">
        <v>46098</v>
      </c>
      <c r="B57" s="18" t="inlineStr">
        <is>
          <t>Recebimento à vista Gerado pelo sistema Doc.: 8938 Ordem: 1</t>
        </is>
      </c>
      <c r="C57" s="18" t="inlineStr">
        <is>
          <t>Cielo S. A.</t>
        </is>
      </c>
      <c r="D57" s="27" t="n">
        <v>95</v>
      </c>
      <c r="E57" s="19" t="n"/>
      <c r="F57" s="21" t="n"/>
      <c r="G57" s="18" t="n"/>
    </row>
    <row r="58">
      <c r="A58" s="22" t="n">
        <v>46098</v>
      </c>
      <c r="B58" s="23" t="inlineStr">
        <is>
          <t>Recebimento à vista Gerado pelo sistema Doc.: 8939 Ordem: 1</t>
        </is>
      </c>
      <c r="C58" s="23" t="inlineStr">
        <is>
          <t>FARMACIA DOIS DE JULHO</t>
        </is>
      </c>
      <c r="D58" s="24" t="n">
        <v>140</v>
      </c>
      <c r="E58" s="25" t="n"/>
      <c r="F58" s="26" t="n"/>
      <c r="G58" s="23" t="n"/>
    </row>
    <row r="59">
      <c r="A59" s="17" t="n">
        <v>46098</v>
      </c>
      <c r="B59" s="18" t="inlineStr">
        <is>
          <t>Recebimento à vista Gerado pelo sistema. Doc.: 4110 Ordem: 1</t>
        </is>
      </c>
      <c r="C59" s="18" t="inlineStr">
        <is>
          <t>SANDRA MARIA VIEIRA MOREIRA ARAUJO</t>
        </is>
      </c>
      <c r="D59" s="27" t="n">
        <v>1300</v>
      </c>
      <c r="E59" s="19" t="n"/>
      <c r="F59" s="21" t="n"/>
      <c r="G59" s="18" t="n"/>
    </row>
    <row r="60">
      <c r="A60" s="22" t="n">
        <v>46099</v>
      </c>
      <c r="B60" s="23" t="inlineStr">
        <is>
          <t>Recebimento parcela Gerado pelo sistema. Doc.: 4089 Ordem: 1</t>
        </is>
      </c>
      <c r="C60" s="23" t="inlineStr">
        <is>
          <t>ASPEC SOCIEDADE PARAIBANA DE EDUCACAO E CULTURA LTDA</t>
        </is>
      </c>
      <c r="D60" s="24" t="n">
        <v>3000</v>
      </c>
      <c r="E60" s="25" t="n"/>
      <c r="F60" s="26" t="n"/>
      <c r="G60" s="23" t="n"/>
    </row>
    <row r="61">
      <c r="A61" s="17" t="n">
        <v>46099</v>
      </c>
      <c r="B61" s="18" t="inlineStr">
        <is>
          <t>Recebimento à vista Gerado pelo sistema Doc.: 8940 Ordem: 1</t>
        </is>
      </c>
      <c r="C61" s="18" t="inlineStr">
        <is>
          <t>Cielo S. A.</t>
        </is>
      </c>
      <c r="D61" s="27" t="n">
        <v>210</v>
      </c>
      <c r="E61" s="19" t="n"/>
      <c r="F61" s="21" t="n"/>
      <c r="G61" s="18" t="n"/>
    </row>
    <row r="62">
      <c r="A62" s="22" t="n">
        <v>46099</v>
      </c>
      <c r="B62" s="23" t="inlineStr">
        <is>
          <t>Recebimento à vista Gerado pelo sistema Doc.: 8941 Ordem: 1</t>
        </is>
      </c>
      <c r="C62" s="23" t="inlineStr">
        <is>
          <t>Cliente Consumidor</t>
        </is>
      </c>
      <c r="D62" s="24" t="n">
        <v>140</v>
      </c>
      <c r="E62" s="25" t="n"/>
      <c r="F62" s="26" t="n"/>
      <c r="G62" s="23" t="n"/>
    </row>
    <row r="63">
      <c r="A63" s="17" t="n">
        <v>46099</v>
      </c>
      <c r="B63" s="18" t="inlineStr">
        <is>
          <t>Recebimento à vista Gerado pelo sistema Doc.: 8942 Ordem: 1</t>
        </is>
      </c>
      <c r="C63" s="18" t="inlineStr">
        <is>
          <t>Cielo S. A.</t>
        </is>
      </c>
      <c r="D63" s="27" t="n">
        <v>140</v>
      </c>
      <c r="E63" s="19" t="n"/>
      <c r="F63" s="21" t="n"/>
      <c r="G63" s="18" t="n"/>
    </row>
    <row r="64">
      <c r="A64" s="22" t="n">
        <v>46099</v>
      </c>
      <c r="B64" s="23" t="inlineStr">
        <is>
          <t>Recebimento à vista Gerado pelo sistema Doc.: 8943 Ordem: 1</t>
        </is>
      </c>
      <c r="C64" s="23" t="inlineStr">
        <is>
          <t>Cliente Consumidor</t>
        </is>
      </c>
      <c r="D64" s="24" t="n">
        <v>80</v>
      </c>
      <c r="E64" s="25" t="n"/>
      <c r="F64" s="26" t="n"/>
      <c r="G64" s="23" t="n"/>
    </row>
    <row r="65">
      <c r="A65" s="17" t="n">
        <v>46099</v>
      </c>
      <c r="B65" s="18" t="inlineStr">
        <is>
          <t>Recebimento à vista Gerado pelo sistema Doc.: 8944 Ordem: 1</t>
        </is>
      </c>
      <c r="C65" s="18" t="inlineStr">
        <is>
          <t>Cliente Consumidor</t>
        </is>
      </c>
      <c r="D65" s="27" t="n">
        <v>25</v>
      </c>
      <c r="E65" s="19" t="n"/>
      <c r="F65" s="21" t="n"/>
      <c r="G65" s="18" t="n"/>
    </row>
    <row r="66">
      <c r="A66" s="22" t="n">
        <v>46100</v>
      </c>
      <c r="B66" s="23" t="inlineStr">
        <is>
          <t>Recebimento à vista Gerado pelo sistema Doc.: 8945 Ordem: 1</t>
        </is>
      </c>
      <c r="C66" s="23" t="inlineStr">
        <is>
          <t>Cielo S. A.</t>
        </is>
      </c>
      <c r="D66" s="24" t="n">
        <v>95</v>
      </c>
      <c r="E66" s="25" t="n"/>
      <c r="F66" s="26" t="n"/>
      <c r="G66" s="23" t="n"/>
    </row>
    <row r="67">
      <c r="A67" s="17" t="n">
        <v>46100</v>
      </c>
      <c r="B67" s="18" t="inlineStr">
        <is>
          <t>Recebimento à vista Gerado pelo sistema Doc.: 8946 Ordem: 1</t>
        </is>
      </c>
      <c r="C67" s="18" t="inlineStr">
        <is>
          <t>Cliente Consumidor</t>
        </is>
      </c>
      <c r="D67" s="27" t="n">
        <v>85</v>
      </c>
      <c r="E67" s="19" t="n"/>
      <c r="F67" s="21" t="n"/>
      <c r="G67" s="18" t="n"/>
    </row>
    <row r="68">
      <c r="A68" s="22" t="n">
        <v>46101</v>
      </c>
      <c r="B68" s="23" t="inlineStr">
        <is>
          <t>Recebimento à vista Gerado pelo sistema. Doc.: 4112 Ordem: 1</t>
        </is>
      </c>
      <c r="C68" s="23" t="inlineStr">
        <is>
          <t>IGREJA ADVENTISTA JACOBINA</t>
        </is>
      </c>
      <c r="D68" s="24" t="n">
        <v>140</v>
      </c>
      <c r="E68" s="25" t="n"/>
      <c r="F68" s="26" t="n"/>
      <c r="G68" s="23" t="n"/>
    </row>
    <row r="69">
      <c r="A69" s="17" t="n">
        <v>46101</v>
      </c>
      <c r="B69" s="18" t="inlineStr">
        <is>
          <t>Recebimento parcela Gerado pelo sistema. Doc.: 4105 Ordem: 1</t>
        </is>
      </c>
      <c r="C69" s="18" t="inlineStr">
        <is>
          <t>ORDEM DOS ADVOGADOS DO BRASIL SUBSECAO JACOBINA BA</t>
        </is>
      </c>
      <c r="D69" s="27" t="n">
        <v>280</v>
      </c>
      <c r="E69" s="19" t="n"/>
      <c r="F69" s="21" t="n"/>
      <c r="G69" s="18" t="n"/>
    </row>
    <row r="70">
      <c r="A70" s="22" t="n">
        <v>46101</v>
      </c>
      <c r="B70" s="23" t="inlineStr">
        <is>
          <t>Recebimento à vista Gerado pelo sistema. Doc.: 4113 Ordem: 1</t>
        </is>
      </c>
      <c r="C70" s="23" t="inlineStr">
        <is>
          <t>DAVID DANTAS MARTINS MENDES</t>
        </is>
      </c>
      <c r="D70" s="24" t="n">
        <v>140</v>
      </c>
      <c r="E70" s="25" t="n"/>
      <c r="F70" s="26" t="n"/>
      <c r="G70" s="23" t="n"/>
    </row>
    <row r="71">
      <c r="A71" s="17" t="n">
        <v>46101</v>
      </c>
      <c r="B71" s="18" t="inlineStr">
        <is>
          <t>Recebimento à vista Gerado pelo sistema Doc.: 8947 Ordem: 1</t>
        </is>
      </c>
      <c r="C71" s="18" t="inlineStr">
        <is>
          <t>Cielo S. A.</t>
        </is>
      </c>
      <c r="D71" s="27" t="n">
        <v>140</v>
      </c>
      <c r="E71" s="19" t="n"/>
      <c r="F71" s="21" t="n"/>
      <c r="G71" s="18" t="n"/>
    </row>
    <row r="72">
      <c r="A72" s="22" t="n">
        <v>46101</v>
      </c>
      <c r="B72" s="23" t="inlineStr">
        <is>
          <t>Recebimento à vista Gerado pelo sistema Doc.: 8948 Ordem: 1</t>
        </is>
      </c>
      <c r="C72" s="23" t="inlineStr">
        <is>
          <t>GEORGE MARTINS SILVA</t>
        </is>
      </c>
      <c r="D72" s="24" t="n">
        <v>200</v>
      </c>
      <c r="E72" s="25" t="n"/>
      <c r="F72" s="26" t="n"/>
      <c r="G72" s="23" t="n"/>
    </row>
    <row r="73">
      <c r="A73" s="17" t="n">
        <v>46101</v>
      </c>
      <c r="B73" s="18" t="inlineStr">
        <is>
          <t>Recebimento à vista Gerado pelo sistema Doc.: 8949 Ordem: 1</t>
        </is>
      </c>
      <c r="C73" s="18" t="inlineStr">
        <is>
          <t>DARLINE DE OLIVEIRA ALMEIDA LIRO</t>
        </is>
      </c>
      <c r="D73" s="27" t="n">
        <v>130</v>
      </c>
      <c r="E73" s="19" t="n"/>
      <c r="F73" s="21" t="n"/>
      <c r="G73" s="18" t="n"/>
    </row>
    <row r="74">
      <c r="A74" s="22" t="n">
        <v>46101</v>
      </c>
      <c r="B74" s="23" t="inlineStr">
        <is>
          <t>Recebimento à vista Gerado pelo sistema. Doc.: 4114 Ordem: 1</t>
        </is>
      </c>
      <c r="C74" s="23" t="inlineStr">
        <is>
          <t>PATIOS NORDESTE JACOBINA SPE LTDA</t>
        </is>
      </c>
      <c r="D74" s="24" t="n">
        <v>95</v>
      </c>
      <c r="E74" s="25" t="n"/>
      <c r="F74" s="26" t="n"/>
      <c r="G74" s="23" t="n"/>
    </row>
    <row r="75">
      <c r="A75" s="17" t="n">
        <v>46101</v>
      </c>
      <c r="B75" s="18" t="inlineStr">
        <is>
          <t>Pagamento parcela Gerado pelo sistema - nº 368529 Doc.: 368529 Ord</t>
        </is>
      </c>
      <c r="C75" s="18" t="inlineStr">
        <is>
          <t>EVEREST REFRIGERACAO E INDUSTRIA</t>
        </is>
      </c>
      <c r="D75" s="19" t="n"/>
      <c r="E75" s="20" t="n">
        <v>865.5</v>
      </c>
      <c r="F75" s="21" t="inlineStr">
        <is>
          <t>Fornecedores / Mercadoria</t>
        </is>
      </c>
      <c r="G75" s="18" t="n"/>
    </row>
    <row r="76">
      <c r="A76" s="22" t="n">
        <v>46101</v>
      </c>
      <c r="B76" s="23" t="inlineStr">
        <is>
          <t>Pagamento parcela TARCISIO OLIVEIRA LIMA Doc.: 1 Ordem: 13</t>
        </is>
      </c>
      <c r="C76" s="23" t="inlineStr">
        <is>
          <t>TARCISIO OLIVEIRA LIMA</t>
        </is>
      </c>
      <c r="D76" s="25" t="n"/>
      <c r="E76" s="28" t="n">
        <v>486.32</v>
      </c>
      <c r="F76" s="26" t="inlineStr">
        <is>
          <t>Contabilidade</t>
        </is>
      </c>
      <c r="G76" s="23" t="n"/>
    </row>
    <row r="77">
      <c r="A77" s="17" t="n">
        <v>46101</v>
      </c>
      <c r="B77" s="18" t="inlineStr">
        <is>
          <t>Pagamento parcela Gerado pelo sistema - nº 126565 Doc.: 126565 Ord</t>
        </is>
      </c>
      <c r="C77" s="18" t="inlineStr">
        <is>
          <t>FILTROS PLANETA AGUA IND E COM LTDA</t>
        </is>
      </c>
      <c r="D77" s="19" t="n"/>
      <c r="E77" s="20" t="n">
        <v>420.87</v>
      </c>
      <c r="F77" s="21" t="inlineStr">
        <is>
          <t>Fornecedores / Mercadoria</t>
        </is>
      </c>
      <c r="G77" s="18" t="n"/>
    </row>
    <row r="78">
      <c r="A78" s="22" t="n">
        <v>46101</v>
      </c>
      <c r="B78" s="23" t="inlineStr">
        <is>
          <t>Pagamento parcela FGTS Doc.: 1 Ordem: 66</t>
        </is>
      </c>
      <c r="C78" s="23" t="inlineStr">
        <is>
          <t>PLANETA AGUA LTDA</t>
        </is>
      </c>
      <c r="D78" s="25" t="n"/>
      <c r="E78" s="28" t="n">
        <v>267.2</v>
      </c>
      <c r="F78" s="26" t="inlineStr">
        <is>
          <t>Impostos e Taxas</t>
        </is>
      </c>
      <c r="G78" s="23" t="n"/>
    </row>
    <row r="79">
      <c r="A79" s="17" t="n">
        <v>46101</v>
      </c>
      <c r="B79" s="18" t="inlineStr">
        <is>
          <t>Pagamento parcela RECEITAS FEDERAIS Doc.: 2 Ordem: 1</t>
        </is>
      </c>
      <c r="C79" s="18" t="inlineStr">
        <is>
          <t>PLANETA AGUA LTDA</t>
        </is>
      </c>
      <c r="D79" s="19" t="n"/>
      <c r="E79" s="20" t="n">
        <v>430.27</v>
      </c>
      <c r="F79" s="21" t="inlineStr">
        <is>
          <t>Impostos e Taxas</t>
        </is>
      </c>
      <c r="G79" s="18" t="n"/>
    </row>
    <row r="80">
      <c r="A80" s="22" t="n">
        <v>46101</v>
      </c>
      <c r="B80" s="23" t="inlineStr">
        <is>
          <t>Pagamento parcela SIMPLES NACIONAL Doc.: 1 Ordem: 67</t>
        </is>
      </c>
      <c r="C80" s="23" t="inlineStr">
        <is>
          <t>PLANETA AGUA LTDA</t>
        </is>
      </c>
      <c r="D80" s="25" t="n"/>
      <c r="E80" s="28" t="n">
        <v>1829.8</v>
      </c>
      <c r="F80" s="26" t="inlineStr">
        <is>
          <t>Impostos e Taxas</t>
        </is>
      </c>
      <c r="G80" s="23" t="n"/>
    </row>
    <row r="81">
      <c r="A81" s="17" t="n">
        <v>46104</v>
      </c>
      <c r="B81" s="18" t="inlineStr">
        <is>
          <t>Recebimento à vista Gerado pelo sistema Doc.: 8950 Ordem: 1</t>
        </is>
      </c>
      <c r="C81" s="18" t="inlineStr">
        <is>
          <t>MARIA DO CARMO MENDES</t>
        </is>
      </c>
      <c r="D81" s="27" t="n">
        <v>130</v>
      </c>
      <c r="E81" s="19" t="n"/>
      <c r="F81" s="21" t="n"/>
      <c r="G81" s="18" t="n"/>
    </row>
    <row r="82">
      <c r="A82" s="22" t="n">
        <v>46104</v>
      </c>
      <c r="B82" s="23" t="inlineStr">
        <is>
          <t>Recebimento à vista Gerado pelo sistema. Doc.: 4116 Ordem: 1</t>
        </is>
      </c>
      <c r="C82" s="23" t="inlineStr">
        <is>
          <t>CENTRAL DO SUPLEMENTO MERCADO NATURAL LTDA</t>
        </is>
      </c>
      <c r="D82" s="24" t="n">
        <v>140</v>
      </c>
      <c r="E82" s="25" t="n"/>
      <c r="F82" s="26" t="n"/>
      <c r="G82" s="23" t="n"/>
    </row>
    <row r="83">
      <c r="A83" s="17" t="n">
        <v>46104</v>
      </c>
      <c r="B83" s="18" t="inlineStr">
        <is>
          <t>Recebimento à vista Gerado pelo sistema Doc.: 8951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46104</v>
      </c>
      <c r="B84" s="23" t="inlineStr">
        <is>
          <t>Recebimento à vista Gerado pelo sistema Doc.: 8952 Ordem: 1</t>
        </is>
      </c>
      <c r="C84" s="23" t="inlineStr">
        <is>
          <t>Cielo S. A.</t>
        </is>
      </c>
      <c r="D84" s="24" t="n">
        <v>190</v>
      </c>
      <c r="E84" s="25" t="n"/>
      <c r="F84" s="26" t="n"/>
      <c r="G84" s="23" t="n"/>
    </row>
    <row r="85">
      <c r="A85" s="17" t="n">
        <v>46104</v>
      </c>
      <c r="B85" s="18" t="inlineStr">
        <is>
          <t>Recebimento à vista Gerado pelo sistema. Doc.: 4117 Ordem: 1</t>
        </is>
      </c>
      <c r="C85" s="18" t="inlineStr">
        <is>
          <t>CENTRO DE ESTUDOS CALMONENSE</t>
        </is>
      </c>
      <c r="D85" s="27" t="n">
        <v>90</v>
      </c>
      <c r="E85" s="19" t="n"/>
      <c r="F85" s="21" t="n"/>
      <c r="G85" s="18" t="n"/>
    </row>
    <row r="86">
      <c r="A86" s="22" t="n">
        <v>46104</v>
      </c>
      <c r="B86" s="23" t="inlineStr">
        <is>
          <t>Recebimento à vista Gerado pelo sistema Doc.: 8953 Ordem: 1</t>
        </is>
      </c>
      <c r="C86" s="23" t="inlineStr">
        <is>
          <t>Cielo S. A.</t>
        </is>
      </c>
      <c r="D86" s="24" t="n">
        <v>200</v>
      </c>
      <c r="E86" s="25" t="n"/>
      <c r="F86" s="26" t="n"/>
      <c r="G86" s="23" t="n"/>
    </row>
    <row r="87">
      <c r="A87" s="17" t="n">
        <v>46106</v>
      </c>
      <c r="B87" s="18" t="inlineStr">
        <is>
          <t>Recebimento à vista Gerado pelo sistema. Doc.: 4119 Ordem: 1</t>
        </is>
      </c>
      <c r="C87" s="18" t="inlineStr">
        <is>
          <t>JOSE LUCIANO VIEIRA COSTA</t>
        </is>
      </c>
      <c r="D87" s="27" t="n">
        <v>280</v>
      </c>
      <c r="E87" s="19" t="n"/>
      <c r="F87" s="21" t="n"/>
      <c r="G87" s="18" t="n"/>
    </row>
    <row r="88">
      <c r="A88" s="22" t="n">
        <v>46106</v>
      </c>
      <c r="B88" s="23" t="inlineStr">
        <is>
          <t>Recebimento à vista Gerado pelo sistema. Doc.: 4120 Ordem: 1</t>
        </is>
      </c>
      <c r="C88" s="23" t="inlineStr">
        <is>
          <t>CENTRO MEDICO DE JACOBINA LTDA</t>
        </is>
      </c>
      <c r="D88" s="24" t="n">
        <v>420</v>
      </c>
      <c r="E88" s="25" t="n"/>
      <c r="F88" s="26" t="n"/>
      <c r="G88" s="23" t="n"/>
    </row>
    <row r="89">
      <c r="A89" s="17" t="n">
        <v>46106</v>
      </c>
      <c r="B89" s="18" t="inlineStr">
        <is>
          <t>Recebimento à vista Gerado pelo sistema. Doc.: 4121 Ordem: 1</t>
        </is>
      </c>
      <c r="C89" s="18" t="inlineStr">
        <is>
          <t>METRICA CONSTRUCAO LTDA</t>
        </is>
      </c>
      <c r="D89" s="27" t="n">
        <v>160</v>
      </c>
      <c r="E89" s="19" t="n"/>
      <c r="F89" s="21" t="n"/>
      <c r="G89" s="18" t="n"/>
    </row>
    <row r="90">
      <c r="A90" s="22" t="n">
        <v>46106</v>
      </c>
      <c r="B90" s="23" t="inlineStr">
        <is>
          <t>Recebimento à vista Gerado pelo sistema Doc.: 8954 Ordem: 1</t>
        </is>
      </c>
      <c r="C90" s="23" t="inlineStr">
        <is>
          <t>Cliente Consumidor</t>
        </is>
      </c>
      <c r="D90" s="24" t="n">
        <v>30</v>
      </c>
      <c r="E90" s="25" t="n"/>
      <c r="F90" s="26" t="n"/>
      <c r="G90" s="23" t="n"/>
    </row>
    <row r="91">
      <c r="A91" s="17" t="n">
        <v>46106</v>
      </c>
      <c r="B91" s="18" t="inlineStr">
        <is>
          <t>Recebimento à vista Gerado pelo sistema Doc.: 8955 Ordem: 1</t>
        </is>
      </c>
      <c r="C91" s="18" t="inlineStr">
        <is>
          <t>Cielo S. A.</t>
        </is>
      </c>
      <c r="D91" s="27" t="n">
        <v>26</v>
      </c>
      <c r="E91" s="19" t="n"/>
      <c r="F91" s="21" t="n"/>
      <c r="G91" s="18" t="n"/>
    </row>
    <row r="92">
      <c r="A92" s="22" t="n">
        <v>46106</v>
      </c>
      <c r="B92" s="23" t="inlineStr">
        <is>
          <t>Recebimento à vista Gerado pelo sistema. Doc.: 4122 Ordem: 1</t>
        </is>
      </c>
      <c r="C92" s="23" t="inlineStr">
        <is>
          <t>VERA LUCIA GOMES SAMPAIO</t>
        </is>
      </c>
      <c r="D92" s="24" t="n">
        <v>1500</v>
      </c>
      <c r="E92" s="25" t="n"/>
      <c r="F92" s="26" t="n"/>
      <c r="G92" s="23" t="n"/>
    </row>
    <row r="93">
      <c r="A93" s="17" t="n">
        <v>46106</v>
      </c>
      <c r="B93" s="18" t="inlineStr">
        <is>
          <t>Recebimento parcela Gerado pelo sistema. Doc.: 4118 Ordem: 1</t>
        </is>
      </c>
      <c r="C93" s="18" t="inlineStr">
        <is>
          <t>CLIMO - CLINICA MEDICA OFTALMOLOGICA LTDA</t>
        </is>
      </c>
      <c r="D93" s="27" t="n">
        <v>1298</v>
      </c>
      <c r="E93" s="19" t="n"/>
      <c r="F93" s="21" t="n"/>
      <c r="G93" s="18" t="n"/>
    </row>
    <row r="94">
      <c r="A94" s="22" t="n">
        <v>46107</v>
      </c>
      <c r="B94" s="23" t="inlineStr">
        <is>
          <t>Recebimento parcela Gerado pelo sistema. Doc.: 4123 Ordem: 1</t>
        </is>
      </c>
      <c r="C94" s="23" t="inlineStr">
        <is>
          <t>R. M. LABORATORIO LTDA.</t>
        </is>
      </c>
      <c r="D94" s="24" t="n">
        <v>200</v>
      </c>
      <c r="E94" s="25" t="n"/>
      <c r="F94" s="26" t="n"/>
      <c r="G94" s="23" t="n"/>
    </row>
    <row r="95">
      <c r="A95" s="17" t="n">
        <v>46107</v>
      </c>
      <c r="B95" s="18" t="inlineStr">
        <is>
          <t>Recebimento à vista Gerado pelo sistema. Doc.: 4124 Ordem: 1</t>
        </is>
      </c>
      <c r="C95" s="18" t="inlineStr">
        <is>
          <t>PAULO DIOGENES DE OLIVEIRA EIRELI</t>
        </is>
      </c>
      <c r="D95" s="27" t="n">
        <v>135</v>
      </c>
      <c r="E95" s="19" t="n"/>
      <c r="F95" s="21" t="n"/>
      <c r="G95" s="18" t="n"/>
    </row>
    <row r="96">
      <c r="A96" s="22" t="n">
        <v>46107</v>
      </c>
      <c r="B96" s="23" t="inlineStr">
        <is>
          <t>Recebimento à vista Gerado pelo sistema. Doc.: 4125 Ordem: 1</t>
        </is>
      </c>
      <c r="C96" s="23" t="inlineStr">
        <is>
          <t>AGES EDUCACAO LTDA</t>
        </is>
      </c>
      <c r="D96" s="24" t="n">
        <v>580</v>
      </c>
      <c r="E96" s="25" t="n"/>
      <c r="F96" s="26" t="n"/>
      <c r="G96" s="23" t="n"/>
    </row>
    <row r="97">
      <c r="A97" s="17" t="n">
        <v>46107</v>
      </c>
      <c r="B97" s="18" t="inlineStr">
        <is>
          <t>Pagamento parcela Gerado pelo sistema - nº 362188 Doc.: 362188 Ord</t>
        </is>
      </c>
      <c r="C97" s="18" t="inlineStr">
        <is>
          <t>EVEREST REFRIGERACAO E INDUSTRIA</t>
        </is>
      </c>
      <c r="D97" s="19" t="n"/>
      <c r="E97" s="20" t="n">
        <v>800.64</v>
      </c>
      <c r="F97" s="21" t="inlineStr">
        <is>
          <t>Fornecedores / Mercadoria</t>
        </is>
      </c>
      <c r="G97" s="18" t="n"/>
    </row>
    <row r="98">
      <c r="A98" s="22" t="n">
        <v>46107</v>
      </c>
      <c r="B98" s="23" t="inlineStr">
        <is>
          <t>Pagamento parcela Gerado pelo sistema - nº 68349 Doc.: 68349 Orde</t>
        </is>
      </c>
      <c r="C98" s="23" t="inlineStr">
        <is>
          <t>EVERSOFT IND E COM DE PLASTICOS LTDA</t>
        </is>
      </c>
      <c r="D98" s="25" t="n"/>
      <c r="E98" s="28" t="n">
        <v>878.9299999999999</v>
      </c>
      <c r="F98" s="26" t="inlineStr">
        <is>
          <t>Fornecedores / Mercadoria</t>
        </is>
      </c>
      <c r="G98" s="23" t="n"/>
    </row>
    <row r="99">
      <c r="A99" s="17" t="n">
        <v>46107</v>
      </c>
      <c r="B99" s="18" t="inlineStr">
        <is>
          <t>Pagamento parcela Gerado pelo sistema - nº 70444 Doc.: 70444 Orde</t>
        </is>
      </c>
      <c r="C99" s="18" t="inlineStr">
        <is>
          <t>EVERSOFT IND E COM DE PLASTICOS LTDA</t>
        </is>
      </c>
      <c r="D99" s="19" t="n"/>
      <c r="E99" s="20" t="n">
        <v>541.37</v>
      </c>
      <c r="F99" s="21" t="inlineStr">
        <is>
          <t>Fornecedores / Mercadoria</t>
        </is>
      </c>
      <c r="G99" s="18" t="n"/>
    </row>
    <row r="100">
      <c r="A100" s="22" t="n">
        <v>46107</v>
      </c>
      <c r="B100" s="23" t="inlineStr">
        <is>
          <t>Pagamento parcela Gerado pelo sistema - nº 71084 Doc.: 71084 Orde</t>
        </is>
      </c>
      <c r="C100" s="23" t="inlineStr">
        <is>
          <t>EVERSOFT IND E COM DE PLASTICOS LTDA</t>
        </is>
      </c>
      <c r="D100" s="25" t="n"/>
      <c r="E100" s="28" t="n">
        <v>878.92</v>
      </c>
      <c r="F100" s="26" t="inlineStr">
        <is>
          <t>Fornecedores / Mercadoria</t>
        </is>
      </c>
      <c r="G100" s="23" t="n"/>
    </row>
    <row r="101">
      <c r="A101" s="17" t="n">
        <v>46107</v>
      </c>
      <c r="B101" s="18" t="inlineStr">
        <is>
          <t>Pagamento parcela ICMS - ANTECIPAÇÃO PARCIAL Doc.: 1 Ordem: 68</t>
        </is>
      </c>
      <c r="C101" s="18" t="inlineStr">
        <is>
          <t>PLANETA AGUA LTDA</t>
        </is>
      </c>
      <c r="D101" s="19" t="n"/>
      <c r="E101" s="20" t="n">
        <v>1291.02</v>
      </c>
      <c r="F101" s="21" t="inlineStr">
        <is>
          <t>Impostos e Taxas</t>
        </is>
      </c>
      <c r="G101" s="18" t="n"/>
    </row>
    <row r="102">
      <c r="A102" s="22" t="n">
        <v>46107</v>
      </c>
      <c r="B102" s="23" t="inlineStr">
        <is>
          <t>Pagamento parcela JAMEF Doc.: 1 Ordem: 38</t>
        </is>
      </c>
      <c r="C102" s="23" t="inlineStr">
        <is>
          <t>JAMEF TRANSPORTES LTDA</t>
        </is>
      </c>
      <c r="D102" s="25" t="n"/>
      <c r="E102" s="28" t="n">
        <v>452.14</v>
      </c>
      <c r="F102" s="26" t="inlineStr">
        <is>
          <t>Transporte e Entregas</t>
        </is>
      </c>
      <c r="G102" s="23" t="n"/>
    </row>
    <row r="103">
      <c r="A103" s="17" t="n">
        <v>46107</v>
      </c>
      <c r="B103" s="18" t="inlineStr">
        <is>
          <t>Pagamento parcela Gerado pelo sistema - nº 371358 Doc.: 371358 Ord</t>
        </is>
      </c>
      <c r="C103" s="18" t="inlineStr">
        <is>
          <t>EVEREST REFRIGERACAO E INDUSTRIA</t>
        </is>
      </c>
      <c r="D103" s="19" t="n"/>
      <c r="E103" s="20" t="n">
        <v>676.59</v>
      </c>
      <c r="F103" s="21" t="inlineStr">
        <is>
          <t>Fornecedores / Mercadoria</t>
        </is>
      </c>
      <c r="G103" s="18" t="n"/>
    </row>
    <row r="104">
      <c r="A104" s="22" t="n">
        <v>46108</v>
      </c>
      <c r="B104" s="23" t="inlineStr">
        <is>
          <t>Recebimento à vista Gerado pelo sistema Doc.: 8956 Ordem: 1</t>
        </is>
      </c>
      <c r="C104" s="23" t="inlineStr">
        <is>
          <t>Cielo S. A.</t>
        </is>
      </c>
      <c r="D104" s="24" t="n">
        <v>20</v>
      </c>
      <c r="E104" s="25" t="n"/>
      <c r="F104" s="26" t="n"/>
      <c r="G104" s="23" t="n"/>
    </row>
    <row r="105">
      <c r="A105" s="17" t="n">
        <v>46108</v>
      </c>
      <c r="B105" s="18" t="inlineStr">
        <is>
          <t>Pagamento parcela Gerado pelo sistema - nº 69107 Doc.: 69107 Orde</t>
        </is>
      </c>
      <c r="C105" s="18" t="inlineStr">
        <is>
          <t>EVERSOFT IND E COM DE PLASTICOS LTDA</t>
        </is>
      </c>
      <c r="D105" s="19" t="n"/>
      <c r="E105" s="20" t="n">
        <v>980.83</v>
      </c>
      <c r="F105" s="21" t="inlineStr">
        <is>
          <t>Fornecedores / Mercadoria</t>
        </is>
      </c>
      <c r="G105" s="18" t="n"/>
    </row>
    <row r="106">
      <c r="A106" s="22" t="n">
        <v>46109</v>
      </c>
      <c r="B106" s="23" t="inlineStr">
        <is>
          <t>Recebimento à vista Gerado pelo sistema. Doc.: 4128 Ordem: 1</t>
        </is>
      </c>
      <c r="C106" s="23" t="inlineStr">
        <is>
          <t>SAMILLE FISCINA LIMA LORDELLO</t>
        </is>
      </c>
      <c r="D106" s="24" t="n">
        <v>140</v>
      </c>
      <c r="E106" s="25" t="n"/>
      <c r="F106" s="26" t="n"/>
      <c r="G106" s="23" t="n"/>
    </row>
    <row r="107">
      <c r="A107" s="17" t="n">
        <v>46109</v>
      </c>
      <c r="B107" s="18" t="inlineStr">
        <is>
          <t>Recebimento à vista Gerado pelo sistema. Doc.: 4129 Ordem: 1</t>
        </is>
      </c>
      <c r="C107" s="18" t="inlineStr">
        <is>
          <t>LUCIMARA OLIVEIRA SILVA NEVES</t>
        </is>
      </c>
      <c r="D107" s="27" t="n">
        <v>1448</v>
      </c>
      <c r="E107" s="19" t="n"/>
      <c r="F107" s="21" t="n"/>
      <c r="G107" s="18" t="n"/>
    </row>
    <row r="108">
      <c r="A108" s="22" t="n">
        <v>46111</v>
      </c>
      <c r="B108" s="23" t="inlineStr">
        <is>
          <t>Recebimento à vista Gerado pelo sistema. Doc.: 4132 Ordem: 1</t>
        </is>
      </c>
      <c r="C108" s="23" t="inlineStr">
        <is>
          <t>PAULO ERIC DE SOUSA DE JACOBINA</t>
        </is>
      </c>
      <c r="D108" s="24" t="n">
        <v>140</v>
      </c>
      <c r="E108" s="25" t="n"/>
      <c r="F108" s="26" t="n"/>
      <c r="G108" s="23" t="n"/>
    </row>
    <row r="109">
      <c r="A109" s="17" t="n">
        <v>46111</v>
      </c>
      <c r="B109" s="18" t="inlineStr">
        <is>
          <t>Recebimento à vista Gerado pelo sistema. Doc.: 4133 Ordem: 1</t>
        </is>
      </c>
      <c r="C109" s="18" t="inlineStr">
        <is>
          <t>CENTRAL DO SUPLEMENTO MERCADO NATURAL LTDA</t>
        </is>
      </c>
      <c r="D109" s="27" t="n">
        <v>60</v>
      </c>
      <c r="E109" s="19" t="n"/>
      <c r="F109" s="21" t="n"/>
      <c r="G109" s="18" t="n"/>
    </row>
    <row r="110">
      <c r="A110" s="22" t="n">
        <v>46111</v>
      </c>
      <c r="B110" s="23" t="inlineStr">
        <is>
          <t>Recebimento à vista Gerado pelo sistema. Doc.: 4134 Ordem: 1</t>
        </is>
      </c>
      <c r="C110" s="23" t="inlineStr">
        <is>
          <t>CMC- CENTRO MEDICO CARDIOVASCULAR LTDA</t>
        </is>
      </c>
      <c r="D110" s="24" t="n">
        <v>260</v>
      </c>
      <c r="E110" s="25" t="n"/>
      <c r="F110" s="26" t="n"/>
      <c r="G110" s="23" t="n"/>
    </row>
    <row r="111">
      <c r="A111" s="17" t="n">
        <v>46111</v>
      </c>
      <c r="B111" s="18" t="inlineStr">
        <is>
          <t>Recebimento à vista Gerado pelo sistema Doc.: 8957 Ordem: 1</t>
        </is>
      </c>
      <c r="C111" s="18" t="inlineStr">
        <is>
          <t>HELENA NILVA DE CARVALHO MOURA</t>
        </is>
      </c>
      <c r="D111" s="27" t="n">
        <v>135</v>
      </c>
      <c r="E111" s="19" t="n"/>
      <c r="F111" s="21" t="n"/>
      <c r="G111" s="18" t="n"/>
    </row>
    <row r="112">
      <c r="A112" s="22" t="n">
        <v>46111</v>
      </c>
      <c r="B112" s="23" t="inlineStr">
        <is>
          <t>Pagamento parcela Gerado pelo sistema - nº 369793 Doc.: 369793 Ord</t>
        </is>
      </c>
      <c r="C112" s="23" t="inlineStr">
        <is>
          <t>EVEREST REFRIGERACAO E INDUSTRIA</t>
        </is>
      </c>
      <c r="D112" s="25" t="n"/>
      <c r="E112" s="28" t="n">
        <v>1279.27</v>
      </c>
      <c r="F112" s="26" t="inlineStr">
        <is>
          <t>Fornecedores / Mercadoria</t>
        </is>
      </c>
      <c r="G112" s="23" t="n"/>
    </row>
    <row r="113">
      <c r="A113" s="17" t="n">
        <v>46111</v>
      </c>
      <c r="B113" s="18" t="inlineStr">
        <is>
          <t>Pagamento parcela Gerado pelo sistema - nº 69886 Doc.: 69886 Orde</t>
        </is>
      </c>
      <c r="C113" s="18" t="inlineStr">
        <is>
          <t>EVERSOFT IND E COM DE PLASTICOS LTDA</t>
        </is>
      </c>
      <c r="D113" s="19" t="n"/>
      <c r="E113" s="20" t="n">
        <v>878.92</v>
      </c>
      <c r="F113" s="21" t="inlineStr">
        <is>
          <t>Fornecedores / Mercadoria</t>
        </is>
      </c>
      <c r="G113" s="18" t="n"/>
    </row>
    <row r="114">
      <c r="A114" s="22" t="n">
        <v>46112</v>
      </c>
      <c r="B114" s="23" t="inlineStr">
        <is>
          <t>Recebimento à vista Gerado pelo sistema Doc.: 8958 Ordem: 1</t>
        </is>
      </c>
      <c r="C114" s="23" t="inlineStr">
        <is>
          <t>Cliente Consumidor</t>
        </is>
      </c>
      <c r="D114" s="24" t="n">
        <v>100</v>
      </c>
      <c r="E114" s="25" t="n"/>
      <c r="F114" s="26" t="n"/>
      <c r="G114" s="23" t="n"/>
    </row>
    <row r="115">
      <c r="A115" s="17" t="n">
        <v>46112</v>
      </c>
      <c r="B115" s="18" t="inlineStr">
        <is>
          <t>Recebimento à vista Gerado pelo sistema. Doc.: 4135 Ordem: 1</t>
        </is>
      </c>
      <c r="C115" s="18" t="inlineStr">
        <is>
          <t>JACQUELINE COSTA DE BARROS CEZAR &amp; CIA LTDA</t>
        </is>
      </c>
      <c r="D115" s="27" t="n">
        <v>140</v>
      </c>
      <c r="E115" s="19" t="n"/>
      <c r="F115" s="21" t="n"/>
      <c r="G115" s="18" t="n"/>
    </row>
    <row r="116">
      <c r="A116" s="22" t="n">
        <v>46112</v>
      </c>
      <c r="B116" s="23" t="inlineStr">
        <is>
          <t>Recebimento à vista Gerado pelo sistema. Doc.: 4136 Ordem: 1</t>
        </is>
      </c>
      <c r="C116" s="23" t="inlineStr">
        <is>
          <t>DOM - NUCLEO DE TERAPIAS INTEGRADAS</t>
        </is>
      </c>
      <c r="D116" s="24" t="n">
        <v>420</v>
      </c>
      <c r="E116" s="25" t="n"/>
      <c r="F116" s="26" t="n"/>
      <c r="G116" s="23" t="n"/>
    </row>
    <row r="117">
      <c r="A117" s="17" t="n">
        <v>46112</v>
      </c>
      <c r="B117" s="18" t="inlineStr">
        <is>
          <t>Recebimento à vista Gerado pelo sistema Doc.: 8959 Ordem: 1</t>
        </is>
      </c>
      <c r="C117" s="18" t="inlineStr">
        <is>
          <t>Cielo S. A.</t>
        </is>
      </c>
      <c r="D117" s="27" t="n">
        <v>150</v>
      </c>
      <c r="E117" s="19" t="n"/>
      <c r="F117" s="21" t="n"/>
      <c r="G117" s="18" t="n"/>
    </row>
    <row r="118">
      <c r="A118" s="22" t="n">
        <v>46112</v>
      </c>
      <c r="B118" s="23" t="inlineStr">
        <is>
          <t>Pagamento parcela Gerado pelo sistema - nº 126565 Doc.: 126565 Ord</t>
        </is>
      </c>
      <c r="C118" s="23" t="inlineStr">
        <is>
          <t>FILTROS PLANETA AGUA IND E COM LTDA</t>
        </is>
      </c>
      <c r="D118" s="25" t="n"/>
      <c r="E118" s="28" t="n">
        <v>420.87</v>
      </c>
      <c r="F118" s="26" t="inlineStr">
        <is>
          <t>Fornecedores / Mercadoria</t>
        </is>
      </c>
      <c r="G118" s="23" t="n"/>
    </row>
    <row r="119">
      <c r="A119" s="17" t="n">
        <v>46112</v>
      </c>
      <c r="B119" s="18" t="inlineStr">
        <is>
          <t>Pagamento parcela PREFEITURA MUNICIPAL DE JACOBINA Doc.: 1 Ord</t>
        </is>
      </c>
      <c r="C119" s="18" t="inlineStr">
        <is>
          <t>MUNICIPIO DE JACOBINA</t>
        </is>
      </c>
      <c r="D119" s="19" t="n"/>
      <c r="E119" s="20" t="n">
        <v>226.78</v>
      </c>
      <c r="F119" s="21" t="inlineStr">
        <is>
          <t>Impostos e Taxas</t>
        </is>
      </c>
      <c r="G119" s="18" t="n"/>
    </row>
    <row r="120">
      <c r="A120" s="22" t="n">
        <v>46112</v>
      </c>
      <c r="B120" s="23" t="inlineStr">
        <is>
          <t>Pagamento à vista: SALARIO WILIAM Doc.: 1 Ordem: 8</t>
        </is>
      </c>
      <c r="C120" s="23" t="inlineStr">
        <is>
          <t>WILIAM PINTO BISPO</t>
        </is>
      </c>
      <c r="D120" s="25" t="n"/>
      <c r="E120" s="28" t="n">
        <v>1571.32</v>
      </c>
      <c r="F120" s="26" t="inlineStr">
        <is>
          <t>Salários, Comissões e Encargos</t>
        </is>
      </c>
      <c r="G120" s="23" t="n"/>
    </row>
    <row r="121">
      <c r="A121" s="17" t="n">
        <v>46112</v>
      </c>
      <c r="B121" s="18" t="inlineStr">
        <is>
          <t>Pagamento à vista: SALARIO DANIEL Doc.: 1 Ordem: 7</t>
        </is>
      </c>
      <c r="C121" s="18" t="inlineStr">
        <is>
          <t>DANIEL BARBOSA DOS SANTOS</t>
        </is>
      </c>
      <c r="D121" s="19" t="n"/>
      <c r="E121" s="20" t="n">
        <v>807.7</v>
      </c>
      <c r="F121" s="21" t="inlineStr">
        <is>
          <t>Salários, Comissões e Encargos</t>
        </is>
      </c>
      <c r="G121" s="18" t="n"/>
    </row>
    <row r="122">
      <c r="A122" s="29" t="n"/>
      <c r="B122" s="228" t="inlineStr">
        <is>
          <t>TOTAL DO MÊS</t>
        </is>
      </c>
      <c r="C122" s="161" t="n"/>
      <c r="D122" s="8">
        <f>SUM(D5:D121)</f>
        <v/>
      </c>
      <c r="E122" s="8">
        <f>SUM(E5:E121)</f>
        <v/>
      </c>
      <c r="F122" s="29" t="n"/>
      <c r="G122" s="29" t="n"/>
    </row>
    <row r="123" ht="15.75" customHeight="1" s="158">
      <c r="A123" s="30" t="n"/>
      <c r="B123" s="227" t="inlineStr">
        <is>
          <t>SALDO DO MÊS (Entradas − Despesas da loja)</t>
        </is>
      </c>
      <c r="D123" s="226">
        <f>D122-J18</f>
        <v/>
      </c>
      <c r="F123" s="30" t="n"/>
      <c r="G123" s="30" t="n"/>
    </row>
  </sheetData>
  <autoFilter ref="A4:G121"/>
  <mergeCells count="12">
    <mergeCell ref="P4:Q4"/>
    <mergeCell ref="I4:J4"/>
    <mergeCell ref="A1:G1"/>
    <mergeCell ref="L4:M4"/>
    <mergeCell ref="B123:C123"/>
    <mergeCell ref="A2:G2"/>
    <mergeCell ref="D123:E123"/>
    <mergeCell ref="B122:C12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Q125"/>
  <sheetViews>
    <sheetView showGridLines="0" zoomScaleNormal="100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ABRIL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46113</v>
      </c>
      <c r="B5" s="18" t="inlineStr">
        <is>
          <t>Pagamento parcela EMBASA ADRIANO Doc.: 1 Ordem: 12</t>
        </is>
      </c>
      <c r="C5" s="18" t="inlineStr">
        <is>
          <t>EMPRESA BAIANA DE AGUAS E SANEAMENTO SA</t>
        </is>
      </c>
      <c r="D5" s="19" t="n"/>
      <c r="E5" s="20" t="n">
        <v>51.61</v>
      </c>
      <c r="F5" s="21" t="inlineStr">
        <is>
          <t>Pro Labore Edilânia</t>
        </is>
      </c>
      <c r="G5" s="18" t="n"/>
      <c r="I5" s="10" t="inlineStr">
        <is>
          <t>Fornecedores / Mercadoria</t>
        </is>
      </c>
      <c r="J5" s="11">
        <f>SUMIF(F5:F123,I5,E5:E123)</f>
        <v/>
      </c>
      <c r="L5" s="230">
        <f>D124</f>
        <v/>
      </c>
      <c r="N5" s="232">
        <f>J18</f>
        <v/>
      </c>
      <c r="P5" s="231">
        <f>D125</f>
        <v/>
      </c>
    </row>
    <row r="6" ht="14.1" customHeight="1" s="158">
      <c r="A6" s="22" t="n">
        <v>46113</v>
      </c>
      <c r="B6" s="23" t="inlineStr">
        <is>
          <t>Recebimento à vista Gerado pelo sistema. Doc.: 4138 Ordem: 1</t>
        </is>
      </c>
      <c r="C6" s="23" t="inlineStr">
        <is>
          <t>TATIANA MIRANDA SIQUEIRA - PRIMEIRO TABELIONATO DE NOTAS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SUMIF(F5:F123,I6,E5:E123)</f>
        <v/>
      </c>
    </row>
    <row r="7">
      <c r="A7" s="17" t="n">
        <v>46113</v>
      </c>
      <c r="B7" s="18" t="inlineStr">
        <is>
          <t>Recebimento à vista Gerado pelo sistema Doc.: 8960 Ordem: 1</t>
        </is>
      </c>
      <c r="C7" s="18" t="inlineStr">
        <is>
          <t>Cliente Consumidor</t>
        </is>
      </c>
      <c r="D7" s="27" t="n">
        <v>130</v>
      </c>
      <c r="E7" s="19" t="n"/>
      <c r="F7" s="21" t="n"/>
      <c r="G7" s="18" t="n"/>
      <c r="I7" s="10" t="inlineStr">
        <is>
          <t>Água, Energia e Internet</t>
        </is>
      </c>
      <c r="J7" s="11">
        <f>SUMIF(F5:F123,I7,E5:E123)</f>
        <v/>
      </c>
    </row>
    <row r="8">
      <c r="A8" s="22" t="n">
        <v>46113</v>
      </c>
      <c r="B8" s="23" t="inlineStr">
        <is>
          <t>Recebimento à vista Gerado pelo sistema. Doc.: 4139 Ordem: 1</t>
        </is>
      </c>
      <c r="C8" s="23" t="inlineStr">
        <is>
          <t>RUI ROBSON FERREIRA ANDRADE - MARIA LUCIA</t>
        </is>
      </c>
      <c r="D8" s="24" t="n">
        <v>1348</v>
      </c>
      <c r="E8" s="25" t="n"/>
      <c r="F8" s="26" t="n"/>
      <c r="G8" s="23" t="n"/>
      <c r="I8" s="13" t="inlineStr">
        <is>
          <t>Impostos e Taxas</t>
        </is>
      </c>
      <c r="J8" s="14">
        <f>SUMIF(F5:F123,I8,E5:E123)</f>
        <v/>
      </c>
    </row>
    <row r="9">
      <c r="A9" s="17" t="n">
        <v>46113</v>
      </c>
      <c r="B9" s="18" t="inlineStr">
        <is>
          <t>Pagamento à vista: ALUGUEL VITORIA MARIA Doc.: 1 Ordem: 14</t>
        </is>
      </c>
      <c r="C9" s="18" t="inlineStr">
        <is>
          <t>VITORIA MARIA F SANTOS</t>
        </is>
      </c>
      <c r="D9" s="19" t="n"/>
      <c r="E9" s="20" t="n">
        <v>870</v>
      </c>
      <c r="F9" s="21" t="inlineStr">
        <is>
          <t>Aluguel</t>
        </is>
      </c>
      <c r="G9" s="18" t="n"/>
      <c r="I9" s="10" t="inlineStr">
        <is>
          <t>Tarifas Bancárias e Cartão</t>
        </is>
      </c>
      <c r="J9" s="11">
        <f>SUMIF(F5:F123,I9,E5:E123)</f>
        <v/>
      </c>
    </row>
    <row r="10">
      <c r="A10" s="22" t="n">
        <v>46114</v>
      </c>
      <c r="B10" s="23" t="inlineStr">
        <is>
          <t>Recebimento à vista Gerado pelo sistema Doc.: 8961 Ordem: 1</t>
        </is>
      </c>
      <c r="C10" s="23" t="inlineStr">
        <is>
          <t>Cliente Consumidor</t>
        </is>
      </c>
      <c r="D10" s="24" t="n">
        <v>40</v>
      </c>
      <c r="E10" s="25" t="n"/>
      <c r="F10" s="26" t="n"/>
      <c r="G10" s="23" t="n"/>
      <c r="I10" s="13" t="inlineStr">
        <is>
          <t>Transporte e Entregas</t>
        </is>
      </c>
      <c r="J10" s="14">
        <f>SUMIF(F5:F123,I10,E5:E123)</f>
        <v/>
      </c>
    </row>
    <row r="11">
      <c r="A11" s="17" t="n">
        <v>46114</v>
      </c>
      <c r="B11" s="18" t="inlineStr">
        <is>
          <t>Recebimento à vista Gerado pelo sistema Doc.: 8962 Ordem: 1</t>
        </is>
      </c>
      <c r="C11" s="18" t="inlineStr">
        <is>
          <t>Cielo S. A.</t>
        </is>
      </c>
      <c r="D11" s="27" t="n">
        <v>125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SUMIF(F5:F123,I11,E5:E123)</f>
        <v/>
      </c>
    </row>
    <row r="12">
      <c r="A12" s="22" t="n">
        <v>46114</v>
      </c>
      <c r="B12" s="23" t="inlineStr">
        <is>
          <t>Recebimento à vista Gerado pelo sistema. Doc.: 4141 Ordem: 1</t>
        </is>
      </c>
      <c r="C12" s="23" t="inlineStr">
        <is>
          <t>CLIMO - CLINICA MEDICA OFTALMOLOGICA LTDA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SUMIF(F5:F123,I12,E5:E123)</f>
        <v/>
      </c>
    </row>
    <row r="13">
      <c r="A13" s="17" t="n">
        <v>46118</v>
      </c>
      <c r="B13" s="18" t="inlineStr">
        <is>
          <t>Recebimento à vista Gerado pelo sistema Doc.: 8963 Ordem: 1</t>
        </is>
      </c>
      <c r="C13" s="18" t="inlineStr">
        <is>
          <t>Cielo S. A.</t>
        </is>
      </c>
      <c r="D13" s="27" t="n">
        <v>150</v>
      </c>
      <c r="E13" s="19" t="n"/>
      <c r="F13" s="21" t="n"/>
      <c r="G13" s="18" t="n"/>
      <c r="I13" s="10" t="inlineStr">
        <is>
          <t>Manutenção e Reparos</t>
        </is>
      </c>
      <c r="J13" s="11">
        <f>SUMIF(F5:F123,I13,E5:E123)</f>
        <v/>
      </c>
    </row>
    <row r="14">
      <c r="A14" s="22" t="n">
        <v>46118</v>
      </c>
      <c r="B14" s="23" t="inlineStr">
        <is>
          <t>Recebimento à vista Gerado pelo sistema Doc.: 8964 Ordem: 1</t>
        </is>
      </c>
      <c r="C14" s="23" t="inlineStr">
        <is>
          <t>Cliente Consumidor</t>
        </is>
      </c>
      <c r="D14" s="24" t="n">
        <v>140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SUMIF(F5:F123,I14,E5:E123)</f>
        <v/>
      </c>
    </row>
    <row r="15">
      <c r="A15" s="17" t="n">
        <v>46118</v>
      </c>
      <c r="B15" s="18" t="inlineStr">
        <is>
          <t>Recebimento à vista Gerado pelo sistema Doc.: 8965 Ordem: 1</t>
        </is>
      </c>
      <c r="C15" s="18" t="inlineStr">
        <is>
          <t>JUCILEIDE TEIXEIRA GAMA COSTA</t>
        </is>
      </c>
      <c r="D15" s="27" t="n">
        <v>140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SUMIF(F5:F123,I15,E5:E123)</f>
        <v/>
      </c>
    </row>
    <row r="16">
      <c r="A16" s="22" t="n">
        <v>46118</v>
      </c>
      <c r="B16" s="23" t="inlineStr">
        <is>
          <t>Recebimento à vista Gerado pelo sistema. Doc.: 4142 Ordem: 1</t>
        </is>
      </c>
      <c r="C16" s="23" t="inlineStr">
        <is>
          <t>MARIA MARGARETH ALMEIDA SANTOS</t>
        </is>
      </c>
      <c r="D16" s="24" t="n">
        <v>140</v>
      </c>
      <c r="E16" s="25" t="n"/>
      <c r="F16" s="26" t="n"/>
      <c r="G16" s="23" t="n"/>
      <c r="I16" s="13" t="inlineStr">
        <is>
          <t>Outras Despesas</t>
        </is>
      </c>
      <c r="J16" s="14">
        <f>SUMIF(F5:F123,I16,E5:E123)</f>
        <v/>
      </c>
    </row>
    <row r="17">
      <c r="A17" s="17" t="n">
        <v>46118</v>
      </c>
      <c r="B17" s="18" t="inlineStr">
        <is>
          <t>Recebimento à vista Gerado pelo sistema. Doc.: 4143 Ordem: 1</t>
        </is>
      </c>
      <c r="C17" s="18" t="inlineStr">
        <is>
          <t>CARNEIRO E SILVA LTDA</t>
        </is>
      </c>
      <c r="D17" s="27" t="n">
        <v>130</v>
      </c>
      <c r="E17" s="19" t="n"/>
      <c r="F17" s="21" t="n"/>
      <c r="G17" s="18" t="n"/>
      <c r="I17" s="42" t="inlineStr">
        <is>
          <t>Pro Labore Edilânia</t>
        </is>
      </c>
      <c r="J17" s="8">
        <f>SUMIF(F5:F123,I17,E5:E123)</f>
        <v/>
      </c>
    </row>
    <row r="18">
      <c r="A18" s="22" t="n">
        <v>46118</v>
      </c>
      <c r="B18" s="23" t="inlineStr">
        <is>
          <t>Recebimento à vista Gerado pelo sistema Doc.: 8966 Ordem: 1</t>
        </is>
      </c>
      <c r="C18" s="23" t="inlineStr">
        <is>
          <t>MARIANO PAULO FARIAS</t>
        </is>
      </c>
      <c r="D18" s="24" t="n">
        <v>140</v>
      </c>
      <c r="E18" s="25" t="n"/>
      <c r="F18" s="26" t="n"/>
      <c r="G18" s="23" t="n"/>
      <c r="I18" t="inlineStr">
        <is>
          <t>Total</t>
        </is>
      </c>
      <c r="J18">
        <f>SUM(J5:J16)</f>
        <v/>
      </c>
    </row>
    <row r="19">
      <c r="A19" s="17" t="n">
        <v>46118</v>
      </c>
      <c r="B19" s="18" t="inlineStr">
        <is>
          <t>Recebimento à vista Gerado pelo sistema Doc.: 8967 Ordem: 1</t>
        </is>
      </c>
      <c r="C19" s="18" t="inlineStr">
        <is>
          <t>Cielo S. A.</t>
        </is>
      </c>
      <c r="D19" s="27" t="n">
        <v>140</v>
      </c>
      <c r="E19" s="19" t="n"/>
      <c r="F19" s="21" t="n"/>
      <c r="G19" s="18" t="n"/>
    </row>
    <row r="20">
      <c r="A20" s="22" t="n">
        <v>46119</v>
      </c>
      <c r="B20" s="23" t="inlineStr">
        <is>
          <t>Recebimento à vista Gerado pelo sistema Doc.: 8968 Ordem: 1</t>
        </is>
      </c>
      <c r="C20" s="23" t="inlineStr">
        <is>
          <t>Cielo S. A.</t>
        </is>
      </c>
      <c r="D20" s="24" t="n">
        <v>630</v>
      </c>
      <c r="E20" s="25" t="n"/>
      <c r="F20" s="26" t="n"/>
      <c r="G20" s="23" t="n"/>
    </row>
    <row r="21">
      <c r="A21" s="17" t="n">
        <v>46119</v>
      </c>
      <c r="B21" s="18" t="inlineStr">
        <is>
          <t>Recebimento à vista Gerado pelo sistema Doc.: 8969 Ordem: 1</t>
        </is>
      </c>
      <c r="C21" s="18" t="inlineStr">
        <is>
          <t>MARGARIDA MESQUITA</t>
        </is>
      </c>
      <c r="D21" s="27" t="n">
        <v>140</v>
      </c>
      <c r="E21" s="19" t="n"/>
      <c r="F21" s="21" t="n"/>
      <c r="G21" s="18" t="n"/>
    </row>
    <row r="22">
      <c r="A22" s="22" t="n">
        <v>46119</v>
      </c>
      <c r="B22" s="23" t="inlineStr">
        <is>
          <t>Recebimento parcela Gerado pelo sistema Doc.: 8970 Ordem: 1</t>
        </is>
      </c>
      <c r="C22" s="23" t="inlineStr">
        <is>
          <t>VALDECI SOUZA SILVA</t>
        </is>
      </c>
      <c r="D22" s="24" t="n">
        <v>70</v>
      </c>
      <c r="E22" s="25" t="n"/>
      <c r="F22" s="26" t="n"/>
      <c r="G22" s="23" t="n"/>
    </row>
    <row r="23">
      <c r="A23" s="17" t="n">
        <v>46119</v>
      </c>
      <c r="B23" s="18" t="inlineStr">
        <is>
          <t>Recebimento à vista Gerado pelo sistema. Doc.: 4145 Ordem: 1</t>
        </is>
      </c>
      <c r="C23" s="18" t="inlineStr">
        <is>
          <t>COR E FEST</t>
        </is>
      </c>
      <c r="D23" s="27" t="n">
        <v>200</v>
      </c>
      <c r="E23" s="19" t="n"/>
      <c r="F23" s="21" t="n"/>
      <c r="G23" s="18" t="n"/>
    </row>
    <row r="24">
      <c r="A24" s="22" t="n">
        <v>46120</v>
      </c>
      <c r="B24" s="23" t="inlineStr">
        <is>
          <t>Recebimento à vista Gerado pelo sistema. Doc.: 4146 Ordem: 1</t>
        </is>
      </c>
      <c r="C24" s="23" t="inlineStr">
        <is>
          <t>IRISTELA MIRANDA PAIVA</t>
        </is>
      </c>
      <c r="D24" s="24" t="n">
        <v>1448</v>
      </c>
      <c r="E24" s="25" t="n"/>
      <c r="F24" s="26" t="n"/>
      <c r="G24" s="23" t="n"/>
    </row>
    <row r="25">
      <c r="A25" s="17" t="n">
        <v>46120</v>
      </c>
      <c r="B25" s="18" t="inlineStr">
        <is>
          <t>Recebimento à vista Gerado pelo sistema Doc.: 8971 Ordem: 1</t>
        </is>
      </c>
      <c r="C25" s="18" t="inlineStr">
        <is>
          <t>RIVAEL SOUSA SANTOS</t>
        </is>
      </c>
      <c r="D25" s="27" t="n">
        <v>320</v>
      </c>
      <c r="E25" s="19" t="n"/>
      <c r="F25" s="21" t="n"/>
      <c r="G25" s="18" t="n"/>
    </row>
    <row r="26">
      <c r="A26" s="22" t="n">
        <v>46120</v>
      </c>
      <c r="B26" s="23" t="inlineStr">
        <is>
          <t>Recebimento à vista Gerado pelo sistema Doc.: 8972 Ordem: 1</t>
        </is>
      </c>
      <c r="C26" s="23" t="inlineStr">
        <is>
          <t>VICTOR LEANDRO SILVA MIRANDA - MARIA CONCEICAO</t>
        </is>
      </c>
      <c r="D26" s="24" t="n">
        <v>140</v>
      </c>
      <c r="E26" s="25" t="n"/>
      <c r="F26" s="26" t="n"/>
      <c r="G26" s="23" t="n"/>
    </row>
    <row r="27">
      <c r="A27" s="17" t="n">
        <v>46121</v>
      </c>
      <c r="B27" s="18" t="inlineStr">
        <is>
          <t>Recebimento à vista Gerado pelo sistema Doc.: 8973 Ordem: 1</t>
        </is>
      </c>
      <c r="C27" s="18" t="inlineStr">
        <is>
          <t>ITAN SOUZA NASCIMENTO</t>
        </is>
      </c>
      <c r="D27" s="27" t="n">
        <v>140</v>
      </c>
      <c r="E27" s="19" t="n"/>
      <c r="F27" s="21" t="n"/>
      <c r="G27" s="18" t="n"/>
    </row>
    <row r="28">
      <c r="A28" s="22" t="n">
        <v>46121</v>
      </c>
      <c r="B28" s="23" t="inlineStr">
        <is>
          <t>Recebimento à vista Gerado pelo sistema Doc.: 8974 Ordem: 1</t>
        </is>
      </c>
      <c r="C28" s="23" t="inlineStr">
        <is>
          <t>Cliente Consumidor</t>
        </is>
      </c>
      <c r="D28" s="24" t="n">
        <v>65</v>
      </c>
      <c r="E28" s="25" t="n"/>
      <c r="F28" s="26" t="n"/>
      <c r="G28" s="23" t="n"/>
    </row>
    <row r="29">
      <c r="A29" s="17" t="n">
        <v>46121</v>
      </c>
      <c r="B29" s="18" t="inlineStr">
        <is>
          <t>Recebimento à vista Gerado pelo sistema Doc.: 8975 Ordem: 1</t>
        </is>
      </c>
      <c r="C29" s="18" t="inlineStr">
        <is>
          <t>Cielo S. A.</t>
        </is>
      </c>
      <c r="D29" s="27" t="n">
        <v>12</v>
      </c>
      <c r="E29" s="19" t="n"/>
      <c r="F29" s="21" t="n"/>
      <c r="G29" s="18" t="n"/>
    </row>
    <row r="30">
      <c r="A30" s="22" t="n">
        <v>46121</v>
      </c>
      <c r="B30" s="23" t="inlineStr">
        <is>
          <t>Recebimento à vista Gerado pelo sistema Doc.: 8976 Ordem: 1</t>
        </is>
      </c>
      <c r="C30" s="23" t="inlineStr">
        <is>
          <t>Cielo S. A.</t>
        </is>
      </c>
      <c r="D30" s="24" t="n">
        <v>20</v>
      </c>
      <c r="E30" s="25" t="n"/>
      <c r="F30" s="26" t="n"/>
      <c r="G30" s="23" t="n"/>
    </row>
    <row r="31">
      <c r="A31" s="17" t="n">
        <v>46122</v>
      </c>
      <c r="B31" s="18" t="inlineStr">
        <is>
          <t>Recebimento à vista Gerado pelo sistema Doc.: 8977 Ordem: 1</t>
        </is>
      </c>
      <c r="C31" s="18" t="inlineStr">
        <is>
          <t>Cliente Consumidor</t>
        </is>
      </c>
      <c r="D31" s="27" t="n">
        <v>140</v>
      </c>
      <c r="E31" s="19" t="n"/>
      <c r="F31" s="21" t="n"/>
      <c r="G31" s="18" t="n"/>
    </row>
    <row r="32">
      <c r="A32" s="22" t="n">
        <v>46122</v>
      </c>
      <c r="B32" s="23" t="inlineStr">
        <is>
          <t>Recebimento à vista Gerado pelo sistema Doc.: 8978 Ordem: 1</t>
        </is>
      </c>
      <c r="C32" s="23" t="inlineStr">
        <is>
          <t>Cliente Consumidor</t>
        </is>
      </c>
      <c r="D32" s="24" t="n">
        <v>10</v>
      </c>
      <c r="E32" s="25" t="n"/>
      <c r="F32" s="26" t="n"/>
      <c r="G32" s="23" t="n"/>
    </row>
    <row r="33">
      <c r="A33" s="17" t="n">
        <v>46123</v>
      </c>
      <c r="B33" s="18" t="inlineStr">
        <is>
          <t>Recebimento à vista Gerado pelo sistema Doc.: 8979 Ordem: 1</t>
        </is>
      </c>
      <c r="C33" s="18" t="inlineStr">
        <is>
          <t>JAQUELINE CARNEIRO</t>
        </is>
      </c>
      <c r="D33" s="27" t="n">
        <v>170</v>
      </c>
      <c r="E33" s="19" t="n"/>
      <c r="F33" s="21" t="n"/>
      <c r="G33" s="18" t="n"/>
    </row>
    <row r="34">
      <c r="A34" s="22" t="n">
        <v>46125</v>
      </c>
      <c r="B34" s="23" t="inlineStr">
        <is>
          <t>Recebimento à vista Gerado pelo sistema Doc.: 8980 Ordem: 1</t>
        </is>
      </c>
      <c r="C34" s="23" t="inlineStr">
        <is>
          <t>Cielo S. A.</t>
        </is>
      </c>
      <c r="D34" s="24" t="n">
        <v>140</v>
      </c>
      <c r="E34" s="25" t="n"/>
      <c r="F34" s="26" t="n"/>
      <c r="G34" s="23" t="n"/>
    </row>
    <row r="35">
      <c r="A35" s="17" t="n">
        <v>46125</v>
      </c>
      <c r="B35" s="18" t="inlineStr">
        <is>
          <t>Recebimento à vista Gerado pelo sistema Doc.: 8981 Ordem: 1</t>
        </is>
      </c>
      <c r="C35" s="18" t="inlineStr">
        <is>
          <t>ADAILTON SAMPAIO AVELINO</t>
        </is>
      </c>
      <c r="D35" s="27" t="n">
        <v>140</v>
      </c>
      <c r="E35" s="19" t="n"/>
      <c r="F35" s="21" t="n"/>
      <c r="G35" s="18" t="n"/>
    </row>
    <row r="36">
      <c r="A36" s="22" t="n">
        <v>46125</v>
      </c>
      <c r="B36" s="23" t="inlineStr">
        <is>
          <t>Recebimento à vista Gerado pelo sistema. Doc.: 4148 Ordem: 1</t>
        </is>
      </c>
      <c r="C36" s="23" t="inlineStr">
        <is>
          <t>EMPRESA SERTANEJA DE HOTEIS LTDA</t>
        </is>
      </c>
      <c r="D36" s="24" t="n">
        <v>195</v>
      </c>
      <c r="E36" s="25" t="n"/>
      <c r="F36" s="26" t="n"/>
      <c r="G36" s="23" t="n"/>
    </row>
    <row r="37">
      <c r="A37" s="17" t="n">
        <v>46125</v>
      </c>
      <c r="B37" s="18" t="inlineStr">
        <is>
          <t>Recebimento à vista Gerado pelo sistema. Doc.: 4149 Ordem: 1</t>
        </is>
      </c>
      <c r="C37" s="18" t="inlineStr">
        <is>
          <t>JCO INDUSTRIA DE COSMETICOS LTDA</t>
        </is>
      </c>
      <c r="D37" s="27" t="n">
        <v>1498</v>
      </c>
      <c r="E37" s="19" t="n"/>
      <c r="F37" s="21" t="n"/>
      <c r="G37" s="18" t="n"/>
    </row>
    <row r="38">
      <c r="A38" s="22" t="n">
        <v>46125</v>
      </c>
      <c r="B38" s="23" t="inlineStr">
        <is>
          <t>Pagamento parcela Gerado pelo sistema - nº 132866 Doc.: 132866 Ord</t>
        </is>
      </c>
      <c r="C38" s="23" t="inlineStr">
        <is>
          <t>CULLIGAN LATAM EIRELI</t>
        </is>
      </c>
      <c r="D38" s="25" t="n"/>
      <c r="E38" s="28" t="n">
        <v>1391.96</v>
      </c>
      <c r="F38" s="26" t="inlineStr">
        <is>
          <t>Fornecedores / Mercadoria</t>
        </is>
      </c>
      <c r="G38" s="23" t="n"/>
    </row>
    <row r="39">
      <c r="A39" s="17" t="n">
        <v>46126</v>
      </c>
      <c r="B39" s="18" t="inlineStr">
        <is>
          <t>Recebimento à vista Gerado pelo sistema Doc.: 8982 Ordem: 1</t>
        </is>
      </c>
      <c r="C39" s="18" t="inlineStr">
        <is>
          <t>Cielo S. A.</t>
        </is>
      </c>
      <c r="D39" s="27" t="n">
        <v>140</v>
      </c>
      <c r="E39" s="19" t="n"/>
      <c r="F39" s="21" t="n"/>
      <c r="G39" s="18" t="n"/>
    </row>
    <row r="40">
      <c r="A40" s="22" t="n">
        <v>46126</v>
      </c>
      <c r="B40" s="23" t="inlineStr">
        <is>
          <t>Recebimento à vista Gerado pelo sistema Doc.: 8983 Ordem: 1</t>
        </is>
      </c>
      <c r="C40" s="23" t="inlineStr">
        <is>
          <t>Cielo S. A.</t>
        </is>
      </c>
      <c r="D40" s="24" t="n">
        <v>210</v>
      </c>
      <c r="E40" s="25" t="n"/>
      <c r="F40" s="26" t="n"/>
      <c r="G40" s="23" t="n"/>
    </row>
    <row r="41">
      <c r="A41" s="17" t="n">
        <v>46126</v>
      </c>
      <c r="B41" s="18" t="inlineStr">
        <is>
          <t>Recebimento à vista Gerado pelo sistema Doc.: 8984 Ordem: 1</t>
        </is>
      </c>
      <c r="C41" s="18" t="inlineStr">
        <is>
          <t>Cielo S. A.</t>
        </is>
      </c>
      <c r="D41" s="27" t="n">
        <v>140</v>
      </c>
      <c r="E41" s="19" t="n"/>
      <c r="F41" s="21" t="n"/>
      <c r="G41" s="18" t="n"/>
    </row>
    <row r="42">
      <c r="A42" s="22" t="n">
        <v>46126</v>
      </c>
      <c r="B42" s="23" t="inlineStr">
        <is>
          <t>Recebimento à vista Gerado pelo sistema Doc.: 8985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46126</v>
      </c>
      <c r="B43" s="18" t="inlineStr">
        <is>
          <t>Recebimento à vista Gerado pelo sistema Doc.: 8986 Ordem: 1</t>
        </is>
      </c>
      <c r="C43" s="18" t="inlineStr">
        <is>
          <t>Cliente Consumidor</t>
        </is>
      </c>
      <c r="D43" s="27" t="n">
        <v>80</v>
      </c>
      <c r="E43" s="19" t="n"/>
      <c r="F43" s="21" t="n"/>
      <c r="G43" s="18" t="n"/>
    </row>
    <row r="44">
      <c r="A44" s="22" t="n">
        <v>46127</v>
      </c>
      <c r="B44" s="23" t="inlineStr">
        <is>
          <t>Recebimento parcela Gerado pelo sistema. Doc.: 4074 Ordem: 1</t>
        </is>
      </c>
      <c r="C44" s="23" t="inlineStr">
        <is>
          <t>RF SUPERMERCADO BRASIL LTDA</t>
        </is>
      </c>
      <c r="D44" s="24" t="n">
        <v>420</v>
      </c>
      <c r="E44" s="25" t="n"/>
      <c r="F44" s="26" t="n"/>
      <c r="G44" s="23" t="n"/>
    </row>
    <row r="45">
      <c r="A45" s="17" t="n">
        <v>46127</v>
      </c>
      <c r="B45" s="18" t="inlineStr">
        <is>
          <t>Recebimento à vista Gerado pelo sistema. Doc.: 4152 Ordem: 1</t>
        </is>
      </c>
      <c r="C45" s="18" t="inlineStr">
        <is>
          <t>MEU DENTE CLINICA ODONTOLOGICA LTDA</t>
        </is>
      </c>
      <c r="D45" s="27" t="n">
        <v>420</v>
      </c>
      <c r="E45" s="19" t="n"/>
      <c r="F45" s="21" t="n"/>
      <c r="G45" s="18" t="n"/>
    </row>
    <row r="46">
      <c r="A46" s="22" t="n">
        <v>46127</v>
      </c>
      <c r="B46" s="23" t="inlineStr">
        <is>
          <t>Recebimento à vista Gerado pelo sistema. Doc.: 4153 Ordem: 1</t>
        </is>
      </c>
      <c r="C46" s="23" t="inlineStr">
        <is>
          <t>CONSULTORIO ODONTOLOGICO DOUTOR CLEBER DOURADO DE OLIVEIRA</t>
        </is>
      </c>
      <c r="D46" s="24" t="n">
        <v>140</v>
      </c>
      <c r="E46" s="25" t="n"/>
      <c r="F46" s="26" t="n"/>
      <c r="G46" s="23" t="n"/>
    </row>
    <row r="47">
      <c r="A47" s="17" t="n">
        <v>46127</v>
      </c>
      <c r="B47" s="18" t="inlineStr">
        <is>
          <t>Recebimento à vista Gerado pelo sistema Doc.: 8987 Ordem: 1</t>
        </is>
      </c>
      <c r="C47" s="18" t="inlineStr">
        <is>
          <t>EDELZUITA LIMA FERREIRA</t>
        </is>
      </c>
      <c r="D47" s="27" t="n">
        <v>140</v>
      </c>
      <c r="E47" s="19" t="n"/>
      <c r="F47" s="21" t="n"/>
      <c r="G47" s="18" t="n"/>
    </row>
    <row r="48">
      <c r="A48" s="22" t="n">
        <v>46127</v>
      </c>
      <c r="B48" s="23" t="inlineStr">
        <is>
          <t>Recebimento à vista Gerado pelo sistema. Doc.: 4154 Ordem: 1</t>
        </is>
      </c>
      <c r="C48" s="23" t="inlineStr">
        <is>
          <t>SEMECO SERVICOS MEDICOS E CONSULTORIA LTDA</t>
        </is>
      </c>
      <c r="D48" s="24" t="n">
        <v>140</v>
      </c>
      <c r="E48" s="25" t="n"/>
      <c r="F48" s="26" t="n"/>
      <c r="G48" s="23" t="n"/>
    </row>
    <row r="49">
      <c r="A49" s="17" t="n">
        <v>46127</v>
      </c>
      <c r="B49" s="18" t="inlineStr">
        <is>
          <t>Recebimento à vista Gerado pelo sistema. Doc.: 4155 Ordem: 1</t>
        </is>
      </c>
      <c r="C49" s="18" t="inlineStr">
        <is>
          <t>CLINICA MEDICA ODONTO FIS - LAR PROTEGIDO</t>
        </is>
      </c>
      <c r="D49" s="27" t="n">
        <v>399.99</v>
      </c>
      <c r="E49" s="19" t="n"/>
      <c r="F49" s="21" t="n"/>
      <c r="G49" s="18" t="n"/>
    </row>
    <row r="50">
      <c r="A50" s="22" t="n">
        <v>46127</v>
      </c>
      <c r="B50" s="23" t="inlineStr">
        <is>
          <t>Recebimento à vista Gerado pelo sistema Doc.: 8988 Ordem: 1</t>
        </is>
      </c>
      <c r="C50" s="23" t="inlineStr">
        <is>
          <t>SAMIRA LEAL VILAS BOAS</t>
        </is>
      </c>
      <c r="D50" s="24" t="n">
        <v>140</v>
      </c>
      <c r="E50" s="25" t="n"/>
      <c r="F50" s="26" t="n"/>
      <c r="G50" s="23" t="n"/>
    </row>
    <row r="51">
      <c r="A51" s="17" t="n">
        <v>46127</v>
      </c>
      <c r="B51" s="18" t="inlineStr">
        <is>
          <t>Pagamento parcela TARCISIO OLIVEIRA LIMA Doc.: 1 Ordem: 14</t>
        </is>
      </c>
      <c r="C51" s="18" t="inlineStr">
        <is>
          <t>TARCISIO OLIVEIRA LIMA</t>
        </is>
      </c>
      <c r="D51" s="19" t="n"/>
      <c r="E51" s="20" t="n">
        <v>486.32</v>
      </c>
      <c r="F51" s="21" t="inlineStr">
        <is>
          <t>Contabilidade</t>
        </is>
      </c>
      <c r="G51" s="18" t="n"/>
    </row>
    <row r="52">
      <c r="A52" s="22" t="n">
        <v>46127</v>
      </c>
      <c r="B52" s="23" t="inlineStr">
        <is>
          <t>Pagamento parcela JAMEF Doc.: 1 Ordem: 39</t>
        </is>
      </c>
      <c r="C52" s="23" t="inlineStr">
        <is>
          <t>JAMEF TRANSPORTES LTDA</t>
        </is>
      </c>
      <c r="D52" s="25" t="n"/>
      <c r="E52" s="28" t="n">
        <v>403.56</v>
      </c>
      <c r="F52" s="26" t="inlineStr">
        <is>
          <t>Transporte e Entregas</t>
        </is>
      </c>
      <c r="G52" s="23" t="n"/>
    </row>
    <row r="53">
      <c r="A53" s="17" t="n">
        <v>46127</v>
      </c>
      <c r="B53" s="18" t="inlineStr">
        <is>
          <t>Pagamento parcela Gerado pelo sistema - nº 368529 Doc.: 368529 Ord</t>
        </is>
      </c>
      <c r="C53" s="18" t="inlineStr">
        <is>
          <t>EVEREST REFRIGERACAO E INDUSTRIA</t>
        </is>
      </c>
      <c r="D53" s="19" t="n"/>
      <c r="E53" s="20" t="n">
        <v>883.1</v>
      </c>
      <c r="F53" s="21" t="inlineStr">
        <is>
          <t>Fornecedores / Mercadoria</t>
        </is>
      </c>
      <c r="G53" s="18" t="n"/>
    </row>
    <row r="54">
      <c r="A54" s="22" t="n">
        <v>46128</v>
      </c>
      <c r="B54" s="23" t="inlineStr">
        <is>
          <t>Estorno de recebimento do documento: Gerado pelo sistema. Doc.: 41</t>
        </is>
      </c>
      <c r="C54" s="23" t="inlineStr">
        <is>
          <t>MEU DENTE CLINICA ODONTOLOGICA LTDA</t>
        </is>
      </c>
      <c r="D54" s="25" t="n"/>
      <c r="E54" s="28" t="n">
        <v>420</v>
      </c>
      <c r="F54" s="26" t="inlineStr">
        <is>
          <t>Estornos de Vendas (Cancelamentos)</t>
        </is>
      </c>
      <c r="G54" s="23" t="n"/>
    </row>
    <row r="55">
      <c r="A55" s="17" t="n">
        <v>46128</v>
      </c>
      <c r="B55" s="18" t="inlineStr">
        <is>
          <t>Recebimento à vista Gerado pelo sistema. Doc.: 4156 Ordem: 1</t>
        </is>
      </c>
      <c r="C55" s="18" t="inlineStr">
        <is>
          <t>MEU DENTE CLINICA ODONTOLOGICA LTDA</t>
        </is>
      </c>
      <c r="D55" s="27" t="n">
        <v>280</v>
      </c>
      <c r="E55" s="19" t="n"/>
      <c r="F55" s="21" t="n"/>
      <c r="G55" s="18" t="n"/>
    </row>
    <row r="56">
      <c r="A56" s="22" t="n">
        <v>46128</v>
      </c>
      <c r="B56" s="23" t="inlineStr">
        <is>
          <t>Recebimento à vista Gerado pelo sistema Doc.: 8989 Ordem: 1</t>
        </is>
      </c>
      <c r="C56" s="23" t="inlineStr">
        <is>
          <t>Cielo S. A.</t>
        </is>
      </c>
      <c r="D56" s="24" t="n">
        <v>140</v>
      </c>
      <c r="E56" s="25" t="n"/>
      <c r="F56" s="26" t="n"/>
      <c r="G56" s="23" t="n"/>
    </row>
    <row r="57">
      <c r="A57" s="17" t="n">
        <v>46128</v>
      </c>
      <c r="B57" s="18" t="inlineStr">
        <is>
          <t>Recebimento à vista Gerado pelo sistema Doc.: 8990 Ordem: 1</t>
        </is>
      </c>
      <c r="C57" s="18" t="inlineStr">
        <is>
          <t>IEDA REGO DE MATOS</t>
        </is>
      </c>
      <c r="D57" s="27" t="n">
        <v>150</v>
      </c>
      <c r="E57" s="19" t="n"/>
      <c r="F57" s="21" t="n"/>
      <c r="G57" s="18" t="n"/>
    </row>
    <row r="58">
      <c r="A58" s="22" t="n">
        <v>46128</v>
      </c>
      <c r="B58" s="23" t="inlineStr">
        <is>
          <t>Recebimento à vista Gerado pelo sistema. Doc.: 4157 Ordem: 1</t>
        </is>
      </c>
      <c r="C58" s="23" t="inlineStr">
        <is>
          <t>INT ODONTOLOGIA LTDA</t>
        </is>
      </c>
      <c r="D58" s="24" t="n">
        <v>110</v>
      </c>
      <c r="E58" s="25" t="n"/>
      <c r="F58" s="26" t="n"/>
      <c r="G58" s="23" t="n"/>
    </row>
    <row r="59">
      <c r="A59" s="17" t="n">
        <v>46128</v>
      </c>
      <c r="B59" s="18" t="inlineStr">
        <is>
          <t>Recebimento à vista Gerado pelo sistema Doc.: 8991 Ordem: 1</t>
        </is>
      </c>
      <c r="C59" s="18" t="inlineStr">
        <is>
          <t>SAMIRA LEAL VILAS BOAS</t>
        </is>
      </c>
      <c r="D59" s="27" t="n">
        <v>130</v>
      </c>
      <c r="E59" s="19" t="n"/>
      <c r="F59" s="21" t="n"/>
      <c r="G59" s="18" t="n"/>
    </row>
    <row r="60">
      <c r="A60" s="22" t="n">
        <v>46128</v>
      </c>
      <c r="B60" s="23" t="inlineStr">
        <is>
          <t>Recebimento à vista Gerado pelo sistema Doc.: 8992 Ordem: 1</t>
        </is>
      </c>
      <c r="C60" s="23" t="inlineStr">
        <is>
          <t>Cielo S. A.</t>
        </is>
      </c>
      <c r="D60" s="24" t="n">
        <v>140</v>
      </c>
      <c r="E60" s="25" t="n"/>
      <c r="F60" s="26" t="n"/>
      <c r="G60" s="23" t="n"/>
    </row>
    <row r="61">
      <c r="A61" s="17" t="n">
        <v>46128</v>
      </c>
      <c r="B61" s="18" t="inlineStr">
        <is>
          <t>Recebimento à vista Gerado pelo sistema Doc.: 8993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46128</v>
      </c>
      <c r="B62" s="23" t="inlineStr">
        <is>
          <t>Recebimento à vista Gerado pelo sistema Doc.: 8994 Ordem: 1</t>
        </is>
      </c>
      <c r="C62" s="23" t="inlineStr">
        <is>
          <t>Cliente Consumidor</t>
        </is>
      </c>
      <c r="D62" s="24" t="n">
        <v>30</v>
      </c>
      <c r="E62" s="25" t="n"/>
      <c r="F62" s="26" t="n"/>
      <c r="G62" s="23" t="n"/>
    </row>
    <row r="63">
      <c r="A63" s="17" t="n">
        <v>46128</v>
      </c>
      <c r="B63" s="18" t="inlineStr">
        <is>
          <t>Recebimento à vista Gerado pelo sistema Doc.: 8995 Ordem: 1</t>
        </is>
      </c>
      <c r="C63" s="18" t="inlineStr">
        <is>
          <t>JORGE SAMUEL MENDES MORAES</t>
        </is>
      </c>
      <c r="D63" s="27" t="n">
        <v>200</v>
      </c>
      <c r="E63" s="19" t="n"/>
      <c r="F63" s="21" t="n"/>
      <c r="G63" s="18" t="n"/>
    </row>
    <row r="64">
      <c r="A64" s="22" t="n">
        <v>46128</v>
      </c>
      <c r="B64" s="23" t="inlineStr">
        <is>
          <t>Recebimento à vista Gerado pelo sistema Doc.: 8996 Ordem: 1</t>
        </is>
      </c>
      <c r="C64" s="23" t="inlineStr">
        <is>
          <t>Cliente Consumidor</t>
        </is>
      </c>
      <c r="D64" s="24" t="n">
        <v>85</v>
      </c>
      <c r="E64" s="25" t="n"/>
      <c r="F64" s="26" t="n"/>
      <c r="G64" s="23" t="n"/>
    </row>
    <row r="65">
      <c r="A65" s="17" t="n">
        <v>46128</v>
      </c>
      <c r="B65" s="18" t="inlineStr">
        <is>
          <t>Recebimento à vista Gerado pelo sistema Doc.: 8997 Ordem: 1</t>
        </is>
      </c>
      <c r="C65" s="18" t="inlineStr">
        <is>
          <t>Cliente Consumidor</t>
        </is>
      </c>
      <c r="D65" s="27" t="n">
        <v>65</v>
      </c>
      <c r="E65" s="19" t="n"/>
      <c r="F65" s="21" t="n"/>
      <c r="G65" s="18" t="n"/>
    </row>
    <row r="66">
      <c r="A66" s="22" t="n">
        <v>46128</v>
      </c>
      <c r="B66" s="23" t="inlineStr">
        <is>
          <t>Recebimento parcela Gerado pelo sistema. Doc.: 4140 Ordem: 1</t>
        </is>
      </c>
      <c r="C66" s="23" t="inlineStr">
        <is>
          <t>TROPICAL MOTOS LTDA</t>
        </is>
      </c>
      <c r="D66" s="24" t="n">
        <v>140</v>
      </c>
      <c r="E66" s="25" t="n"/>
      <c r="F66" s="26" t="n"/>
      <c r="G66" s="23" t="n"/>
    </row>
    <row r="67">
      <c r="A67" s="17" t="n">
        <v>46129</v>
      </c>
      <c r="B67" s="18" t="inlineStr">
        <is>
          <t>Recebimento à vista Gerado pelo sistema Doc.: 8998 Ordem: 1</t>
        </is>
      </c>
      <c r="C67" s="18" t="inlineStr">
        <is>
          <t>WAGNER OLIVEIRA MENEZES - KETINA SILVA</t>
        </is>
      </c>
      <c r="D67" s="27" t="n">
        <v>190</v>
      </c>
      <c r="E67" s="19" t="n"/>
      <c r="F67" s="21" t="n"/>
      <c r="G67" s="18" t="n"/>
    </row>
    <row r="68">
      <c r="A68" s="22" t="n">
        <v>46129</v>
      </c>
      <c r="B68" s="23" t="inlineStr">
        <is>
          <t>Recebimento à vista Gerado pelo sistema Doc.: 8999 Ordem: 1</t>
        </is>
      </c>
      <c r="C68" s="23" t="inlineStr">
        <is>
          <t>Cielo S. A.</t>
        </is>
      </c>
      <c r="D68" s="24" t="n">
        <v>35</v>
      </c>
      <c r="E68" s="25" t="n"/>
      <c r="F68" s="26" t="n"/>
      <c r="G68" s="23" t="n"/>
    </row>
    <row r="69">
      <c r="A69" s="17" t="n">
        <v>46129</v>
      </c>
      <c r="B69" s="18" t="inlineStr">
        <is>
          <t>Recebimento à vista Gerado pelo sistema Doc.: 9000 Ordem: 1</t>
        </is>
      </c>
      <c r="C69" s="18" t="inlineStr">
        <is>
          <t>Cliente Consumidor</t>
        </is>
      </c>
      <c r="D69" s="27" t="n">
        <v>70</v>
      </c>
      <c r="E69" s="19" t="n"/>
      <c r="F69" s="21" t="n"/>
      <c r="G69" s="18" t="n"/>
    </row>
    <row r="70">
      <c r="A70" s="22" t="n">
        <v>46130</v>
      </c>
      <c r="B70" s="23" t="inlineStr">
        <is>
          <t>Recebimento à vista Gerado pelo sistema Doc.: 9001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46130</v>
      </c>
      <c r="B71" s="18" t="inlineStr">
        <is>
          <t>Recebimento à vista Gerado pelo sistema. Doc.: 4161 Ordem: 1</t>
        </is>
      </c>
      <c r="C71" s="18" t="inlineStr">
        <is>
          <t>QUITERIA NUNES DE SOUZA</t>
        </is>
      </c>
      <c r="D71" s="27" t="n">
        <v>1348</v>
      </c>
      <c r="E71" s="19" t="n"/>
      <c r="F71" s="21" t="n"/>
      <c r="G71" s="18" t="n"/>
    </row>
    <row r="72">
      <c r="A72" s="22" t="n">
        <v>46130</v>
      </c>
      <c r="B72" s="23" t="inlineStr">
        <is>
          <t>Recebimento à vista Gerado pelo sistema Doc.: 9002 Ordem: 1</t>
        </is>
      </c>
      <c r="C72" s="23" t="inlineStr">
        <is>
          <t>Cielo S. A.</t>
        </is>
      </c>
      <c r="D72" s="24" t="n">
        <v>90</v>
      </c>
      <c r="E72" s="25" t="n"/>
      <c r="F72" s="26" t="n"/>
      <c r="G72" s="23" t="n"/>
    </row>
    <row r="73">
      <c r="A73" s="17" t="n">
        <v>46132</v>
      </c>
      <c r="B73" s="18" t="inlineStr">
        <is>
          <t>Recebimento à vista Gerado pelo sistema Doc.: 9003 Ordem: 1</t>
        </is>
      </c>
      <c r="C73" s="18" t="inlineStr">
        <is>
          <t>Cliente Consumidor</t>
        </is>
      </c>
      <c r="D73" s="27" t="n">
        <v>400</v>
      </c>
      <c r="E73" s="19" t="n"/>
      <c r="F73" s="21" t="n"/>
      <c r="G73" s="18" t="n"/>
    </row>
    <row r="74">
      <c r="A74" s="22" t="n">
        <v>46132</v>
      </c>
      <c r="B74" s="23" t="inlineStr">
        <is>
          <t>Recebimento à vista Gerado pelo sistema. Doc.: 4162 Ordem: 1</t>
        </is>
      </c>
      <c r="C74" s="23" t="inlineStr">
        <is>
          <t>Rafael Mesquita Victoria</t>
        </is>
      </c>
      <c r="D74" s="24" t="n">
        <v>1448</v>
      </c>
      <c r="E74" s="25" t="n"/>
      <c r="F74" s="26" t="n"/>
      <c r="G74" s="23" t="n"/>
    </row>
    <row r="75">
      <c r="A75" s="17" t="n">
        <v>46132</v>
      </c>
      <c r="B75" s="18" t="inlineStr">
        <is>
          <t>Pagamento parcela GDF GUIA DO FGTS DIGITAL Doc.: 1 Ordem: 69</t>
        </is>
      </c>
      <c r="C75" s="18" t="inlineStr">
        <is>
          <t>PLANETA AGUA LTDA</t>
        </is>
      </c>
      <c r="D75" s="19" t="n"/>
      <c r="E75" s="20" t="n">
        <v>149.12</v>
      </c>
      <c r="F75" s="21" t="inlineStr">
        <is>
          <t>Impostos e Taxas</t>
        </is>
      </c>
      <c r="G75" s="18" t="n"/>
    </row>
    <row r="76">
      <c r="A76" s="22" t="n">
        <v>46132</v>
      </c>
      <c r="B76" s="23" t="inlineStr">
        <is>
          <t>Pagamento parcela DOCUMENTO DE ARRECADAÇÃO DE RECEITAS FE</t>
        </is>
      </c>
      <c r="C76" s="23" t="inlineStr">
        <is>
          <t>PLANETA AGUA LTDA</t>
        </is>
      </c>
      <c r="D76" s="25" t="n"/>
      <c r="E76" s="28" t="n">
        <v>319.29</v>
      </c>
      <c r="F76" s="26" t="inlineStr">
        <is>
          <t>Impostos e Taxas</t>
        </is>
      </c>
      <c r="G76" s="23" t="n"/>
    </row>
    <row r="77">
      <c r="A77" s="17" t="n">
        <v>46132</v>
      </c>
      <c r="B77" s="18" t="inlineStr">
        <is>
          <t>Pagamento parcela Gerado pelo sistema - nº 128882 Doc.: 128882 Ord</t>
        </is>
      </c>
      <c r="C77" s="18" t="inlineStr">
        <is>
          <t>FILTROS PLANETA AGUA IND E COM LTDA</t>
        </is>
      </c>
      <c r="D77" s="19" t="n"/>
      <c r="E77" s="20" t="n">
        <v>600.64</v>
      </c>
      <c r="F77" s="21" t="inlineStr">
        <is>
          <t>Fornecedores / Mercadoria</t>
        </is>
      </c>
      <c r="G77" s="18" t="n"/>
    </row>
    <row r="78">
      <c r="A78" s="22" t="n">
        <v>46132</v>
      </c>
      <c r="B78" s="23" t="inlineStr">
        <is>
          <t>Pagamento parcela SIMPLES NACIONAL Doc.: 1 Ordem: 71</t>
        </is>
      </c>
      <c r="C78" s="23" t="inlineStr">
        <is>
          <t>PLANETA AGUA LTDA</t>
        </is>
      </c>
      <c r="D78" s="25" t="n"/>
      <c r="E78" s="28" t="n">
        <v>1858.96</v>
      </c>
      <c r="F78" s="26" t="inlineStr">
        <is>
          <t>Impostos e Taxas</t>
        </is>
      </c>
      <c r="G78" s="23" t="n"/>
    </row>
    <row r="79">
      <c r="A79" s="17" t="n">
        <v>46132</v>
      </c>
      <c r="B79" s="18" t="inlineStr">
        <is>
          <t>Pagamento parcela Gerado pelo sistema - nº 70444 Doc.: 70444 Orde</t>
        </is>
      </c>
      <c r="C79" s="18" t="inlineStr">
        <is>
          <t>EVERSOFT IND E COM DE PLASTICOS LTDA</t>
        </is>
      </c>
      <c r="D79" s="19" t="n"/>
      <c r="E79" s="20" t="n">
        <v>541.37</v>
      </c>
      <c r="F79" s="21" t="inlineStr">
        <is>
          <t>Fornecedores / Mercadoria</t>
        </is>
      </c>
      <c r="G79" s="18" t="n"/>
    </row>
    <row r="80">
      <c r="A80" s="22" t="n">
        <v>46132</v>
      </c>
      <c r="B80" s="23" t="inlineStr">
        <is>
          <t>Pagamento parcela Gerado pelo sistema - nº 71084 Doc.: 71084 Orde</t>
        </is>
      </c>
      <c r="C80" s="23" t="inlineStr">
        <is>
          <t>EVERSOFT IND E COM DE PLASTICOS LTDA</t>
        </is>
      </c>
      <c r="D80" s="25" t="n"/>
      <c r="E80" s="28" t="n">
        <v>878.92</v>
      </c>
      <c r="F80" s="26" t="inlineStr">
        <is>
          <t>Fornecedores / Mercadoria</t>
        </is>
      </c>
      <c r="G80" s="23" t="n"/>
    </row>
    <row r="81">
      <c r="A81" s="17" t="n">
        <v>46132</v>
      </c>
      <c r="B81" s="18" t="inlineStr">
        <is>
          <t>Recebimento parcela Gerado pelo sistema. Doc.: 4151 Ordem: 1</t>
        </is>
      </c>
      <c r="C81" s="18" t="inlineStr">
        <is>
          <t>RF SUPERMERCADO BRASIL LTDA</t>
        </is>
      </c>
      <c r="D81" s="27" t="n">
        <v>140</v>
      </c>
      <c r="E81" s="19" t="n"/>
      <c r="F81" s="21" t="n"/>
      <c r="G81" s="18" t="n"/>
    </row>
    <row r="82">
      <c r="A82" s="22" t="n">
        <v>46134</v>
      </c>
      <c r="B82" s="23" t="inlineStr">
        <is>
          <t>Recebimento à vista Gerado pelo sistema Doc.: 9004 Ordem: 1</t>
        </is>
      </c>
      <c r="C82" s="23" t="inlineStr">
        <is>
          <t>VALDICE FONTES DA SILVA</t>
        </is>
      </c>
      <c r="D82" s="24" t="n">
        <v>140</v>
      </c>
      <c r="E82" s="25" t="n"/>
      <c r="F82" s="26" t="n"/>
      <c r="G82" s="23" t="n"/>
    </row>
    <row r="83">
      <c r="A83" s="17" t="n">
        <v>46134</v>
      </c>
      <c r="B83" s="18" t="inlineStr">
        <is>
          <t>Recebimento à vista Gerado pelo sistema Doc.: 9005 Ordem: 1</t>
        </is>
      </c>
      <c r="C83" s="18" t="inlineStr">
        <is>
          <t>Cielo S. A.</t>
        </is>
      </c>
      <c r="D83" s="27" t="n">
        <v>37</v>
      </c>
      <c r="E83" s="19" t="n"/>
      <c r="F83" s="21" t="n"/>
      <c r="G83" s="18" t="n"/>
    </row>
    <row r="84">
      <c r="A84" s="22" t="n">
        <v>46134</v>
      </c>
      <c r="B84" s="23" t="inlineStr">
        <is>
          <t>Recebimento à vista Gerado pelo sistema Doc.: 9006 Ordem: 1</t>
        </is>
      </c>
      <c r="C84" s="23" t="inlineStr">
        <is>
          <t>Cliente Consumidor</t>
        </is>
      </c>
      <c r="D84" s="24" t="n">
        <v>140</v>
      </c>
      <c r="E84" s="25" t="n"/>
      <c r="F84" s="26" t="n"/>
      <c r="G84" s="23" t="n"/>
    </row>
    <row r="85">
      <c r="A85" s="17" t="n">
        <v>46135</v>
      </c>
      <c r="B85" s="18" t="inlineStr">
        <is>
          <t>Recebimento à vista Gerado pelo sistema. Doc.: 4165 Ordem: 1</t>
        </is>
      </c>
      <c r="C85" s="18" t="inlineStr">
        <is>
          <t>LAPEC LAB - LABORATORIO DE ANALISES E PESQUISAS CLINICAS LTDA</t>
        </is>
      </c>
      <c r="D85" s="27" t="n">
        <v>120</v>
      </c>
      <c r="E85" s="19" t="n"/>
      <c r="F85" s="21" t="n"/>
      <c r="G85" s="18" t="n"/>
    </row>
    <row r="86">
      <c r="A86" s="22" t="n">
        <v>46135</v>
      </c>
      <c r="B86" s="23" t="inlineStr">
        <is>
          <t>Recebimento à vista Gerado pelo sistema. Doc.: 4166 Ordem: 1</t>
        </is>
      </c>
      <c r="C86" s="23" t="inlineStr">
        <is>
          <t>INSTITUTO IRMAS DO DIVINO ESPIRITO SANTO</t>
        </is>
      </c>
      <c r="D86" s="24" t="n">
        <v>140</v>
      </c>
      <c r="E86" s="25" t="n"/>
      <c r="F86" s="26" t="n"/>
      <c r="G86" s="23" t="n"/>
    </row>
    <row r="87">
      <c r="A87" s="17" t="n">
        <v>46135</v>
      </c>
      <c r="B87" s="18" t="inlineStr">
        <is>
          <t>Recebimento à vista Gerado pelo sistema. Doc.: 4167 Ordem: 1</t>
        </is>
      </c>
      <c r="C87" s="18" t="inlineStr">
        <is>
          <t>JACOBINA MATERIAL DE LIMPEZA EIRELI</t>
        </is>
      </c>
      <c r="D87" s="27" t="n">
        <v>140</v>
      </c>
      <c r="E87" s="19" t="n"/>
      <c r="F87" s="21" t="n"/>
      <c r="G87" s="18" t="n"/>
    </row>
    <row r="88">
      <c r="A88" s="22" t="n">
        <v>46135</v>
      </c>
      <c r="B88" s="23" t="inlineStr">
        <is>
          <t>Recebimento à vista Gerado pelo sistema. Doc.: 4168 Ordem: 1</t>
        </is>
      </c>
      <c r="C88" s="23" t="inlineStr">
        <is>
          <t>COOPERATIVA DE CREDITO SICOOB SERTAO LTDA.</t>
        </is>
      </c>
      <c r="D88" s="24" t="n">
        <v>140</v>
      </c>
      <c r="E88" s="25" t="n"/>
      <c r="F88" s="26" t="n"/>
      <c r="G88" s="23" t="n"/>
    </row>
    <row r="89">
      <c r="A89" s="17" t="n">
        <v>46135</v>
      </c>
      <c r="B89" s="18" t="inlineStr">
        <is>
          <t>Recebimento à vista Gerado pelo sistema. Doc.: 4169 Ordem: 1</t>
        </is>
      </c>
      <c r="C89" s="18" t="inlineStr">
        <is>
          <t>SOCIEDADE EDUCACIONAL DE JACOBINA LTDA</t>
        </is>
      </c>
      <c r="D89" s="27" t="n">
        <v>140</v>
      </c>
      <c r="E89" s="19" t="n"/>
      <c r="F89" s="21" t="n"/>
      <c r="G89" s="18" t="n"/>
    </row>
    <row r="90">
      <c r="A90" s="22" t="n">
        <v>46135</v>
      </c>
      <c r="B90" s="23" t="inlineStr">
        <is>
          <t>Recebimento à vista Gerado pelo sistema Doc.: 9007 Ordem: 1</t>
        </is>
      </c>
      <c r="C90" s="23" t="inlineStr">
        <is>
          <t>EDIANE GUIMARAES DE SOUZA</t>
        </is>
      </c>
      <c r="D90" s="24" t="n">
        <v>190</v>
      </c>
      <c r="E90" s="25" t="n"/>
      <c r="F90" s="26" t="n"/>
      <c r="G90" s="23" t="n"/>
    </row>
    <row r="91">
      <c r="A91" s="17" t="n">
        <v>46135</v>
      </c>
      <c r="B91" s="18" t="inlineStr">
        <is>
          <t>Recebimento à vista Gerado pelo sistema. Doc.: 4171 Ordem: 1</t>
        </is>
      </c>
      <c r="C91" s="18" t="inlineStr">
        <is>
          <t>CLAUDIANA PEREIRA CARVALHO OLIVEIRA</t>
        </is>
      </c>
      <c r="D91" s="27" t="n">
        <v>1298</v>
      </c>
      <c r="E91" s="19" t="n"/>
      <c r="F91" s="21" t="n"/>
      <c r="G91" s="18" t="n"/>
    </row>
    <row r="92">
      <c r="A92" s="22" t="n">
        <v>46135</v>
      </c>
      <c r="B92" s="23" t="inlineStr">
        <is>
          <t>Recebimento à vista Gerado pelo sistema Doc.: 9008 Ordem: 1</t>
        </is>
      </c>
      <c r="C92" s="23" t="inlineStr">
        <is>
          <t>Cliente Consumidor</t>
        </is>
      </c>
      <c r="D92" s="24" t="n">
        <v>160</v>
      </c>
      <c r="E92" s="25" t="n"/>
      <c r="F92" s="26" t="n"/>
      <c r="G92" s="23" t="n"/>
    </row>
    <row r="93">
      <c r="A93" s="17" t="n">
        <v>46135</v>
      </c>
      <c r="B93" s="18" t="inlineStr">
        <is>
          <t>Recebimento à vista Gerado pelo sistema Doc.: 9009 Ordem: 1</t>
        </is>
      </c>
      <c r="C93" s="18" t="inlineStr">
        <is>
          <t>ANA CRISTINA DA SILVA TEIXEIRA</t>
        </is>
      </c>
      <c r="D93" s="27" t="n">
        <v>340</v>
      </c>
      <c r="E93" s="19" t="n"/>
      <c r="F93" s="21" t="n"/>
      <c r="G93" s="18" t="n"/>
    </row>
    <row r="94">
      <c r="A94" s="22" t="n">
        <v>46136</v>
      </c>
      <c r="B94" s="23" t="inlineStr">
        <is>
          <t>Recebimento à vista Gerado pelo sistema. Doc.: 4172 Ordem: 1</t>
        </is>
      </c>
      <c r="C94" s="23" t="inlineStr">
        <is>
          <t>REGINALDO SANTOS DA SILVA</t>
        </is>
      </c>
      <c r="D94" s="24" t="n">
        <v>140</v>
      </c>
      <c r="E94" s="25" t="n"/>
      <c r="F94" s="26" t="n"/>
      <c r="G94" s="23" t="n"/>
    </row>
    <row r="95">
      <c r="A95" s="17" t="n">
        <v>46136</v>
      </c>
      <c r="B95" s="18" t="inlineStr">
        <is>
          <t>Recebimento à vista Gerado pelo sistema Doc.: 9010 Ordem: 1</t>
        </is>
      </c>
      <c r="C95" s="18" t="inlineStr">
        <is>
          <t>Cliente Consumidor</t>
        </is>
      </c>
      <c r="D95" s="27" t="n">
        <v>25</v>
      </c>
      <c r="E95" s="19" t="n"/>
      <c r="F95" s="21" t="n"/>
      <c r="G95" s="18" t="n"/>
    </row>
    <row r="96">
      <c r="A96" s="22" t="n">
        <v>46136</v>
      </c>
      <c r="B96" s="23" t="inlineStr">
        <is>
          <t>Recebimento à vista Gerado pelo sistema Doc.: 9011 Ordem: 1</t>
        </is>
      </c>
      <c r="C96" s="23" t="inlineStr">
        <is>
          <t>Cliente Consumidor</t>
        </is>
      </c>
      <c r="D96" s="24" t="n">
        <v>50</v>
      </c>
      <c r="E96" s="25" t="n"/>
      <c r="F96" s="26" t="n"/>
      <c r="G96" s="23" t="n"/>
    </row>
    <row r="97">
      <c r="A97" s="17" t="n">
        <v>46136</v>
      </c>
      <c r="B97" s="18" t="inlineStr">
        <is>
          <t>Recebimento à vista Gerado pelo sistema. Doc.: 4173 Ordem: 1</t>
        </is>
      </c>
      <c r="C97" s="18" t="inlineStr">
        <is>
          <t>SUPER JACOBINA DISTRIBUIDORA DE GAS</t>
        </is>
      </c>
      <c r="D97" s="27" t="n">
        <v>170</v>
      </c>
      <c r="E97" s="19" t="n"/>
      <c r="F97" s="21" t="n"/>
      <c r="G97" s="18" t="n"/>
    </row>
    <row r="98">
      <c r="A98" s="22" t="n">
        <v>46137</v>
      </c>
      <c r="B98" s="23" t="inlineStr">
        <is>
          <t>Recebimento parcela Gerado pelo sistema Doc.: 9012 Ordem: 1</t>
        </is>
      </c>
      <c r="C98" s="23" t="inlineStr">
        <is>
          <t>MARICELIA SANTANA SILVA</t>
        </is>
      </c>
      <c r="D98" s="24" t="n">
        <v>100</v>
      </c>
      <c r="E98" s="25" t="n"/>
      <c r="F98" s="26" t="n"/>
      <c r="G98" s="23" t="n"/>
    </row>
    <row r="99">
      <c r="A99" s="17" t="n">
        <v>46137</v>
      </c>
      <c r="B99" s="18" t="inlineStr">
        <is>
          <t>Recebimento à vista Gerado pelo sistema Doc.: 9013 Ordem: 1</t>
        </is>
      </c>
      <c r="C99" s="18" t="inlineStr">
        <is>
          <t>Cielo S. A.</t>
        </is>
      </c>
      <c r="D99" s="27" t="n">
        <v>140</v>
      </c>
      <c r="E99" s="19" t="n"/>
      <c r="F99" s="21" t="n"/>
      <c r="G99" s="18" t="n"/>
    </row>
    <row r="100">
      <c r="A100" s="22" t="n">
        <v>46137</v>
      </c>
      <c r="B100" s="23" t="inlineStr">
        <is>
          <t>Recebimento à vista Gerado pelo sistema Doc.: 9014 Ordem: 1</t>
        </is>
      </c>
      <c r="C100" s="23" t="inlineStr">
        <is>
          <t>Cielo S. A.</t>
        </is>
      </c>
      <c r="D100" s="24" t="n">
        <v>140</v>
      </c>
      <c r="E100" s="25" t="n"/>
      <c r="F100" s="26" t="n"/>
      <c r="G100" s="23" t="n"/>
    </row>
    <row r="101">
      <c r="A101" s="17" t="n">
        <v>46137</v>
      </c>
      <c r="B101" s="18" t="inlineStr">
        <is>
          <t>Recebimento à vista Gerado pelo sistema Doc.: 9015 Ordem: 1</t>
        </is>
      </c>
      <c r="C101" s="18" t="inlineStr">
        <is>
          <t>Cliente Consumidor</t>
        </is>
      </c>
      <c r="D101" s="27" t="n">
        <v>30</v>
      </c>
      <c r="E101" s="19" t="n"/>
      <c r="F101" s="21" t="n"/>
      <c r="G101" s="18" t="n"/>
    </row>
    <row r="102">
      <c r="A102" s="22" t="n">
        <v>46137</v>
      </c>
      <c r="B102" s="23" t="inlineStr">
        <is>
          <t>Pagamento parcela Gerado pelo sistema - nº 371358 Doc.: 371358 Ord</t>
        </is>
      </c>
      <c r="C102" s="23" t="inlineStr">
        <is>
          <t>EVEREST REFRIGERACAO E INDUSTRIA</t>
        </is>
      </c>
      <c r="D102" s="25" t="n"/>
      <c r="E102" s="28" t="n">
        <v>676.59</v>
      </c>
      <c r="F102" s="26" t="inlineStr">
        <is>
          <t>Fornecedores / Mercadoria</t>
        </is>
      </c>
      <c r="G102" s="23" t="n"/>
    </row>
    <row r="103">
      <c r="A103" s="17" t="n">
        <v>46137</v>
      </c>
      <c r="B103" s="18" t="inlineStr">
        <is>
          <t>Pagamento parcela DAE Doc.: 1 Ordem: 72</t>
        </is>
      </c>
      <c r="C103" s="18" t="inlineStr">
        <is>
          <t>PLANETA AGUA LTDA</t>
        </is>
      </c>
      <c r="D103" s="19" t="n"/>
      <c r="E103" s="20" t="n">
        <v>860.72</v>
      </c>
      <c r="F103" s="21" t="inlineStr">
        <is>
          <t>Impostos e Taxas</t>
        </is>
      </c>
      <c r="G103" s="18" t="n"/>
    </row>
    <row r="104">
      <c r="A104" s="22" t="n">
        <v>46139</v>
      </c>
      <c r="B104" s="23" t="inlineStr">
        <is>
          <t>Recebimento à vista Gerado pelo sistema. Doc.: 4174 Ordem: 1</t>
        </is>
      </c>
      <c r="C104" s="23" t="inlineStr">
        <is>
          <t>CHAPADA OURO SERVICOS LTDA</t>
        </is>
      </c>
      <c r="D104" s="24" t="n">
        <v>160</v>
      </c>
      <c r="E104" s="25" t="n"/>
      <c r="F104" s="26" t="n"/>
      <c r="G104" s="23" t="n"/>
    </row>
    <row r="105">
      <c r="A105" s="17" t="n">
        <v>46139</v>
      </c>
      <c r="B105" s="18" t="inlineStr">
        <is>
          <t>Recebimento à vista Gerado pelo sistema Doc.: 9016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46139</v>
      </c>
      <c r="B106" s="23" t="inlineStr">
        <is>
          <t>Recebimento à vista Gerado pelo sistema. Doc.: 4175 Ordem: 1</t>
        </is>
      </c>
      <c r="C106" s="23" t="inlineStr">
        <is>
          <t>RASGA PRECO COMERCIO DE CONFECCOES E ELETRODOMESTICOS LTDA EPP</t>
        </is>
      </c>
      <c r="D106" s="24" t="n">
        <v>200</v>
      </c>
      <c r="E106" s="25" t="n"/>
      <c r="F106" s="26" t="n"/>
      <c r="G106" s="23" t="n"/>
    </row>
    <row r="107">
      <c r="A107" s="17" t="n">
        <v>46139</v>
      </c>
      <c r="B107" s="18" t="inlineStr">
        <is>
          <t>Pagamento parcela Gerado pelo sistema - nº 69107 Doc.: 69107 Orde</t>
        </is>
      </c>
      <c r="C107" s="18" t="inlineStr">
        <is>
          <t>EVERSOFT IND E COM DE PLASTICOS LTDA</t>
        </is>
      </c>
      <c r="D107" s="19" t="n"/>
      <c r="E107" s="20" t="n">
        <v>980.8099999999999</v>
      </c>
      <c r="F107" s="21" t="inlineStr">
        <is>
          <t>Fornecedores / Mercadoria</t>
        </is>
      </c>
      <c r="G107" s="18" t="n"/>
    </row>
    <row r="108">
      <c r="A108" s="22" t="n">
        <v>46140</v>
      </c>
      <c r="B108" s="23" t="inlineStr">
        <is>
          <t>Recebimento à vista Gerado pelo sistema Doc.: 9019 Ordem: 1</t>
        </is>
      </c>
      <c r="C108" s="23" t="inlineStr">
        <is>
          <t>Cliente Consumidor</t>
        </is>
      </c>
      <c r="D108" s="24" t="n">
        <v>85</v>
      </c>
      <c r="E108" s="25" t="n"/>
      <c r="F108" s="26" t="n"/>
      <c r="G108" s="23" t="n"/>
    </row>
    <row r="109">
      <c r="A109" s="17" t="n">
        <v>46140</v>
      </c>
      <c r="B109" s="18" t="inlineStr">
        <is>
          <t>Recebimento à vista Gerado pelo sistema Doc.: 9020 Ordem: 1</t>
        </is>
      </c>
      <c r="C109" s="18" t="inlineStr">
        <is>
          <t>Cielo S. A.</t>
        </is>
      </c>
      <c r="D109" s="27" t="n">
        <v>30</v>
      </c>
      <c r="E109" s="19" t="n"/>
      <c r="F109" s="21" t="n"/>
      <c r="G109" s="18" t="n"/>
    </row>
    <row r="110">
      <c r="A110" s="22" t="n">
        <v>46140</v>
      </c>
      <c r="B110" s="23" t="inlineStr">
        <is>
          <t>Recebimento à vista Gerado pelo sistema. Doc.: 4176 Ordem: 1</t>
        </is>
      </c>
      <c r="C110" s="23" t="inlineStr">
        <is>
          <t>ALOISIO QUEIROZ DA SILVA - RESTAURANTE BONZAO BODE</t>
        </is>
      </c>
      <c r="D110" s="24" t="n">
        <v>150</v>
      </c>
      <c r="E110" s="25" t="n"/>
      <c r="F110" s="26" t="n"/>
      <c r="G110" s="23" t="n"/>
    </row>
    <row r="111">
      <c r="A111" s="17" t="n">
        <v>46141</v>
      </c>
      <c r="B111" s="18" t="inlineStr">
        <is>
          <t>Recebimento à vista Gerado pelo sistema. Doc.: 4177 Ordem: 1</t>
        </is>
      </c>
      <c r="C111" s="18" t="inlineStr">
        <is>
          <t>TULIO SANTOS ABRANTES SILVA</t>
        </is>
      </c>
      <c r="D111" s="27" t="n">
        <v>510</v>
      </c>
      <c r="E111" s="19" t="n"/>
      <c r="F111" s="21" t="n"/>
      <c r="G111" s="18" t="n"/>
    </row>
    <row r="112">
      <c r="A112" s="22" t="n">
        <v>46141</v>
      </c>
      <c r="B112" s="23" t="inlineStr">
        <is>
          <t>Recebimento à vista Gerado pelo sistema. Doc.: 4179 Ordem: 1</t>
        </is>
      </c>
      <c r="C112" s="23" t="inlineStr">
        <is>
          <t>IEDA MENDES DE CARVALHO BRITO</t>
        </is>
      </c>
      <c r="D112" s="24" t="n">
        <v>140</v>
      </c>
      <c r="E112" s="25" t="n"/>
      <c r="F112" s="26" t="n"/>
      <c r="G112" s="23" t="n"/>
    </row>
    <row r="113">
      <c r="A113" s="17" t="n">
        <v>46141</v>
      </c>
      <c r="B113" s="18" t="inlineStr">
        <is>
          <t>Recebimento à vista Gerado pelo sistema Doc.: 9021 Ordem: 1</t>
        </is>
      </c>
      <c r="C113" s="18" t="inlineStr">
        <is>
          <t>Cielo S. A.</t>
        </is>
      </c>
      <c r="D113" s="27" t="n">
        <v>160</v>
      </c>
      <c r="E113" s="19" t="n"/>
      <c r="F113" s="21" t="n"/>
      <c r="G113" s="18" t="n"/>
    </row>
    <row r="114">
      <c r="A114" s="22" t="n">
        <v>46141</v>
      </c>
      <c r="B114" s="23" t="inlineStr">
        <is>
          <t>Recebimento à vista Gerado pelo sistema Doc.: 9022 Ordem: 1</t>
        </is>
      </c>
      <c r="C114" s="23" t="inlineStr">
        <is>
          <t>Cliente Consumidor</t>
        </is>
      </c>
      <c r="D114" s="24" t="n">
        <v>15</v>
      </c>
      <c r="E114" s="25" t="n"/>
      <c r="F114" s="26" t="n"/>
      <c r="G114" s="23" t="n"/>
    </row>
    <row r="115">
      <c r="A115" s="17" t="n">
        <v>46141</v>
      </c>
      <c r="B115" s="18" t="inlineStr">
        <is>
          <t>Recebimento à vista Gerado pelo sistema Doc.: 9023 Ordem: 1</t>
        </is>
      </c>
      <c r="C115" s="18" t="inlineStr">
        <is>
          <t>MARIA DA CONCEICAO OLIVEIRA MOTA</t>
        </is>
      </c>
      <c r="D115" s="27" t="n">
        <v>135</v>
      </c>
      <c r="E115" s="19" t="n"/>
      <c r="F115" s="21" t="n"/>
      <c r="G115" s="18" t="n"/>
    </row>
    <row r="116">
      <c r="A116" s="22" t="n">
        <v>46141</v>
      </c>
      <c r="B116" s="23" t="inlineStr">
        <is>
          <t>Pagamento parcela Gerado pelo sistema - nº 369793 Doc.: 369793 Ord</t>
        </is>
      </c>
      <c r="C116" s="23" t="inlineStr">
        <is>
          <t>EVEREST REFRIGERACAO E INDUSTRIA</t>
        </is>
      </c>
      <c r="D116" s="25" t="n"/>
      <c r="E116" s="28" t="n">
        <v>1305</v>
      </c>
      <c r="F116" s="26" t="inlineStr">
        <is>
          <t>Fornecedores / Mercadoria</t>
        </is>
      </c>
      <c r="G116" s="23" t="n"/>
    </row>
    <row r="117">
      <c r="A117" s="17" t="n">
        <v>46141</v>
      </c>
      <c r="B117" s="18" t="inlineStr">
        <is>
          <t>Pagamento parcela Gerado pelo sistema - nº 129257 Doc.: 129257 Ord</t>
        </is>
      </c>
      <c r="C117" s="18" t="inlineStr">
        <is>
          <t>FILTROS PLANETA AGUA IND E COM LTDA</t>
        </is>
      </c>
      <c r="D117" s="19" t="n"/>
      <c r="E117" s="20" t="n">
        <v>610.35</v>
      </c>
      <c r="F117" s="21" t="inlineStr">
        <is>
          <t>Fornecedores / Mercadoria</t>
        </is>
      </c>
      <c r="G117" s="18" t="n"/>
    </row>
    <row r="118">
      <c r="A118" s="22" t="n">
        <v>46141</v>
      </c>
      <c r="B118" s="23" t="inlineStr">
        <is>
          <t>Pagamento parcela Gerado pelo sistema - nº 69886 Doc.: 69886 Orde</t>
        </is>
      </c>
      <c r="C118" s="23" t="inlineStr">
        <is>
          <t>EVERSOFT IND E COM DE PLASTICOS LTDA</t>
        </is>
      </c>
      <c r="D118" s="25" t="n"/>
      <c r="E118" s="28" t="n">
        <v>878.92</v>
      </c>
      <c r="F118" s="26" t="inlineStr">
        <is>
          <t>Fornecedores / Mercadoria</t>
        </is>
      </c>
      <c r="G118" s="23" t="n"/>
    </row>
    <row r="119">
      <c r="A119" s="17" t="n">
        <v>46142</v>
      </c>
      <c r="B119" s="18" t="inlineStr">
        <is>
          <t>Recebimento à vista Gerado pelo sistema Doc.: 9024 Ordem: 1</t>
        </is>
      </c>
      <c r="C119" s="18" t="inlineStr">
        <is>
          <t>TAMIRES OLIVEIRA SILVA SANTOS</t>
        </is>
      </c>
      <c r="D119" s="27" t="n">
        <v>140</v>
      </c>
      <c r="E119" s="19" t="n"/>
      <c r="F119" s="21" t="n"/>
      <c r="G119" s="18" t="n"/>
    </row>
    <row r="120">
      <c r="A120" s="22" t="n">
        <v>46142</v>
      </c>
      <c r="B120" s="23" t="inlineStr">
        <is>
          <t>Recebimento à vista Gerado pelo sistema Doc.: 9025 Ordem: 1</t>
        </is>
      </c>
      <c r="C120" s="23" t="inlineStr">
        <is>
          <t>HENRIQUE VALOIS RAMOS DE MOURA</t>
        </is>
      </c>
      <c r="D120" s="24" t="n">
        <v>200</v>
      </c>
      <c r="E120" s="25" t="n"/>
      <c r="F120" s="26" t="n"/>
      <c r="G120" s="23" t="n"/>
    </row>
    <row r="121">
      <c r="A121" s="17" t="n">
        <v>46142</v>
      </c>
      <c r="B121" s="18" t="inlineStr">
        <is>
          <t>Recebimento à vista Gerado pelo sistema Doc.: 9026 Ordem: 1</t>
        </is>
      </c>
      <c r="C121" s="18" t="inlineStr">
        <is>
          <t>Cliente Consumidor</t>
        </is>
      </c>
      <c r="D121" s="27" t="n">
        <v>75</v>
      </c>
      <c r="E121" s="19" t="n"/>
      <c r="F121" s="21" t="n"/>
      <c r="G121" s="18" t="n"/>
    </row>
    <row r="122">
      <c r="A122" s="22" t="n">
        <v>46142</v>
      </c>
      <c r="B122" s="23" t="inlineStr">
        <is>
          <t>Pagamento à vista: SALARIO WILIAM Doc.: 1 Ordem: 9</t>
        </is>
      </c>
      <c r="C122" s="23" t="inlineStr">
        <is>
          <t>WILIAM PINTO BISPO</t>
        </is>
      </c>
      <c r="D122" s="25" t="n"/>
      <c r="E122" s="28" t="n">
        <v>1571.32</v>
      </c>
      <c r="F122" s="26" t="inlineStr">
        <is>
          <t>Salários, Comissões e Encargos</t>
        </is>
      </c>
      <c r="G122" s="23" t="n"/>
    </row>
    <row r="123">
      <c r="A123" s="17" t="n">
        <v>46142</v>
      </c>
      <c r="B123" s="18" t="inlineStr">
        <is>
          <t>Pagamento à vista: SALARIO DANIEL Doc.: 1 Ordem: 8</t>
        </is>
      </c>
      <c r="C123" s="18" t="inlineStr">
        <is>
          <t>DANIEL BARBOSA DOS SANTOS</t>
        </is>
      </c>
      <c r="D123" s="19" t="n"/>
      <c r="E123" s="20" t="n">
        <v>1213.6</v>
      </c>
      <c r="F123" s="21" t="inlineStr">
        <is>
          <t>Salários, Comissões e Encargos</t>
        </is>
      </c>
      <c r="G123" s="18" t="n"/>
    </row>
    <row r="124">
      <c r="A124" s="29" t="n"/>
      <c r="B124" s="228" t="inlineStr">
        <is>
          <t>TOTAL DO MÊS</t>
        </is>
      </c>
      <c r="C124" s="161" t="n"/>
      <c r="D124" s="8">
        <f>SUM(D5:D123)</f>
        <v/>
      </c>
      <c r="E124" s="8">
        <f>SUM(E5:E123)</f>
        <v/>
      </c>
      <c r="F124" s="29" t="n"/>
      <c r="G124" s="29" t="n"/>
    </row>
    <row r="125" ht="15.75" customHeight="1" s="158">
      <c r="A125" s="30" t="n"/>
      <c r="B125" s="227" t="inlineStr">
        <is>
          <t>SALDO DO MÊS (Entradas − Despesas da loja)</t>
        </is>
      </c>
      <c r="D125" s="226">
        <f>D124-J18</f>
        <v/>
      </c>
      <c r="F125" s="30" t="n"/>
      <c r="G125" s="30" t="n"/>
    </row>
  </sheetData>
  <autoFilter ref="A4:G123"/>
  <mergeCells count="12">
    <mergeCell ref="P4:Q4"/>
    <mergeCell ref="I4:J4"/>
    <mergeCell ref="A1:G1"/>
    <mergeCell ref="D125:E125"/>
    <mergeCell ref="B125:C125"/>
    <mergeCell ref="B124:C124"/>
    <mergeCell ref="L4:M4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Q124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MAIO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46143</v>
      </c>
      <c r="B5" s="18" t="inlineStr">
        <is>
          <t>Pagamento à vista: SALARIO WILIAM Doc.: 1 Ordem: 10</t>
        </is>
      </c>
      <c r="C5" s="18" t="inlineStr">
        <is>
          <t>WILIAM PINTO BISPO</t>
        </is>
      </c>
      <c r="D5" s="19" t="n"/>
      <c r="E5" s="20" t="n">
        <v>1571.32</v>
      </c>
      <c r="F5" s="21" t="inlineStr">
        <is>
          <t>Salários, Comissões e Encargos</t>
        </is>
      </c>
      <c r="G5" s="18" t="n"/>
      <c r="I5" s="10" t="inlineStr">
        <is>
          <t>Fornecedores / Mercadoria</t>
        </is>
      </c>
      <c r="J5" s="11">
        <f>SUMIF(F5:F122,I5,E5:E122)</f>
        <v/>
      </c>
      <c r="L5" s="230">
        <f>D123</f>
        <v/>
      </c>
      <c r="N5" s="232">
        <f>J18</f>
        <v/>
      </c>
      <c r="P5" s="231">
        <f>D124</f>
        <v/>
      </c>
    </row>
    <row r="6" ht="14.1" customHeight="1" s="158">
      <c r="A6" s="22" t="n">
        <v>46143</v>
      </c>
      <c r="B6" s="23" t="inlineStr">
        <is>
          <t>Pagamento à vista: ALUGUEL VITORIA MARIA Doc.: 1 Ordem: 15</t>
        </is>
      </c>
      <c r="C6" s="23" t="inlineStr">
        <is>
          <t>VITORIA MARIA F SANTOS</t>
        </is>
      </c>
      <c r="D6" s="25" t="n"/>
      <c r="E6" s="28" t="n">
        <v>870</v>
      </c>
      <c r="F6" s="26" t="inlineStr">
        <is>
          <t>Aluguel</t>
        </is>
      </c>
      <c r="G6" s="23" t="n"/>
      <c r="I6" s="13" t="inlineStr">
        <is>
          <t>Aluguel</t>
        </is>
      </c>
      <c r="J6" s="14">
        <f>SUMIF(F5:F122,I6,E5:E122)</f>
        <v/>
      </c>
    </row>
    <row r="7">
      <c r="A7" s="17" t="n">
        <v>46144</v>
      </c>
      <c r="B7" s="18" t="inlineStr">
        <is>
          <t>Recebimento parcela Gerado pelo sistema Doc.: 9012 Ordem: 2</t>
        </is>
      </c>
      <c r="C7" s="18" t="inlineStr">
        <is>
          <t>MARICELIA SANTANA SILVA</t>
        </is>
      </c>
      <c r="D7" s="27" t="n">
        <v>30</v>
      </c>
      <c r="E7" s="19" t="n"/>
      <c r="F7" s="21" t="n"/>
      <c r="G7" s="18" t="n"/>
      <c r="I7" s="10" t="inlineStr">
        <is>
          <t>Água, Energia e Internet</t>
        </is>
      </c>
      <c r="J7" s="11">
        <f>SUMIF(F5:F122,I7,E5:E122)</f>
        <v/>
      </c>
    </row>
    <row r="8">
      <c r="A8" s="22" t="n">
        <v>46144</v>
      </c>
      <c r="B8" s="23" t="inlineStr">
        <is>
          <t>Recebimento à vista Gerado pelo sistema. Doc.: 4181 Ordem: 1</t>
        </is>
      </c>
      <c r="C8" s="23" t="inlineStr">
        <is>
          <t>BANCO DO NORDESTE DO BRASIL S.A.</t>
        </is>
      </c>
      <c r="D8" s="24" t="n">
        <v>280</v>
      </c>
      <c r="E8" s="25" t="n"/>
      <c r="F8" s="26" t="n"/>
      <c r="G8" s="23" t="n"/>
      <c r="I8" s="13" t="inlineStr">
        <is>
          <t>Impostos e Taxas</t>
        </is>
      </c>
      <c r="J8" s="14">
        <f>SUMIF(F5:F122,I8,E5:E122)</f>
        <v/>
      </c>
    </row>
    <row r="9">
      <c r="A9" s="17" t="n">
        <v>46144</v>
      </c>
      <c r="B9" s="18" t="inlineStr">
        <is>
          <t>Recebimento à vista Gerado pelo sistema Doc.: 9027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SUMIF(F5:F122,I9,E5:E122)</f>
        <v/>
      </c>
    </row>
    <row r="10">
      <c r="A10" s="22" t="n">
        <v>46144</v>
      </c>
      <c r="B10" s="23" t="inlineStr">
        <is>
          <t>Pagamento parcela Gerado pelo sistema - nº 72153 Doc.: 72153 Orde</t>
        </is>
      </c>
      <c r="C10" s="23" t="inlineStr">
        <is>
          <t>EVERSOFT IND E COM DE PLASTICOS LTDA</t>
        </is>
      </c>
      <c r="D10" s="25" t="n"/>
      <c r="E10" s="28" t="n">
        <v>878.92</v>
      </c>
      <c r="F10" s="26" t="inlineStr">
        <is>
          <t>Fornecedores / Mercadoria</t>
        </is>
      </c>
      <c r="G10" s="23" t="n"/>
      <c r="I10" s="13" t="inlineStr">
        <is>
          <t>Transporte e Entregas</t>
        </is>
      </c>
      <c r="J10" s="14">
        <f>SUMIF(F5:F122,I10,E5:E122)</f>
        <v/>
      </c>
    </row>
    <row r="11">
      <c r="A11" s="17" t="n">
        <v>46144</v>
      </c>
      <c r="B11" s="18" t="inlineStr">
        <is>
          <t>Pagamento parcela Gerado pelo sistema - nº 374271 Doc.: 374271 Ord</t>
        </is>
      </c>
      <c r="C11" s="18" t="inlineStr">
        <is>
          <t>EVEREST REFRIGERACAO E INDUSTRIA</t>
        </is>
      </c>
      <c r="D11" s="19" t="n"/>
      <c r="E11" s="20" t="n">
        <v>706.65</v>
      </c>
      <c r="F11" s="21" t="inlineStr">
        <is>
          <t>Fornecedores / Mercadoria</t>
        </is>
      </c>
      <c r="G11" s="18" t="n"/>
      <c r="I11" s="10" t="inlineStr">
        <is>
          <t>Salários, Comissões e Encargos</t>
        </is>
      </c>
      <c r="J11" s="11">
        <f>SUMIF(F5:F122,I11,E5:E122)</f>
        <v/>
      </c>
    </row>
    <row r="12">
      <c r="A12" s="22" t="n">
        <v>46146</v>
      </c>
      <c r="B12" s="23" t="inlineStr">
        <is>
          <t>Recebimento à vista Gerado pelo sistema Doc.: 9028 Ordem: 1</t>
        </is>
      </c>
      <c r="C12" s="23" t="inlineStr">
        <is>
          <t>Cliente Consumidor</t>
        </is>
      </c>
      <c r="D12" s="24" t="n">
        <v>65</v>
      </c>
      <c r="E12" s="25" t="n"/>
      <c r="F12" s="26" t="n"/>
      <c r="G12" s="23" t="n"/>
      <c r="I12" s="13" t="inlineStr">
        <is>
          <t>Contabilidade</t>
        </is>
      </c>
      <c r="J12" s="14">
        <f>SUMIF(F5:F122,I12,E5:E122)</f>
        <v/>
      </c>
    </row>
    <row r="13">
      <c r="A13" s="17" t="n">
        <v>46146</v>
      </c>
      <c r="B13" s="18" t="inlineStr">
        <is>
          <t>Recebimento à vista Gerado pelo sistema Doc.: 9029 Ordem: 1</t>
        </is>
      </c>
      <c r="C13" s="18" t="inlineStr">
        <is>
          <t>Cliente Consumidor</t>
        </is>
      </c>
      <c r="D13" s="27" t="n">
        <v>95</v>
      </c>
      <c r="E13" s="19" t="n"/>
      <c r="F13" s="21" t="n"/>
      <c r="G13" s="18" t="n"/>
      <c r="I13" s="10" t="inlineStr">
        <is>
          <t>Manutenção e Reparos</t>
        </is>
      </c>
      <c r="J13" s="11">
        <f>SUMIF(F5:F122,I13,E5:E122)</f>
        <v/>
      </c>
    </row>
    <row r="14">
      <c r="A14" s="22" t="n">
        <v>46146</v>
      </c>
      <c r="B14" s="23" t="inlineStr">
        <is>
          <t>Recebimento à vista Gerado pelo sistema Doc.: 9030 Ordem: 1</t>
        </is>
      </c>
      <c r="C14" s="23" t="inlineStr">
        <is>
          <t>ALFREDO FERREIRA SACRAMENTO</t>
        </is>
      </c>
      <c r="D14" s="24" t="n">
        <v>190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SUMIF(F5:F122,I14,E5:E122)</f>
        <v/>
      </c>
    </row>
    <row r="15">
      <c r="A15" s="17" t="n">
        <v>46146</v>
      </c>
      <c r="B15" s="18" t="inlineStr">
        <is>
          <t>Recebimento à vista Gerado pelo sistema Doc.: 9031 Ordem: 1</t>
        </is>
      </c>
      <c r="C15" s="18" t="inlineStr">
        <is>
          <t>Cielo S. A.</t>
        </is>
      </c>
      <c r="D15" s="27" t="n">
        <v>150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SUMIF(F5:F122,I15,E5:E122)</f>
        <v/>
      </c>
    </row>
    <row r="16">
      <c r="A16" s="22" t="n">
        <v>46146</v>
      </c>
      <c r="B16" s="23" t="inlineStr">
        <is>
          <t>Recebimento à vista Gerado pelo sistema Doc.: 9032 Ordem: 1</t>
        </is>
      </c>
      <c r="C16" s="23" t="inlineStr">
        <is>
          <t>CATIA TIARA MARSAL LIMA BRITO</t>
        </is>
      </c>
      <c r="D16" s="24" t="n">
        <v>190</v>
      </c>
      <c r="E16" s="25" t="n"/>
      <c r="F16" s="26" t="n"/>
      <c r="G16" s="23" t="n"/>
      <c r="I16" s="13" t="inlineStr">
        <is>
          <t>Outras Despesas</t>
        </is>
      </c>
      <c r="J16" s="14">
        <f>SUMIF(F5:F122,I16,E5:E122)</f>
        <v/>
      </c>
    </row>
    <row r="17">
      <c r="A17" s="17" t="n">
        <v>46146</v>
      </c>
      <c r="B17" s="18" t="inlineStr">
        <is>
          <t>Recebimento à vista Gerado pelo sistema Doc.: 9033 Ordem: 1</t>
        </is>
      </c>
      <c r="C17" s="18" t="inlineStr">
        <is>
          <t>Cliente Consumidor</t>
        </is>
      </c>
      <c r="D17" s="27" t="n">
        <v>330</v>
      </c>
      <c r="E17" s="19" t="n"/>
      <c r="F17" s="21" t="n"/>
      <c r="G17" s="18" t="n"/>
      <c r="I17" s="42" t="inlineStr">
        <is>
          <t>Pro Labore Edilânia</t>
        </is>
      </c>
      <c r="J17" s="8">
        <f>SUMIF(F5:F122,I17,E5:E122)</f>
        <v/>
      </c>
    </row>
    <row r="18">
      <c r="A18" s="22" t="n">
        <v>46146</v>
      </c>
      <c r="B18" s="23" t="inlineStr">
        <is>
          <t>Pagamento parcela Gerado pelo sistema - nº 346431 Doc.: 346431 Ord</t>
        </is>
      </c>
      <c r="C18" s="23" t="inlineStr">
        <is>
          <t>EVEREST REFRIGERACAO E INDUSTRIA</t>
        </is>
      </c>
      <c r="D18" s="25" t="n"/>
      <c r="E18" s="28" t="n">
        <v>572.25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46146</v>
      </c>
      <c r="B19" s="18" t="inlineStr">
        <is>
          <t>Pagamento parcela COELBA Doc.: 1 Ordem: 13</t>
        </is>
      </c>
      <c r="C19" s="18" t="inlineStr">
        <is>
          <t>COMPANHIA DE ELETRICIDADE DO ESTADO DA BAHIA COELBA</t>
        </is>
      </c>
      <c r="D19" s="19" t="n"/>
      <c r="E19" s="20" t="n">
        <v>125.37</v>
      </c>
      <c r="F19" s="21" t="inlineStr">
        <is>
          <t>Água, Energia e Internet</t>
        </is>
      </c>
      <c r="G19" s="18" t="n"/>
    </row>
    <row r="20">
      <c r="A20" s="22" t="n">
        <v>46146</v>
      </c>
      <c r="B20" s="23" t="inlineStr">
        <is>
          <t>Pagamento parcela Gerado pelo sistema - nº 123868 Doc.: 123868 Ord</t>
        </is>
      </c>
      <c r="C20" s="23" t="inlineStr">
        <is>
          <t>FILTROS PLANETA AGUA IND E COM LTDA</t>
        </is>
      </c>
      <c r="D20" s="25" t="n"/>
      <c r="E20" s="28" t="n">
        <v>972.2</v>
      </c>
      <c r="F20" s="26" t="inlineStr">
        <is>
          <t>Fornecedores / Mercadoria</t>
        </is>
      </c>
      <c r="G20" s="23" t="n"/>
    </row>
    <row r="21">
      <c r="A21" s="17" t="n">
        <v>46146</v>
      </c>
      <c r="B21" s="18" t="inlineStr">
        <is>
          <t>Pagamento à vista: 1 PARCELA FERIAS DANIEL Doc.: 1 Ordem: 4</t>
        </is>
      </c>
      <c r="C21" s="18" t="inlineStr">
        <is>
          <t>DANIEL BARBOSA DOS SANTOS</t>
        </is>
      </c>
      <c r="D21" s="19" t="n"/>
      <c r="E21" s="20" t="n">
        <v>500</v>
      </c>
      <c r="F21" s="21" t="inlineStr">
        <is>
          <t>Salários, Comissões e Encargos</t>
        </is>
      </c>
      <c r="G21" s="18" t="n"/>
    </row>
    <row r="22">
      <c r="A22" s="22" t="n">
        <v>46146</v>
      </c>
      <c r="B22" s="23" t="inlineStr">
        <is>
          <t>Pagamento parcela Gerado pelo sistema - nº 68349 Doc.: 68349 Orde</t>
        </is>
      </c>
      <c r="C22" s="23" t="inlineStr">
        <is>
          <t>EVERSOFT IND E COM DE PLASTICOS LTDA</t>
        </is>
      </c>
      <c r="D22" s="25" t="n"/>
      <c r="E22" s="28" t="n">
        <v>878.92</v>
      </c>
      <c r="F22" s="26" t="inlineStr">
        <is>
          <t>Fornecedores / Mercadoria</t>
        </is>
      </c>
      <c r="G22" s="23" t="n"/>
    </row>
    <row r="23">
      <c r="A23" s="17" t="n">
        <v>46146</v>
      </c>
      <c r="B23" s="18" t="inlineStr">
        <is>
          <t>Pagamento parcela Gerado pelo sistema - nº 360351 Doc.: 360351 Ord</t>
        </is>
      </c>
      <c r="C23" s="18" t="inlineStr">
        <is>
          <t>EVEREST REFRIGERACAO E INDUSTRIA</t>
        </is>
      </c>
      <c r="D23" s="19" t="n"/>
      <c r="E23" s="20" t="n">
        <v>546.76</v>
      </c>
      <c r="F23" s="21" t="inlineStr">
        <is>
          <t>Fornecedores / Mercadoria</t>
        </is>
      </c>
      <c r="G23" s="18" t="n"/>
    </row>
    <row r="24">
      <c r="A24" s="22" t="n">
        <v>46146</v>
      </c>
      <c r="B24" s="23" t="inlineStr">
        <is>
          <t>Pagamento parcela Gerado pelo sistema - nº 69886 Doc.: 69886 Orde</t>
        </is>
      </c>
      <c r="C24" s="23" t="inlineStr">
        <is>
          <t>EVERSOFT IND E COM DE PLASTICOS LTDA</t>
        </is>
      </c>
      <c r="D24" s="25" t="n"/>
      <c r="E24" s="28" t="n">
        <v>878.92</v>
      </c>
      <c r="F24" s="26" t="inlineStr">
        <is>
          <t>Fornecedores / Mercadoria</t>
        </is>
      </c>
      <c r="G24" s="23" t="n"/>
    </row>
    <row r="25">
      <c r="A25" s="17" t="n">
        <v>46146</v>
      </c>
      <c r="B25" s="18" t="inlineStr">
        <is>
          <t>Pagamento parcela EMBASA ADRIANO Doc.: 1 Ordem: 11</t>
        </is>
      </c>
      <c r="C25" s="18" t="inlineStr">
        <is>
          <t>EMPRESA BAIANA DE AGUAS E SANEAMENTO SA</t>
        </is>
      </c>
      <c r="D25" s="19" t="n"/>
      <c r="E25" s="20" t="n">
        <v>50.07</v>
      </c>
      <c r="F25" s="21" t="inlineStr">
        <is>
          <t>Pro Labore Edilânia</t>
        </is>
      </c>
      <c r="G25" s="18" t="n"/>
    </row>
    <row r="26">
      <c r="A26" s="22" t="n">
        <v>46146</v>
      </c>
      <c r="B26" s="23" t="inlineStr">
        <is>
          <t>Pagamento parcela Gerado pelo sistema - nº 126565 Doc.: 126565 Ord</t>
        </is>
      </c>
      <c r="C26" s="23" t="inlineStr">
        <is>
          <t>FILTROS PLANETA AGUA IND E COM LTDA</t>
        </is>
      </c>
      <c r="D26" s="25" t="n"/>
      <c r="E26" s="28" t="n">
        <v>420.87</v>
      </c>
      <c r="F26" s="26" t="inlineStr">
        <is>
          <t>Fornecedores / Mercadoria</t>
        </is>
      </c>
      <c r="G26" s="23" t="n"/>
    </row>
    <row r="27">
      <c r="A27" s="17" t="n">
        <v>46146</v>
      </c>
      <c r="B27" s="18" t="inlineStr">
        <is>
          <t>Pagamento parcela Gerado pelo sistema - nº 69107 Doc.: 69107 Orde</t>
        </is>
      </c>
      <c r="C27" s="18" t="inlineStr">
        <is>
          <t>EVERSOFT IND E COM DE PLASTICOS LTDA</t>
        </is>
      </c>
      <c r="D27" s="19" t="n"/>
      <c r="E27" s="20" t="n">
        <v>20.6</v>
      </c>
      <c r="F27" s="21" t="inlineStr">
        <is>
          <t>Fornecedores / Mercadoria</t>
        </is>
      </c>
      <c r="G27" s="18" t="n"/>
    </row>
    <row r="28">
      <c r="A28" s="22" t="n">
        <v>46146</v>
      </c>
      <c r="B28" s="23" t="inlineStr">
        <is>
          <t>Pagamento parcela CONTA DE ENERGIA LOJA Doc.: 1 Ordem: 20</t>
        </is>
      </c>
      <c r="C28" s="23" t="inlineStr">
        <is>
          <t>COMPANHIA DE ELETRICIDADE DO ESTADO DA BAHIA COELBA</t>
        </is>
      </c>
      <c r="D28" s="25" t="n"/>
      <c r="E28" s="28" t="n">
        <v>148.15</v>
      </c>
      <c r="F28" s="26" t="inlineStr">
        <is>
          <t>Água, Energia e Internet</t>
        </is>
      </c>
      <c r="G28" s="23" t="n"/>
    </row>
    <row r="29">
      <c r="A29" s="17" t="n">
        <v>46146</v>
      </c>
      <c r="B29" s="18" t="inlineStr">
        <is>
          <t>Pagamento parcela Gerado pelo sistema - nº 368012 Doc.: 368012 Ord</t>
        </is>
      </c>
      <c r="C29" s="18" t="inlineStr">
        <is>
          <t>EVEREST REFRIGERACAO E INDUSTRIA</t>
        </is>
      </c>
      <c r="D29" s="19" t="n"/>
      <c r="E29" s="20" t="n">
        <v>810.99</v>
      </c>
      <c r="F29" s="21" t="inlineStr">
        <is>
          <t>Fornecedores / Mercadoria</t>
        </is>
      </c>
      <c r="G29" s="18" t="n"/>
    </row>
    <row r="30">
      <c r="A30" s="22" t="n">
        <v>46146</v>
      </c>
      <c r="B30" s="23" t="inlineStr">
        <is>
          <t>Pagamento parcela Gerado pelo sistema - nº 366264 Doc.: 366264 Ord</t>
        </is>
      </c>
      <c r="C30" s="23" t="inlineStr">
        <is>
          <t>EVEREST REFRIGERACAO E INDUSTRIA</t>
        </is>
      </c>
      <c r="D30" s="25" t="n"/>
      <c r="E30" s="28" t="n">
        <v>841.0599999999999</v>
      </c>
      <c r="F30" s="26" t="inlineStr">
        <is>
          <t>Fornecedores / Mercadoria</t>
        </is>
      </c>
      <c r="G30" s="23" t="n"/>
    </row>
    <row r="31">
      <c r="A31" s="17" t="n">
        <v>46146</v>
      </c>
      <c r="B31" s="18" t="inlineStr">
        <is>
          <t>Pagamento parcela Gerado pelo sistema - nº 372597 Doc.: 372597 Ord</t>
        </is>
      </c>
      <c r="C31" s="18" t="inlineStr">
        <is>
          <t>EVEREST REFRIGERACAO E INDUSTRIA</t>
        </is>
      </c>
      <c r="D31" s="19" t="n"/>
      <c r="E31" s="20" t="n">
        <v>725.48</v>
      </c>
      <c r="F31" s="21" t="inlineStr">
        <is>
          <t>Fornecedores / Mercadoria</t>
        </is>
      </c>
      <c r="G31" s="18" t="n"/>
    </row>
    <row r="32">
      <c r="A32" s="22" t="n">
        <v>46147</v>
      </c>
      <c r="B32" s="23" t="inlineStr">
        <is>
          <t>Recebimento à vista Gerado pelo sistema. Doc.: 4183 Ordem: 1</t>
        </is>
      </c>
      <c r="C32" s="23" t="inlineStr">
        <is>
          <t>LAPEC LAB - LABORATORIO DE ANALISES E PESQUISAS CLINICAS LTDA</t>
        </is>
      </c>
      <c r="D32" s="24" t="n">
        <v>120</v>
      </c>
      <c r="E32" s="25" t="n"/>
      <c r="F32" s="26" t="n"/>
      <c r="G32" s="23" t="n"/>
    </row>
    <row r="33">
      <c r="A33" s="17" t="n">
        <v>46147</v>
      </c>
      <c r="B33" s="18" t="inlineStr">
        <is>
          <t>Recebimento à vista Gerado pelo sistema Doc.: 9034 Ordem: 1</t>
        </is>
      </c>
      <c r="C33" s="18" t="inlineStr">
        <is>
          <t>Cielo S. A.</t>
        </is>
      </c>
      <c r="D33" s="27" t="n">
        <v>75</v>
      </c>
      <c r="E33" s="19" t="n"/>
      <c r="F33" s="21" t="n"/>
      <c r="G33" s="18" t="n"/>
    </row>
    <row r="34">
      <c r="A34" s="22" t="n">
        <v>46148</v>
      </c>
      <c r="B34" s="23" t="inlineStr">
        <is>
          <t>Pagamento parcela Gerado pelo sistema - nº 128882 Doc.: 128882 Ord</t>
        </is>
      </c>
      <c r="C34" s="23" t="inlineStr">
        <is>
          <t>FILTROS PLANETA AGUA IND E COM LTDA</t>
        </is>
      </c>
      <c r="D34" s="25" t="n"/>
      <c r="E34" s="28" t="n">
        <v>504.43</v>
      </c>
      <c r="F34" s="26" t="inlineStr">
        <is>
          <t>Fornecedores / Mercadoria</t>
        </is>
      </c>
      <c r="G34" s="23" t="n"/>
    </row>
    <row r="35">
      <c r="A35" s="17" t="n">
        <v>46148</v>
      </c>
      <c r="B35" s="18" t="inlineStr">
        <is>
          <t>Recebimento à vista Gerado pelo sistema Doc.: 9035 Ordem: 1</t>
        </is>
      </c>
      <c r="C35" s="18" t="inlineStr">
        <is>
          <t>Cielo S. A.</t>
        </is>
      </c>
      <c r="D35" s="27" t="n">
        <v>150</v>
      </c>
      <c r="E35" s="19" t="n"/>
      <c r="F35" s="21" t="n"/>
      <c r="G35" s="18" t="n"/>
    </row>
    <row r="36">
      <c r="A36" s="22" t="n">
        <v>46148</v>
      </c>
      <c r="B36" s="23" t="inlineStr">
        <is>
          <t>Recebimento à vista Gerado pelo sistema Doc.: 9036 Ordem: 1</t>
        </is>
      </c>
      <c r="C36" s="23" t="inlineStr">
        <is>
          <t>VALDICE DE JESUS SILVA COSTA</t>
        </is>
      </c>
      <c r="D36" s="24" t="n">
        <v>130</v>
      </c>
      <c r="E36" s="25" t="n"/>
      <c r="F36" s="26" t="n"/>
      <c r="G36" s="23" t="n"/>
    </row>
    <row r="37">
      <c r="A37" s="17" t="n">
        <v>46148</v>
      </c>
      <c r="B37" s="18" t="inlineStr">
        <is>
          <t>Recebimento parcela Gerado pelo sistema Doc.: 8970 Ordem: 2</t>
        </is>
      </c>
      <c r="C37" s="18" t="inlineStr">
        <is>
          <t>VALDECI SOUZA SILVA</t>
        </is>
      </c>
      <c r="D37" s="27" t="n">
        <v>70</v>
      </c>
      <c r="E37" s="19" t="n"/>
      <c r="F37" s="21" t="n"/>
      <c r="G37" s="18" t="n"/>
    </row>
    <row r="38">
      <c r="A38" s="22" t="n">
        <v>46148</v>
      </c>
      <c r="B38" s="23" t="inlineStr">
        <is>
          <t>Recebimento à vista Gerado pelo sistema Doc.: 9037 Ordem: 1</t>
        </is>
      </c>
      <c r="C38" s="23" t="inlineStr">
        <is>
          <t>Cliente Consumidor</t>
        </is>
      </c>
      <c r="D38" s="24" t="n">
        <v>30</v>
      </c>
      <c r="E38" s="25" t="n"/>
      <c r="F38" s="26" t="n"/>
      <c r="G38" s="23" t="n"/>
    </row>
    <row r="39">
      <c r="A39" s="17" t="n">
        <v>46149</v>
      </c>
      <c r="B39" s="18" t="inlineStr">
        <is>
          <t>Recebimento à vista Gerado pelo sistema. Doc.: 4184 Ordem: 1</t>
        </is>
      </c>
      <c r="C39" s="18" t="inlineStr">
        <is>
          <t>JACKSON MACEDO DE SALES</t>
        </is>
      </c>
      <c r="D39" s="27" t="n">
        <v>180</v>
      </c>
      <c r="E39" s="19" t="n"/>
      <c r="F39" s="21" t="n"/>
      <c r="G39" s="18" t="n"/>
    </row>
    <row r="40">
      <c r="A40" s="22" t="n">
        <v>46149</v>
      </c>
      <c r="B40" s="23" t="inlineStr">
        <is>
          <t>Recebimento à vista Gerado pelo sistema Doc.: 9038 Ordem: 1</t>
        </is>
      </c>
      <c r="C40" s="23" t="inlineStr">
        <is>
          <t>Cielo S. A.</t>
        </is>
      </c>
      <c r="D40" s="24" t="n">
        <v>140</v>
      </c>
      <c r="E40" s="25" t="n"/>
      <c r="F40" s="26" t="n"/>
      <c r="G40" s="23" t="n"/>
    </row>
    <row r="41">
      <c r="A41" s="17" t="n">
        <v>46150</v>
      </c>
      <c r="B41" s="18" t="inlineStr">
        <is>
          <t>Recebimento à vista Gerado pelo sistema. Doc.: 4185 Ordem: 1</t>
        </is>
      </c>
      <c r="C41" s="18" t="inlineStr">
        <is>
          <t>VINICIUS OLIVEIRA LIMA</t>
        </is>
      </c>
      <c r="D41" s="27" t="n">
        <v>1448</v>
      </c>
      <c r="E41" s="19" t="n"/>
      <c r="F41" s="21" t="n"/>
      <c r="G41" s="18" t="n"/>
    </row>
    <row r="42">
      <c r="A42" s="22" t="n">
        <v>46150</v>
      </c>
      <c r="B42" s="23" t="inlineStr">
        <is>
          <t>Recebimento à vista Gerado pelo sistema Doc.: 9039 Ordem: 1</t>
        </is>
      </c>
      <c r="C42" s="23" t="inlineStr">
        <is>
          <t>Cielo S. A.</t>
        </is>
      </c>
      <c r="D42" s="24" t="n">
        <v>140</v>
      </c>
      <c r="E42" s="25" t="n"/>
      <c r="F42" s="26" t="n"/>
      <c r="G42" s="23" t="n"/>
    </row>
    <row r="43">
      <c r="A43" s="17" t="n">
        <v>46150</v>
      </c>
      <c r="B43" s="18" t="inlineStr">
        <is>
          <t>Recebimento à vista Gerado pelo sistema Doc.: 9040 Ordem: 1</t>
        </is>
      </c>
      <c r="C43" s="18" t="inlineStr">
        <is>
          <t>Cliente Consumidor</t>
        </is>
      </c>
      <c r="D43" s="27" t="n">
        <v>16</v>
      </c>
      <c r="E43" s="19" t="n"/>
      <c r="F43" s="21" t="n"/>
      <c r="G43" s="18" t="n"/>
    </row>
    <row r="44">
      <c r="A44" s="22" t="n">
        <v>46150</v>
      </c>
      <c r="B44" s="23" t="inlineStr">
        <is>
          <t>Recebimento à vista Gerado pelo sistema Doc.: 9041 Ordem: 1</t>
        </is>
      </c>
      <c r="C44" s="23" t="inlineStr">
        <is>
          <t>Cielo S. A.</t>
        </is>
      </c>
      <c r="D44" s="24" t="n">
        <v>140</v>
      </c>
      <c r="E44" s="25" t="n"/>
      <c r="F44" s="26" t="n"/>
      <c r="G44" s="23" t="n"/>
    </row>
    <row r="45">
      <c r="A45" s="17" t="n">
        <v>46150</v>
      </c>
      <c r="B45" s="18" t="inlineStr">
        <is>
          <t>Recebimento à vista Gerado pelo sistema Doc.: 9042 Ordem: 1</t>
        </is>
      </c>
      <c r="C45" s="18" t="inlineStr">
        <is>
          <t>EDNA DA SILVA SOUZA</t>
        </is>
      </c>
      <c r="D45" s="27" t="n">
        <v>135</v>
      </c>
      <c r="E45" s="19" t="n"/>
      <c r="F45" s="21" t="n"/>
      <c r="G45" s="18" t="n"/>
    </row>
    <row r="46">
      <c r="A46" s="22" t="n">
        <v>46150</v>
      </c>
      <c r="B46" s="23" t="inlineStr">
        <is>
          <t>Recebimento à vista Gerado pelo sistema. Doc.: 4186 Ordem: 1</t>
        </is>
      </c>
      <c r="C46" s="23" t="inlineStr">
        <is>
          <t>MARSILIA MARMORES E GRANITOS EIRELI</t>
        </is>
      </c>
      <c r="D46" s="24" t="n">
        <v>275</v>
      </c>
      <c r="E46" s="25" t="n"/>
      <c r="F46" s="26" t="n"/>
      <c r="G46" s="23" t="n"/>
    </row>
    <row r="47">
      <c r="A47" s="17" t="n">
        <v>46150</v>
      </c>
      <c r="B47" s="18" t="inlineStr">
        <is>
          <t>Pagamento parcela Gerado pelo sistema - nº 368012 Doc.: 368012 Ord</t>
        </is>
      </c>
      <c r="C47" s="18" t="inlineStr">
        <is>
          <t>EVEREST REFRIGERACAO E INDUSTRIA</t>
        </is>
      </c>
      <c r="D47" s="19" t="n"/>
      <c r="E47" s="20" t="n">
        <v>810.99</v>
      </c>
      <c r="F47" s="21" t="inlineStr">
        <is>
          <t>Fornecedores / Mercadoria</t>
        </is>
      </c>
      <c r="G47" s="18" t="n"/>
    </row>
    <row r="48">
      <c r="A48" s="22" t="n">
        <v>46151</v>
      </c>
      <c r="B48" s="23" t="inlineStr">
        <is>
          <t>Recebimento à vista Gerado pelo sistema Doc.: 9043 Ordem: 1</t>
        </is>
      </c>
      <c r="C48" s="23" t="inlineStr">
        <is>
          <t>Cliente Consumidor</t>
        </is>
      </c>
      <c r="D48" s="24" t="n">
        <v>5</v>
      </c>
      <c r="E48" s="25" t="n"/>
      <c r="F48" s="26" t="n"/>
      <c r="G48" s="23" t="n"/>
    </row>
    <row r="49">
      <c r="A49" s="17" t="n">
        <v>46153</v>
      </c>
      <c r="B49" s="18" t="inlineStr">
        <is>
          <t>Recebimento à vista Gerado pelo sistema Doc.: 9044 Ordem: 1</t>
        </is>
      </c>
      <c r="C49" s="18" t="inlineStr">
        <is>
          <t>MARINEUZA PINHO RAMOS BARBOSA</t>
        </is>
      </c>
      <c r="D49" s="27" t="n">
        <v>135</v>
      </c>
      <c r="E49" s="19" t="n"/>
      <c r="F49" s="21" t="n"/>
      <c r="G49" s="18" t="n"/>
    </row>
    <row r="50">
      <c r="A50" s="22" t="n">
        <v>46153</v>
      </c>
      <c r="B50" s="23" t="inlineStr">
        <is>
          <t>Recebimento à vista Gerado pelo sistema Doc.: 9045 Ordem: 1</t>
        </is>
      </c>
      <c r="C50" s="23" t="inlineStr">
        <is>
          <t>DANILO CARVALHO ALVES</t>
        </is>
      </c>
      <c r="D50" s="24" t="n">
        <v>135</v>
      </c>
      <c r="E50" s="25" t="n"/>
      <c r="F50" s="26" t="n"/>
      <c r="G50" s="23" t="n"/>
    </row>
    <row r="51">
      <c r="A51" s="17" t="n">
        <v>46154</v>
      </c>
      <c r="B51" s="18" t="inlineStr">
        <is>
          <t>Recebimento à vista Gerado pelo sistema Doc.: 9046 Ordem: 1</t>
        </is>
      </c>
      <c r="C51" s="18" t="inlineStr">
        <is>
          <t>Cliente Consumidor</t>
        </is>
      </c>
      <c r="D51" s="27" t="n">
        <v>75</v>
      </c>
      <c r="E51" s="19" t="n"/>
      <c r="F51" s="21" t="n"/>
      <c r="G51" s="18" t="n"/>
    </row>
    <row r="52">
      <c r="A52" s="22" t="n">
        <v>46154</v>
      </c>
      <c r="B52" s="23" t="inlineStr">
        <is>
          <t>Estorno de recebimento do documento: Gerado pelo sistema Doc.: 904</t>
        </is>
      </c>
      <c r="C52" s="23" t="inlineStr">
        <is>
          <t>Cliente Consumidor</t>
        </is>
      </c>
      <c r="D52" s="25" t="n"/>
      <c r="E52" s="28" t="n">
        <v>75</v>
      </c>
      <c r="F52" s="26" t="inlineStr">
        <is>
          <t>Estornos de Vendas (Cancelamentos)</t>
        </is>
      </c>
      <c r="G52" s="23" t="n"/>
    </row>
    <row r="53">
      <c r="A53" s="17" t="n">
        <v>46154</v>
      </c>
      <c r="B53" s="18" t="inlineStr">
        <is>
          <t>Recebimento à vista Gerado pelo sistema. Doc.: 4188 Ordem: 1</t>
        </is>
      </c>
      <c r="C53" s="18" t="inlineStr">
        <is>
          <t>CBV CONSTRUTORA LTDA</t>
        </is>
      </c>
      <c r="D53" s="27" t="n">
        <v>75</v>
      </c>
      <c r="E53" s="19" t="n"/>
      <c r="F53" s="21" t="n"/>
      <c r="G53" s="18" t="n"/>
    </row>
    <row r="54">
      <c r="A54" s="22" t="n">
        <v>46154</v>
      </c>
      <c r="B54" s="23" t="inlineStr">
        <is>
          <t>Recebimento à vista Gerado pelo sistema Doc.: 9047 Ordem: 1</t>
        </is>
      </c>
      <c r="C54" s="23" t="inlineStr">
        <is>
          <t>Cliente Consumidor</t>
        </is>
      </c>
      <c r="D54" s="24" t="n">
        <v>55</v>
      </c>
      <c r="E54" s="25" t="n"/>
      <c r="F54" s="26" t="n"/>
      <c r="G54" s="23" t="n"/>
    </row>
    <row r="55">
      <c r="A55" s="17" t="n">
        <v>46154</v>
      </c>
      <c r="B55" s="18" t="inlineStr">
        <is>
          <t>Recebimento à vista Gerado pelo sistema Doc.: 9048 Ordem: 1</t>
        </is>
      </c>
      <c r="C55" s="18" t="inlineStr">
        <is>
          <t>JULIO CESAR VILAS BOAS SANTOS - ADRIADNE</t>
        </is>
      </c>
      <c r="D55" s="27" t="n">
        <v>140</v>
      </c>
      <c r="E55" s="19" t="n"/>
      <c r="F55" s="21" t="n"/>
      <c r="G55" s="18" t="n"/>
    </row>
    <row r="56">
      <c r="A56" s="22" t="n">
        <v>46154</v>
      </c>
      <c r="B56" s="23" t="inlineStr">
        <is>
          <t>Recebimento à vista Gerado pelo sistema Doc.: 9049 Ordem: 1</t>
        </is>
      </c>
      <c r="C56" s="23" t="inlineStr">
        <is>
          <t>Cielo S. A.</t>
        </is>
      </c>
      <c r="D56" s="24" t="n">
        <v>20</v>
      </c>
      <c r="E56" s="25" t="n"/>
      <c r="F56" s="26" t="n"/>
      <c r="G56" s="23" t="n"/>
    </row>
    <row r="57">
      <c r="A57" s="17" t="n">
        <v>46154</v>
      </c>
      <c r="B57" s="18" t="inlineStr">
        <is>
          <t>Recebimento à vista Gerado pelo sistema Doc.: 9050 Ordem: 1</t>
        </is>
      </c>
      <c r="C57" s="18" t="inlineStr">
        <is>
          <t>Cliente Consumidor</t>
        </is>
      </c>
      <c r="D57" s="27" t="n">
        <v>25</v>
      </c>
      <c r="E57" s="19" t="n"/>
      <c r="F57" s="21" t="n"/>
      <c r="G57" s="18" t="n"/>
    </row>
    <row r="58">
      <c r="A58" s="22" t="n">
        <v>46154</v>
      </c>
      <c r="B58" s="23" t="inlineStr">
        <is>
          <t>Recebimento à vista Gerado pelo sistema Doc.: 9051 Ordem: 1</t>
        </is>
      </c>
      <c r="C58" s="23" t="inlineStr">
        <is>
          <t>CELCINA BARBOSA MIRANDA</t>
        </is>
      </c>
      <c r="D58" s="24" t="n">
        <v>140</v>
      </c>
      <c r="E58" s="25" t="n"/>
      <c r="F58" s="26" t="n"/>
      <c r="G58" s="23" t="n"/>
    </row>
    <row r="59">
      <c r="A59" s="17" t="n">
        <v>46154</v>
      </c>
      <c r="B59" s="18" t="inlineStr">
        <is>
          <t>Recebimento à vista Gerado pelo sistema Doc.: 9052 Ordem: 1</t>
        </is>
      </c>
      <c r="C59" s="18" t="inlineStr">
        <is>
          <t>Cliente Consumidor</t>
        </is>
      </c>
      <c r="D59" s="27" t="n">
        <v>15</v>
      </c>
      <c r="E59" s="19" t="n"/>
      <c r="F59" s="21" t="n"/>
      <c r="G59" s="18" t="n"/>
    </row>
    <row r="60">
      <c r="A60" s="22" t="n">
        <v>46155</v>
      </c>
      <c r="B60" s="23" t="inlineStr">
        <is>
          <t>Recebimento à vista Gerado pelo sistema. Doc.: 4190 Ordem: 1</t>
        </is>
      </c>
      <c r="C60" s="23" t="inlineStr">
        <is>
          <t>JOSE ISMAILDO DE BRITO</t>
        </is>
      </c>
      <c r="D60" s="24" t="n">
        <v>1230</v>
      </c>
      <c r="E60" s="25" t="n"/>
      <c r="F60" s="26" t="n"/>
      <c r="G60" s="23" t="n"/>
    </row>
    <row r="61">
      <c r="A61" s="17" t="n">
        <v>46155</v>
      </c>
      <c r="B61" s="18" t="inlineStr">
        <is>
          <t>Recebimento à vista Gerado pelo sistema Doc.: 9053 Ordem: 1</t>
        </is>
      </c>
      <c r="C61" s="18" t="inlineStr">
        <is>
          <t>Cielo S. A.</t>
        </is>
      </c>
      <c r="D61" s="27" t="n">
        <v>140</v>
      </c>
      <c r="E61" s="19" t="n"/>
      <c r="F61" s="21" t="n"/>
      <c r="G61" s="18" t="n"/>
    </row>
    <row r="62">
      <c r="A62" s="22" t="n">
        <v>46155</v>
      </c>
      <c r="B62" s="23" t="inlineStr">
        <is>
          <t>Recebimento à vista Gerado pelo sistema. Doc.: 4193 Ordem: 1</t>
        </is>
      </c>
      <c r="C62" s="23" t="inlineStr">
        <is>
          <t>SERVICO NACIONAL DE APRENDIZAGEM INDUSTRIAL</t>
        </is>
      </c>
      <c r="D62" s="24" t="n">
        <v>80</v>
      </c>
      <c r="E62" s="25" t="n"/>
      <c r="F62" s="26" t="n"/>
      <c r="G62" s="23" t="n"/>
    </row>
    <row r="63">
      <c r="A63" s="17" t="n">
        <v>46156</v>
      </c>
      <c r="B63" s="18" t="inlineStr">
        <is>
          <t>Pagamento à vista: Gerado pelo sistema. Doc.: 138165 Ordem: 1</t>
        </is>
      </c>
      <c r="C63" s="18" t="inlineStr">
        <is>
          <t>CULLIGAN LATAM EIRELI</t>
        </is>
      </c>
      <c r="D63" s="19" t="n"/>
      <c r="E63" s="20" t="n">
        <v>240</v>
      </c>
      <c r="F63" s="21" t="inlineStr">
        <is>
          <t>Fornecedores / Mercadoria</t>
        </is>
      </c>
      <c r="G63" s="18" t="n"/>
    </row>
    <row r="64">
      <c r="A64" s="22" t="n">
        <v>46156</v>
      </c>
      <c r="B64" s="23" t="inlineStr">
        <is>
          <t>Recebimento à vista Gerado pelo sistema Doc.: 9054 Ordem: 1</t>
        </is>
      </c>
      <c r="C64" s="23" t="inlineStr">
        <is>
          <t>Cliente Consumidor</t>
        </is>
      </c>
      <c r="D64" s="24" t="n">
        <v>100</v>
      </c>
      <c r="E64" s="25" t="n"/>
      <c r="F64" s="26" t="n"/>
      <c r="G64" s="23" t="n"/>
    </row>
    <row r="65">
      <c r="A65" s="17" t="n">
        <v>46156</v>
      </c>
      <c r="B65" s="18" t="inlineStr">
        <is>
          <t>Recebimento à vista Gerado pelo sistema Doc.: 9055 Ordem: 1</t>
        </is>
      </c>
      <c r="C65" s="18" t="inlineStr">
        <is>
          <t>Cielo S. A.</t>
        </is>
      </c>
      <c r="D65" s="27" t="n">
        <v>140</v>
      </c>
      <c r="E65" s="19" t="n"/>
      <c r="F65" s="21" t="n"/>
      <c r="G65" s="18" t="n"/>
    </row>
    <row r="66">
      <c r="A66" s="22" t="n">
        <v>46156</v>
      </c>
      <c r="B66" s="23" t="inlineStr">
        <is>
          <t>Recebimento parcela Gerado pelo sistema. Doc.: 4189 Ordem: 1</t>
        </is>
      </c>
      <c r="C66" s="23" t="inlineStr">
        <is>
          <t>CENTRO MEDICO DE JACOBINA LTDA</t>
        </is>
      </c>
      <c r="D66" s="24" t="n">
        <v>560</v>
      </c>
      <c r="E66" s="25" t="n"/>
      <c r="F66" s="26" t="n"/>
      <c r="G66" s="23" t="n"/>
    </row>
    <row r="67">
      <c r="A67" s="17" t="n">
        <v>46157</v>
      </c>
      <c r="B67" s="18" t="inlineStr">
        <is>
          <t>Recebimento à vista Gerado pelo sistema Doc.: 9056 Ordem: 1</t>
        </is>
      </c>
      <c r="C67" s="18" t="inlineStr">
        <is>
          <t>Cielo S. A.</t>
        </is>
      </c>
      <c r="D67" s="27" t="n">
        <v>145</v>
      </c>
      <c r="E67" s="19" t="n"/>
      <c r="F67" s="21" t="n"/>
      <c r="G67" s="18" t="n"/>
    </row>
    <row r="68">
      <c r="A68" s="22" t="n">
        <v>46157</v>
      </c>
      <c r="B68" s="23" t="inlineStr">
        <is>
          <t>Estorno de recebimento do documento: Gerado pelo sistema Doc.: 905</t>
        </is>
      </c>
      <c r="C68" s="23" t="inlineStr">
        <is>
          <t>Cielo S. A.</t>
        </is>
      </c>
      <c r="D68" s="25" t="n"/>
      <c r="E68" s="28" t="n">
        <v>145</v>
      </c>
      <c r="F68" s="26" t="inlineStr">
        <is>
          <t>Estornos de Vendas (Cancelamentos)</t>
        </is>
      </c>
      <c r="G68" s="23" t="n"/>
    </row>
    <row r="69">
      <c r="A69" s="17" t="n">
        <v>46157</v>
      </c>
      <c r="B69" s="18" t="inlineStr">
        <is>
          <t>Recebimento à vista Gerado pelo sistema Doc.: 9057 Ordem: 1</t>
        </is>
      </c>
      <c r="C69" s="18" t="inlineStr">
        <is>
          <t>Cielo S. A.</t>
        </is>
      </c>
      <c r="D69" s="27" t="n">
        <v>145</v>
      </c>
      <c r="E69" s="19" t="n"/>
      <c r="F69" s="21" t="n"/>
      <c r="G69" s="18" t="n"/>
    </row>
    <row r="70">
      <c r="A70" s="22" t="n">
        <v>46157</v>
      </c>
      <c r="B70" s="23" t="inlineStr">
        <is>
          <t>Recebimento à vista Gerado pelo sistema Doc.: 9058 Ordem: 1</t>
        </is>
      </c>
      <c r="C70" s="23" t="inlineStr">
        <is>
          <t>Cielo S. A.</t>
        </is>
      </c>
      <c r="D70" s="24" t="n">
        <v>140</v>
      </c>
      <c r="E70" s="25" t="n"/>
      <c r="F70" s="26" t="n"/>
      <c r="G70" s="23" t="n"/>
    </row>
    <row r="71">
      <c r="A71" s="17" t="n">
        <v>46157</v>
      </c>
      <c r="B71" s="18" t="inlineStr">
        <is>
          <t>Recebimento à vista Gerado pelo sistema Doc.: 9059 Ordem: 1</t>
        </is>
      </c>
      <c r="C71" s="18" t="inlineStr">
        <is>
          <t>Cielo S. A.</t>
        </is>
      </c>
      <c r="D71" s="27" t="n">
        <v>50</v>
      </c>
      <c r="E71" s="19" t="n"/>
      <c r="F71" s="21" t="n"/>
      <c r="G71" s="18" t="n"/>
    </row>
    <row r="72">
      <c r="A72" s="22" t="n">
        <v>46160</v>
      </c>
      <c r="B72" s="23" t="inlineStr">
        <is>
          <t>Recebimento à vista Gerado pelo sistema Doc.: 9060 Ordem: 1</t>
        </is>
      </c>
      <c r="C72" s="23" t="inlineStr">
        <is>
          <t>Cielo S. A.</t>
        </is>
      </c>
      <c r="D72" s="24" t="n">
        <v>220</v>
      </c>
      <c r="E72" s="25" t="n"/>
      <c r="F72" s="26" t="n"/>
      <c r="G72" s="23" t="n"/>
    </row>
    <row r="73">
      <c r="A73" s="17" t="n">
        <v>46160</v>
      </c>
      <c r="B73" s="18" t="inlineStr">
        <is>
          <t>Recebimento à vista Gerado pelo sistema Doc.: 9061 Ordem: 1</t>
        </is>
      </c>
      <c r="C73" s="18" t="inlineStr">
        <is>
          <t>ARLINDO GALDINO DOS SANTOS JUNIOR - FLORICELIA CARVALHO</t>
        </is>
      </c>
      <c r="D73" s="27" t="n">
        <v>140</v>
      </c>
      <c r="E73" s="19" t="n"/>
      <c r="F73" s="21" t="n"/>
      <c r="G73" s="18" t="n"/>
    </row>
    <row r="74">
      <c r="A74" s="22" t="n">
        <v>46160</v>
      </c>
      <c r="B74" s="23" t="inlineStr">
        <is>
          <t>Recebimento à vista Gerado pelo sistema. Doc.: 4194 Ordem: 1</t>
        </is>
      </c>
      <c r="C74" s="23" t="inlineStr">
        <is>
          <t>MAIZA CERQUEIRA BACELAR</t>
        </is>
      </c>
      <c r="D74" s="24" t="n">
        <v>1250</v>
      </c>
      <c r="E74" s="25" t="n"/>
      <c r="F74" s="26" t="n"/>
      <c r="G74" s="23" t="n"/>
    </row>
    <row r="75">
      <c r="A75" s="17" t="n">
        <v>46161</v>
      </c>
      <c r="B75" s="18" t="inlineStr">
        <is>
          <t>Recebimento à vista Gerado pelo sistema. Doc.: 4195 Ordem: 1</t>
        </is>
      </c>
      <c r="C75" s="18" t="inlineStr">
        <is>
          <t>COSTA E SA ADVOGADOS</t>
        </is>
      </c>
      <c r="D75" s="27" t="n">
        <v>100</v>
      </c>
      <c r="E75" s="19" t="n"/>
      <c r="F75" s="21" t="n"/>
      <c r="G75" s="18" t="n"/>
    </row>
    <row r="76">
      <c r="A76" s="22" t="n">
        <v>46161</v>
      </c>
      <c r="B76" s="23" t="inlineStr">
        <is>
          <t>Recebimento à vista Gerado pelo sistema Doc.: 9062 Ordem: 1</t>
        </is>
      </c>
      <c r="C76" s="23" t="inlineStr">
        <is>
          <t>Cielo S. A.</t>
        </is>
      </c>
      <c r="D76" s="24" t="n">
        <v>150</v>
      </c>
      <c r="E76" s="25" t="n"/>
      <c r="F76" s="26" t="n"/>
      <c r="G76" s="23" t="n"/>
    </row>
    <row r="77">
      <c r="A77" s="17" t="n">
        <v>46161</v>
      </c>
      <c r="B77" s="18" t="inlineStr">
        <is>
          <t>Recebimento à vista Gerado pelo sistema Doc.: 9063 Ordem: 1</t>
        </is>
      </c>
      <c r="C77" s="18" t="inlineStr">
        <is>
          <t>Cielo S. A.</t>
        </is>
      </c>
      <c r="D77" s="27" t="n">
        <v>140</v>
      </c>
      <c r="E77" s="19" t="n"/>
      <c r="F77" s="21" t="n"/>
      <c r="G77" s="18" t="n"/>
    </row>
    <row r="78">
      <c r="A78" s="22" t="n">
        <v>46162</v>
      </c>
      <c r="B78" s="23" t="inlineStr">
        <is>
          <t>Recebimento à vista Gerado pelo sistema Doc.: 9064 Ordem: 1</t>
        </is>
      </c>
      <c r="C78" s="23" t="inlineStr">
        <is>
          <t>Cliente Consumidor</t>
        </is>
      </c>
      <c r="D78" s="24" t="n">
        <v>75</v>
      </c>
      <c r="E78" s="25" t="n"/>
      <c r="F78" s="26" t="n"/>
      <c r="G78" s="23" t="n"/>
    </row>
    <row r="79">
      <c r="A79" s="17" t="n">
        <v>46162</v>
      </c>
      <c r="B79" s="18" t="inlineStr">
        <is>
          <t>Recebimento à vista Gerado pelo sistema Doc.: 9065 Ordem: 1</t>
        </is>
      </c>
      <c r="C79" s="18" t="inlineStr">
        <is>
          <t>Cielo S. A.</t>
        </is>
      </c>
      <c r="D79" s="27" t="n">
        <v>130</v>
      </c>
      <c r="E79" s="19" t="n"/>
      <c r="F79" s="21" t="n"/>
      <c r="G79" s="18" t="n"/>
    </row>
    <row r="80">
      <c r="A80" s="22" t="n">
        <v>46163</v>
      </c>
      <c r="B80" s="23" t="inlineStr">
        <is>
          <t>Recebimento à vista Gerado pelo sistema. Doc.: 4198 Ordem: 1</t>
        </is>
      </c>
      <c r="C80" s="23" t="inlineStr">
        <is>
          <t>ECO-MARMORES E GRANITOS IMPORTACAO E EXPORTACAO LTDA - EPP</t>
        </is>
      </c>
      <c r="D80" s="24" t="n">
        <v>140</v>
      </c>
      <c r="E80" s="25" t="n"/>
      <c r="F80" s="26" t="n"/>
      <c r="G80" s="23" t="n"/>
    </row>
    <row r="81">
      <c r="A81" s="17" t="n">
        <v>46163</v>
      </c>
      <c r="B81" s="18" t="inlineStr">
        <is>
          <t>Recebimento à vista Gerado pelo sistema. Doc.: 4199 Ordem: 1</t>
        </is>
      </c>
      <c r="C81" s="18" t="inlineStr">
        <is>
          <t>COLEGIO CASTRO ALVES LTDA</t>
        </is>
      </c>
      <c r="D81" s="27" t="n">
        <v>280</v>
      </c>
      <c r="E81" s="19" t="n"/>
      <c r="F81" s="21" t="n"/>
      <c r="G81" s="18" t="n"/>
    </row>
    <row r="82">
      <c r="A82" s="22" t="n">
        <v>46163</v>
      </c>
      <c r="B82" s="23" t="inlineStr">
        <is>
          <t>Recebimento à vista Gerado pelo sistema. Doc.: 4200 Ordem: 1</t>
        </is>
      </c>
      <c r="C82" s="23" t="inlineStr">
        <is>
          <t>HOSPITAL DO TRAUMA SERVICOS MEDICOS HOSPITALARES LTDA</t>
        </is>
      </c>
      <c r="D82" s="24" t="n">
        <v>140</v>
      </c>
      <c r="E82" s="25" t="n"/>
      <c r="F82" s="26" t="n"/>
      <c r="G82" s="23" t="n"/>
    </row>
    <row r="83">
      <c r="A83" s="17" t="n">
        <v>46163</v>
      </c>
      <c r="B83" s="18" t="inlineStr">
        <is>
          <t>Recebimento à vista Gerado pelo sistema Doc.: 9066 Ordem: 1</t>
        </is>
      </c>
      <c r="C83" s="18" t="inlineStr">
        <is>
          <t>Cielo S. A.</t>
        </is>
      </c>
      <c r="D83" s="27" t="n">
        <v>140</v>
      </c>
      <c r="E83" s="19" t="n"/>
      <c r="F83" s="21" t="n"/>
      <c r="G83" s="18" t="n"/>
    </row>
    <row r="84">
      <c r="A84" s="22" t="n">
        <v>46164</v>
      </c>
      <c r="B84" s="23" t="inlineStr">
        <is>
          <t>Recebimento à vista Gerado pelo sistema Doc.: 9067 Ordem: 1</t>
        </is>
      </c>
      <c r="C84" s="23" t="inlineStr">
        <is>
          <t>Cielo S. A.</t>
        </is>
      </c>
      <c r="D84" s="24" t="n">
        <v>200</v>
      </c>
      <c r="E84" s="25" t="n"/>
      <c r="F84" s="26" t="n"/>
      <c r="G84" s="23" t="n"/>
    </row>
    <row r="85">
      <c r="A85" s="17" t="n">
        <v>46164</v>
      </c>
      <c r="B85" s="18" t="inlineStr">
        <is>
          <t>Recebimento à vista Gerado pelo sistema Doc.: 9068 Ordem: 1</t>
        </is>
      </c>
      <c r="C85" s="18" t="inlineStr">
        <is>
          <t>VANDA CLEIA OLIVEIRA DA SILVA</t>
        </is>
      </c>
      <c r="D85" s="27" t="n">
        <v>140</v>
      </c>
      <c r="E85" s="19" t="n"/>
      <c r="F85" s="21" t="n"/>
      <c r="G85" s="18" t="n"/>
    </row>
    <row r="86">
      <c r="A86" s="22" t="n">
        <v>46164</v>
      </c>
      <c r="B86" s="23" t="inlineStr">
        <is>
          <t>Recebimento à vista Gerado pelo sistema Doc.: 9069 Ordem: 1</t>
        </is>
      </c>
      <c r="C86" s="23" t="inlineStr">
        <is>
          <t>Cliente Consumidor</t>
        </is>
      </c>
      <c r="D86" s="24" t="n">
        <v>140</v>
      </c>
      <c r="E86" s="25" t="n"/>
      <c r="F86" s="26" t="n"/>
      <c r="G86" s="23" t="n"/>
    </row>
    <row r="87">
      <c r="A87" s="17" t="n">
        <v>46164</v>
      </c>
      <c r="B87" s="18" t="inlineStr">
        <is>
          <t>Recebimento à vista Gerado pelo sistema. Doc.: 4201 Ordem: 1</t>
        </is>
      </c>
      <c r="C87" s="18" t="inlineStr">
        <is>
          <t>MARIUA CONSTRUCOES LTDA</t>
        </is>
      </c>
      <c r="D87" s="27" t="n">
        <v>180</v>
      </c>
      <c r="E87" s="19" t="n"/>
      <c r="F87" s="21" t="n"/>
      <c r="G87" s="18" t="n"/>
    </row>
    <row r="88">
      <c r="A88" s="22" t="n">
        <v>46164</v>
      </c>
      <c r="B88" s="23" t="inlineStr">
        <is>
          <t>Pagamento parcela Gerado pelo sistema - nº 128882 Doc.: 128882 Ord</t>
        </is>
      </c>
      <c r="C88" s="23" t="inlineStr">
        <is>
          <t>FILTROS PLANETA AGUA IND E COM LTDA</t>
        </is>
      </c>
      <c r="D88" s="25" t="n"/>
      <c r="E88" s="28" t="n">
        <v>504.43</v>
      </c>
      <c r="F88" s="26" t="inlineStr">
        <is>
          <t>Fornecedores / Mercadoria</t>
        </is>
      </c>
      <c r="G88" s="23" t="n"/>
    </row>
    <row r="89">
      <c r="A89" s="17" t="n">
        <v>46164</v>
      </c>
      <c r="B89" s="18" t="inlineStr">
        <is>
          <t>Pagamento parcela RECEITAS FEDERAIS Doc.: 1 Ordem: 73</t>
        </is>
      </c>
      <c r="C89" s="18" t="inlineStr">
        <is>
          <t>PLANETA AGUA LTDA</t>
        </is>
      </c>
      <c r="D89" s="19" t="n"/>
      <c r="E89" s="20" t="n">
        <v>405.39</v>
      </c>
      <c r="F89" s="21" t="inlineStr">
        <is>
          <t>Impostos e Taxas</t>
        </is>
      </c>
      <c r="G89" s="18" t="n"/>
    </row>
    <row r="90">
      <c r="A90" s="22" t="n">
        <v>46164</v>
      </c>
      <c r="B90" s="23" t="inlineStr">
        <is>
          <t>Pagamento parcela FGTS Doc.: 1 Ordem: 74</t>
        </is>
      </c>
      <c r="C90" s="23" t="inlineStr">
        <is>
          <t>PLANETA AGUA LTDA</t>
        </is>
      </c>
      <c r="D90" s="25" t="n"/>
      <c r="E90" s="28" t="n">
        <v>240.96</v>
      </c>
      <c r="F90" s="26" t="inlineStr">
        <is>
          <t>Impostos e Taxas</t>
        </is>
      </c>
      <c r="G90" s="23" t="n"/>
    </row>
    <row r="91">
      <c r="A91" s="17" t="n">
        <v>46164</v>
      </c>
      <c r="B91" s="18" t="inlineStr">
        <is>
          <t>Pagamento parcela SIMPLES NACIONAL Doc.: 1 Ordem: 75</t>
        </is>
      </c>
      <c r="C91" s="18" t="inlineStr">
        <is>
          <t>PLANETA AGUA LTDA</t>
        </is>
      </c>
      <c r="D91" s="19" t="n"/>
      <c r="E91" s="20" t="n">
        <v>2111.69</v>
      </c>
      <c r="F91" s="21" t="inlineStr">
        <is>
          <t>Impostos e Taxas</t>
        </is>
      </c>
      <c r="G91" s="18" t="n"/>
    </row>
    <row r="92">
      <c r="A92" s="22" t="n">
        <v>46165</v>
      </c>
      <c r="B92" s="23" t="inlineStr">
        <is>
          <t>Recebimento à vista Gerado pelo sistema Doc.: 9070 Ordem: 1</t>
        </is>
      </c>
      <c r="C92" s="23" t="inlineStr">
        <is>
          <t>Cliente Consumidor</t>
        </is>
      </c>
      <c r="D92" s="24" t="n">
        <v>10</v>
      </c>
      <c r="E92" s="25" t="n"/>
      <c r="F92" s="26" t="n"/>
      <c r="G92" s="23" t="n"/>
    </row>
    <row r="93">
      <c r="A93" s="17" t="n">
        <v>46167</v>
      </c>
      <c r="B93" s="18" t="inlineStr">
        <is>
          <t>Recebimento à vista Gerado pelo sistema Doc.: 9071 Ordem: 1</t>
        </is>
      </c>
      <c r="C93" s="18" t="inlineStr">
        <is>
          <t>CAIO MARCELO DA SILVA PASSOS</t>
        </is>
      </c>
      <c r="D93" s="27" t="n">
        <v>140</v>
      </c>
      <c r="E93" s="19" t="n"/>
      <c r="F93" s="21" t="n"/>
      <c r="G93" s="18" t="n"/>
    </row>
    <row r="94">
      <c r="A94" s="22" t="n">
        <v>46167</v>
      </c>
      <c r="B94" s="23" t="inlineStr">
        <is>
          <t>Recebimento à vista Gerado pelo sistema Doc.: 9072 Ordem: 1</t>
        </is>
      </c>
      <c r="C94" s="23" t="inlineStr">
        <is>
          <t>Cliente Consumidor</t>
        </is>
      </c>
      <c r="D94" s="24" t="n">
        <v>85</v>
      </c>
      <c r="E94" s="25" t="n"/>
      <c r="F94" s="26" t="n"/>
      <c r="G94" s="23" t="n"/>
    </row>
    <row r="95">
      <c r="A95" s="17" t="n">
        <v>46167</v>
      </c>
      <c r="B95" s="18" t="inlineStr">
        <is>
          <t>Recebimento à vista Gerado pelo sistema Doc.: 9073 Ordem: 1</t>
        </is>
      </c>
      <c r="C95" s="18" t="inlineStr">
        <is>
          <t>Cliente Consumidor</t>
        </is>
      </c>
      <c r="D95" s="27" t="n">
        <v>50</v>
      </c>
      <c r="E95" s="19" t="n"/>
      <c r="F95" s="21" t="n"/>
      <c r="G95" s="18" t="n"/>
    </row>
    <row r="96">
      <c r="A96" s="22" t="n">
        <v>46167</v>
      </c>
      <c r="B96" s="23" t="inlineStr">
        <is>
          <t>Recebimento à vista Gerado pelo sistema Doc.: 9074 Ordem: 1</t>
        </is>
      </c>
      <c r="C96" s="23" t="inlineStr">
        <is>
          <t>Cliente Consumidor</t>
        </is>
      </c>
      <c r="D96" s="24" t="n">
        <v>220</v>
      </c>
      <c r="E96" s="25" t="n"/>
      <c r="F96" s="26" t="n"/>
      <c r="G96" s="23" t="n"/>
    </row>
    <row r="97">
      <c r="A97" s="17" t="n">
        <v>46167</v>
      </c>
      <c r="B97" s="18" t="inlineStr">
        <is>
          <t>Recebimento parcela Gerado pelo sistema. Doc.: 4196 Ordem: 1</t>
        </is>
      </c>
      <c r="C97" s="18" t="inlineStr">
        <is>
          <t>CLINICA CARVALHO LTDA</t>
        </is>
      </c>
      <c r="D97" s="27" t="n">
        <v>140</v>
      </c>
      <c r="E97" s="19" t="n"/>
      <c r="F97" s="21" t="n"/>
      <c r="G97" s="18" t="n"/>
    </row>
    <row r="98">
      <c r="A98" s="22" t="n">
        <v>46167</v>
      </c>
      <c r="B98" s="23" t="inlineStr">
        <is>
          <t>Pagamento à vista: DOCUMENTO DE ARRRECADAÇÃO ESTADUAL Doc.</t>
        </is>
      </c>
      <c r="C98" s="23" t="inlineStr">
        <is>
          <t>BAHIA SECRETARIA DA FAZENDA</t>
        </is>
      </c>
      <c r="D98" s="25" t="n"/>
      <c r="E98" s="28" t="n">
        <v>1158.57</v>
      </c>
      <c r="F98" s="26" t="inlineStr">
        <is>
          <t>Impostos e Taxas</t>
        </is>
      </c>
      <c r="G98" s="23" t="n"/>
    </row>
    <row r="99">
      <c r="A99" s="17" t="n">
        <v>46168</v>
      </c>
      <c r="B99" s="18" t="inlineStr">
        <is>
          <t>Recebimento à vista Gerado pelo sistema. Doc.: 4202 Ordem: 1</t>
        </is>
      </c>
      <c r="C99" s="18" t="inlineStr">
        <is>
          <t>CDI - CLINICA DENTARIA INTEGRADA LTDA</t>
        </is>
      </c>
      <c r="D99" s="27" t="n">
        <v>280</v>
      </c>
      <c r="E99" s="19" t="n"/>
      <c r="F99" s="21" t="n"/>
      <c r="G99" s="18" t="n"/>
    </row>
    <row r="100">
      <c r="A100" s="22" t="n">
        <v>46168</v>
      </c>
      <c r="B100" s="23" t="inlineStr">
        <is>
          <t>Recebimento parcela Gerado pelo sistema. Doc.: 4197 Ordem: 1</t>
        </is>
      </c>
      <c r="C100" s="23" t="inlineStr">
        <is>
          <t>CLINICA ODONTOLOGICA RADIO IMAGEM LTDA</t>
        </is>
      </c>
      <c r="D100" s="24" t="n">
        <v>140</v>
      </c>
      <c r="E100" s="25" t="n"/>
      <c r="F100" s="26" t="n"/>
      <c r="G100" s="23" t="n"/>
    </row>
    <row r="101">
      <c r="A101" s="17" t="n">
        <v>46168</v>
      </c>
      <c r="B101" s="18" t="inlineStr">
        <is>
          <t>Recebimento à vista Gerado pelo sistema Doc.: 9075 Ordem: 1</t>
        </is>
      </c>
      <c r="C101" s="18" t="inlineStr">
        <is>
          <t>Cielo S. A.</t>
        </is>
      </c>
      <c r="D101" s="27" t="n">
        <v>200</v>
      </c>
      <c r="E101" s="19" t="n"/>
      <c r="F101" s="21" t="n"/>
      <c r="G101" s="18" t="n"/>
    </row>
    <row r="102">
      <c r="A102" s="22" t="n">
        <v>46168</v>
      </c>
      <c r="B102" s="23" t="inlineStr">
        <is>
          <t>Recebimento à vista Gerado pelo sistema. Doc.: 4205 Ordem: 1</t>
        </is>
      </c>
      <c r="C102" s="23" t="inlineStr">
        <is>
          <t>INSTITUTO ODONTOLOGICO PRIME LTDA</t>
        </is>
      </c>
      <c r="D102" s="24" t="n">
        <v>140</v>
      </c>
      <c r="E102" s="25" t="n"/>
      <c r="F102" s="26" t="n"/>
      <c r="G102" s="23" t="n"/>
    </row>
    <row r="103">
      <c r="A103" s="17" t="n">
        <v>46169</v>
      </c>
      <c r="B103" s="18" t="inlineStr">
        <is>
          <t>Pagamento à vista: FECHADURA + SERVIÇO PORTA DE VIDRO Doc.: 1</t>
        </is>
      </c>
      <c r="C103" s="18" t="inlineStr">
        <is>
          <t>PLANETA AGUA LTDA</t>
        </is>
      </c>
      <c r="D103" s="19" t="n"/>
      <c r="E103" s="20" t="n">
        <v>200</v>
      </c>
      <c r="F103" s="21" t="inlineStr">
        <is>
          <t>Manutenção e Reparos</t>
        </is>
      </c>
      <c r="G103" s="18" t="n"/>
    </row>
    <row r="104">
      <c r="A104" s="22" t="n">
        <v>46169</v>
      </c>
      <c r="B104" s="23" t="inlineStr">
        <is>
          <t>Recebimento à vista Gerado pelo sistema Doc.: 9076 Ordem: 1</t>
        </is>
      </c>
      <c r="C104" s="23" t="inlineStr">
        <is>
          <t>Cielo S. A.</t>
        </is>
      </c>
      <c r="D104" s="24" t="n">
        <v>280</v>
      </c>
      <c r="E104" s="25" t="n"/>
      <c r="F104" s="26" t="n"/>
      <c r="G104" s="23" t="n"/>
    </row>
    <row r="105">
      <c r="A105" s="17" t="n">
        <v>46169</v>
      </c>
      <c r="B105" s="18" t="inlineStr">
        <is>
          <t>Recebimento à vista Gerado pelo sistema Doc.: 9077 Ordem: 1</t>
        </is>
      </c>
      <c r="C105" s="18" t="inlineStr">
        <is>
          <t>Cliente Consumidor</t>
        </is>
      </c>
      <c r="D105" s="27" t="n">
        <v>140</v>
      </c>
      <c r="E105" s="19" t="n"/>
      <c r="F105" s="21" t="n"/>
      <c r="G105" s="18" t="n"/>
    </row>
    <row r="106">
      <c r="A106" s="22" t="n">
        <v>46170</v>
      </c>
      <c r="B106" s="23" t="inlineStr">
        <is>
          <t>Recebimento à vista Gerado pelo sistema. Doc.: 4207 Ordem: 1</t>
        </is>
      </c>
      <c r="C106" s="23" t="inlineStr">
        <is>
          <t>AILLEN LOPES OLIVEIRA</t>
        </is>
      </c>
      <c r="D106" s="24" t="n">
        <v>170</v>
      </c>
      <c r="E106" s="25" t="n"/>
      <c r="F106" s="26" t="n"/>
      <c r="G106" s="23" t="n"/>
    </row>
    <row r="107">
      <c r="A107" s="17" t="n">
        <v>46170</v>
      </c>
      <c r="B107" s="18" t="inlineStr">
        <is>
          <t>Recebimento à vista Gerado pelo sistema. Doc.: 4208 Ordem: 1</t>
        </is>
      </c>
      <c r="C107" s="18" t="inlineStr">
        <is>
          <t>DIOCESE DE BOMFIM PAROQUIA SAO JOSE DO OPERARIO</t>
        </is>
      </c>
      <c r="D107" s="27" t="n">
        <v>340</v>
      </c>
      <c r="E107" s="19" t="n"/>
      <c r="F107" s="21" t="n"/>
      <c r="G107" s="18" t="n"/>
    </row>
    <row r="108">
      <c r="A108" s="22" t="n">
        <v>46170</v>
      </c>
      <c r="B108" s="23" t="inlineStr">
        <is>
          <t>Recebimento à vista Gerado pelo sistema Doc.: 9078 Ordem: 1</t>
        </is>
      </c>
      <c r="C108" s="23" t="inlineStr">
        <is>
          <t>FANIA AMORIM AZEVEDO</t>
        </is>
      </c>
      <c r="D108" s="24" t="n">
        <v>140</v>
      </c>
      <c r="E108" s="25" t="n"/>
      <c r="F108" s="26" t="n"/>
      <c r="G108" s="23" t="n"/>
    </row>
    <row r="109">
      <c r="A109" s="17" t="n">
        <v>46170</v>
      </c>
      <c r="B109" s="18" t="inlineStr">
        <is>
          <t>Recebimento à vista Gerado pelo sistema Doc.: 9079 Ordem: 1</t>
        </is>
      </c>
      <c r="C109" s="18" t="inlineStr">
        <is>
          <t>Cliente Consumidor</t>
        </is>
      </c>
      <c r="D109" s="27" t="n">
        <v>135</v>
      </c>
      <c r="E109" s="19" t="n"/>
      <c r="F109" s="21" t="n"/>
      <c r="G109" s="18" t="n"/>
    </row>
    <row r="110">
      <c r="A110" s="22" t="n">
        <v>46170</v>
      </c>
      <c r="B110" s="23" t="inlineStr">
        <is>
          <t>Recebimento à vista Gerado pelo sistema Doc.: 9080 Ordem: 1</t>
        </is>
      </c>
      <c r="C110" s="23" t="inlineStr">
        <is>
          <t>Cielo S. A.</t>
        </is>
      </c>
      <c r="D110" s="24" t="n">
        <v>140</v>
      </c>
      <c r="E110" s="25" t="n"/>
      <c r="F110" s="26" t="n"/>
      <c r="G110" s="23" t="n"/>
    </row>
    <row r="111">
      <c r="A111" s="17" t="n">
        <v>46170</v>
      </c>
      <c r="B111" s="18" t="inlineStr">
        <is>
          <t>Pagamento parcela Gerado pelo sistema - nº 70444 Doc.: 70444 Orde</t>
        </is>
      </c>
      <c r="C111" s="18" t="inlineStr">
        <is>
          <t>EVERSOFT IND E COM DE PLASTICOS LTDA</t>
        </is>
      </c>
      <c r="D111" s="19" t="n"/>
      <c r="E111" s="20" t="n">
        <v>541.37</v>
      </c>
      <c r="F111" s="21" t="inlineStr">
        <is>
          <t>Fornecedores / Mercadoria</t>
        </is>
      </c>
      <c r="G111" s="18" t="n"/>
    </row>
    <row r="112">
      <c r="A112" s="22" t="n">
        <v>46170</v>
      </c>
      <c r="B112" s="23" t="inlineStr">
        <is>
          <t>Pagamento parcela Gerado pelo sistema - nº 71084 Doc.: 71084 Orde</t>
        </is>
      </c>
      <c r="C112" s="23" t="inlineStr">
        <is>
          <t>EVERSOFT IND E COM DE PLASTICOS LTDA</t>
        </is>
      </c>
      <c r="D112" s="25" t="n"/>
      <c r="E112" s="28" t="n">
        <v>878.92</v>
      </c>
      <c r="F112" s="26" t="inlineStr">
        <is>
          <t>Fornecedores / Mercadoria</t>
        </is>
      </c>
      <c r="G112" s="23" t="n"/>
    </row>
    <row r="113">
      <c r="A113" s="17" t="n">
        <v>46170</v>
      </c>
      <c r="B113" s="18" t="inlineStr">
        <is>
          <t>Pagamento parcela Gerado pelo sistema - nº 371358 Doc.: 371358 Ord</t>
        </is>
      </c>
      <c r="C113" s="18" t="inlineStr">
        <is>
          <t>EVEREST REFRIGERACAO E INDUSTRIA</t>
        </is>
      </c>
      <c r="D113" s="19" t="n"/>
      <c r="E113" s="20" t="n">
        <v>676.59</v>
      </c>
      <c r="F113" s="21" t="inlineStr">
        <is>
          <t>Fornecedores / Mercadoria</t>
        </is>
      </c>
      <c r="G113" s="18" t="n"/>
    </row>
    <row r="114">
      <c r="A114" s="22" t="n">
        <v>46170</v>
      </c>
      <c r="B114" s="23" t="inlineStr">
        <is>
          <t>Pagamento parcela ICMS - ANTECIPACAO PARCIAL Doc.: 1 Ordem: 76</t>
        </is>
      </c>
      <c r="C114" s="23" t="inlineStr">
        <is>
          <t>PLANETA AGUA LTDA</t>
        </is>
      </c>
      <c r="D114" s="25" t="n"/>
      <c r="E114" s="28" t="n">
        <v>922.79</v>
      </c>
      <c r="F114" s="26" t="inlineStr">
        <is>
          <t>Impostos e Taxas</t>
        </is>
      </c>
      <c r="G114" s="23" t="n"/>
    </row>
    <row r="115">
      <c r="A115" s="17" t="n">
        <v>46170</v>
      </c>
      <c r="B115" s="18" t="inlineStr">
        <is>
          <t>Pagamento parcela Gerado pelo sistema - nº 129257 Doc.: 129257 Ord</t>
        </is>
      </c>
      <c r="C115" s="18" t="inlineStr">
        <is>
          <t>FILTROS PLANETA AGUA IND E COM LTDA</t>
        </is>
      </c>
      <c r="D115" s="19" t="n"/>
      <c r="E115" s="20" t="n">
        <v>504.75</v>
      </c>
      <c r="F115" s="21" t="inlineStr">
        <is>
          <t>Fornecedores / Mercadoria</t>
        </is>
      </c>
      <c r="G115" s="18" t="n"/>
    </row>
    <row r="116">
      <c r="A116" s="22" t="n">
        <v>46170</v>
      </c>
      <c r="B116" s="23" t="inlineStr">
        <is>
          <t>Pagamento parcela Gerado pelo sistema - nº 69886 Doc.: 69886 Orde</t>
        </is>
      </c>
      <c r="C116" s="23" t="inlineStr">
        <is>
          <t>EVERSOFT IND E COM DE PLASTICOS LTDA</t>
        </is>
      </c>
      <c r="D116" s="25" t="n"/>
      <c r="E116" s="28" t="n">
        <v>878.9299999999999</v>
      </c>
      <c r="F116" s="26" t="inlineStr">
        <is>
          <t>Fornecedores / Mercadoria</t>
        </is>
      </c>
      <c r="G116" s="23" t="n"/>
    </row>
    <row r="117">
      <c r="A117" s="17" t="n">
        <v>46171</v>
      </c>
      <c r="B117" s="18" t="inlineStr">
        <is>
          <t>Recebimento à vista Gerado pelo sistema. Doc.: 4209 Ordem: 1</t>
        </is>
      </c>
      <c r="C117" s="18" t="inlineStr">
        <is>
          <t>MESQUITA MAIA ATENDIMENTO MEDICO E ODONTOLOGICO LTADA-ME</t>
        </is>
      </c>
      <c r="D117" s="27" t="n">
        <v>140</v>
      </c>
      <c r="E117" s="19" t="n"/>
      <c r="F117" s="21" t="n"/>
      <c r="G117" s="18" t="n"/>
    </row>
    <row r="118">
      <c r="A118" s="22" t="n">
        <v>46171</v>
      </c>
      <c r="B118" s="23" t="inlineStr">
        <is>
          <t>Recebimento à vista Gerado pelo sistema. Doc.: 4210 Ordem: 1</t>
        </is>
      </c>
      <c r="C118" s="23" t="inlineStr">
        <is>
          <t>FERNANDES GUERRA FISIOTERAPIA LTDA</t>
        </is>
      </c>
      <c r="D118" s="24" t="n">
        <v>140</v>
      </c>
      <c r="E118" s="25" t="n"/>
      <c r="F118" s="26" t="n"/>
      <c r="G118" s="23" t="n"/>
    </row>
    <row r="119">
      <c r="A119" s="17" t="n">
        <v>46171</v>
      </c>
      <c r="B119" s="18" t="inlineStr">
        <is>
          <t>Recebimento à vista Gerado pelo sistema. Doc.: 4211 Ordem: 1</t>
        </is>
      </c>
      <c r="C119" s="18" t="inlineStr">
        <is>
          <t>COMERCIAL DE TINTAS VERDES MARES LTDA</t>
        </is>
      </c>
      <c r="D119" s="27" t="n">
        <v>135</v>
      </c>
      <c r="E119" s="19" t="n"/>
      <c r="F119" s="21" t="n"/>
      <c r="G119" s="18" t="n"/>
    </row>
    <row r="120">
      <c r="A120" s="22" t="n">
        <v>46171</v>
      </c>
      <c r="B120" s="23" t="inlineStr">
        <is>
          <t>Recebimento à vista Gerado pelo sistema. Doc.: 4212 Ordem: 1</t>
        </is>
      </c>
      <c r="C120" s="23" t="inlineStr">
        <is>
          <t>AIRTON VIEIRA COSTA</t>
        </is>
      </c>
      <c r="D120" s="24" t="n">
        <v>1298</v>
      </c>
      <c r="E120" s="25" t="n"/>
      <c r="F120" s="26" t="n"/>
      <c r="G120" s="23" t="n"/>
    </row>
    <row r="121">
      <c r="A121" s="17" t="n">
        <v>46172</v>
      </c>
      <c r="B121" s="18" t="inlineStr">
        <is>
          <t>Recebimento à vista Gerado pelo sistema Doc.: 9081 Ordem: 1</t>
        </is>
      </c>
      <c r="C121" s="18" t="inlineStr">
        <is>
          <t>Cliente Consumidor</t>
        </is>
      </c>
      <c r="D121" s="27" t="n">
        <v>45</v>
      </c>
      <c r="E121" s="19" t="n"/>
      <c r="F121" s="21" t="n"/>
      <c r="G121" s="18" t="n"/>
    </row>
    <row r="122">
      <c r="A122" s="22" t="n">
        <v>46172</v>
      </c>
      <c r="B122" s="23" t="inlineStr">
        <is>
          <t>Recebimento à vista Gerado pelo sistema Doc.: 9082 Ordem: 1</t>
        </is>
      </c>
      <c r="C122" s="23" t="inlineStr">
        <is>
          <t>Cielo S. A.</t>
        </is>
      </c>
      <c r="D122" s="24" t="n">
        <v>90</v>
      </c>
      <c r="E122" s="25" t="n"/>
      <c r="F122" s="26" t="n"/>
      <c r="G122" s="23" t="n"/>
    </row>
    <row r="123">
      <c r="A123" s="29" t="n"/>
      <c r="B123" s="228" t="inlineStr">
        <is>
          <t>TOTAL DO MÊS</t>
        </is>
      </c>
      <c r="C123" s="161" t="n"/>
      <c r="D123" s="8">
        <f>SUM(D5:D122)</f>
        <v/>
      </c>
      <c r="E123" s="8">
        <f>SUM(E5:E122)</f>
        <v/>
      </c>
      <c r="F123" s="29" t="n"/>
      <c r="G123" s="29" t="n"/>
    </row>
    <row r="124" ht="15.75" customHeight="1" s="158">
      <c r="A124" s="30" t="n"/>
      <c r="B124" s="227" t="inlineStr">
        <is>
          <t>SALDO DO MÊS (Entradas − Despesas da loja)</t>
        </is>
      </c>
      <c r="D124" s="226">
        <f>D123-J18</f>
        <v/>
      </c>
      <c r="F124" s="30" t="n"/>
      <c r="G124" s="30" t="n"/>
    </row>
  </sheetData>
  <autoFilter ref="A4:G122"/>
  <mergeCells count="12">
    <mergeCell ref="P4:Q4"/>
    <mergeCell ref="I4:J4"/>
    <mergeCell ref="A1:G1"/>
    <mergeCell ref="L4:M4"/>
    <mergeCell ref="D124:E124"/>
    <mergeCell ref="B124:C124"/>
    <mergeCell ref="B123:C123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Q117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JUNHO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46174</v>
      </c>
      <c r="B5" s="18" t="inlineStr">
        <is>
          <t>Recebimento à vista Gerado pelo sistema Doc.: 9083 Ordem: 1</t>
        </is>
      </c>
      <c r="C5" s="18" t="inlineStr">
        <is>
          <t>GIDIONOR ANDRADE DOS SANTOS - CREUZA SILVA SOUZA</t>
        </is>
      </c>
      <c r="D5" s="27" t="n">
        <v>140</v>
      </c>
      <c r="E5" s="19" t="n"/>
      <c r="F5" s="21" t="n"/>
      <c r="G5" s="18" t="n"/>
      <c r="I5" s="10" t="inlineStr">
        <is>
          <t>Fornecedores / Mercadoria</t>
        </is>
      </c>
      <c r="J5" s="11">
        <f>SUMIF(F5:F115,I5,E5:E115)</f>
        <v/>
      </c>
      <c r="L5" s="230">
        <f>D116</f>
        <v/>
      </c>
      <c r="N5" s="232">
        <f>J18</f>
        <v/>
      </c>
      <c r="P5" s="231">
        <f>D117</f>
        <v/>
      </c>
    </row>
    <row r="6" ht="14.1" customHeight="1" s="158">
      <c r="A6" s="22" t="n">
        <v>46174</v>
      </c>
      <c r="B6" s="23" t="inlineStr">
        <is>
          <t>Recebimento à vista Gerado pelo sistema. Doc.: 4213 Ordem: 1</t>
        </is>
      </c>
      <c r="C6" s="23" t="inlineStr">
        <is>
          <t>ALBUQUERQUE SCARDUA SERVICOS MEDICOS LTDA</t>
        </is>
      </c>
      <c r="D6" s="24" t="n">
        <v>150</v>
      </c>
      <c r="E6" s="25" t="n"/>
      <c r="F6" s="26" t="n"/>
      <c r="G6" s="23" t="n"/>
      <c r="I6" s="13" t="inlineStr">
        <is>
          <t>Aluguel</t>
        </is>
      </c>
      <c r="J6" s="14">
        <f>SUMIF(F5:F115,I6,E5:E115)</f>
        <v/>
      </c>
    </row>
    <row r="7">
      <c r="A7" s="17" t="n">
        <v>46174</v>
      </c>
      <c r="B7" s="18" t="inlineStr">
        <is>
          <t>Recebimento à vista Gerado pelo sistema Doc.: 9084 Ordem: 1</t>
        </is>
      </c>
      <c r="C7" s="18" t="inlineStr">
        <is>
          <t>MARIA DO SOCORRO LIMA GRASSI</t>
        </is>
      </c>
      <c r="D7" s="27" t="n">
        <v>140</v>
      </c>
      <c r="E7" s="19" t="n"/>
      <c r="F7" s="21" t="n"/>
      <c r="G7" s="18" t="n"/>
      <c r="I7" s="10" t="inlineStr">
        <is>
          <t>Água, Energia e Internet</t>
        </is>
      </c>
      <c r="J7" s="11">
        <f>SUMIF(F5:F115,I7,E5:E115)</f>
        <v/>
      </c>
    </row>
    <row r="8">
      <c r="A8" s="22" t="n">
        <v>46175</v>
      </c>
      <c r="B8" s="23" t="inlineStr">
        <is>
          <t>Recebimento parcela Gerado pelo sistema Doc.: 8918 Ordem: 2</t>
        </is>
      </c>
      <c r="C8" s="23" t="inlineStr">
        <is>
          <t>EVA LAGES MATOS DE FREITAS</t>
        </is>
      </c>
      <c r="D8" s="24" t="n">
        <v>70</v>
      </c>
      <c r="E8" s="25" t="n"/>
      <c r="F8" s="26" t="n"/>
      <c r="G8" s="23" t="n"/>
      <c r="I8" s="13" t="inlineStr">
        <is>
          <t>Impostos e Taxas</t>
        </is>
      </c>
      <c r="J8" s="14">
        <f>SUMIF(F5:F115,I8,E5:E115)</f>
        <v/>
      </c>
    </row>
    <row r="9">
      <c r="A9" s="17" t="n">
        <v>46176</v>
      </c>
      <c r="B9" s="18" t="inlineStr">
        <is>
          <t>Recebimento à vista Gerado pelo sistema. Doc.: 4215 Ordem: 1</t>
        </is>
      </c>
      <c r="C9" s="18" t="inlineStr">
        <is>
          <t>LOJAO DAS MAQUIAGENS LTDA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SUMIF(F5:F115,I9,E5:E115)</f>
        <v/>
      </c>
    </row>
    <row r="10">
      <c r="A10" s="22" t="n">
        <v>46176</v>
      </c>
      <c r="B10" s="23" t="inlineStr">
        <is>
          <t>Recebimento à vista Gerado pelo sistema Doc.: 9085 Ordem: 1</t>
        </is>
      </c>
      <c r="C10" s="23" t="inlineStr">
        <is>
          <t>JIDALVA FREITAS SILVA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SUMIF(F5:F115,I10,E5:E115)</f>
        <v/>
      </c>
    </row>
    <row r="11">
      <c r="A11" s="17" t="n">
        <v>46176</v>
      </c>
      <c r="B11" s="18" t="inlineStr">
        <is>
          <t>Recebimento à vista Gerado pelo sistema Doc.: 9086 Ordem: 1</t>
        </is>
      </c>
      <c r="C11" s="18" t="inlineStr">
        <is>
          <t>Cielo S. A.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SUMIF(F5:F115,I11,E5:E115)</f>
        <v/>
      </c>
    </row>
    <row r="12">
      <c r="A12" s="22" t="n">
        <v>46176</v>
      </c>
      <c r="B12" s="23" t="inlineStr">
        <is>
          <t>Recebimento à vista Gerado pelo sistema Doc.: 9087 Ordem: 1</t>
        </is>
      </c>
      <c r="C12" s="23" t="inlineStr">
        <is>
          <t>Cliente Consumidor</t>
        </is>
      </c>
      <c r="D12" s="24" t="n">
        <v>140</v>
      </c>
      <c r="E12" s="25" t="n"/>
      <c r="F12" s="26" t="n"/>
      <c r="G12" s="23" t="n"/>
      <c r="I12" s="13" t="inlineStr">
        <is>
          <t>Contabilidade</t>
        </is>
      </c>
      <c r="J12" s="14">
        <f>SUMIF(F5:F115,I12,E5:E115)</f>
        <v/>
      </c>
    </row>
    <row r="13">
      <c r="A13" s="17" t="n">
        <v>46178</v>
      </c>
      <c r="B13" s="18" t="inlineStr">
        <is>
          <t>Recebimento à vista Gerado pelo sistema. Doc.: 4218 Ordem: 1</t>
        </is>
      </c>
      <c r="C13" s="18" t="inlineStr">
        <is>
          <t>GABRIELA FERREIRA GAMA</t>
        </is>
      </c>
      <c r="D13" s="27" t="n">
        <v>1398</v>
      </c>
      <c r="E13" s="19" t="n"/>
      <c r="F13" s="21" t="n"/>
      <c r="G13" s="18" t="n"/>
      <c r="I13" s="10" t="inlineStr">
        <is>
          <t>Manutenção e Reparos</t>
        </is>
      </c>
      <c r="J13" s="11">
        <f>SUMIF(F5:F115,I13,E5:E115)</f>
        <v/>
      </c>
    </row>
    <row r="14">
      <c r="A14" s="22" t="n">
        <v>46178</v>
      </c>
      <c r="B14" s="23" t="inlineStr">
        <is>
          <t>Recebimento à vista Gerado pelo sistema Doc.: 9088 Ordem: 1</t>
        </is>
      </c>
      <c r="C14" s="23" t="inlineStr">
        <is>
          <t>Cielo S. A.</t>
        </is>
      </c>
      <c r="D14" s="24" t="n">
        <v>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SUMIF(F5:F115,I14,E5:E115)</f>
        <v/>
      </c>
    </row>
    <row r="15">
      <c r="A15" s="17" t="n">
        <v>46178</v>
      </c>
      <c r="B15" s="18" t="inlineStr">
        <is>
          <t>Recebimento à vista Gerado pelo sistema Doc.: 9089 Ordem: 1</t>
        </is>
      </c>
      <c r="C15" s="18" t="inlineStr">
        <is>
          <t>Cliente Consumidor</t>
        </is>
      </c>
      <c r="D15" s="27" t="n">
        <v>35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SUMIF(F5:F115,I15,E5:E115)</f>
        <v/>
      </c>
    </row>
    <row r="16">
      <c r="A16" s="22" t="n">
        <v>46178</v>
      </c>
      <c r="B16" s="23" t="inlineStr">
        <is>
          <t>Recebimento à vista Gerado pelo sistema Doc.: 9090 Ordem: 1</t>
        </is>
      </c>
      <c r="C16" s="23" t="inlineStr">
        <is>
          <t>REINALDO DE JESUS - ELIZETE</t>
        </is>
      </c>
      <c r="D16" s="24" t="n">
        <v>170</v>
      </c>
      <c r="E16" s="25" t="n"/>
      <c r="F16" s="26" t="n"/>
      <c r="G16" s="23" t="n"/>
      <c r="I16" s="13" t="inlineStr">
        <is>
          <t>Outras Despesas</t>
        </is>
      </c>
      <c r="J16" s="14">
        <f>SUMIF(F5:F115,I16,E5:E115)</f>
        <v/>
      </c>
    </row>
    <row r="17">
      <c r="A17" s="17" t="n">
        <v>46178</v>
      </c>
      <c r="B17" s="18" t="inlineStr">
        <is>
          <t>Recebimento parcela Gerado pelo sistema. Doc.: 4219 Ordem: 1</t>
        </is>
      </c>
      <c r="C17" s="18" t="inlineStr">
        <is>
          <t>BIO IMAGEM SERVICO DE DIAGNOSTICO LTDA EPP</t>
        </is>
      </c>
      <c r="D17" s="27" t="n">
        <v>200</v>
      </c>
      <c r="E17" s="19" t="n"/>
      <c r="F17" s="21" t="n"/>
      <c r="G17" s="18" t="n"/>
      <c r="I17" s="42" t="inlineStr">
        <is>
          <t>Pro Labore Edilânia</t>
        </is>
      </c>
      <c r="J17" s="8">
        <f>SUMIF(F5:F115,I17,E5:E115)</f>
        <v/>
      </c>
    </row>
    <row r="18">
      <c r="A18" s="22" t="n">
        <v>46178</v>
      </c>
      <c r="B18" s="23" t="inlineStr">
        <is>
          <t>Pagamento parcela Gerado pelo sistema - nº 128882 Doc.: 128882 Ord</t>
        </is>
      </c>
      <c r="C18" s="23" t="inlineStr">
        <is>
          <t>FILTROS PLANETA AGUA IND E COM LTDA</t>
        </is>
      </c>
      <c r="D18" s="25" t="n"/>
      <c r="E18" s="28" t="n">
        <v>504.43</v>
      </c>
      <c r="F18" s="26" t="inlineStr">
        <is>
          <t>Fornecedores / Mercadoria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46178</v>
      </c>
      <c r="B19" s="18" t="inlineStr">
        <is>
          <t>Pagamento parcela Gerado pelo sistema - nº 72153 Doc.: 72153 Orde</t>
        </is>
      </c>
      <c r="C19" s="18" t="inlineStr">
        <is>
          <t>EVERSOFT IND E COM DE PLASTICOS LTDA</t>
        </is>
      </c>
      <c r="D19" s="19" t="n"/>
      <c r="E19" s="20" t="n">
        <v>878.92</v>
      </c>
      <c r="F19" s="21" t="inlineStr">
        <is>
          <t>Fornecedores / Mercadoria</t>
        </is>
      </c>
      <c r="G19" s="18" t="n"/>
    </row>
    <row r="20">
      <c r="A20" s="22" t="n">
        <v>46178</v>
      </c>
      <c r="B20" s="23" t="inlineStr">
        <is>
          <t>Pagamento parcela ALUGUEL VITORIA MARIA Doc.: 1 Ordem: 10</t>
        </is>
      </c>
      <c r="C20" s="23" t="inlineStr">
        <is>
          <t>VITORIA MARIA F SANTOS</t>
        </is>
      </c>
      <c r="D20" s="25" t="n"/>
      <c r="E20" s="28" t="n">
        <v>870</v>
      </c>
      <c r="F20" s="26" t="inlineStr">
        <is>
          <t>Aluguel</t>
        </is>
      </c>
      <c r="G20" s="23" t="n"/>
    </row>
    <row r="21">
      <c r="A21" s="17" t="n">
        <v>46178</v>
      </c>
      <c r="B21" s="18" t="inlineStr">
        <is>
          <t>Pagamento à vista: DOCUMENTO DE ARRECADAÇÃO DE RECEITAS FED</t>
        </is>
      </c>
      <c r="C21" s="18" t="inlineStr">
        <is>
          <t>MINISTERIO DA FAZENDA</t>
        </is>
      </c>
      <c r="D21" s="19" t="n"/>
      <c r="E21" s="20" t="n">
        <v>430.27</v>
      </c>
      <c r="F21" s="21" t="inlineStr">
        <is>
          <t>Impostos e Taxas</t>
        </is>
      </c>
      <c r="G21" s="18" t="n"/>
    </row>
    <row r="22">
      <c r="A22" s="22" t="n">
        <v>46178</v>
      </c>
      <c r="B22" s="23" t="inlineStr">
        <is>
          <t>Pagamento parcela COELBA LOJA Doc.: 1 Ordem: 21</t>
        </is>
      </c>
      <c r="C22" s="23" t="inlineStr">
        <is>
          <t>COMPANHIA DE ELETRICIDADE DO ESTADO DA BAHIA COELBA</t>
        </is>
      </c>
      <c r="D22" s="25" t="n"/>
      <c r="E22" s="28" t="n">
        <v>150.65</v>
      </c>
      <c r="F22" s="26" t="inlineStr">
        <is>
          <t>Água, Energia e Internet</t>
        </is>
      </c>
      <c r="G22" s="23" t="n"/>
    </row>
    <row r="23">
      <c r="A23" s="17" t="n">
        <v>46178</v>
      </c>
      <c r="B23" s="18" t="inlineStr">
        <is>
          <t>Pagamento parcela Gerado pelo sistema - nº 374271 Doc.: 374271 Ord</t>
        </is>
      </c>
      <c r="C23" s="18" t="inlineStr">
        <is>
          <t>EVEREST REFRIGERACAO E INDUSTRIA</t>
        </is>
      </c>
      <c r="D23" s="19" t="n"/>
      <c r="E23" s="20" t="n">
        <v>706.65</v>
      </c>
      <c r="F23" s="21" t="inlineStr">
        <is>
          <t>Fornecedores / Mercadoria</t>
        </is>
      </c>
      <c r="G23" s="18" t="n"/>
    </row>
    <row r="24">
      <c r="A24" s="22" t="n">
        <v>46178</v>
      </c>
      <c r="B24" s="23" t="inlineStr">
        <is>
          <t>Pagamento parcela Gerado pelo sistema - nº 130510 Doc.: 130510 Ord</t>
        </is>
      </c>
      <c r="C24" s="23" t="inlineStr">
        <is>
          <t>FILTROS PLANETA AGUA IND E COM LTDA</t>
        </is>
      </c>
      <c r="D24" s="25" t="n"/>
      <c r="E24" s="28" t="n">
        <v>804.71</v>
      </c>
      <c r="F24" s="26" t="inlineStr">
        <is>
          <t>Fornecedores / Mercadoria</t>
        </is>
      </c>
      <c r="G24" s="23" t="n"/>
    </row>
    <row r="25">
      <c r="A25" s="17" t="n">
        <v>46179</v>
      </c>
      <c r="B25" s="18" t="inlineStr">
        <is>
          <t>Recebimento à vista Gerado pelo sistema Doc.: 9091 Ordem: 1</t>
        </is>
      </c>
      <c r="C25" s="18" t="inlineStr">
        <is>
          <t>Cliente Consumidor</t>
        </is>
      </c>
      <c r="D25" s="27" t="n">
        <v>10</v>
      </c>
      <c r="E25" s="19" t="n"/>
      <c r="F25" s="21" t="n"/>
      <c r="G25" s="18" t="n"/>
    </row>
    <row r="26">
      <c r="A26" s="22" t="n">
        <v>46179</v>
      </c>
      <c r="B26" s="23" t="inlineStr">
        <is>
          <t>Recebimento à vista Gerado pelo sistema Doc.: 9092 Ordem: 1</t>
        </is>
      </c>
      <c r="C26" s="23" t="inlineStr">
        <is>
          <t>Cliente Consumidor</t>
        </is>
      </c>
      <c r="D26" s="24" t="n">
        <v>10</v>
      </c>
      <c r="E26" s="25" t="n"/>
      <c r="F26" s="26" t="n"/>
      <c r="G26" s="23" t="n"/>
    </row>
    <row r="27">
      <c r="A27" s="17" t="n">
        <v>46179</v>
      </c>
      <c r="B27" s="18" t="inlineStr">
        <is>
          <t>Recebimento à vista Gerado pelo sistema Doc.: 9093 Ordem: 1</t>
        </is>
      </c>
      <c r="C27" s="18" t="inlineStr">
        <is>
          <t>Cliente Consumidor</t>
        </is>
      </c>
      <c r="D27" s="27" t="n">
        <v>80</v>
      </c>
      <c r="E27" s="19" t="n"/>
      <c r="F27" s="21" t="n"/>
      <c r="G27" s="18" t="n"/>
    </row>
    <row r="28">
      <c r="A28" s="22" t="n">
        <v>46181</v>
      </c>
      <c r="B28" s="23" t="inlineStr">
        <is>
          <t>Recebimento à vista Gerado pelo sistema. Doc.: 4220 Ordem: 1</t>
        </is>
      </c>
      <c r="C28" s="23" t="inlineStr">
        <is>
          <t>SERVICO NACIONAL DE APRENDIZAGEM RURAL SENAR</t>
        </is>
      </c>
      <c r="D28" s="24" t="n">
        <v>175</v>
      </c>
      <c r="E28" s="25" t="n"/>
      <c r="F28" s="26" t="n"/>
      <c r="G28" s="23" t="n"/>
    </row>
    <row r="29">
      <c r="A29" s="17" t="n">
        <v>46181</v>
      </c>
      <c r="B29" s="18" t="inlineStr">
        <is>
          <t>Recebimento à vista Gerado pelo sistema Doc.: 9094 Ordem: 1</t>
        </is>
      </c>
      <c r="C29" s="18" t="inlineStr">
        <is>
          <t>JOSE CARLOS SILVEIRA GOMES</t>
        </is>
      </c>
      <c r="D29" s="27" t="n">
        <v>135</v>
      </c>
      <c r="E29" s="19" t="n"/>
      <c r="F29" s="21" t="n"/>
      <c r="G29" s="18" t="n"/>
    </row>
    <row r="30">
      <c r="A30" s="22" t="n">
        <v>46181</v>
      </c>
      <c r="B30" s="23" t="inlineStr">
        <is>
          <t>Recebimento à vista Gerado pelo sistema Doc.: 9095 Ordem: 1</t>
        </is>
      </c>
      <c r="C30" s="23" t="inlineStr">
        <is>
          <t>Cielo S. A.</t>
        </is>
      </c>
      <c r="D30" s="24" t="n">
        <v>10</v>
      </c>
      <c r="E30" s="25" t="n"/>
      <c r="F30" s="26" t="n"/>
      <c r="G30" s="23" t="n"/>
    </row>
    <row r="31">
      <c r="A31" s="17" t="n">
        <v>46181</v>
      </c>
      <c r="B31" s="18" t="inlineStr">
        <is>
          <t>Recebimento à vista Gerado pelo sistema Doc.: 9096 Ordem: 1</t>
        </is>
      </c>
      <c r="C31" s="18" t="inlineStr">
        <is>
          <t>Cielo S. A.</t>
        </is>
      </c>
      <c r="D31" s="27" t="n">
        <v>25</v>
      </c>
      <c r="E31" s="19" t="n"/>
      <c r="F31" s="21" t="n"/>
      <c r="G31" s="18" t="n"/>
    </row>
    <row r="32">
      <c r="A32" s="22" t="n">
        <v>46182</v>
      </c>
      <c r="B32" s="23" t="inlineStr">
        <is>
          <t>Recebimento à vista Gerado pelo sistema Doc.: 9097 Ordem: 1</t>
        </is>
      </c>
      <c r="C32" s="23" t="inlineStr">
        <is>
          <t>Cielo S. A.</t>
        </is>
      </c>
      <c r="D32" s="24" t="n">
        <v>140</v>
      </c>
      <c r="E32" s="25" t="n"/>
      <c r="F32" s="26" t="n"/>
      <c r="G32" s="23" t="n"/>
    </row>
    <row r="33">
      <c r="A33" s="17" t="n">
        <v>46182</v>
      </c>
      <c r="B33" s="18" t="inlineStr">
        <is>
          <t>Recebimento à vista Gerado pelo sistema. Doc.: 4221 Ordem: 1</t>
        </is>
      </c>
      <c r="C33" s="18" t="inlineStr">
        <is>
          <t>SKINA MINEIRA LTDA</t>
        </is>
      </c>
      <c r="D33" s="27" t="n">
        <v>200</v>
      </c>
      <c r="E33" s="19" t="n"/>
      <c r="F33" s="21" t="n"/>
      <c r="G33" s="18" t="n"/>
    </row>
    <row r="34">
      <c r="A34" s="22" t="n">
        <v>46182</v>
      </c>
      <c r="B34" s="23" t="inlineStr">
        <is>
          <t>Recebimento à vista Gerado pelo sistema. Doc.: 4222 Ordem: 1</t>
        </is>
      </c>
      <c r="C34" s="23" t="inlineStr">
        <is>
          <t>MARISA ARAUJO OLIVEIRA NASCIMENTO</t>
        </is>
      </c>
      <c r="D34" s="24" t="n">
        <v>140</v>
      </c>
      <c r="E34" s="25" t="n"/>
      <c r="F34" s="26" t="n"/>
      <c r="G34" s="23" t="n"/>
    </row>
    <row r="35">
      <c r="A35" s="17" t="n">
        <v>46182</v>
      </c>
      <c r="B35" s="18" t="inlineStr">
        <is>
          <t>Recebimento parcela Gerado pelo sistema. Doc.: 4219 Ordem: 2</t>
        </is>
      </c>
      <c r="C35" s="18" t="inlineStr">
        <is>
          <t>BIO IMAGEM SERVICO DE DIAGNOSTICO LTDA EPP</t>
        </is>
      </c>
      <c r="D35" s="27" t="n">
        <v>80</v>
      </c>
      <c r="E35" s="19" t="n"/>
      <c r="F35" s="21" t="n"/>
      <c r="G35" s="18" t="n"/>
    </row>
    <row r="36">
      <c r="A36" s="22" t="n">
        <v>46182</v>
      </c>
      <c r="B36" s="23" t="inlineStr">
        <is>
          <t>Pagamento parcela Gerado pelo sistema - nº 368012 Doc.: 368012 Ord</t>
        </is>
      </c>
      <c r="C36" s="23" t="inlineStr">
        <is>
          <t>EVEREST REFRIGERACAO E INDUSTRIA</t>
        </is>
      </c>
      <c r="D36" s="25" t="n"/>
      <c r="E36" s="28" t="n">
        <v>811.01</v>
      </c>
      <c r="F36" s="26" t="inlineStr">
        <is>
          <t>Fornecedores / Mercadoria</t>
        </is>
      </c>
      <c r="G36" s="23" t="n"/>
    </row>
    <row r="37">
      <c r="A37" s="17" t="n">
        <v>46182</v>
      </c>
      <c r="B37" s="18" t="inlineStr">
        <is>
          <t>Pagamento parcela Gerado pelo sistema - nº 372597 Doc.: 372597 Ord</t>
        </is>
      </c>
      <c r="C37" s="18" t="inlineStr">
        <is>
          <t>EVEREST REFRIGERACAO E INDUSTRIA</t>
        </is>
      </c>
      <c r="D37" s="19" t="n"/>
      <c r="E37" s="20" t="n">
        <v>725.48</v>
      </c>
      <c r="F37" s="21" t="inlineStr">
        <is>
          <t>Fornecedores / Mercadoria</t>
        </is>
      </c>
      <c r="G37" s="18" t="n"/>
    </row>
    <row r="38">
      <c r="A38" s="22" t="n">
        <v>46182</v>
      </c>
      <c r="B38" s="23" t="inlineStr">
        <is>
          <t>Pagamento parcela Gerado pelo sistema - nº 129257 Doc.: 129257 Ord</t>
        </is>
      </c>
      <c r="C38" s="23" t="inlineStr">
        <is>
          <t>FILTROS PLANETA AGUA IND E COM LTDA</t>
        </is>
      </c>
      <c r="D38" s="25" t="n"/>
      <c r="E38" s="28" t="n">
        <v>504.75</v>
      </c>
      <c r="F38" s="26" t="inlineStr">
        <is>
          <t>Fornecedores / Mercadoria</t>
        </is>
      </c>
      <c r="G38" s="23" t="n"/>
    </row>
    <row r="39">
      <c r="A39" s="17" t="n">
        <v>46183</v>
      </c>
      <c r="B39" s="18" t="inlineStr">
        <is>
          <t>Recebimento à vista Gerado pelo sistema. Doc.: 4223 Ordem: 1</t>
        </is>
      </c>
      <c r="C39" s="18" t="inlineStr">
        <is>
          <t>CARLOS HENRIQUE DE OLIVEIRA SALVADOR LTDA</t>
        </is>
      </c>
      <c r="D39" s="27" t="n">
        <v>140</v>
      </c>
      <c r="E39" s="19" t="n"/>
      <c r="F39" s="21" t="n"/>
      <c r="G39" s="18" t="n"/>
    </row>
    <row r="40">
      <c r="A40" s="22" t="n">
        <v>46183</v>
      </c>
      <c r="B40" s="23" t="inlineStr">
        <is>
          <t>Recebimento à vista Gerado pelo sistema. Doc.: 4224 Ordem: 1</t>
        </is>
      </c>
      <c r="C40" s="23" t="inlineStr">
        <is>
          <t>TAYANE CALCADOS E VESTUARIO LTDA</t>
        </is>
      </c>
      <c r="D40" s="24" t="n">
        <v>140</v>
      </c>
      <c r="E40" s="25" t="n"/>
      <c r="F40" s="26" t="n"/>
      <c r="G40" s="23" t="n"/>
    </row>
    <row r="41">
      <c r="A41" s="17" t="n">
        <v>46183</v>
      </c>
      <c r="B41" s="18" t="inlineStr">
        <is>
          <t>Recebimento à vista Gerado pelo sistema. Doc.: 4225 Ordem: 1</t>
        </is>
      </c>
      <c r="C41" s="18" t="inlineStr">
        <is>
          <t>A F MENDONCA OLIVEIRA EIRELI</t>
        </is>
      </c>
      <c r="D41" s="27" t="n">
        <v>140</v>
      </c>
      <c r="E41" s="19" t="n"/>
      <c r="F41" s="21" t="n"/>
      <c r="G41" s="18" t="n"/>
    </row>
    <row r="42">
      <c r="A42" s="22" t="n">
        <v>46183</v>
      </c>
      <c r="B42" s="23" t="inlineStr">
        <is>
          <t>Recebimento parcela Gerado pelo sistema. Doc.: 4187 Ordem: 1</t>
        </is>
      </c>
      <c r="C42" s="23" t="inlineStr">
        <is>
          <t>DRILLGEO GEOLOGIA E SONDAGENS S/A</t>
        </is>
      </c>
      <c r="D42" s="24" t="n">
        <v>180</v>
      </c>
      <c r="E42" s="25" t="n"/>
      <c r="F42" s="26" t="n"/>
      <c r="G42" s="23" t="n"/>
    </row>
    <row r="43">
      <c r="A43" s="17" t="n">
        <v>46184</v>
      </c>
      <c r="B43" s="18" t="inlineStr">
        <is>
          <t>Recebimento à vista Gerado pelo sistema Doc.: 9098 Ordem: 1</t>
        </is>
      </c>
      <c r="C43" s="18" t="inlineStr">
        <is>
          <t>Cliente Consumidor</t>
        </is>
      </c>
      <c r="D43" s="27" t="n">
        <v>10</v>
      </c>
      <c r="E43" s="19" t="n"/>
      <c r="F43" s="21" t="n"/>
      <c r="G43" s="18" t="n"/>
    </row>
    <row r="44">
      <c r="A44" s="22" t="n">
        <v>46184</v>
      </c>
      <c r="B44" s="23" t="inlineStr">
        <is>
          <t>Recebimento à vista Gerado pelo sistema. Doc.: 4226 Ordem: 1</t>
        </is>
      </c>
      <c r="C44" s="23" t="inlineStr">
        <is>
          <t>IRENILDA ALMEIDA SANTOS</t>
        </is>
      </c>
      <c r="D44" s="24" t="n">
        <v>1510</v>
      </c>
      <c r="E44" s="25" t="n"/>
      <c r="F44" s="26" t="n"/>
      <c r="G44" s="23" t="n"/>
    </row>
    <row r="45">
      <c r="A45" s="17" t="n">
        <v>46184</v>
      </c>
      <c r="B45" s="18" t="inlineStr">
        <is>
          <t>Recebimento à vista Gerado pelo sistema Doc.: 9099 Ordem: 1</t>
        </is>
      </c>
      <c r="C45" s="18" t="inlineStr">
        <is>
          <t>Cliente Consumidor</t>
        </is>
      </c>
      <c r="D45" s="27" t="n">
        <v>60</v>
      </c>
      <c r="E45" s="19" t="n"/>
      <c r="F45" s="21" t="n"/>
      <c r="G45" s="18" t="n"/>
    </row>
    <row r="46">
      <c r="A46" s="22" t="n">
        <v>46184</v>
      </c>
      <c r="B46" s="23" t="inlineStr">
        <is>
          <t>Recebimento à vista Gerado pelo sistema Doc.: 9100 Ordem: 1</t>
        </is>
      </c>
      <c r="C46" s="23" t="inlineStr">
        <is>
          <t>Cliente Consumidor</t>
        </is>
      </c>
      <c r="D46" s="24" t="n">
        <v>140</v>
      </c>
      <c r="E46" s="25" t="n"/>
      <c r="F46" s="26" t="n"/>
      <c r="G46" s="23" t="n"/>
    </row>
    <row r="47">
      <c r="A47" s="17" t="n">
        <v>46185</v>
      </c>
      <c r="B47" s="18" t="inlineStr">
        <is>
          <t>Recebimento à vista Gerado pelo sistema Doc.: 9101 Ordem: 1</t>
        </is>
      </c>
      <c r="C47" s="18" t="inlineStr">
        <is>
          <t>Cliente Consumidor</t>
        </is>
      </c>
      <c r="D47" s="27" t="n">
        <v>200</v>
      </c>
      <c r="E47" s="19" t="n"/>
      <c r="F47" s="21" t="n"/>
      <c r="G47" s="18" t="n"/>
    </row>
    <row r="48">
      <c r="A48" s="22" t="n">
        <v>46185</v>
      </c>
      <c r="B48" s="23" t="inlineStr">
        <is>
          <t>Recebimento à vista Gerado pelo sistema Doc.: 9102 Ordem: 1</t>
        </is>
      </c>
      <c r="C48" s="23" t="inlineStr">
        <is>
          <t>AVERTINA MARIA DE OLIVEIRA</t>
        </is>
      </c>
      <c r="D48" s="24" t="n">
        <v>185</v>
      </c>
      <c r="E48" s="25" t="n"/>
      <c r="F48" s="26" t="n"/>
      <c r="G48" s="23" t="n"/>
    </row>
    <row r="49">
      <c r="A49" s="17" t="n">
        <v>46185</v>
      </c>
      <c r="B49" s="18" t="inlineStr">
        <is>
          <t>Recebimento à vista Gerado pelo sistema Doc.: 9103 Ordem: 1</t>
        </is>
      </c>
      <c r="C49" s="18" t="inlineStr">
        <is>
          <t>Cielo S. A.</t>
        </is>
      </c>
      <c r="D49" s="27" t="n">
        <v>90</v>
      </c>
      <c r="E49" s="19" t="n"/>
      <c r="F49" s="21" t="n"/>
      <c r="G49" s="18" t="n"/>
    </row>
    <row r="50">
      <c r="A50" s="22" t="n">
        <v>46185</v>
      </c>
      <c r="B50" s="23" t="inlineStr">
        <is>
          <t>Recebimento à vista Gerado pelo sistema Doc.: 9104 Ordem: 1</t>
        </is>
      </c>
      <c r="C50" s="23" t="inlineStr">
        <is>
          <t>Cliente Consumidor</t>
        </is>
      </c>
      <c r="D50" s="24" t="n">
        <v>40</v>
      </c>
      <c r="E50" s="25" t="n"/>
      <c r="F50" s="26" t="n"/>
      <c r="G50" s="23" t="n"/>
    </row>
    <row r="51">
      <c r="A51" s="17" t="n">
        <v>46185</v>
      </c>
      <c r="B51" s="18" t="inlineStr">
        <is>
          <t>Recebimento à vista Gerado pelo sistema Doc.: 9105 Ordem: 1</t>
        </is>
      </c>
      <c r="C51" s="18" t="inlineStr">
        <is>
          <t>Cliente Consumidor</t>
        </is>
      </c>
      <c r="D51" s="27" t="n">
        <v>95</v>
      </c>
      <c r="E51" s="19" t="n"/>
      <c r="F51" s="21" t="n"/>
      <c r="G51" s="18" t="n"/>
    </row>
    <row r="52">
      <c r="A52" s="22" t="n">
        <v>46188</v>
      </c>
      <c r="B52" s="23" t="inlineStr">
        <is>
          <t>Recebimento à vista Gerado pelo sistema Doc.: 9106 Ordem: 1</t>
        </is>
      </c>
      <c r="C52" s="23" t="inlineStr">
        <is>
          <t>SILVIO CANDIDO DA SILVA - CELIA BORGE</t>
        </is>
      </c>
      <c r="D52" s="24" t="n">
        <v>180</v>
      </c>
      <c r="E52" s="25" t="n"/>
      <c r="F52" s="26" t="n"/>
      <c r="G52" s="23" t="n"/>
    </row>
    <row r="53">
      <c r="A53" s="17" t="n">
        <v>46188</v>
      </c>
      <c r="B53" s="18" t="inlineStr">
        <is>
          <t>Recebimento à vista Gerado pelo sistema Doc.: 9107 Ordem: 1</t>
        </is>
      </c>
      <c r="C53" s="18" t="inlineStr">
        <is>
          <t>JALICIA LIMA SANTOS MURICY</t>
        </is>
      </c>
      <c r="D53" s="27" t="n">
        <v>140</v>
      </c>
      <c r="E53" s="19" t="n"/>
      <c r="F53" s="21" t="n"/>
      <c r="G53" s="18" t="n"/>
    </row>
    <row r="54">
      <c r="A54" s="22" t="n">
        <v>46188</v>
      </c>
      <c r="B54" s="23" t="inlineStr">
        <is>
          <t>Recebimento à vista Gerado pelo sistema Doc.: 9108 Ordem: 1</t>
        </is>
      </c>
      <c r="C54" s="23" t="inlineStr">
        <is>
          <t>MARIA INEZ LAGES MATOS</t>
        </is>
      </c>
      <c r="D54" s="24" t="n">
        <v>140</v>
      </c>
      <c r="E54" s="25" t="n"/>
      <c r="F54" s="26" t="n"/>
      <c r="G54" s="23" t="n"/>
    </row>
    <row r="55">
      <c r="A55" s="17" t="n">
        <v>46188</v>
      </c>
      <c r="B55" s="18" t="inlineStr">
        <is>
          <t>Recebimento à vista Gerado pelo sistema Doc.: 9109 Ordem: 1</t>
        </is>
      </c>
      <c r="C55" s="18" t="inlineStr">
        <is>
          <t>Cielo S. A.</t>
        </is>
      </c>
      <c r="D55" s="27" t="n">
        <v>90</v>
      </c>
      <c r="E55" s="19" t="n"/>
      <c r="F55" s="21" t="n"/>
      <c r="G55" s="18" t="n"/>
    </row>
    <row r="56">
      <c r="A56" s="22" t="n">
        <v>46188</v>
      </c>
      <c r="B56" s="23" t="inlineStr">
        <is>
          <t>Recebimento à vista Gerado pelo sistema Doc.: 9110 Ordem: 1</t>
        </is>
      </c>
      <c r="C56" s="23" t="inlineStr">
        <is>
          <t>Cliente Consumidor</t>
        </is>
      </c>
      <c r="D56" s="24" t="n">
        <v>20</v>
      </c>
      <c r="E56" s="25" t="n"/>
      <c r="F56" s="26" t="n"/>
      <c r="G56" s="23" t="n"/>
    </row>
    <row r="57">
      <c r="A57" s="17" t="n">
        <v>46189</v>
      </c>
      <c r="B57" s="18" t="inlineStr">
        <is>
          <t>Recebimento à vista Gerado pelo sistema Doc.: 9111 Ordem: 1</t>
        </is>
      </c>
      <c r="C57" s="18" t="inlineStr">
        <is>
          <t>Cliente Consumidor</t>
        </is>
      </c>
      <c r="D57" s="27" t="n">
        <v>35</v>
      </c>
      <c r="E57" s="19" t="n"/>
      <c r="F57" s="21" t="n"/>
      <c r="G57" s="18" t="n"/>
    </row>
    <row r="58">
      <c r="A58" s="22" t="n">
        <v>46189</v>
      </c>
      <c r="B58" s="23" t="inlineStr">
        <is>
          <t>Recebimento à vista Gerado pelo sistema Doc.: 9112 Ordem: 1</t>
        </is>
      </c>
      <c r="C58" s="23" t="inlineStr">
        <is>
          <t>Cielo S. A.</t>
        </is>
      </c>
      <c r="D58" s="24" t="n">
        <v>200</v>
      </c>
      <c r="E58" s="25" t="n"/>
      <c r="F58" s="26" t="n"/>
      <c r="G58" s="23" t="n"/>
    </row>
    <row r="59">
      <c r="A59" s="17" t="n">
        <v>46189</v>
      </c>
      <c r="B59" s="18" t="inlineStr">
        <is>
          <t>Recebimento à vista Gerado pelo sistema. Doc.: 4227 Ordem: 1</t>
        </is>
      </c>
      <c r="C59" s="18" t="inlineStr">
        <is>
          <t>VALDINEY SANTOS DA SILVA</t>
        </is>
      </c>
      <c r="D59" s="27" t="n">
        <v>60</v>
      </c>
      <c r="E59" s="19" t="n"/>
      <c r="F59" s="21" t="n"/>
      <c r="G59" s="18" t="n"/>
    </row>
    <row r="60">
      <c r="A60" s="22" t="n">
        <v>46189</v>
      </c>
      <c r="B60" s="23" t="inlineStr">
        <is>
          <t>Pagamento parcela TARCISIO OLIVEIRA LIMA Doc.: 1 Ordem: 7</t>
        </is>
      </c>
      <c r="C60" s="23" t="inlineStr">
        <is>
          <t>CONTABILIDADE TARCISIO OLIVEIRA LIMA</t>
        </is>
      </c>
      <c r="D60" s="25" t="n"/>
      <c r="E60" s="28" t="n">
        <v>486.32</v>
      </c>
      <c r="F60" s="26" t="inlineStr">
        <is>
          <t>Contabilidade</t>
        </is>
      </c>
      <c r="G60" s="23" t="n"/>
    </row>
    <row r="61">
      <c r="A61" s="17" t="n">
        <v>46189</v>
      </c>
      <c r="B61" s="18" t="inlineStr">
        <is>
          <t>Pagamento parcela Gerado pelo sistema - nº 368529 Doc.: 368529 Ord</t>
        </is>
      </c>
      <c r="C61" s="18" t="inlineStr">
        <is>
          <t>EVEREST REFRIGERACAO E INDUSTRIA</t>
        </is>
      </c>
      <c r="D61" s="19" t="n"/>
      <c r="E61" s="20" t="n">
        <v>865.52</v>
      </c>
      <c r="F61" s="21" t="inlineStr">
        <is>
          <t>Fornecedores / Mercadoria</t>
        </is>
      </c>
      <c r="G61" s="18" t="n"/>
    </row>
    <row r="62">
      <c r="A62" s="22" t="n">
        <v>46189</v>
      </c>
      <c r="B62" s="23" t="inlineStr">
        <is>
          <t>Recebimento à vista Gerado pelo sistema Doc.: 9113 Ordem: 1</t>
        </is>
      </c>
      <c r="C62" s="23" t="inlineStr">
        <is>
          <t>Cliente Consumidor</t>
        </is>
      </c>
      <c r="D62" s="24" t="n">
        <v>10</v>
      </c>
      <c r="E62" s="25" t="n"/>
      <c r="F62" s="26" t="n"/>
      <c r="G62" s="23" t="n"/>
    </row>
    <row r="63">
      <c r="A63" s="17" t="n">
        <v>46189</v>
      </c>
      <c r="B63" s="18" t="inlineStr">
        <is>
          <t>Recebimento à vista Gerado pelo sistema Doc.: 9114 Ordem: 1</t>
        </is>
      </c>
      <c r="C63" s="18" t="inlineStr">
        <is>
          <t>Cliente Consumidor</t>
        </is>
      </c>
      <c r="D63" s="27" t="n">
        <v>65</v>
      </c>
      <c r="E63" s="19" t="n"/>
      <c r="F63" s="21" t="n"/>
      <c r="G63" s="18" t="n"/>
    </row>
    <row r="64">
      <c r="A64" s="22" t="n">
        <v>46189</v>
      </c>
      <c r="B64" s="23" t="inlineStr">
        <is>
          <t>Recebimento parcela Gerado pelo sistema. Doc.: 4217 Ordem: 1</t>
        </is>
      </c>
      <c r="C64" s="23" t="inlineStr">
        <is>
          <t>RF SUPERMERCADO BRASIL LTDA</t>
        </is>
      </c>
      <c r="D64" s="24" t="n">
        <v>450</v>
      </c>
      <c r="E64" s="25" t="n"/>
      <c r="F64" s="26" t="n"/>
      <c r="G64" s="23" t="n"/>
    </row>
    <row r="65">
      <c r="A65" s="17" t="n">
        <v>46189</v>
      </c>
      <c r="B65" s="18" t="inlineStr">
        <is>
          <t>Recebimento à vista Gerado pelo sistema. Doc.: 4228 Ordem: 1</t>
        </is>
      </c>
      <c r="C65" s="18" t="inlineStr">
        <is>
          <t>VERONILDO BASILIO SOUZA</t>
        </is>
      </c>
      <c r="D65" s="27" t="n">
        <v>135</v>
      </c>
      <c r="E65" s="19" t="n"/>
      <c r="F65" s="21" t="n"/>
      <c r="G65" s="18" t="n"/>
    </row>
    <row r="66">
      <c r="A66" s="22" t="n">
        <v>46189</v>
      </c>
      <c r="B66" s="23" t="inlineStr">
        <is>
          <t>Recebimento à vista Gerado pelo sistema Doc.: 9115 Ordem: 1</t>
        </is>
      </c>
      <c r="C66" s="23" t="inlineStr">
        <is>
          <t>Cielo S. A.</t>
        </is>
      </c>
      <c r="D66" s="24" t="n">
        <v>200</v>
      </c>
      <c r="E66" s="25" t="n"/>
      <c r="F66" s="26" t="n"/>
      <c r="G66" s="23" t="n"/>
    </row>
    <row r="67">
      <c r="A67" s="17" t="n">
        <v>46190</v>
      </c>
      <c r="B67" s="18" t="inlineStr">
        <is>
          <t>Recebimento à vista Gerado pelo sistema Doc.: 9116 Ordem: 1</t>
        </is>
      </c>
      <c r="C67" s="18" t="inlineStr">
        <is>
          <t>VALDENICE DE JESUS CERQUEIRA</t>
        </is>
      </c>
      <c r="D67" s="27" t="n">
        <v>130</v>
      </c>
      <c r="E67" s="19" t="n"/>
      <c r="F67" s="21" t="n"/>
      <c r="G67" s="18" t="n"/>
    </row>
    <row r="68">
      <c r="A68" s="22" t="n">
        <v>46190</v>
      </c>
      <c r="B68" s="23" t="inlineStr">
        <is>
          <t>Recebimento à vista Gerado pelo sistema. Doc.: 4229 Ordem: 1</t>
        </is>
      </c>
      <c r="C68" s="23" t="inlineStr">
        <is>
          <t>AVENIDA POSTO E COMBUSTIVEL</t>
        </is>
      </c>
      <c r="D68" s="24" t="n">
        <v>140</v>
      </c>
      <c r="E68" s="25" t="n"/>
      <c r="F68" s="26" t="n"/>
      <c r="G68" s="23" t="n"/>
    </row>
    <row r="69">
      <c r="A69" s="17" t="n">
        <v>46190</v>
      </c>
      <c r="B69" s="18" t="inlineStr">
        <is>
          <t>Recebimento à vista Gerado pelo sistema. Doc.: 4231 Ordem: 1</t>
        </is>
      </c>
      <c r="C69" s="18" t="inlineStr">
        <is>
          <t>JACOBINA AUTOMOVEIS LTDA</t>
        </is>
      </c>
      <c r="D69" s="27" t="n">
        <v>135</v>
      </c>
      <c r="E69" s="19" t="n"/>
      <c r="F69" s="21" t="n"/>
      <c r="G69" s="18" t="n"/>
    </row>
    <row r="70">
      <c r="A70" s="22" t="n">
        <v>46190</v>
      </c>
      <c r="B70" s="23" t="inlineStr">
        <is>
          <t>Recebimento à vista Gerado pelo sistema Doc.: 9117 Ordem: 1</t>
        </is>
      </c>
      <c r="C70" s="23" t="inlineStr">
        <is>
          <t>ANTONIO CARLOS MARCOLINO DA SILVA</t>
        </is>
      </c>
      <c r="D70" s="24" t="n">
        <v>140</v>
      </c>
      <c r="E70" s="25" t="n"/>
      <c r="F70" s="26" t="n"/>
      <c r="G70" s="23" t="n"/>
    </row>
    <row r="71">
      <c r="A71" s="17" t="n">
        <v>46190</v>
      </c>
      <c r="B71" s="18" t="inlineStr">
        <is>
          <t>Recebimento à vista Gerado pelo sistema Doc.: 9118 Ordem: 1</t>
        </is>
      </c>
      <c r="C71" s="18" t="inlineStr">
        <is>
          <t>Cliente Consumidor</t>
        </is>
      </c>
      <c r="D71" s="27" t="n">
        <v>415</v>
      </c>
      <c r="E71" s="19" t="n"/>
      <c r="F71" s="21" t="n"/>
      <c r="G71" s="18" t="n"/>
    </row>
    <row r="72">
      <c r="A72" s="22" t="n">
        <v>46191</v>
      </c>
      <c r="B72" s="23" t="inlineStr">
        <is>
          <t>Recebimento parcela Gerado pelo sistema. Doc.: 4214 Ordem: 1</t>
        </is>
      </c>
      <c r="C72" s="23" t="inlineStr">
        <is>
          <t>CENTRO MEDICO DE JACOBINA LTDA</t>
        </is>
      </c>
      <c r="D72" s="24" t="n">
        <v>1120</v>
      </c>
      <c r="E72" s="25" t="n"/>
      <c r="F72" s="26" t="n"/>
      <c r="G72" s="23" t="n"/>
    </row>
    <row r="73">
      <c r="A73" s="17" t="n">
        <v>46191</v>
      </c>
      <c r="B73" s="18" t="inlineStr">
        <is>
          <t>Recebimento à vista Gerado pelo sistema Doc.: 9119 Ordem: 1</t>
        </is>
      </c>
      <c r="C73" s="18" t="inlineStr">
        <is>
          <t>Cielo S. A.</t>
        </is>
      </c>
      <c r="D73" s="27" t="n">
        <v>120</v>
      </c>
      <c r="E73" s="19" t="n"/>
      <c r="F73" s="21" t="n"/>
      <c r="G73" s="18" t="n"/>
    </row>
    <row r="74">
      <c r="A74" s="22" t="n">
        <v>46191</v>
      </c>
      <c r="B74" s="23" t="inlineStr">
        <is>
          <t>Recebimento à vista Gerado pelo sistema Doc.: 9120 Ordem: 1</t>
        </is>
      </c>
      <c r="C74" s="23" t="inlineStr">
        <is>
          <t>Cielo S. A.</t>
        </is>
      </c>
      <c r="D74" s="24" t="n">
        <v>90</v>
      </c>
      <c r="E74" s="25" t="n"/>
      <c r="F74" s="26" t="n"/>
      <c r="G74" s="23" t="n"/>
    </row>
    <row r="75">
      <c r="A75" s="17" t="n">
        <v>46191</v>
      </c>
      <c r="B75" s="18" t="inlineStr">
        <is>
          <t>Recebimento à vista Gerado pelo sistema Doc.: 9121 Ordem: 1</t>
        </is>
      </c>
      <c r="C75" s="18" t="inlineStr">
        <is>
          <t>Cielo S. A.</t>
        </is>
      </c>
      <c r="D75" s="27" t="n">
        <v>200</v>
      </c>
      <c r="E75" s="19" t="n"/>
      <c r="F75" s="21" t="n"/>
      <c r="G75" s="18" t="n"/>
    </row>
    <row r="76">
      <c r="A76" s="22" t="n">
        <v>46191</v>
      </c>
      <c r="B76" s="23" t="inlineStr">
        <is>
          <t>Recebimento à vista Gerado pelo sistema Doc.: 9122 Ordem: 1</t>
        </is>
      </c>
      <c r="C76" s="23" t="inlineStr">
        <is>
          <t>Cielo S. A.</t>
        </is>
      </c>
      <c r="D76" s="24" t="n">
        <v>50</v>
      </c>
      <c r="E76" s="25" t="n"/>
      <c r="F76" s="26" t="n"/>
      <c r="G76" s="23" t="n"/>
    </row>
    <row r="77">
      <c r="A77" s="17" t="n">
        <v>46191</v>
      </c>
      <c r="B77" s="18" t="inlineStr">
        <is>
          <t>Recebimento parcela Gerado pelo sistema. Doc.: 4232 Ordem: 1</t>
        </is>
      </c>
      <c r="C77" s="18" t="inlineStr">
        <is>
          <t>INSTITUICAO ADVENTISTA NORDESTE BRASILEIRO DE EDUCACAO E</t>
        </is>
      </c>
      <c r="D77" s="27" t="n">
        <v>625</v>
      </c>
      <c r="E77" s="19" t="n"/>
      <c r="F77" s="21" t="n"/>
      <c r="G77" s="18" t="n"/>
    </row>
    <row r="78">
      <c r="A78" s="22" t="n">
        <v>46191</v>
      </c>
      <c r="B78" s="23" t="inlineStr">
        <is>
          <t>Pagamento parcela Gerado pelo sistema - nº 377739 Doc.: 377739 Ord</t>
        </is>
      </c>
      <c r="C78" s="23" t="inlineStr">
        <is>
          <t>EVEREST REFRIGERACAO E INDUSTRIA</t>
        </is>
      </c>
      <c r="D78" s="25" t="n"/>
      <c r="E78" s="28" t="n">
        <v>856.35</v>
      </c>
      <c r="F78" s="26" t="inlineStr">
        <is>
          <t>Fornecedores / Mercadoria</t>
        </is>
      </c>
      <c r="G78" s="23" t="n"/>
    </row>
    <row r="79">
      <c r="A79" s="17" t="n">
        <v>46191</v>
      </c>
      <c r="B79" s="18" t="inlineStr">
        <is>
          <t>Pagamento parcela Gerado pelo sistema - nº 377738 Doc.: 377738 Ord</t>
        </is>
      </c>
      <c r="C79" s="18" t="inlineStr">
        <is>
          <t>EVEREST REFRIGERACAO E INDUSTRIA</t>
        </is>
      </c>
      <c r="D79" s="19" t="n"/>
      <c r="E79" s="20" t="n">
        <v>865.5</v>
      </c>
      <c r="F79" s="21" t="inlineStr">
        <is>
          <t>Fornecedores / Mercadoria</t>
        </is>
      </c>
      <c r="G79" s="18" t="n"/>
    </row>
    <row r="80">
      <c r="A80" s="22" t="n">
        <v>46191</v>
      </c>
      <c r="B80" s="23" t="inlineStr">
        <is>
          <t>Pagamento parcela Gerado pelo sistema - nº 377737 Doc.: 377737 Ord</t>
        </is>
      </c>
      <c r="C80" s="23" t="inlineStr">
        <is>
          <t>EVEREST REFRIGERACAO E INDUSTRIA</t>
        </is>
      </c>
      <c r="D80" s="25" t="n"/>
      <c r="E80" s="28" t="n">
        <v>167.91</v>
      </c>
      <c r="F80" s="26" t="inlineStr">
        <is>
          <t>Fornecedores / Mercadoria</t>
        </is>
      </c>
      <c r="G80" s="23" t="n"/>
    </row>
    <row r="81">
      <c r="A81" s="17" t="n">
        <v>46191</v>
      </c>
      <c r="B81" s="18" t="inlineStr">
        <is>
          <t>Pagamento parcela Gerado pelo sistema - nº 130510 Doc.: 130510 Ord</t>
        </is>
      </c>
      <c r="C81" s="18" t="inlineStr">
        <is>
          <t>FILTROS PLANETA AGUA IND E COM LTDA</t>
        </is>
      </c>
      <c r="D81" s="19" t="n"/>
      <c r="E81" s="20" t="n">
        <v>666.15</v>
      </c>
      <c r="F81" s="21" t="inlineStr">
        <is>
          <t>Fornecedores / Mercadoria</t>
        </is>
      </c>
      <c r="G81" s="18" t="n"/>
    </row>
    <row r="82">
      <c r="A82" s="22" t="n">
        <v>46191</v>
      </c>
      <c r="B82" s="23" t="inlineStr">
        <is>
          <t>Pagamento parcela GUIA DO FGTS DIGITAL Doc.: 1 Ordem: 1</t>
        </is>
      </c>
      <c r="C82" s="23" t="inlineStr">
        <is>
          <t>CAIXA ECONOMICA FEDERAL</t>
        </is>
      </c>
      <c r="D82" s="25" t="n"/>
      <c r="E82" s="28" t="n">
        <v>267.2</v>
      </c>
      <c r="F82" s="26" t="inlineStr">
        <is>
          <t>Impostos e Taxas</t>
        </is>
      </c>
      <c r="G82" s="23" t="n"/>
    </row>
    <row r="83">
      <c r="A83" s="17" t="n">
        <v>46192</v>
      </c>
      <c r="B83" s="18" t="inlineStr">
        <is>
          <t>Recebimento à vista Gerado pelo sistema Doc.: 9123 Ordem: 1</t>
        </is>
      </c>
      <c r="C83" s="18" t="inlineStr">
        <is>
          <t>RONIE DE SANTANA LIMA</t>
        </is>
      </c>
      <c r="D83" s="27" t="n">
        <v>180</v>
      </c>
      <c r="E83" s="19" t="n"/>
      <c r="F83" s="21" t="n"/>
      <c r="G83" s="18" t="n"/>
    </row>
    <row r="84">
      <c r="A84" s="22" t="n">
        <v>46192</v>
      </c>
      <c r="B84" s="23" t="inlineStr">
        <is>
          <t>Recebimento à vista Gerado pelo sistema Doc.: 9124 Ordem: 1</t>
        </is>
      </c>
      <c r="C84" s="23" t="inlineStr">
        <is>
          <t>Cliente Consumidor</t>
        </is>
      </c>
      <c r="D84" s="24" t="n">
        <v>30</v>
      </c>
      <c r="E84" s="25" t="n"/>
      <c r="F84" s="26" t="n"/>
      <c r="G84" s="23" t="n"/>
    </row>
    <row r="85">
      <c r="A85" s="17" t="n">
        <v>46192</v>
      </c>
      <c r="B85" s="18" t="inlineStr">
        <is>
          <t>Recebimento à vista Gerado pelo sistema Doc.: 9125 Ordem: 1</t>
        </is>
      </c>
      <c r="C85" s="18" t="inlineStr">
        <is>
          <t>Cliente Consumidor</t>
        </is>
      </c>
      <c r="D85" s="27" t="n">
        <v>30</v>
      </c>
      <c r="E85" s="19" t="n"/>
      <c r="F85" s="21" t="n"/>
      <c r="G85" s="18" t="n"/>
    </row>
    <row r="86">
      <c r="A86" s="22" t="n">
        <v>46193</v>
      </c>
      <c r="B86" s="23" t="inlineStr">
        <is>
          <t>Recebimento à vista Gerado pelo sistema Doc.: 9126 Ordem: 1</t>
        </is>
      </c>
      <c r="C86" s="23" t="inlineStr">
        <is>
          <t>OSVALDINA SOARES NERY - MARILENE SOARES DIBEC</t>
        </is>
      </c>
      <c r="D86" s="24" t="n">
        <v>135</v>
      </c>
      <c r="E86" s="25" t="n"/>
      <c r="F86" s="26" t="n"/>
      <c r="G86" s="23" t="n"/>
    </row>
    <row r="87">
      <c r="A87" s="17" t="n">
        <v>46195</v>
      </c>
      <c r="B87" s="18" t="inlineStr">
        <is>
          <t>Recebimento à vista Gerado pelo sistema Doc.: 9127 Ordem: 1</t>
        </is>
      </c>
      <c r="C87" s="18" t="inlineStr">
        <is>
          <t>Cielo S. A.</t>
        </is>
      </c>
      <c r="D87" s="27" t="n">
        <v>140</v>
      </c>
      <c r="E87" s="19" t="n"/>
      <c r="F87" s="21" t="n"/>
      <c r="G87" s="18" t="n"/>
    </row>
    <row r="88">
      <c r="A88" s="22" t="n">
        <v>46195</v>
      </c>
      <c r="B88" s="23" t="inlineStr">
        <is>
          <t>Recebimento à vista Gerado pelo sistema Doc.: 9128 Ordem: 1</t>
        </is>
      </c>
      <c r="C88" s="23" t="inlineStr">
        <is>
          <t>Cliente Consumidor</t>
        </is>
      </c>
      <c r="D88" s="24" t="n">
        <v>215</v>
      </c>
      <c r="E88" s="25" t="n"/>
      <c r="F88" s="26" t="n"/>
      <c r="G88" s="23" t="n"/>
    </row>
    <row r="89">
      <c r="A89" s="17" t="n">
        <v>46195</v>
      </c>
      <c r="B89" s="18" t="inlineStr">
        <is>
          <t>Recebimento à vista Gerado pelo sistema Doc.: 9129 Ordem: 1</t>
        </is>
      </c>
      <c r="C89" s="18" t="inlineStr">
        <is>
          <t>Cielo S. A.</t>
        </is>
      </c>
      <c r="D89" s="27" t="n">
        <v>140</v>
      </c>
      <c r="E89" s="19" t="n"/>
      <c r="F89" s="21" t="n"/>
      <c r="G89" s="18" t="n"/>
    </row>
    <row r="90">
      <c r="A90" s="22" t="n">
        <v>46195</v>
      </c>
      <c r="B90" s="23" t="inlineStr">
        <is>
          <t>Recebimento à vista Gerado pelo sistema. Doc.: 4234 Ordem: 1</t>
        </is>
      </c>
      <c r="C90" s="23" t="inlineStr">
        <is>
          <t>COMERCIAL DE MOTOS, MOTORES, PECAS E ACESSORIOS VARZEA LTDA</t>
        </is>
      </c>
      <c r="D90" s="24" t="n">
        <v>130</v>
      </c>
      <c r="E90" s="25" t="n"/>
      <c r="F90" s="26" t="n"/>
      <c r="G90" s="23" t="n"/>
    </row>
    <row r="91">
      <c r="A91" s="17" t="n">
        <v>46196</v>
      </c>
      <c r="B91" s="18" t="inlineStr">
        <is>
          <t>Recebimento à vista Gerado pelo sistema. Doc.: 4235 Ordem: 1</t>
        </is>
      </c>
      <c r="C91" s="18" t="inlineStr">
        <is>
          <t>PIEMONTE DA CHAPADA TRANSPORTES LTDA</t>
        </is>
      </c>
      <c r="D91" s="27" t="n">
        <v>200</v>
      </c>
      <c r="E91" s="19" t="n"/>
      <c r="F91" s="21" t="n"/>
      <c r="G91" s="18" t="n"/>
    </row>
    <row r="92">
      <c r="A92" s="22" t="n">
        <v>46196</v>
      </c>
      <c r="B92" s="23" t="inlineStr">
        <is>
          <t>Recebimento à vista Gerado pelo sistema. Doc.: 4236 Ordem: 1</t>
        </is>
      </c>
      <c r="C92" s="23" t="inlineStr">
        <is>
          <t>REAL SOCIEDADE PORTUGUESA DE BENEFICENCIA 16 DE SETEMBRO</t>
        </is>
      </c>
      <c r="D92" s="24" t="n">
        <v>560</v>
      </c>
      <c r="E92" s="25" t="n"/>
      <c r="F92" s="26" t="n"/>
      <c r="G92" s="23" t="n"/>
    </row>
    <row r="93">
      <c r="A93" s="17" t="n">
        <v>46198</v>
      </c>
      <c r="B93" s="18" t="inlineStr">
        <is>
          <t>Recebimento parcela Gerado pelo sistema. Doc.: 4233 Ordem: 1</t>
        </is>
      </c>
      <c r="C93" s="18" t="inlineStr">
        <is>
          <t>ESCOLA MUNICIPAL NUBIA MARIA MANGABEIRA GUERRA</t>
        </is>
      </c>
      <c r="D93" s="27" t="n">
        <v>1440</v>
      </c>
      <c r="E93" s="19" t="n"/>
      <c r="F93" s="21" t="n"/>
      <c r="G93" s="18" t="n"/>
    </row>
    <row r="94">
      <c r="A94" s="22" t="n">
        <v>46198</v>
      </c>
      <c r="B94" s="23" t="inlineStr">
        <is>
          <t>Recebimento à vista Gerado pelo sistema Doc.: 9130 Ordem: 1</t>
        </is>
      </c>
      <c r="C94" s="23" t="inlineStr">
        <is>
          <t>JEFFERSON DO ROSARIO RIOS FREITAS</t>
        </is>
      </c>
      <c r="D94" s="24" t="n">
        <v>140</v>
      </c>
      <c r="E94" s="25" t="n"/>
      <c r="F94" s="26" t="n"/>
      <c r="G94" s="23" t="n"/>
    </row>
    <row r="95">
      <c r="A95" s="17" t="n">
        <v>46198</v>
      </c>
      <c r="B95" s="18" t="inlineStr">
        <is>
          <t>Recebimento à vista Gerado pelo sistema Doc.: 9131 Ordem: 1</t>
        </is>
      </c>
      <c r="C95" s="18" t="inlineStr">
        <is>
          <t>Cielo S. A.</t>
        </is>
      </c>
      <c r="D95" s="27" t="n">
        <v>30</v>
      </c>
      <c r="E95" s="19" t="n"/>
      <c r="F95" s="21" t="n"/>
      <c r="G95" s="18" t="n"/>
    </row>
    <row r="96">
      <c r="A96" s="22" t="n">
        <v>46198</v>
      </c>
      <c r="B96" s="23" t="inlineStr">
        <is>
          <t>Recebimento à vista Gerado pelo sistema Doc.: 9132 Ordem: 1</t>
        </is>
      </c>
      <c r="C96" s="23" t="inlineStr">
        <is>
          <t>Cielo S. A.</t>
        </is>
      </c>
      <c r="D96" s="24" t="n">
        <v>95</v>
      </c>
      <c r="E96" s="25" t="n"/>
      <c r="F96" s="26" t="n"/>
      <c r="G96" s="23" t="n"/>
    </row>
    <row r="97">
      <c r="A97" s="17" t="n">
        <v>46199</v>
      </c>
      <c r="B97" s="18" t="inlineStr">
        <is>
          <t>Recebimento à vista Gerado pelo sistema Doc.: 9133 Ordem: 1</t>
        </is>
      </c>
      <c r="C97" s="18" t="inlineStr">
        <is>
          <t>Cliente Consumidor</t>
        </is>
      </c>
      <c r="D97" s="27" t="n">
        <v>85</v>
      </c>
      <c r="E97" s="19" t="n"/>
      <c r="F97" s="21" t="n"/>
      <c r="G97" s="18" t="n"/>
    </row>
    <row r="98">
      <c r="A98" s="22" t="n">
        <v>46199</v>
      </c>
      <c r="B98" s="23" t="inlineStr">
        <is>
          <t>Recebimento parcela Gerado pelo sistema. Doc.: 4216 Ordem: 1</t>
        </is>
      </c>
      <c r="C98" s="23" t="inlineStr">
        <is>
          <t>SENAI - JACOBINA</t>
        </is>
      </c>
      <c r="D98" s="24" t="n">
        <v>320</v>
      </c>
      <c r="E98" s="25" t="n"/>
      <c r="F98" s="26" t="n"/>
      <c r="G98" s="23" t="n"/>
    </row>
    <row r="99">
      <c r="A99" s="17" t="n">
        <v>46199</v>
      </c>
      <c r="B99" s="18" t="inlineStr">
        <is>
          <t>Pagamento à vista: Gerado pelo sistema. Doc.: 73636 Ordem: 1</t>
        </is>
      </c>
      <c r="C99" s="18" t="inlineStr">
        <is>
          <t>EVERSOFT IND E COM DE PLASTICOS LTDA</t>
        </is>
      </c>
      <c r="D99" s="19" t="n"/>
      <c r="E99" s="20" t="n">
        <v>968.92</v>
      </c>
      <c r="F99" s="21" t="inlineStr">
        <is>
          <t>Fornecedores / Mercadoria</t>
        </is>
      </c>
      <c r="G99" s="18" t="n"/>
    </row>
    <row r="100">
      <c r="A100" s="22" t="n">
        <v>46199</v>
      </c>
      <c r="B100" s="23" t="inlineStr">
        <is>
          <t>Recebimento à vista Gerado pelo sistema. Doc.: 4237 Ordem: 1</t>
        </is>
      </c>
      <c r="C100" s="23" t="inlineStr">
        <is>
          <t>COMERCIAL DE ALIMENTOS LTDA</t>
        </is>
      </c>
      <c r="D100" s="24" t="n">
        <v>380</v>
      </c>
      <c r="E100" s="25" t="n"/>
      <c r="F100" s="26" t="n"/>
      <c r="G100" s="23" t="n"/>
    </row>
    <row r="101">
      <c r="A101" s="17" t="n">
        <v>46199</v>
      </c>
      <c r="B101" s="18" t="inlineStr">
        <is>
          <t>Recebimento à vista Gerado pelo sistema Doc.: 9134 Ordem: 1</t>
        </is>
      </c>
      <c r="C101" s="18" t="inlineStr">
        <is>
          <t>Cliente Consumidor</t>
        </is>
      </c>
      <c r="D101" s="27" t="n">
        <v>140</v>
      </c>
      <c r="E101" s="19" t="n"/>
      <c r="F101" s="21" t="n"/>
      <c r="G101" s="18" t="n"/>
    </row>
    <row r="102">
      <c r="A102" s="22" t="n">
        <v>46199</v>
      </c>
      <c r="B102" s="23" t="inlineStr">
        <is>
          <t>Pagamento parcela Gerado pelo sistema - nº 70444 Doc.: 70444 Orde</t>
        </is>
      </c>
      <c r="C102" s="23" t="inlineStr">
        <is>
          <t>EVERSOFT IND E COM DE PLASTICOS LTDA</t>
        </is>
      </c>
      <c r="D102" s="25" t="n"/>
      <c r="E102" s="28" t="n">
        <v>541.35</v>
      </c>
      <c r="F102" s="26" t="inlineStr">
        <is>
          <t>Fornecedores / Mercadoria</t>
        </is>
      </c>
      <c r="G102" s="23" t="n"/>
    </row>
    <row r="103">
      <c r="A103" s="17" t="n">
        <v>46199</v>
      </c>
      <c r="B103" s="18" t="inlineStr">
        <is>
          <t>Pagamento parcela DOCUMENTO DE ARRECADAÇÃO DO SIMPLES NA</t>
        </is>
      </c>
      <c r="C103" s="18" t="inlineStr">
        <is>
          <t>MINISTERIO DA FAZENDA</t>
        </is>
      </c>
      <c r="D103" s="19" t="n"/>
      <c r="E103" s="20" t="n">
        <v>955.4</v>
      </c>
      <c r="F103" s="21" t="inlineStr">
        <is>
          <t>Impostos e Taxas</t>
        </is>
      </c>
      <c r="G103" s="18" t="n"/>
    </row>
    <row r="104">
      <c r="A104" s="22" t="n">
        <v>46199</v>
      </c>
      <c r="B104" s="23" t="inlineStr">
        <is>
          <t>Pagamento parcela Gerado pelo sistema - nº 71084 Doc.: 71084 Orde</t>
        </is>
      </c>
      <c r="C104" s="23" t="inlineStr">
        <is>
          <t>EVERSOFT IND E COM DE PLASTICOS LTDA</t>
        </is>
      </c>
      <c r="D104" s="25" t="n"/>
      <c r="E104" s="28" t="n">
        <v>878.92</v>
      </c>
      <c r="F104" s="26" t="inlineStr">
        <is>
          <t>Fornecedores / Mercadoria</t>
        </is>
      </c>
      <c r="G104" s="23" t="n"/>
    </row>
    <row r="105">
      <c r="A105" s="17" t="n">
        <v>46199</v>
      </c>
      <c r="B105" s="18" t="inlineStr">
        <is>
          <t>Pagamento parcela Gerado pelo sistema - nº 371358 Doc.: 371358 Ord</t>
        </is>
      </c>
      <c r="C105" s="18" t="inlineStr">
        <is>
          <t>EVEREST REFRIGERACAO E INDUSTRIA</t>
        </is>
      </c>
      <c r="D105" s="19" t="n"/>
      <c r="E105" s="20" t="n">
        <v>676.59</v>
      </c>
      <c r="F105" s="21" t="inlineStr">
        <is>
          <t>Fornecedores / Mercadoria</t>
        </is>
      </c>
      <c r="G105" s="18" t="n"/>
    </row>
    <row r="106">
      <c r="A106" s="22" t="n">
        <v>46199</v>
      </c>
      <c r="B106" s="23" t="inlineStr">
        <is>
          <t>Pagamento parcela ICMS - ANTECIPAÇÃO PARCIAL Doc.: 1 Ordem: 2</t>
        </is>
      </c>
      <c r="C106" s="23" t="inlineStr">
        <is>
          <t>BAHIA SECRETARIA DA FAZENDA</t>
        </is>
      </c>
      <c r="D106" s="25" t="n"/>
      <c r="E106" s="28" t="n">
        <v>1855.58</v>
      </c>
      <c r="F106" s="26" t="inlineStr">
        <is>
          <t>Impostos e Taxas</t>
        </is>
      </c>
      <c r="G106" s="23" t="n"/>
    </row>
    <row r="107">
      <c r="A107" s="17" t="n">
        <v>46200</v>
      </c>
      <c r="B107" s="18" t="inlineStr">
        <is>
          <t>Recebimento à vista Gerado pelo sistema Doc.: 9135 Ordem: 1</t>
        </is>
      </c>
      <c r="C107" s="18" t="inlineStr">
        <is>
          <t>Cielo S. A.</t>
        </is>
      </c>
      <c r="D107" s="27" t="n">
        <v>30</v>
      </c>
      <c r="E107" s="19" t="n"/>
      <c r="F107" s="21" t="n"/>
      <c r="G107" s="18" t="n"/>
    </row>
    <row r="108">
      <c r="A108" s="22" t="n">
        <v>46202</v>
      </c>
      <c r="B108" s="23" t="inlineStr">
        <is>
          <t>Pagamento à vista: Gerado pelo sistema - nº 130511 Doc.: 130511 Ord</t>
        </is>
      </c>
      <c r="C108" s="23" t="inlineStr">
        <is>
          <t>FILTROS PLANETA AGUA IND E COM LTDA</t>
        </is>
      </c>
      <c r="D108" s="25" t="n"/>
      <c r="E108" s="28" t="n">
        <v>51.55</v>
      </c>
      <c r="F108" s="26" t="inlineStr">
        <is>
          <t>Fornecedores / Mercadoria</t>
        </is>
      </c>
      <c r="G108" s="23" t="n"/>
    </row>
    <row r="109">
      <c r="A109" s="17" t="n">
        <v>46202</v>
      </c>
      <c r="B109" s="18" t="inlineStr">
        <is>
          <t>Recebimento à vista Gerado pelo sistema. Doc.: 4238 Ordem: 1</t>
        </is>
      </c>
      <c r="C109" s="18" t="inlineStr">
        <is>
          <t>CDI - CLINICA DENTARIA INTEGRADA LTDA</t>
        </is>
      </c>
      <c r="D109" s="27" t="n">
        <v>80</v>
      </c>
      <c r="E109" s="19" t="n"/>
      <c r="F109" s="21" t="n"/>
      <c r="G109" s="18" t="n"/>
    </row>
    <row r="110">
      <c r="A110" s="22" t="n">
        <v>46202</v>
      </c>
      <c r="B110" s="23" t="inlineStr">
        <is>
          <t>Recebimento parcela Gerado pelo sistema. Doc.: 4239 Ordem: 1</t>
        </is>
      </c>
      <c r="C110" s="23" t="inlineStr">
        <is>
          <t>AJ COMERCIAL DE COSMETICOS E PERFUMARIA LTDA</t>
        </is>
      </c>
      <c r="D110" s="24" t="n">
        <v>1500</v>
      </c>
      <c r="E110" s="25" t="n"/>
      <c r="F110" s="26" t="n"/>
      <c r="G110" s="23" t="n"/>
    </row>
    <row r="111">
      <c r="A111" s="17" t="n">
        <v>46203</v>
      </c>
      <c r="B111" s="18" t="inlineStr">
        <is>
          <t>Pagamento parcela DOCUMENTO DE ARRECADAÇÃO DE RECEITAS FE</t>
        </is>
      </c>
      <c r="C111" s="18" t="inlineStr">
        <is>
          <t>MINISTERIO DA FAZENDA</t>
        </is>
      </c>
      <c r="D111" s="19" t="n"/>
      <c r="E111" s="20" t="n">
        <v>443.04</v>
      </c>
      <c r="F111" s="21" t="inlineStr">
        <is>
          <t>Impostos e Taxas</t>
        </is>
      </c>
      <c r="G111" s="18" t="n"/>
    </row>
    <row r="112">
      <c r="A112" s="22" t="n">
        <v>46203</v>
      </c>
      <c r="B112" s="23" t="inlineStr">
        <is>
          <t>Pagamento parcela GUIA DO FGTS DIGITAL Doc.: 1 Ordem: 2</t>
        </is>
      </c>
      <c r="C112" s="23" t="inlineStr">
        <is>
          <t>CAIXA ECONOMICA FEDERAL</t>
        </is>
      </c>
      <c r="D112" s="25" t="n"/>
      <c r="E112" s="28" t="n">
        <v>3647.02</v>
      </c>
      <c r="F112" s="26" t="inlineStr">
        <is>
          <t>Impostos e Taxas</t>
        </is>
      </c>
      <c r="G112" s="23" t="n"/>
    </row>
    <row r="113">
      <c r="A113" s="17" t="n">
        <v>46203</v>
      </c>
      <c r="B113" s="18" t="inlineStr">
        <is>
          <t>Recebimento à vista Gerado pelo sistema Doc.: 9136 Ordem: 1</t>
        </is>
      </c>
      <c r="C113" s="18" t="inlineStr">
        <is>
          <t>Cielo S. A.</t>
        </is>
      </c>
      <c r="D113" s="27" t="n">
        <v>220</v>
      </c>
      <c r="E113" s="19" t="n"/>
      <c r="F113" s="21" t="n"/>
      <c r="G113" s="18" t="n"/>
    </row>
    <row r="114">
      <c r="A114" s="22" t="n">
        <v>46203</v>
      </c>
      <c r="B114" s="23" t="inlineStr">
        <is>
          <t>Recebimento à vista Gerado pelo sistema Doc.: 9137 Ordem: 1</t>
        </is>
      </c>
      <c r="C114" s="23" t="inlineStr">
        <is>
          <t>Cliente Consumidor</t>
        </is>
      </c>
      <c r="D114" s="24" t="n">
        <v>170</v>
      </c>
      <c r="E114" s="25" t="n"/>
      <c r="F114" s="26" t="n"/>
      <c r="G114" s="23" t="n"/>
    </row>
    <row r="115">
      <c r="A115" s="17" t="n">
        <v>46203</v>
      </c>
      <c r="B115" s="18" t="inlineStr">
        <is>
          <t>Pagamento à vista: SALARIO WILIAM Doc.: 1 Ordem: 6</t>
        </is>
      </c>
      <c r="C115" s="18" t="inlineStr">
        <is>
          <t>WILIAM PINTO BISPO</t>
        </is>
      </c>
      <c r="D115" s="19" t="n"/>
      <c r="E115" s="20" t="n">
        <v>1571.32</v>
      </c>
      <c r="F115" s="21" t="inlineStr">
        <is>
          <t>Salários, Comissões e Encargos</t>
        </is>
      </c>
      <c r="G115" s="18" t="n"/>
    </row>
    <row r="116">
      <c r="A116" s="29" t="n"/>
      <c r="B116" s="228" t="inlineStr">
        <is>
          <t>TOTAL DO MÊS</t>
        </is>
      </c>
      <c r="C116" s="161" t="n"/>
      <c r="D116" s="8">
        <f>SUM(D5:D115)</f>
        <v/>
      </c>
      <c r="E116" s="8">
        <f>SUM(E5:E115)</f>
        <v/>
      </c>
      <c r="F116" s="29" t="n"/>
      <c r="G116" s="29" t="n"/>
    </row>
    <row r="117" ht="15.75" customHeight="1" s="158">
      <c r="A117" s="30" t="n"/>
      <c r="B117" s="227" t="inlineStr">
        <is>
          <t>SALDO DO MÊS (Entradas − Despesas da loja)</t>
        </is>
      </c>
      <c r="D117" s="226">
        <f>D116-J18</f>
        <v/>
      </c>
      <c r="F117" s="30" t="n"/>
      <c r="G117" s="30" t="n"/>
    </row>
  </sheetData>
  <autoFilter ref="A4:G115"/>
  <mergeCells count="12">
    <mergeCell ref="P4:Q4"/>
    <mergeCell ref="D117:E117"/>
    <mergeCell ref="I4:J4"/>
    <mergeCell ref="A1:G1"/>
    <mergeCell ref="B116:C116"/>
    <mergeCell ref="L4:M4"/>
    <mergeCell ref="B117:C117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Q112"/>
  <sheetViews>
    <sheetView showGridLines="0" topLeftCell="D1" zoomScale="55" zoomScaleNormal="5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2" customWidth="1" style="158" min="1" max="1"/>
    <col width="52" customWidth="1" style="158" min="2" max="2"/>
    <col width="32" customWidth="1" style="158" min="3" max="3"/>
    <col width="14" customWidth="1" style="158" min="4" max="5"/>
    <col width="26" customWidth="1" style="158" min="6" max="6"/>
    <col width="30" customWidth="1" style="158" min="7" max="7"/>
    <col width="3" customWidth="1" style="158" min="8" max="8"/>
    <col width="32" customWidth="1" style="158" min="9" max="9"/>
    <col width="14" customWidth="1" style="158" min="10" max="10"/>
    <col width="15" customWidth="1" style="158" min="12" max="17"/>
  </cols>
  <sheetData>
    <row r="1" ht="25.5" customHeight="1" s="158">
      <c r="A1" s="224" t="inlineStr">
        <is>
          <t>RELATÓRIO FINANCEIRO — JULHO / 2026</t>
        </is>
      </c>
    </row>
    <row r="2">
      <c r="A2" s="229" t="inlineStr">
        <is>
          <t>Fluxo de caixa da loja — entradas e saídas detalhadas por lançamento (fonte: Livro Caixa)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Histórico</t>
        </is>
      </c>
      <c r="C4" s="1" t="inlineStr">
        <is>
          <t>Pessoa</t>
        </is>
      </c>
      <c r="D4" s="1" t="inlineStr">
        <is>
          <t>Entrada (R$)</t>
        </is>
      </c>
      <c r="E4" s="1" t="inlineStr">
        <is>
          <t>Saída (R$)</t>
        </is>
      </c>
      <c r="F4" s="1" t="inlineStr">
        <is>
          <t>Categoria da Saída</t>
        </is>
      </c>
      <c r="G4" s="1" t="inlineStr">
        <is>
          <t>Observações</t>
        </is>
      </c>
      <c r="I4" s="223" t="inlineStr">
        <is>
          <t>Saídas por Categoria</t>
        </is>
      </c>
      <c r="L4" s="225" t="inlineStr">
        <is>
          <t>FATURAMENTO</t>
        </is>
      </c>
      <c r="N4" s="233" t="inlineStr">
        <is>
          <t>DESPESAS</t>
        </is>
      </c>
      <c r="P4" s="222" t="inlineStr">
        <is>
          <t>SALDO</t>
        </is>
      </c>
    </row>
    <row r="5" ht="14.1" customHeight="1" s="158">
      <c r="A5" s="17" t="n">
        <v>46204</v>
      </c>
      <c r="B5" s="18" t="inlineStr">
        <is>
          <t>Recebimento à vista Gerado pelo sistema. Doc.: 4244 Ordem: 1</t>
        </is>
      </c>
      <c r="C5" s="18" t="inlineStr">
        <is>
          <t>LUZIA RODRIGUES DE SOUZA</t>
        </is>
      </c>
      <c r="D5" s="27" t="n">
        <v>1250</v>
      </c>
      <c r="E5" s="19" t="n"/>
      <c r="F5" s="21" t="n"/>
      <c r="G5" s="18" t="n"/>
      <c r="I5" s="10" t="inlineStr">
        <is>
          <t>Fornecedores / Mercadoria</t>
        </is>
      </c>
      <c r="J5" s="11">
        <f>SUMIF(F5:F110,I5,E5:E110)</f>
        <v/>
      </c>
      <c r="L5" s="230">
        <f>D111</f>
        <v/>
      </c>
      <c r="N5" s="232">
        <f>J18</f>
        <v/>
      </c>
      <c r="P5" s="231">
        <f>D112</f>
        <v/>
      </c>
    </row>
    <row r="6" ht="14.1" customHeight="1" s="158">
      <c r="A6" s="22" t="n">
        <v>46204</v>
      </c>
      <c r="B6" s="23" t="inlineStr">
        <is>
          <t>Pagamento parcela Gerado pelo sistema - nº 72153 Doc.: 72153 Orde</t>
        </is>
      </c>
      <c r="C6" s="23" t="inlineStr">
        <is>
          <t>EVERSOFT IND E COM DE PLASTICOS LTDA</t>
        </is>
      </c>
      <c r="D6" s="25" t="n"/>
      <c r="E6" s="28" t="n">
        <v>878.92</v>
      </c>
      <c r="F6" s="26" t="inlineStr">
        <is>
          <t>Fornecedores / Mercadoria</t>
        </is>
      </c>
      <c r="G6" s="23" t="n"/>
      <c r="I6" s="13" t="inlineStr">
        <is>
          <t>Aluguel</t>
        </is>
      </c>
      <c r="J6" s="14">
        <f>SUMIF(F5:F110,I6,E5:E110)</f>
        <v/>
      </c>
    </row>
    <row r="7">
      <c r="A7" s="17" t="n">
        <v>46204</v>
      </c>
      <c r="B7" s="18" t="inlineStr">
        <is>
          <t>Pagamento parcela EMBASA ADRIANO Doc.: 1 Ordem: 13</t>
        </is>
      </c>
      <c r="C7" s="18" t="inlineStr">
        <is>
          <t>EMPRESA BAIANA DE AGUAS E SANEAMENTO SA</t>
        </is>
      </c>
      <c r="D7" s="19" t="n"/>
      <c r="E7" s="20" t="n">
        <v>50.07</v>
      </c>
      <c r="F7" s="21" t="inlineStr">
        <is>
          <t>Pro Labore Edilânia</t>
        </is>
      </c>
      <c r="G7" s="18" t="n"/>
      <c r="I7" s="10" t="inlineStr">
        <is>
          <t>Água, Energia e Internet</t>
        </is>
      </c>
      <c r="J7" s="11">
        <f>SUMIF(F5:F110,I7,E5:E110)</f>
        <v/>
      </c>
    </row>
    <row r="8">
      <c r="A8" s="22" t="n">
        <v>46204</v>
      </c>
      <c r="B8" s="23" t="inlineStr">
        <is>
          <t>Recebimento à vista Gerado pelo sistema Doc.: 9138 Ordem: 1</t>
        </is>
      </c>
      <c r="C8" s="23" t="inlineStr">
        <is>
          <t>Cliente Consumidor</t>
        </is>
      </c>
      <c r="D8" s="24" t="n">
        <v>115</v>
      </c>
      <c r="E8" s="25" t="n"/>
      <c r="F8" s="26" t="n"/>
      <c r="G8" s="23" t="n"/>
      <c r="I8" s="13" t="inlineStr">
        <is>
          <t>Impostos e Taxas</t>
        </is>
      </c>
      <c r="J8" s="14">
        <f>SUMIF(F5:F110,I8,E5:E110)</f>
        <v/>
      </c>
    </row>
    <row r="9">
      <c r="A9" s="17" t="n">
        <v>46204</v>
      </c>
      <c r="B9" s="18" t="inlineStr">
        <is>
          <t>Recebimento à vista Gerado pelo sistema Doc.: 9139 Ordem: 1</t>
        </is>
      </c>
      <c r="C9" s="18" t="inlineStr">
        <is>
          <t>Cielo S. A.</t>
        </is>
      </c>
      <c r="D9" s="27" t="n">
        <v>140</v>
      </c>
      <c r="E9" s="19" t="n"/>
      <c r="F9" s="21" t="n"/>
      <c r="G9" s="18" t="n"/>
      <c r="I9" s="10" t="inlineStr">
        <is>
          <t>Tarifas Bancárias e Cartão</t>
        </is>
      </c>
      <c r="J9" s="11">
        <f>SUMIF(F5:F110,I9,E5:E110)</f>
        <v/>
      </c>
    </row>
    <row r="10">
      <c r="A10" s="22" t="n">
        <v>46204</v>
      </c>
      <c r="B10" s="23" t="inlineStr">
        <is>
          <t>Recebimento à vista Gerado pelo sistema. Doc.: 4245 Ordem: 1</t>
        </is>
      </c>
      <c r="C10" s="23" t="inlineStr">
        <is>
          <t>CONTABILIDADE ABREU - ANTONIO NICOLAU</t>
        </is>
      </c>
      <c r="D10" s="24" t="n">
        <v>140</v>
      </c>
      <c r="E10" s="25" t="n"/>
      <c r="F10" s="26" t="n"/>
      <c r="G10" s="23" t="n"/>
      <c r="I10" s="13" t="inlineStr">
        <is>
          <t>Transporte e Entregas</t>
        </is>
      </c>
      <c r="J10" s="14">
        <f>SUMIF(F5:F110,I10,E5:E110)</f>
        <v/>
      </c>
    </row>
    <row r="11">
      <c r="A11" s="17" t="n">
        <v>46204</v>
      </c>
      <c r="B11" s="18" t="inlineStr">
        <is>
          <t>Recebimento à vista Gerado pelo sistema Doc.: 9140 Ordem: 1</t>
        </is>
      </c>
      <c r="C11" s="18" t="inlineStr">
        <is>
          <t>JONAS CEZAR ALVES DE ARAUJO</t>
        </is>
      </c>
      <c r="D11" s="27" t="n">
        <v>140</v>
      </c>
      <c r="E11" s="19" t="n"/>
      <c r="F11" s="21" t="n"/>
      <c r="G11" s="18" t="n"/>
      <c r="I11" s="10" t="inlineStr">
        <is>
          <t>Salários, Comissões e Encargos</t>
        </is>
      </c>
      <c r="J11" s="11">
        <f>SUMIF(F5:F110,I11,E5:E110)</f>
        <v/>
      </c>
    </row>
    <row r="12">
      <c r="A12" s="22" t="n">
        <v>46204</v>
      </c>
      <c r="B12" s="23" t="inlineStr">
        <is>
          <t>Pagamento à vista: ALUGUEL VITORIA MARIA Doc.: 1 Ordem: 11</t>
        </is>
      </c>
      <c r="C12" s="23" t="inlineStr">
        <is>
          <t>VITORIA MARIA F SANTOS</t>
        </is>
      </c>
      <c r="D12" s="25" t="n"/>
      <c r="E12" s="28" t="n">
        <v>880</v>
      </c>
      <c r="F12" s="26" t="inlineStr">
        <is>
          <t>Aluguel</t>
        </is>
      </c>
      <c r="G12" s="23" t="n"/>
      <c r="I12" s="13" t="inlineStr">
        <is>
          <t>Contabilidade</t>
        </is>
      </c>
      <c r="J12" s="14">
        <f>SUMIF(F5:F110,I12,E5:E110)</f>
        <v/>
      </c>
    </row>
    <row r="13">
      <c r="A13" s="17" t="n">
        <v>46206</v>
      </c>
      <c r="B13" s="18" t="inlineStr">
        <is>
          <t>Recebimento à vista Gerado pelo sistema. Doc.: 4246 Ordem: 1</t>
        </is>
      </c>
      <c r="C13" s="18" t="inlineStr">
        <is>
          <t>HIDROLUZ</t>
        </is>
      </c>
      <c r="D13" s="27" t="n">
        <v>70</v>
      </c>
      <c r="E13" s="19" t="n"/>
      <c r="F13" s="21" t="n"/>
      <c r="G13" s="18" t="n"/>
      <c r="I13" s="10" t="inlineStr">
        <is>
          <t>Manutenção e Reparos</t>
        </is>
      </c>
      <c r="J13" s="11">
        <f>SUMIF(F5:F110,I13,E5:E110)</f>
        <v/>
      </c>
    </row>
    <row r="14">
      <c r="A14" s="22" t="n">
        <v>46206</v>
      </c>
      <c r="B14" s="23" t="inlineStr">
        <is>
          <t>Recebimento parcela Gerado pelo sistema. Doc.: 4241 Ordem: 1</t>
        </is>
      </c>
      <c r="C14" s="23" t="inlineStr">
        <is>
          <t>GOMES E NASCIMENTO EQUIPAMENTOS DE SEGURANCA LTDA</t>
        </is>
      </c>
      <c r="D14" s="24" t="n">
        <v>130</v>
      </c>
      <c r="E14" s="25" t="n"/>
      <c r="F14" s="26" t="n"/>
      <c r="G14" s="23" t="n"/>
      <c r="I14" s="13" t="inlineStr">
        <is>
          <t>Material de Limpeza e Escritório</t>
        </is>
      </c>
      <c r="J14" s="14">
        <f>SUMIF(F5:F110,I14,E5:E110)</f>
        <v/>
      </c>
    </row>
    <row r="15">
      <c r="A15" s="17" t="n">
        <v>46206</v>
      </c>
      <c r="B15" s="18" t="inlineStr">
        <is>
          <t>Recebimento à vista Gerado pelo sistema Doc.: 9141 Ordem: 1</t>
        </is>
      </c>
      <c r="C15" s="18" t="inlineStr">
        <is>
          <t>Cliente Consumidor</t>
        </is>
      </c>
      <c r="D15" s="27" t="n">
        <v>50</v>
      </c>
      <c r="E15" s="19" t="n"/>
      <c r="F15" s="21" t="n"/>
      <c r="G15" s="18" t="n"/>
      <c r="I15" s="10" t="inlineStr">
        <is>
          <t>Estornos de Vendas (Cancelamentos)</t>
        </is>
      </c>
      <c r="J15" s="11">
        <f>SUMIF(F5:F110,I15,E5:E110)</f>
        <v/>
      </c>
    </row>
    <row r="16">
      <c r="A16" s="22" t="n">
        <v>46206</v>
      </c>
      <c r="B16" s="23" t="inlineStr">
        <is>
          <t>Pagamento à vista: BOLSA ESTAGIO Doc.: 1 Ordem: 1</t>
        </is>
      </c>
      <c r="C16" s="23" t="inlineStr">
        <is>
          <t>ERICK FEITOSA EVANGELISTA</t>
        </is>
      </c>
      <c r="D16" s="25" t="n"/>
      <c r="E16" s="28" t="n">
        <v>600</v>
      </c>
      <c r="F16" s="26" t="inlineStr">
        <is>
          <t>Salários, Comissões e Encargos</t>
        </is>
      </c>
      <c r="G16" s="23" t="n"/>
      <c r="I16" s="13" t="inlineStr">
        <is>
          <t>Outras Despesas</t>
        </is>
      </c>
      <c r="J16" s="14">
        <f>SUMIF(F5:F110,I16,E5:E110)</f>
        <v/>
      </c>
    </row>
    <row r="17">
      <c r="A17" s="17" t="n">
        <v>46206</v>
      </c>
      <c r="B17" s="18" t="inlineStr">
        <is>
          <t>Pagamento à vista: RESCISÃO DANIEL Doc.: 1 Ordem: 5</t>
        </is>
      </c>
      <c r="C17" s="18" t="inlineStr">
        <is>
          <t>DANIEL BARBOSA DOS SANTOS</t>
        </is>
      </c>
      <c r="D17" s="19" t="n"/>
      <c r="E17" s="20" t="n">
        <v>4145.56</v>
      </c>
      <c r="F17" s="21" t="inlineStr">
        <is>
          <t>Salários, Comissões e Encargos</t>
        </is>
      </c>
      <c r="G17" s="18" t="n"/>
      <c r="I17" s="42" t="inlineStr">
        <is>
          <t>Pro Labore Edilânia</t>
        </is>
      </c>
      <c r="J17" s="8">
        <f>SUMIF(F5:F110,I17,E5:E110)</f>
        <v/>
      </c>
    </row>
    <row r="18">
      <c r="A18" s="22" t="n">
        <v>46206</v>
      </c>
      <c r="B18" s="23" t="inlineStr">
        <is>
          <t>Pagamento à vista: SALARIO WILIAM Doc.: 1 Ordem: 6</t>
        </is>
      </c>
      <c r="C18" s="23" t="inlineStr">
        <is>
          <t>WILIAM PINTO BISPO</t>
        </is>
      </c>
      <c r="D18" s="25" t="n"/>
      <c r="E18" s="28" t="n">
        <v>1643.43</v>
      </c>
      <c r="F18" s="26" t="inlineStr">
        <is>
          <t>Salários, Comissões e Encargos</t>
        </is>
      </c>
      <c r="G18" s="23" t="n"/>
      <c r="I18" t="inlineStr">
        <is>
          <t>Total</t>
        </is>
      </c>
      <c r="J18">
        <f>SUM(J5:J16)</f>
        <v/>
      </c>
    </row>
    <row r="19">
      <c r="A19" s="17" t="n">
        <v>46206</v>
      </c>
      <c r="B19" s="18" t="inlineStr">
        <is>
          <t>Pagamento parcela Gerado pelo sistema - nº 130510 Doc.: 130510 Ord</t>
        </is>
      </c>
      <c r="C19" s="18" t="inlineStr">
        <is>
          <t>FILTROS PLANETA AGUA IND E COM LTDA</t>
        </is>
      </c>
      <c r="D19" s="19" t="n"/>
      <c r="E19" s="20" t="n">
        <v>666.15</v>
      </c>
      <c r="F19" s="21" t="inlineStr">
        <is>
          <t>Fornecedores / Mercadoria</t>
        </is>
      </c>
      <c r="G19" s="18" t="n"/>
    </row>
    <row r="20">
      <c r="A20" s="22" t="n">
        <v>46209</v>
      </c>
      <c r="B20" s="23" t="inlineStr">
        <is>
          <t>Recebimento à vista Gerado pelo sistema Doc.: 9142 Ordem: 1</t>
        </is>
      </c>
      <c r="C20" s="23" t="inlineStr">
        <is>
          <t>Cielo S. A.</t>
        </is>
      </c>
      <c r="D20" s="24" t="n">
        <v>140</v>
      </c>
      <c r="E20" s="25" t="n"/>
      <c r="F20" s="26" t="n"/>
      <c r="G20" s="23" t="n"/>
    </row>
    <row r="21">
      <c r="A21" s="17" t="n">
        <v>46209</v>
      </c>
      <c r="B21" s="18" t="inlineStr">
        <is>
          <t>Recebimento à vista Gerado pelo sistema Doc.: 9143 Ordem: 1</t>
        </is>
      </c>
      <c r="C21" s="18" t="inlineStr">
        <is>
          <t>Cielo S. A.</t>
        </is>
      </c>
      <c r="D21" s="27" t="n">
        <v>140</v>
      </c>
      <c r="E21" s="19" t="n"/>
      <c r="F21" s="21" t="n"/>
      <c r="G21" s="18" t="n"/>
    </row>
    <row r="22">
      <c r="A22" s="22" t="n">
        <v>46209</v>
      </c>
      <c r="B22" s="23" t="inlineStr">
        <is>
          <t>Recebimento à vista Gerado pelo sistema. Doc.: 4248 Ordem: 1</t>
        </is>
      </c>
      <c r="C22" s="23" t="inlineStr">
        <is>
          <t>F B DE ARAUJO</t>
        </is>
      </c>
      <c r="D22" s="24" t="n">
        <v>190</v>
      </c>
      <c r="E22" s="25" t="n"/>
      <c r="F22" s="26" t="n"/>
      <c r="G22" s="23" t="n"/>
    </row>
    <row r="23">
      <c r="A23" s="17" t="n">
        <v>46209</v>
      </c>
      <c r="B23" s="18" t="inlineStr">
        <is>
          <t>Estorno de pagamento do documento: SALARIO WILIAM Doc.: 1 Orde</t>
        </is>
      </c>
      <c r="C23" s="18" t="inlineStr">
        <is>
          <t>WILIAM PINTO BISPO</t>
        </is>
      </c>
      <c r="D23" s="27" t="n">
        <v>1643.43</v>
      </c>
      <c r="E23" s="19" t="n"/>
      <c r="F23" s="21" t="n"/>
      <c r="G23" s="18" t="n"/>
    </row>
    <row r="24">
      <c r="A24" s="22" t="n">
        <v>46209</v>
      </c>
      <c r="B24" s="23" t="inlineStr">
        <is>
          <t>Recebimento à vista Gerado pelo sistema Doc.: 9144 Ordem: 1</t>
        </is>
      </c>
      <c r="C24" s="23" t="inlineStr">
        <is>
          <t>CLEDSON OLIVEIRA DOS SANTOS</t>
        </is>
      </c>
      <c r="D24" s="24" t="n">
        <v>190</v>
      </c>
      <c r="E24" s="25" t="n"/>
      <c r="F24" s="26" t="n"/>
      <c r="G24" s="23" t="n"/>
    </row>
    <row r="25">
      <c r="A25" s="17" t="n">
        <v>46209</v>
      </c>
      <c r="B25" s="18" t="inlineStr">
        <is>
          <t>Recebimento à vista Gerado pelo sistema Doc.: 9145 Ordem: 1</t>
        </is>
      </c>
      <c r="C25" s="18" t="inlineStr">
        <is>
          <t>JAILMA MOREIRA DOS SANTOS</t>
        </is>
      </c>
      <c r="D25" s="27" t="n">
        <v>135</v>
      </c>
      <c r="E25" s="19" t="n"/>
      <c r="F25" s="21" t="n"/>
      <c r="G25" s="18" t="n"/>
    </row>
    <row r="26">
      <c r="A26" s="22" t="n">
        <v>46209</v>
      </c>
      <c r="B26" s="23" t="inlineStr">
        <is>
          <t>Pagamento à vista: ALUGUEL VITORIA MARIA Doc.: 1 Ordem: 13</t>
        </is>
      </c>
      <c r="C26" s="23" t="inlineStr">
        <is>
          <t>VITORIA MARIA F SANTOS</t>
        </is>
      </c>
      <c r="D26" s="25" t="n"/>
      <c r="E26" s="28" t="n">
        <v>870</v>
      </c>
      <c r="F26" s="26" t="inlineStr">
        <is>
          <t>Aluguel</t>
        </is>
      </c>
      <c r="G26" s="23" t="n"/>
    </row>
    <row r="27">
      <c r="A27" s="17" t="n">
        <v>46209</v>
      </c>
      <c r="B27" s="18" t="inlineStr">
        <is>
          <t>Estorno de pagamento do documento: ALUGUEL VITORIA MARIA Doc.:</t>
        </is>
      </c>
      <c r="C27" s="18" t="inlineStr">
        <is>
          <t>VITORIA MARIA F SANTOS</t>
        </is>
      </c>
      <c r="D27" s="27" t="n">
        <v>870</v>
      </c>
      <c r="E27" s="19" t="n"/>
      <c r="F27" s="21" t="n"/>
      <c r="G27" s="18" t="n"/>
    </row>
    <row r="28">
      <c r="A28" s="22" t="n">
        <v>46209</v>
      </c>
      <c r="B28" s="23" t="inlineStr">
        <is>
          <t>Recebimento parcela Gerado pelo sistema. Doc.: 4247 Ordem: 1</t>
        </is>
      </c>
      <c r="C28" s="23" t="inlineStr">
        <is>
          <t>CLINICA HUMANA</t>
        </is>
      </c>
      <c r="D28" s="24" t="n">
        <v>560</v>
      </c>
      <c r="E28" s="25" t="n"/>
      <c r="F28" s="26" t="n"/>
      <c r="G28" s="23" t="n"/>
    </row>
    <row r="29">
      <c r="A29" s="17" t="n">
        <v>46209</v>
      </c>
      <c r="B29" s="18" t="inlineStr">
        <is>
          <t>Recebimento parcela Gerado pelo sistema. Doc.: 4240 Ordem: 1</t>
        </is>
      </c>
      <c r="C29" s="18" t="inlineStr">
        <is>
          <t>LOJAS GEOCOMERCIAL LTDA</t>
        </is>
      </c>
      <c r="D29" s="27" t="n">
        <v>200</v>
      </c>
      <c r="E29" s="19" t="n"/>
      <c r="F29" s="21" t="n"/>
      <c r="G29" s="18" t="n"/>
    </row>
    <row r="30">
      <c r="A30" s="22" t="n">
        <v>46210</v>
      </c>
      <c r="B30" s="23" t="inlineStr">
        <is>
          <t>Recebimento à vista Gerado pelo sistema. Doc.: 4249 Ordem: 1</t>
        </is>
      </c>
      <c r="C30" s="23" t="inlineStr">
        <is>
          <t>CBV CONSTRUTORA LTDA</t>
        </is>
      </c>
      <c r="D30" s="24" t="n">
        <v>160</v>
      </c>
      <c r="E30" s="25" t="n"/>
      <c r="F30" s="26" t="n"/>
      <c r="G30" s="23" t="n"/>
    </row>
    <row r="31">
      <c r="A31" s="17" t="n">
        <v>46210</v>
      </c>
      <c r="B31" s="18" t="inlineStr">
        <is>
          <t>Recebimento à vista Gerado pelo sistema Doc.: 9146 Ordem: 1</t>
        </is>
      </c>
      <c r="C31" s="18" t="inlineStr">
        <is>
          <t>Cliente Consumidor</t>
        </is>
      </c>
      <c r="D31" s="27" t="n">
        <v>200</v>
      </c>
      <c r="E31" s="19" t="n"/>
      <c r="F31" s="21" t="n"/>
      <c r="G31" s="18" t="n"/>
    </row>
    <row r="32">
      <c r="A32" s="22" t="n">
        <v>46210</v>
      </c>
      <c r="B32" s="23" t="inlineStr">
        <is>
          <t>Recebimento à vista Gerado pelo sistema Doc.: 9147 Ordem: 1</t>
        </is>
      </c>
      <c r="C32" s="23" t="inlineStr">
        <is>
          <t>IRANILDO BENEDITO SILVA</t>
        </is>
      </c>
      <c r="D32" s="24" t="n">
        <v>140</v>
      </c>
      <c r="E32" s="25" t="n"/>
      <c r="F32" s="26" t="n"/>
      <c r="G32" s="23" t="n"/>
    </row>
    <row r="33">
      <c r="A33" s="17" t="n">
        <v>46211</v>
      </c>
      <c r="B33" s="18" t="inlineStr">
        <is>
          <t>Recebimento à vista Gerado pelo sistema. Doc.: 4251 Ordem: 1</t>
        </is>
      </c>
      <c r="C33" s="18" t="inlineStr">
        <is>
          <t>CBV CONSTRUTORA LTDA</t>
        </is>
      </c>
      <c r="D33" s="27" t="n">
        <v>80</v>
      </c>
      <c r="E33" s="19" t="n"/>
      <c r="F33" s="21" t="n"/>
      <c r="G33" s="18" t="n"/>
    </row>
    <row r="34">
      <c r="A34" s="22" t="n">
        <v>46211</v>
      </c>
      <c r="B34" s="23" t="inlineStr">
        <is>
          <t>Recebimento à vista Gerado pelo sistema. Doc.: 4252 Ordem: 1</t>
        </is>
      </c>
      <c r="C34" s="23" t="inlineStr">
        <is>
          <t>CLINICA GINECOLOGICA PINHO LTDA</t>
        </is>
      </c>
      <c r="D34" s="24" t="n">
        <v>135</v>
      </c>
      <c r="E34" s="25" t="n"/>
      <c r="F34" s="26" t="n"/>
      <c r="G34" s="23" t="n"/>
    </row>
    <row r="35">
      <c r="A35" s="17" t="n">
        <v>46211</v>
      </c>
      <c r="B35" s="18" t="inlineStr">
        <is>
          <t>Recebimento à vista Gerado pelo sistema Doc.: 9148 Ordem: 1</t>
        </is>
      </c>
      <c r="C35" s="18" t="inlineStr">
        <is>
          <t>Cielo S. A.</t>
        </is>
      </c>
      <c r="D35" s="27" t="n">
        <v>200</v>
      </c>
      <c r="E35" s="19" t="n"/>
      <c r="F35" s="21" t="n"/>
      <c r="G35" s="18" t="n"/>
    </row>
    <row r="36">
      <c r="A36" s="22" t="n">
        <v>46211</v>
      </c>
      <c r="B36" s="23" t="inlineStr">
        <is>
          <t>Recebimento à vista Gerado pelo sistema. Doc.: 4253 Ordem: 1</t>
        </is>
      </c>
      <c r="C36" s="23" t="inlineStr">
        <is>
          <t>FERNANDO CARNEIRO E CIA LTDA ME</t>
        </is>
      </c>
      <c r="D36" s="24" t="n">
        <v>140</v>
      </c>
      <c r="E36" s="25" t="n"/>
      <c r="F36" s="26" t="n"/>
      <c r="G36" s="23" t="n"/>
    </row>
    <row r="37">
      <c r="A37" s="17" t="n">
        <v>46211</v>
      </c>
      <c r="B37" s="18" t="inlineStr">
        <is>
          <t>Pagamento parcela Gerado pelo sistema - nº 374271 Doc.: 374271 Ord</t>
        </is>
      </c>
      <c r="C37" s="18" t="inlineStr">
        <is>
          <t>EVEREST REFRIGERACAO E INDUSTRIA</t>
        </is>
      </c>
      <c r="D37" s="19" t="n"/>
      <c r="E37" s="20" t="n">
        <v>706.65</v>
      </c>
      <c r="F37" s="21" t="inlineStr">
        <is>
          <t>Fornecedores / Mercadoria</t>
        </is>
      </c>
      <c r="G37" s="18" t="n"/>
    </row>
    <row r="38">
      <c r="A38" s="22" t="n">
        <v>46211</v>
      </c>
      <c r="B38" s="23" t="inlineStr">
        <is>
          <t>Pagamento parcela Gerado pelo sistema - nº 72869 Doc.: 72869 Orde</t>
        </is>
      </c>
      <c r="C38" s="23" t="inlineStr">
        <is>
          <t>EVERSOFT IND E COM DE PLASTICOS LTDA</t>
        </is>
      </c>
      <c r="D38" s="25" t="n"/>
      <c r="E38" s="28" t="n">
        <v>980.83</v>
      </c>
      <c r="F38" s="26" t="inlineStr">
        <is>
          <t>Fornecedores / Mercadoria</t>
        </is>
      </c>
      <c r="G38" s="23" t="n"/>
    </row>
    <row r="39">
      <c r="A39" s="17" t="n">
        <v>46211</v>
      </c>
      <c r="B39" s="18" t="inlineStr">
        <is>
          <t>Pagamento parcela CONTA DE ENERGIA LOJA Doc.: 1 Ordem: 22</t>
        </is>
      </c>
      <c r="C39" s="18" t="inlineStr">
        <is>
          <t>COMPANHIA DE ELETRICIDADE DO ESTADO DA BAHIA COELBA</t>
        </is>
      </c>
      <c r="D39" s="19" t="n"/>
      <c r="E39" s="20" t="n">
        <v>141.67</v>
      </c>
      <c r="F39" s="21" t="inlineStr">
        <is>
          <t>Água, Energia e Internet</t>
        </is>
      </c>
      <c r="G39" s="18" t="n"/>
    </row>
    <row r="40">
      <c r="A40" s="22" t="n">
        <v>46211</v>
      </c>
      <c r="B40" s="23" t="inlineStr">
        <is>
          <t>Pagamento parcela CONTA DE ENERGIA ADRIANO Doc.: 1 Ordem: 23</t>
        </is>
      </c>
      <c r="C40" s="23" t="inlineStr">
        <is>
          <t>COMPANHIA DE ELETRICIDADE DO ESTADO DA BAHIA COELBA</t>
        </is>
      </c>
      <c r="D40" s="25" t="n"/>
      <c r="E40" s="28" t="n">
        <v>316.11</v>
      </c>
      <c r="F40" s="26" t="inlineStr">
        <is>
          <t>Pro Labore Edilânia</t>
        </is>
      </c>
      <c r="G40" s="23" t="n"/>
    </row>
    <row r="41">
      <c r="A41" s="17" t="n">
        <v>46211</v>
      </c>
      <c r="B41" s="18" t="inlineStr">
        <is>
          <t>Pagamento parcela Gerado pelo sistema - nº 372597 Doc.: 372597 Ord</t>
        </is>
      </c>
      <c r="C41" s="18" t="inlineStr">
        <is>
          <t>EVEREST REFRIGERACAO E INDUSTRIA</t>
        </is>
      </c>
      <c r="D41" s="19" t="n"/>
      <c r="E41" s="20" t="n">
        <v>725.48</v>
      </c>
      <c r="F41" s="21" t="inlineStr">
        <is>
          <t>Fornecedores / Mercadoria</t>
        </is>
      </c>
      <c r="G41" s="18" t="n"/>
    </row>
    <row r="42">
      <c r="A42" s="22" t="n">
        <v>46211</v>
      </c>
      <c r="B42" s="23" t="inlineStr">
        <is>
          <t>Pagamento parcela Gerado pelo sistema. Doc.: 73636 Ordem: 2</t>
        </is>
      </c>
      <c r="C42" s="23" t="inlineStr">
        <is>
          <t>EVERSOFT IND E COM DE PLASTICOS LTDA</t>
        </is>
      </c>
      <c r="D42" s="25" t="n"/>
      <c r="E42" s="28" t="n">
        <v>878.92</v>
      </c>
      <c r="F42" s="26" t="inlineStr">
        <is>
          <t>Fornecedores / Mercadoria</t>
        </is>
      </c>
      <c r="G42" s="23" t="n"/>
    </row>
    <row r="43">
      <c r="A43" s="17" t="n">
        <v>46211</v>
      </c>
      <c r="B43" s="18" t="inlineStr">
        <is>
          <t>Pagamento à vista: MERCADO LIVRE Doc.: 1 Ordem: 1</t>
        </is>
      </c>
      <c r="C43" s="18" t="inlineStr">
        <is>
          <t>MERCADO PAGO INSTITUICAO DE PAGAMENTO LTDA</t>
        </is>
      </c>
      <c r="D43" s="19" t="n"/>
      <c r="E43" s="20" t="n">
        <v>216.46</v>
      </c>
      <c r="F43" s="21" t="inlineStr">
        <is>
          <t>Tarifas Bancárias e Cartão</t>
        </is>
      </c>
      <c r="G43" s="18" t="n"/>
    </row>
    <row r="44">
      <c r="A44" s="22" t="n">
        <v>46211</v>
      </c>
      <c r="B44" s="23" t="inlineStr">
        <is>
          <t>Recebimento à vista Gerado pelo sistema Doc.: 9149 Ordem: 1</t>
        </is>
      </c>
      <c r="C44" s="23" t="inlineStr">
        <is>
          <t>SOMHARA BRITO</t>
        </is>
      </c>
      <c r="D44" s="24" t="n">
        <v>120</v>
      </c>
      <c r="E44" s="25" t="n"/>
      <c r="F44" s="26" t="n"/>
      <c r="G44" s="23" t="n"/>
    </row>
    <row r="45">
      <c r="A45" s="17" t="n">
        <v>46211</v>
      </c>
      <c r="B45" s="18" t="inlineStr">
        <is>
          <t>Recebimento à vista Gerado pelo sistema Doc.: 9150 Ordem: 1</t>
        </is>
      </c>
      <c r="C45" s="18" t="inlineStr">
        <is>
          <t>MARILZA DA SILVA OLIVEIRA MATOS</t>
        </is>
      </c>
      <c r="D45" s="27" t="n">
        <v>190</v>
      </c>
      <c r="E45" s="19" t="n"/>
      <c r="F45" s="21" t="n"/>
      <c r="G45" s="18" t="n"/>
    </row>
    <row r="46">
      <c r="A46" s="22" t="n">
        <v>46212</v>
      </c>
      <c r="B46" s="23" t="inlineStr">
        <is>
          <t>Recebimento à vista Gerado pelo sistema Doc.: 9151 Ordem: 1</t>
        </is>
      </c>
      <c r="C46" s="23" t="inlineStr">
        <is>
          <t>ARMANDO DIAS FREIRE</t>
        </is>
      </c>
      <c r="D46" s="24" t="n">
        <v>3465</v>
      </c>
      <c r="E46" s="25" t="n"/>
      <c r="F46" s="26" t="n"/>
      <c r="G46" s="23" t="n"/>
    </row>
    <row r="47">
      <c r="A47" s="17" t="n">
        <v>46212</v>
      </c>
      <c r="B47" s="18" t="inlineStr">
        <is>
          <t>Recebimento à vista Gerado pelo sistema Doc.: 9152 Ordem: 1</t>
        </is>
      </c>
      <c r="C47" s="18" t="inlineStr">
        <is>
          <t>ARMANDO DIAS FREIRE</t>
        </is>
      </c>
      <c r="D47" s="27" t="n">
        <v>35</v>
      </c>
      <c r="E47" s="19" t="n"/>
      <c r="F47" s="21" t="n"/>
      <c r="G47" s="18" t="n"/>
    </row>
    <row r="48">
      <c r="A48" s="22" t="n">
        <v>46212</v>
      </c>
      <c r="B48" s="23" t="inlineStr">
        <is>
          <t>Recebimento à vista Gerado pelo sistema Doc.: 9153 Ordem: 1</t>
        </is>
      </c>
      <c r="C48" s="23" t="inlineStr">
        <is>
          <t>RITHA DE CASSIA VIEIRA SEIXAS BRITO</t>
        </is>
      </c>
      <c r="D48" s="24" t="n">
        <v>140</v>
      </c>
      <c r="E48" s="25" t="n"/>
      <c r="F48" s="26" t="n"/>
      <c r="G48" s="23" t="n"/>
    </row>
    <row r="49">
      <c r="A49" s="17" t="n">
        <v>46212</v>
      </c>
      <c r="B49" s="18" t="inlineStr">
        <is>
          <t>Recebimento à vista Gerado pelo sistema Doc.: 9154 Ordem: 1</t>
        </is>
      </c>
      <c r="C49" s="18" t="inlineStr">
        <is>
          <t>Cielo S. A.</t>
        </is>
      </c>
      <c r="D49" s="27" t="n">
        <v>140</v>
      </c>
      <c r="E49" s="19" t="n"/>
      <c r="F49" s="21" t="n"/>
      <c r="G49" s="18" t="n"/>
    </row>
    <row r="50">
      <c r="A50" s="22" t="n">
        <v>46212</v>
      </c>
      <c r="B50" s="23" t="inlineStr">
        <is>
          <t>Recebimento à vista Gerado pelo sistema. Doc.: 4254 Ordem: 1</t>
        </is>
      </c>
      <c r="C50" s="23" t="inlineStr">
        <is>
          <t>GLEIDSON NASCIMENTO BARBOSA - G LINK</t>
        </is>
      </c>
      <c r="D50" s="24" t="n">
        <v>150</v>
      </c>
      <c r="E50" s="25" t="n"/>
      <c r="F50" s="26" t="n"/>
      <c r="G50" s="23" t="n"/>
    </row>
    <row r="51">
      <c r="A51" s="17" t="n">
        <v>46212</v>
      </c>
      <c r="B51" s="18" t="inlineStr">
        <is>
          <t>Pagamento parcela Pro labore Edilania Doc.: 001 Ordem: 1</t>
        </is>
      </c>
      <c r="C51" s="18" t="inlineStr">
        <is>
          <t>EDILANIA FONTES - LOJA</t>
        </is>
      </c>
      <c r="D51" s="19" t="n"/>
      <c r="E51" s="20" t="n">
        <v>1550</v>
      </c>
      <c r="F51" s="21" t="inlineStr">
        <is>
          <t>Pro Labore Edilânia</t>
        </is>
      </c>
      <c r="G51" s="18" t="n"/>
    </row>
    <row r="52">
      <c r="A52" s="22" t="n">
        <v>46212</v>
      </c>
      <c r="B52" s="23" t="inlineStr">
        <is>
          <t>Recebimento à vista Gerado pelo sistema. Doc.: 4255 Ordem: 1</t>
        </is>
      </c>
      <c r="C52" s="23" t="inlineStr">
        <is>
          <t>CARLOS GEOVANE CARNEIRO DE OLIVEIRA</t>
        </is>
      </c>
      <c r="D52" s="24" t="n">
        <v>135</v>
      </c>
      <c r="E52" s="25" t="n"/>
      <c r="F52" s="26" t="n"/>
      <c r="G52" s="23" t="n"/>
    </row>
    <row r="53">
      <c r="A53" s="17" t="n">
        <v>46212</v>
      </c>
      <c r="B53" s="18" t="inlineStr">
        <is>
          <t>Recebimento à vista Gerado pelo sistema. Doc.: 4256 Ordem: 1</t>
        </is>
      </c>
      <c r="C53" s="18" t="inlineStr">
        <is>
          <t>OCIMAR CORREIA FEITOSA</t>
        </is>
      </c>
      <c r="D53" s="27" t="n">
        <v>500</v>
      </c>
      <c r="E53" s="19" t="n"/>
      <c r="F53" s="21" t="n"/>
      <c r="G53" s="18" t="n"/>
    </row>
    <row r="54">
      <c r="A54" s="22" t="n">
        <v>46213</v>
      </c>
      <c r="B54" s="23" t="inlineStr">
        <is>
          <t>Recebimento à vista Gerado pelo sistema. Doc.: 4257 Ordem: 1</t>
        </is>
      </c>
      <c r="C54" s="23" t="inlineStr">
        <is>
          <t>SINDICATO DOS TRABALHADORES EM EDUCACAO DAS REDES PUBLICAS</t>
        </is>
      </c>
      <c r="D54" s="24" t="n">
        <v>1500</v>
      </c>
      <c r="E54" s="25" t="n"/>
      <c r="F54" s="26" t="n"/>
      <c r="G54" s="23" t="n"/>
    </row>
    <row r="55">
      <c r="A55" s="17" t="n">
        <v>46213</v>
      </c>
      <c r="B55" s="18" t="inlineStr">
        <is>
          <t>Recebimento à vista Gerado pelo sistema. Doc.: 4258 Ordem: 1</t>
        </is>
      </c>
      <c r="C55" s="18" t="inlineStr">
        <is>
          <t>LUCILIA BATISTA DE SANTA ROSA</t>
        </is>
      </c>
      <c r="D55" s="27" t="n">
        <v>1460</v>
      </c>
      <c r="E55" s="19" t="n"/>
      <c r="F55" s="21" t="n"/>
      <c r="G55" s="18" t="n"/>
    </row>
    <row r="56">
      <c r="A56" s="22" t="n">
        <v>46214</v>
      </c>
      <c r="B56" s="23" t="inlineStr">
        <is>
          <t>Recebimento à vista Gerado pelo sistema. Doc.: 4259 Ordem: 1</t>
        </is>
      </c>
      <c r="C56" s="23" t="inlineStr">
        <is>
          <t>TIAGO MANOEL DIAS FERREIRA</t>
        </is>
      </c>
      <c r="D56" s="24" t="n">
        <v>1510</v>
      </c>
      <c r="E56" s="25" t="n"/>
      <c r="F56" s="26" t="n"/>
      <c r="G56" s="23" t="n"/>
    </row>
    <row r="57">
      <c r="A57" s="17" t="n">
        <v>46214</v>
      </c>
      <c r="B57" s="18" t="inlineStr">
        <is>
          <t>Recebimento à vista Gerado pelo sistema Doc.: 9155 Ordem: 1</t>
        </is>
      </c>
      <c r="C57" s="18" t="inlineStr">
        <is>
          <t>Cielo S. A.</t>
        </is>
      </c>
      <c r="D57" s="27" t="n">
        <v>150</v>
      </c>
      <c r="E57" s="19" t="n"/>
      <c r="F57" s="21" t="n"/>
      <c r="G57" s="18" t="n"/>
    </row>
    <row r="58">
      <c r="A58" s="22" t="n">
        <v>46216</v>
      </c>
      <c r="B58" s="23" t="inlineStr">
        <is>
          <t>Recebimento à vista Gerado pelo sistema. Doc.: 4260 Ordem: 1</t>
        </is>
      </c>
      <c r="C58" s="23" t="inlineStr">
        <is>
          <t>IGREJA MISSIONARIA DE JACOBINA CRISTO PARA AS NACOES</t>
        </is>
      </c>
      <c r="D58" s="24" t="n">
        <v>40</v>
      </c>
      <c r="E58" s="25" t="n"/>
      <c r="F58" s="26" t="n"/>
      <c r="G58" s="23" t="n"/>
    </row>
    <row r="59">
      <c r="A59" s="17" t="n">
        <v>46216</v>
      </c>
      <c r="B59" s="18" t="inlineStr">
        <is>
          <t>Recebimento à vista Gerado pelo sistema. Doc.: 4261 Ordem: 1</t>
        </is>
      </c>
      <c r="C59" s="18" t="inlineStr">
        <is>
          <t>IGREJA MISSIONARIA DE JACOBINA CRISTO PARA AS NACOES</t>
        </is>
      </c>
      <c r="D59" s="27" t="n">
        <v>40</v>
      </c>
      <c r="E59" s="19" t="n"/>
      <c r="F59" s="21" t="n"/>
      <c r="G59" s="18" t="n"/>
    </row>
    <row r="60">
      <c r="A60" s="22" t="n">
        <v>46216</v>
      </c>
      <c r="B60" s="23" t="inlineStr">
        <is>
          <t>Estorno de recebimento do documento: Gerado pelo sistema. Doc.: 42</t>
        </is>
      </c>
      <c r="C60" s="23" t="inlineStr">
        <is>
          <t>IGREJA MISSIONARIA DE JACOBINA CRISTO PARA AS NACOES</t>
        </is>
      </c>
      <c r="D60" s="25" t="n"/>
      <c r="E60" s="28" t="n">
        <v>40</v>
      </c>
      <c r="F60" s="26" t="inlineStr">
        <is>
          <t>Estornos de Vendas (Cancelamentos)</t>
        </is>
      </c>
      <c r="G60" s="23" t="n"/>
    </row>
    <row r="61">
      <c r="A61" s="17" t="n">
        <v>46216</v>
      </c>
      <c r="B61" s="18" t="inlineStr">
        <is>
          <t>Estorno de recebimento do documento: Gerado pelo sistema. Doc.: 42</t>
        </is>
      </c>
      <c r="C61" s="18" t="inlineStr">
        <is>
          <t>IGREJA MISSIONARIA DE JACOBINA CRISTO PARA AS NACOES</t>
        </is>
      </c>
      <c r="D61" s="19" t="n"/>
      <c r="E61" s="20" t="n">
        <v>40</v>
      </c>
      <c r="F61" s="21" t="inlineStr">
        <is>
          <t>Estornos de Vendas (Cancelamentos)</t>
        </is>
      </c>
      <c r="G61" s="18" t="n"/>
    </row>
    <row r="62">
      <c r="A62" s="22" t="n">
        <v>46218</v>
      </c>
      <c r="B62" s="23" t="inlineStr">
        <is>
          <t>Recebimento à vista Gerado pelo sistema. Doc.: 4264 Ordem: 1</t>
        </is>
      </c>
      <c r="C62" s="23" t="inlineStr">
        <is>
          <t>FARMACIA FERREIRA LTDA</t>
        </is>
      </c>
      <c r="D62" s="24" t="n">
        <v>200</v>
      </c>
      <c r="E62" s="25" t="n"/>
      <c r="F62" s="26" t="n"/>
      <c r="G62" s="23" t="n"/>
    </row>
    <row r="63">
      <c r="A63" s="17" t="n">
        <v>46218</v>
      </c>
      <c r="B63" s="18" t="inlineStr">
        <is>
          <t>Pagamento à vista: Gerado pelo sistema. Doc.: 4266 Ordem: 1</t>
        </is>
      </c>
      <c r="C63" s="18" t="inlineStr">
        <is>
          <t>JUPITER TECIDOS LTDA</t>
        </is>
      </c>
      <c r="D63" s="19" t="n"/>
      <c r="E63" s="20" t="n">
        <v>400</v>
      </c>
      <c r="F63" s="21" t="inlineStr">
        <is>
          <t>Outras Despesas</t>
        </is>
      </c>
      <c r="G63" s="18" t="n"/>
    </row>
    <row r="64">
      <c r="A64" s="22" t="n">
        <v>46218</v>
      </c>
      <c r="B64" s="23" t="inlineStr">
        <is>
          <t>Recebimento à vista Gerado pelo sistema. Doc.: 4267 Ordem: 1</t>
        </is>
      </c>
      <c r="C64" s="23" t="inlineStr">
        <is>
          <t>JUPITER TECIDOS LTDA</t>
        </is>
      </c>
      <c r="D64" s="24" t="n">
        <v>400</v>
      </c>
      <c r="E64" s="25" t="n"/>
      <c r="F64" s="26" t="n"/>
      <c r="G64" s="23" t="n"/>
    </row>
    <row r="65">
      <c r="A65" s="17" t="n">
        <v>46218</v>
      </c>
      <c r="B65" s="18" t="inlineStr">
        <is>
          <t>Pagamento parcela TAXA ADMINISTRATIVA DE ESTAGIO Doc.: 1 Orde</t>
        </is>
      </c>
      <c r="C65" s="18" t="inlineStr">
        <is>
          <t>INSTITUTO EUVALDO LODI - NUCLEO REGIONAL DA BAHIA</t>
        </is>
      </c>
      <c r="D65" s="19" t="n"/>
      <c r="E65" s="20" t="n">
        <v>75</v>
      </c>
      <c r="F65" s="21" t="inlineStr">
        <is>
          <t>Salários, Comissões e Encargos</t>
        </is>
      </c>
      <c r="G65" s="18" t="n"/>
    </row>
    <row r="66">
      <c r="A66" s="22" t="n">
        <v>46218</v>
      </c>
      <c r="B66" s="23" t="inlineStr">
        <is>
          <t>Pagamento parcela Gerado pelo sistema - nº 131442 Doc.: 131442 Ord</t>
        </is>
      </c>
      <c r="C66" s="23" t="inlineStr">
        <is>
          <t>FILTROS PLANETA AGUA IND E COM LTDA</t>
        </is>
      </c>
      <c r="D66" s="25" t="n"/>
      <c r="E66" s="28" t="n">
        <v>609.26</v>
      </c>
      <c r="F66" s="26" t="inlineStr">
        <is>
          <t>Fornecedores / Mercadoria</t>
        </is>
      </c>
      <c r="G66" s="23" t="n"/>
    </row>
    <row r="67">
      <c r="A67" s="17" t="n">
        <v>46218</v>
      </c>
      <c r="B67" s="18" t="inlineStr">
        <is>
          <t>Pagamento parcela TARCOSOP OLIVEIRA LIMA Doc.: 1 Ordem: 8</t>
        </is>
      </c>
      <c r="C67" s="18" t="inlineStr">
        <is>
          <t>CONTABILIDADE TARCISIO OLIVEIRA LIMA</t>
        </is>
      </c>
      <c r="D67" s="19" t="n"/>
      <c r="E67" s="20" t="n">
        <v>486.32</v>
      </c>
      <c r="F67" s="21" t="inlineStr">
        <is>
          <t>Contabilidade</t>
        </is>
      </c>
      <c r="G67" s="18" t="n"/>
    </row>
    <row r="68">
      <c r="A68" s="22" t="n">
        <v>46218</v>
      </c>
      <c r="B68" s="23" t="inlineStr">
        <is>
          <t>Pagamento parcela Gerado pelo sistema - nº 130510 Doc.: 130510 Ord</t>
        </is>
      </c>
      <c r="C68" s="23" t="inlineStr">
        <is>
          <t>FILTROS PLANETA AGUA IND E COM LTDA</t>
        </is>
      </c>
      <c r="D68" s="25" t="n"/>
      <c r="E68" s="28" t="n">
        <v>666.15</v>
      </c>
      <c r="F68" s="26" t="inlineStr">
        <is>
          <t>Fornecedores / Mercadoria</t>
        </is>
      </c>
      <c r="G68" s="23" t="n"/>
    </row>
    <row r="69">
      <c r="A69" s="17" t="n">
        <v>46218</v>
      </c>
      <c r="B69" s="18" t="inlineStr">
        <is>
          <t>Pagamento à vista: FATURA INTERNET PROXXIMA Doc.: 1 Ordem: 1</t>
        </is>
      </c>
      <c r="C69" s="18" t="inlineStr">
        <is>
          <t>PROXXIMA TELECOMUNICACOES</t>
        </is>
      </c>
      <c r="D69" s="19" t="n"/>
      <c r="E69" s="20" t="n">
        <v>69.98999999999999</v>
      </c>
      <c r="F69" s="21" t="inlineStr">
        <is>
          <t>Água, Energia e Internet</t>
        </is>
      </c>
      <c r="G69" s="18" t="n"/>
    </row>
    <row r="70">
      <c r="A70" s="22" t="n">
        <v>46218</v>
      </c>
      <c r="B70" s="23" t="inlineStr">
        <is>
          <t>Recebimento à vista Gerado pelo sistema Doc.: 9156 Ordem: 1</t>
        </is>
      </c>
      <c r="C70" s="23" t="inlineStr">
        <is>
          <t>JOSE ALVES DE ANDRADE</t>
        </is>
      </c>
      <c r="D70" s="24" t="n">
        <v>135</v>
      </c>
      <c r="E70" s="25" t="n"/>
      <c r="F70" s="26" t="n"/>
      <c r="G70" s="23" t="n"/>
    </row>
    <row r="71">
      <c r="A71" s="17" t="n">
        <v>46218</v>
      </c>
      <c r="B71" s="18" t="inlineStr">
        <is>
          <t>Recebimento à vista Gerado pelo sistema. Doc.: 4268 Ordem: 1</t>
        </is>
      </c>
      <c r="C71" s="18" t="inlineStr">
        <is>
          <t>D BRUNO CALCADOS E CONFECCOES LTDA EPP</t>
        </is>
      </c>
      <c r="D71" s="27" t="n">
        <v>400</v>
      </c>
      <c r="E71" s="19" t="n"/>
      <c r="F71" s="21" t="n"/>
      <c r="G71" s="18" t="n"/>
    </row>
    <row r="72">
      <c r="A72" s="22" t="n">
        <v>46218</v>
      </c>
      <c r="B72" s="23" t="inlineStr">
        <is>
          <t>Recebimento à vista Gerado pelo sistema Doc.: 9157 Ordem: 1</t>
        </is>
      </c>
      <c r="C72" s="23" t="inlineStr">
        <is>
          <t>Cliente Consumidor</t>
        </is>
      </c>
      <c r="D72" s="24" t="n">
        <v>310</v>
      </c>
      <c r="E72" s="25" t="n"/>
      <c r="F72" s="26" t="n"/>
      <c r="G72" s="23" t="n"/>
    </row>
    <row r="73">
      <c r="A73" s="17" t="n">
        <v>46218</v>
      </c>
      <c r="B73" s="18" t="inlineStr">
        <is>
          <t>Recebimento à vista Gerado pelo sistema Doc.: 9158 Ordem: 1</t>
        </is>
      </c>
      <c r="C73" s="18" t="inlineStr">
        <is>
          <t>Cielo S. A.</t>
        </is>
      </c>
      <c r="D73" s="27" t="n">
        <v>150</v>
      </c>
      <c r="E73" s="19" t="n"/>
      <c r="F73" s="21" t="n"/>
      <c r="G73" s="18" t="n"/>
    </row>
    <row r="74">
      <c r="A74" s="22" t="n">
        <v>46219</v>
      </c>
      <c r="B74" s="23" t="inlineStr">
        <is>
          <t>Recebimento à vista Gerado pelo sistema Doc.: 9159 Ordem: 1</t>
        </is>
      </c>
      <c r="C74" s="23" t="inlineStr">
        <is>
          <t>Cielo S. A.</t>
        </is>
      </c>
      <c r="D74" s="24" t="n">
        <v>180</v>
      </c>
      <c r="E74" s="25" t="n"/>
      <c r="F74" s="26" t="n"/>
      <c r="G74" s="23" t="n"/>
    </row>
    <row r="75">
      <c r="A75" s="17" t="n">
        <v>46220</v>
      </c>
      <c r="B75" s="18" t="inlineStr">
        <is>
          <t>Recebimento à vista Gerado pelo sistema Doc.: 9160 Ordem: 1</t>
        </is>
      </c>
      <c r="C75" s="18" t="inlineStr">
        <is>
          <t>MARIA DO CARMO MENDES</t>
        </is>
      </c>
      <c r="D75" s="27" t="n">
        <v>65</v>
      </c>
      <c r="E75" s="19" t="n"/>
      <c r="F75" s="21" t="n"/>
      <c r="G75" s="18" t="n"/>
    </row>
    <row r="76">
      <c r="A76" s="22" t="n">
        <v>46220</v>
      </c>
      <c r="B76" s="23" t="inlineStr">
        <is>
          <t>Estorno de recebimento do documento: Gerado pelo sistema Doc.: 916</t>
        </is>
      </c>
      <c r="C76" s="23" t="inlineStr">
        <is>
          <t>MARIA DO CARMO MENDES</t>
        </is>
      </c>
      <c r="D76" s="25" t="n"/>
      <c r="E76" s="28" t="n">
        <v>65</v>
      </c>
      <c r="F76" s="26" t="inlineStr">
        <is>
          <t>Estornos de Vendas (Cancelamentos)</t>
        </is>
      </c>
      <c r="G76" s="23" t="n"/>
    </row>
    <row r="77">
      <c r="A77" s="17" t="n">
        <v>46220</v>
      </c>
      <c r="B77" s="18" t="inlineStr">
        <is>
          <t>Recebimento à vista Gerado pelo sistema Doc.: 9161 Ordem: 1</t>
        </is>
      </c>
      <c r="C77" s="18" t="inlineStr">
        <is>
          <t>Cliente Consumidor</t>
        </is>
      </c>
      <c r="D77" s="27" t="n">
        <v>65</v>
      </c>
      <c r="E77" s="19" t="n"/>
      <c r="F77" s="21" t="n"/>
      <c r="G77" s="18" t="n"/>
    </row>
    <row r="78">
      <c r="A78" s="22" t="n">
        <v>46220</v>
      </c>
      <c r="B78" s="23" t="inlineStr">
        <is>
          <t>Recebimento à vista Gerado pelo sistema Doc.: 9162 Ordem: 1</t>
        </is>
      </c>
      <c r="C78" s="23" t="inlineStr">
        <is>
          <t>MARIA DO CARMO MENDES</t>
        </is>
      </c>
      <c r="D78" s="24" t="n">
        <v>200</v>
      </c>
      <c r="E78" s="25" t="n"/>
      <c r="F78" s="26" t="n"/>
      <c r="G78" s="23" t="n"/>
    </row>
    <row r="79">
      <c r="A79" s="17" t="n">
        <v>46220</v>
      </c>
      <c r="B79" s="18" t="inlineStr">
        <is>
          <t>Pagamento à vista: PRODUTOS DE LIMPEZA Doc.: 1 Ordem: 1</t>
        </is>
      </c>
      <c r="C79" s="18" t="inlineStr">
        <is>
          <t>JACOBINA MATERIAL DE LIMPEZA EIRELI</t>
        </is>
      </c>
      <c r="D79" s="19" t="n"/>
      <c r="E79" s="20" t="n">
        <v>10.99</v>
      </c>
      <c r="F79" s="21" t="inlineStr">
        <is>
          <t>Material de Limpeza e Escritório</t>
        </is>
      </c>
      <c r="G79" s="18" t="n"/>
    </row>
    <row r="80">
      <c r="A80" s="22" t="n">
        <v>46220</v>
      </c>
      <c r="B80" s="23" t="inlineStr">
        <is>
          <t>Pagamento à vista: MATERIAL DE ESCRITORIO Doc.: 1 Ordem: 1</t>
        </is>
      </c>
      <c r="C80" s="23" t="inlineStr">
        <is>
          <t>UNIVERSO DAS VARIEDADES</t>
        </is>
      </c>
      <c r="D80" s="25" t="n"/>
      <c r="E80" s="28" t="n">
        <v>12.2</v>
      </c>
      <c r="F80" s="26" t="inlineStr">
        <is>
          <t>Material de Limpeza e Escritório</t>
        </is>
      </c>
      <c r="G80" s="23" t="n"/>
    </row>
    <row r="81">
      <c r="A81" s="17" t="n">
        <v>46220</v>
      </c>
      <c r="B81" s="18" t="inlineStr">
        <is>
          <t>Recebimento à vista Gerado pelo sistema. Doc.: 4269 Ordem: 1</t>
        </is>
      </c>
      <c r="C81" s="18" t="inlineStr">
        <is>
          <t>GRAFICA EDITORA REGIS BRINDES LTDA</t>
        </is>
      </c>
      <c r="D81" s="27" t="n">
        <v>270</v>
      </c>
      <c r="E81" s="19" t="n"/>
      <c r="F81" s="21" t="n"/>
      <c r="G81" s="18" t="n"/>
    </row>
    <row r="82">
      <c r="A82" s="22" t="n">
        <v>46223</v>
      </c>
      <c r="B82" s="23" t="inlineStr">
        <is>
          <t>Recebimento à vista Gerado pelo sistema Doc.: 9164 Ordem: 1</t>
        </is>
      </c>
      <c r="C82" s="23" t="inlineStr">
        <is>
          <t>Cliente Consumidor</t>
        </is>
      </c>
      <c r="D82" s="24" t="n">
        <v>55</v>
      </c>
      <c r="E82" s="25" t="n"/>
      <c r="F82" s="26" t="n"/>
      <c r="G82" s="23" t="n"/>
    </row>
    <row r="83">
      <c r="A83" s="17" t="n">
        <v>46223</v>
      </c>
      <c r="B83" s="18" t="inlineStr">
        <is>
          <t>Recebimento parcela Gerado pelo sistema Doc.: 9163 Ordem: 1</t>
        </is>
      </c>
      <c r="C83" s="18" t="inlineStr">
        <is>
          <t>MARIA CONCEICAO CARVALHO MESQUITA MAIA - LOANE MESQUITA</t>
        </is>
      </c>
      <c r="D83" s="27" t="n">
        <v>135</v>
      </c>
      <c r="E83" s="19" t="n"/>
      <c r="F83" s="21" t="n"/>
      <c r="G83" s="18" t="n"/>
    </row>
    <row r="84">
      <c r="A84" s="22" t="n">
        <v>46223</v>
      </c>
      <c r="B84" s="23" t="inlineStr">
        <is>
          <t>Pagamento à vista: GASOLINA Doc.: 1 Ordem: 1</t>
        </is>
      </c>
      <c r="C84" s="23" t="inlineStr">
        <is>
          <t>LUBRINESSA XVI COMERCIO DE PETROLEO LTDA</t>
        </is>
      </c>
      <c r="D84" s="25" t="n"/>
      <c r="E84" s="28" t="n">
        <v>20</v>
      </c>
      <c r="F84" s="26" t="inlineStr">
        <is>
          <t>Transporte e Entregas</t>
        </is>
      </c>
      <c r="G84" s="23" t="n"/>
    </row>
    <row r="85">
      <c r="A85" s="17" t="n">
        <v>46223</v>
      </c>
      <c r="B85" s="18" t="inlineStr">
        <is>
          <t>Pagamento à vista: RECARGA CARTUCHO IMPRESSORA Doc.: 1 Ordem:</t>
        </is>
      </c>
      <c r="C85" s="18" t="inlineStr">
        <is>
          <t>CENTRALMIX SOLUCOES INTEGRADAS LTDA</t>
        </is>
      </c>
      <c r="D85" s="19" t="n"/>
      <c r="E85" s="20" t="n">
        <v>30</v>
      </c>
      <c r="F85" s="21" t="inlineStr">
        <is>
          <t>Transporte e Entregas</t>
        </is>
      </c>
      <c r="G85" s="18" t="n"/>
    </row>
    <row r="86">
      <c r="A86" s="22" t="n">
        <v>46223</v>
      </c>
      <c r="B86" s="23" t="inlineStr">
        <is>
          <t>Pagamento parcela Gerado pelo sistema - nº 377739 Doc.: 377739 Ord</t>
        </is>
      </c>
      <c r="C86" s="23" t="inlineStr">
        <is>
          <t>EVEREST REFRIGERACAO E INDUSTRIA</t>
        </is>
      </c>
      <c r="D86" s="25" t="n"/>
      <c r="E86" s="28" t="n">
        <v>856.35</v>
      </c>
      <c r="F86" s="26" t="inlineStr">
        <is>
          <t>Fornecedores / Mercadoria</t>
        </is>
      </c>
      <c r="G86" s="23" t="n"/>
    </row>
    <row r="87">
      <c r="A87" s="17" t="n">
        <v>46223</v>
      </c>
      <c r="B87" s="18" t="inlineStr">
        <is>
          <t>Pagamento parcela Gerado pelo sistema - nº 377738 Doc.: 377738 Ord</t>
        </is>
      </c>
      <c r="C87" s="18" t="inlineStr">
        <is>
          <t>EVEREST REFRIGERACAO E INDUSTRIA</t>
        </is>
      </c>
      <c r="D87" s="19" t="n"/>
      <c r="E87" s="20" t="n">
        <v>865.5</v>
      </c>
      <c r="F87" s="21" t="inlineStr">
        <is>
          <t>Fornecedores / Mercadoria</t>
        </is>
      </c>
      <c r="G87" s="18" t="n"/>
    </row>
    <row r="88">
      <c r="A88" s="22" t="n">
        <v>46223</v>
      </c>
      <c r="B88" s="23" t="inlineStr">
        <is>
          <t>Pagamento parcela Gerado pelo sistema - nº 377737 Doc.: 377737 Ord</t>
        </is>
      </c>
      <c r="C88" s="23" t="inlineStr">
        <is>
          <t>EVEREST REFRIGERACAO E INDUSTRIA</t>
        </is>
      </c>
      <c r="D88" s="25" t="n"/>
      <c r="E88" s="28" t="n">
        <v>139.31</v>
      </c>
      <c r="F88" s="26" t="inlineStr">
        <is>
          <t>Fornecedores / Mercadoria</t>
        </is>
      </c>
      <c r="G88" s="23" t="n"/>
    </row>
    <row r="89">
      <c r="A89" s="17" t="n">
        <v>46223</v>
      </c>
      <c r="B89" s="18" t="inlineStr">
        <is>
          <t>Pagamento parcela GUIA DO FGTS DIGITAL Doc.: 1 Ordem: 3</t>
        </is>
      </c>
      <c r="C89" s="18" t="inlineStr">
        <is>
          <t>CAIXA ECONOMICA FEDERAL</t>
        </is>
      </c>
      <c r="D89" s="19" t="n"/>
      <c r="E89" s="20" t="n">
        <v>136</v>
      </c>
      <c r="F89" s="21" t="inlineStr">
        <is>
          <t>Impostos e Taxas</t>
        </is>
      </c>
      <c r="G89" s="18" t="n"/>
    </row>
    <row r="90">
      <c r="A90" s="22" t="n">
        <v>46223</v>
      </c>
      <c r="B90" s="23" t="inlineStr">
        <is>
          <t>Pagamento parcela DOCUMENTO DE ARRECADACAO DE RECEITAS FE</t>
        </is>
      </c>
      <c r="C90" s="23" t="inlineStr">
        <is>
          <t>MINISTERIO DA FAZENDA</t>
        </is>
      </c>
      <c r="D90" s="25" t="n"/>
      <c r="E90" s="28" t="n">
        <v>440.22</v>
      </c>
      <c r="F90" s="26" t="inlineStr">
        <is>
          <t>Impostos e Taxas</t>
        </is>
      </c>
      <c r="G90" s="23" t="n"/>
    </row>
    <row r="91">
      <c r="A91" s="17" t="n">
        <v>46223</v>
      </c>
      <c r="B91" s="18" t="inlineStr">
        <is>
          <t>Pagamento parcela DOCUMENTO DE ARRECADAÇÃO SIMPLES NACIO</t>
        </is>
      </c>
      <c r="C91" s="18" t="inlineStr">
        <is>
          <t>MINISTERIO DA FAZENDA</t>
        </is>
      </c>
      <c r="D91" s="19" t="n"/>
      <c r="E91" s="20" t="n">
        <v>1024.32</v>
      </c>
      <c r="F91" s="21" t="inlineStr">
        <is>
          <t>Impostos e Taxas</t>
        </is>
      </c>
      <c r="G91" s="18" t="n"/>
    </row>
    <row r="92">
      <c r="A92" s="22" t="n">
        <v>46224</v>
      </c>
      <c r="B92" s="23" t="inlineStr">
        <is>
          <t>Recebimento à vista Gerado pelo sistema Doc.: 9165 Ordem: 1</t>
        </is>
      </c>
      <c r="C92" s="23" t="inlineStr">
        <is>
          <t>Cielo S. A.</t>
        </is>
      </c>
      <c r="D92" s="24" t="n">
        <v>140</v>
      </c>
      <c r="E92" s="25" t="n"/>
      <c r="F92" s="26" t="n"/>
      <c r="G92" s="23" t="n"/>
    </row>
    <row r="93">
      <c r="A93" s="17" t="n">
        <v>46224</v>
      </c>
      <c r="B93" s="18" t="inlineStr">
        <is>
          <t>Recebimento à vista Gerado pelo sistema Doc.: 9166 Ordem: 1</t>
        </is>
      </c>
      <c r="C93" s="18" t="inlineStr">
        <is>
          <t>JOSE GONCALVES DE OLIVEIRA</t>
        </is>
      </c>
      <c r="D93" s="27" t="n">
        <v>140</v>
      </c>
      <c r="E93" s="19" t="n"/>
      <c r="F93" s="21" t="n"/>
      <c r="G93" s="18" t="n"/>
    </row>
    <row r="94">
      <c r="A94" s="22" t="n">
        <v>46224</v>
      </c>
      <c r="B94" s="23" t="inlineStr">
        <is>
          <t>Recebimento parcela Gerado pelo sistema. Doc.: 4263 Ordem: 1</t>
        </is>
      </c>
      <c r="C94" s="23" t="inlineStr">
        <is>
          <t>IGOR SANTOS SILVA - ME</t>
        </is>
      </c>
      <c r="D94" s="24" t="n">
        <v>200</v>
      </c>
      <c r="E94" s="25" t="n"/>
      <c r="F94" s="26" t="n"/>
      <c r="G94" s="23" t="n"/>
    </row>
    <row r="95">
      <c r="A95" s="17" t="n">
        <v>46225</v>
      </c>
      <c r="B95" s="18" t="inlineStr">
        <is>
          <t>Recebimento à vista Gerado pelo sistema Doc.: 9167 Ordem: 1</t>
        </is>
      </c>
      <c r="C95" s="18" t="inlineStr">
        <is>
          <t>DEUCLEZIO DANTAS FILHO</t>
        </is>
      </c>
      <c r="D95" s="27" t="n">
        <v>140</v>
      </c>
      <c r="E95" s="19" t="n"/>
      <c r="F95" s="21" t="n"/>
      <c r="G95" s="18" t="n"/>
    </row>
    <row r="96">
      <c r="A96" s="22" t="n">
        <v>46225</v>
      </c>
      <c r="B96" s="23" t="inlineStr">
        <is>
          <t>Pagamento parcela Gerado pelo sistema - nº 379826 Doc.: 379826 Ord</t>
        </is>
      </c>
      <c r="C96" s="23" t="inlineStr">
        <is>
          <t>EVEREST REFRIGERACAO E INDUSTRIA</t>
        </is>
      </c>
      <c r="D96" s="25" t="n"/>
      <c r="E96" s="28" t="n">
        <v>874.6799999999999</v>
      </c>
      <c r="F96" s="26" t="inlineStr">
        <is>
          <t>Fornecedores / Mercadoria</t>
        </is>
      </c>
      <c r="G96" s="23" t="n"/>
    </row>
    <row r="97">
      <c r="A97" s="17" t="n">
        <v>46226</v>
      </c>
      <c r="B97" s="18" t="inlineStr">
        <is>
          <t>Recebimento à vista Gerado pelo sistema. Doc.: 4272 Ordem: 1</t>
        </is>
      </c>
      <c r="C97" s="18" t="inlineStr">
        <is>
          <t>PAULO DALTRO</t>
        </is>
      </c>
      <c r="D97" s="27" t="n">
        <v>1379</v>
      </c>
      <c r="E97" s="19" t="n"/>
      <c r="F97" s="21" t="n"/>
      <c r="G97" s="18" t="n"/>
    </row>
    <row r="98">
      <c r="A98" s="22" t="n">
        <v>46226</v>
      </c>
      <c r="B98" s="23" t="inlineStr">
        <is>
          <t>Recebimento à vista Gerado pelo sistema Doc.: 9169 Ordem: 1</t>
        </is>
      </c>
      <c r="C98" s="23" t="inlineStr">
        <is>
          <t>SHEILA ALVES NASCIMENTO</t>
        </is>
      </c>
      <c r="D98" s="24" t="n">
        <v>255</v>
      </c>
      <c r="E98" s="25" t="n"/>
      <c r="F98" s="26" t="n"/>
      <c r="G98" s="23" t="n"/>
    </row>
    <row r="99">
      <c r="A99" s="17" t="n">
        <v>46226</v>
      </c>
      <c r="B99" s="18" t="inlineStr">
        <is>
          <t>Pagamento parcela Gerado pelo sistema - nº 71084 Doc.: 71084 Orde</t>
        </is>
      </c>
      <c r="C99" s="18" t="inlineStr">
        <is>
          <t>EVERSOFT IND E COM DE PLASTICOS LTDA</t>
        </is>
      </c>
      <c r="D99" s="19" t="n"/>
      <c r="E99" s="20" t="n">
        <v>878.9299999999999</v>
      </c>
      <c r="F99" s="21" t="inlineStr">
        <is>
          <t>Fornecedores / Mercadoria</t>
        </is>
      </c>
      <c r="G99" s="18" t="n"/>
    </row>
    <row r="100">
      <c r="A100" s="22" t="n">
        <v>46227</v>
      </c>
      <c r="B100" s="23" t="inlineStr">
        <is>
          <t>Recebimento parcela Gerado pelo sistema. Doc.: 4271 Ordem: 1</t>
        </is>
      </c>
      <c r="C100" s="23" t="inlineStr">
        <is>
          <t>CLINICA DE FISIOTERAPIA VILAS BOAS MANGABEIRA LTDA - ME</t>
        </is>
      </c>
      <c r="D100" s="24" t="n">
        <v>270</v>
      </c>
      <c r="E100" s="25" t="n"/>
      <c r="F100" s="26" t="n"/>
      <c r="G100" s="23" t="n"/>
    </row>
    <row r="101">
      <c r="A101" s="17" t="n">
        <v>46227</v>
      </c>
      <c r="B101" s="18" t="inlineStr">
        <is>
          <t>Recebimento à vista Gerado pelo sistema. Doc.: 4276 Ordem: 1</t>
        </is>
      </c>
      <c r="C101" s="18" t="inlineStr">
        <is>
          <t>UNIAO LESTE BRASILEIRA DA IGREJA ADVENTISTA DO SETIMO DIA</t>
        </is>
      </c>
      <c r="D101" s="27" t="n">
        <v>1615</v>
      </c>
      <c r="E101" s="19" t="n"/>
      <c r="F101" s="21" t="n"/>
      <c r="G101" s="18" t="n"/>
    </row>
    <row r="102">
      <c r="A102" s="22" t="n">
        <v>46227</v>
      </c>
      <c r="B102" s="23" t="inlineStr">
        <is>
          <t>Recebimento à vista Gerado pelo sistema Doc.: 9170 Ordem: 1</t>
        </is>
      </c>
      <c r="C102" s="23" t="inlineStr">
        <is>
          <t>Cliente Consumidor</t>
        </is>
      </c>
      <c r="D102" s="24" t="n">
        <v>37</v>
      </c>
      <c r="E102" s="25" t="n"/>
      <c r="F102" s="26" t="n"/>
      <c r="G102" s="23" t="n"/>
    </row>
    <row r="103">
      <c r="A103" s="17" t="n">
        <v>46227</v>
      </c>
      <c r="B103" s="18" t="inlineStr">
        <is>
          <t>Estorno de recebimento do documento: Gerado pelo sistema Doc.: 917</t>
        </is>
      </c>
      <c r="C103" s="18" t="inlineStr">
        <is>
          <t>Cliente Consumidor</t>
        </is>
      </c>
      <c r="D103" s="19" t="n"/>
      <c r="E103" s="20" t="n">
        <v>37</v>
      </c>
      <c r="F103" s="21" t="inlineStr">
        <is>
          <t>Estornos de Vendas (Cancelamentos)</t>
        </is>
      </c>
      <c r="G103" s="18" t="n"/>
    </row>
    <row r="104">
      <c r="A104" s="22" t="n">
        <v>46227</v>
      </c>
      <c r="B104" s="23" t="inlineStr">
        <is>
          <t>Recebimento à vista Gerado pelo sistema Doc.: 9171 Ordem: 1</t>
        </is>
      </c>
      <c r="C104" s="23" t="inlineStr">
        <is>
          <t>Cliente Consumidor</t>
        </is>
      </c>
      <c r="D104" s="24" t="n">
        <v>35</v>
      </c>
      <c r="E104" s="25" t="n"/>
      <c r="F104" s="26" t="n"/>
      <c r="G104" s="23" t="n"/>
    </row>
    <row r="105">
      <c r="A105" s="17" t="n">
        <v>46227</v>
      </c>
      <c r="B105" s="18" t="inlineStr">
        <is>
          <t>Pagamento à vista: CORREIOS (ENVIOS PARA GRUPO ANIMA) Doc.: 1</t>
        </is>
      </c>
      <c r="C105" s="18" t="inlineStr">
        <is>
          <t>EMPRESA BRASILEIRA DE CORREIOS E TELEGRAFOS</t>
        </is>
      </c>
      <c r="D105" s="19" t="n"/>
      <c r="E105" s="20" t="n">
        <v>231.8</v>
      </c>
      <c r="F105" s="21" t="inlineStr">
        <is>
          <t>Transporte e Entregas</t>
        </is>
      </c>
      <c r="G105" s="18" t="n"/>
    </row>
    <row r="106">
      <c r="A106" s="22" t="n">
        <v>46227</v>
      </c>
      <c r="B106" s="23" t="inlineStr">
        <is>
          <t>Recebimento à vista Gerado pelo sistema. Doc.: 4279 Ordem: 1</t>
        </is>
      </c>
      <c r="C106" s="23" t="inlineStr">
        <is>
          <t>COOPERATIVA DE CATADORES RECICLA JACOBINA</t>
        </is>
      </c>
      <c r="D106" s="24" t="n">
        <v>170</v>
      </c>
      <c r="E106" s="25" t="n"/>
      <c r="F106" s="26" t="n"/>
      <c r="G106" s="23" t="n"/>
    </row>
    <row r="107">
      <c r="A107" s="17" t="n">
        <v>46227</v>
      </c>
      <c r="B107" s="18" t="inlineStr">
        <is>
          <t>Pagamento parcela Gerado pelo sistema - nº 371358 Doc.: 371358 Ord</t>
        </is>
      </c>
      <c r="C107" s="18" t="inlineStr">
        <is>
          <t>EVEREST REFRIGERACAO E INDUSTRIA</t>
        </is>
      </c>
      <c r="D107" s="19" t="n"/>
      <c r="E107" s="20" t="n">
        <v>676.59</v>
      </c>
      <c r="F107" s="21" t="inlineStr">
        <is>
          <t>Fornecedores / Mercadoria</t>
        </is>
      </c>
      <c r="G107" s="18" t="n"/>
    </row>
    <row r="108">
      <c r="A108" s="22" t="n">
        <v>46228</v>
      </c>
      <c r="B108" s="23" t="inlineStr">
        <is>
          <t>Recebimento à vista Gerado pelo sistema Doc.: 9172 Ordem: 1</t>
        </is>
      </c>
      <c r="C108" s="23" t="inlineStr">
        <is>
          <t>Cliente Consumidor</t>
        </is>
      </c>
      <c r="D108" s="24" t="n">
        <v>30</v>
      </c>
      <c r="E108" s="25" t="n"/>
      <c r="F108" s="26" t="n"/>
      <c r="G108" s="23" t="n"/>
    </row>
    <row r="109">
      <c r="A109" s="17" t="n">
        <v>46228</v>
      </c>
      <c r="B109" s="18" t="inlineStr">
        <is>
          <t>Recebimento à vista Gerado pelo sistema Doc.: 9173 Ordem: 1</t>
        </is>
      </c>
      <c r="C109" s="18" t="inlineStr">
        <is>
          <t>CELESTE MARIA ARAUJO MACHADO</t>
        </is>
      </c>
      <c r="D109" s="27" t="n">
        <v>140</v>
      </c>
      <c r="E109" s="19" t="n"/>
      <c r="F109" s="21" t="n"/>
      <c r="G109" s="18" t="n"/>
    </row>
    <row r="110">
      <c r="A110" s="22" t="n">
        <v>46230</v>
      </c>
      <c r="B110" s="23" t="inlineStr">
        <is>
          <t>Pagamento à vista: CORREIOS Doc.: 1 Ordem: 2</t>
        </is>
      </c>
      <c r="C110" s="23" t="inlineStr">
        <is>
          <t>EMPRESA BRASILEIRA DE CORREIOS E TELEGRAFOS</t>
        </is>
      </c>
      <c r="D110" s="25" t="n"/>
      <c r="E110" s="28" t="n">
        <v>206.8</v>
      </c>
      <c r="F110" s="26" t="inlineStr">
        <is>
          <t>Transporte e Entregas</t>
        </is>
      </c>
      <c r="G110" s="23" t="n"/>
    </row>
    <row r="111">
      <c r="A111" s="29" t="n"/>
      <c r="B111" s="228" t="inlineStr">
        <is>
          <t>TOTAL DO MÊS</t>
        </is>
      </c>
      <c r="C111" s="161" t="n"/>
      <c r="D111" s="8">
        <f>SUM(D5:D110)</f>
        <v/>
      </c>
      <c r="E111" s="8">
        <f>SUM(E5:E110)</f>
        <v/>
      </c>
      <c r="F111" s="29" t="n"/>
      <c r="G111" s="29" t="n"/>
    </row>
    <row r="112" ht="15.75" customHeight="1" s="158">
      <c r="A112" s="30" t="n"/>
      <c r="B112" s="227" t="inlineStr">
        <is>
          <t>SALDO DO MÊS (Entradas − Despesas da loja)</t>
        </is>
      </c>
      <c r="D112" s="226">
        <f>D111-J18</f>
        <v/>
      </c>
      <c r="F112" s="30" t="n"/>
      <c r="G112" s="30" t="n"/>
    </row>
  </sheetData>
  <autoFilter ref="A4:G110"/>
  <mergeCells count="12">
    <mergeCell ref="P4:Q4"/>
    <mergeCell ref="I4:J4"/>
    <mergeCell ref="A1:G1"/>
    <mergeCell ref="L4:M4"/>
    <mergeCell ref="B112:C112"/>
    <mergeCell ref="D112:E112"/>
    <mergeCell ref="B111:C111"/>
    <mergeCell ref="A2:G2"/>
    <mergeCell ref="L5:M6"/>
    <mergeCell ref="P5:Q6"/>
    <mergeCell ref="N5:O6"/>
    <mergeCell ref="N4:O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7"/>
  <sheetViews>
    <sheetView showGridLines="0" zoomScale="70" zoomScaleNormal="70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7.28515625" bestFit="1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3"/>
    <col width="15" customWidth="1" style="158" min="14" max="14"/>
    <col width="14" customWidth="1" style="158" min="15" max="17"/>
    <col width="15" customWidth="1" style="158" min="20" max="20"/>
  </cols>
  <sheetData>
    <row r="1" ht="25.5" customHeight="1" s="158">
      <c r="A1" s="224" t="inlineStr">
        <is>
          <t>RELATÓRIO FINANCEIRO — AGOSTO / 2026</t>
        </is>
      </c>
    </row>
    <row r="2">
      <c r="A2" s="229" t="inlineStr">
        <is>
          <t>Fluxo de caixa da loja — entradas e saídas detalhadas por lançamento (lançado manualmente)</t>
        </is>
      </c>
    </row>
    <row r="3">
      <c r="A3" s="146" t="inlineStr">
        <is>
          <t>← Início</t>
        </is>
      </c>
    </row>
    <row r="4" ht="20.1" customHeight="1" s="158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K4" s="234" t="inlineStr">
        <is>
          <t>Saídas por Categoria</t>
        </is>
      </c>
      <c r="L4" s="161" t="n"/>
      <c r="N4" s="225" t="inlineStr">
        <is>
          <t>FATURAMENTO</t>
        </is>
      </c>
      <c r="P4" s="233" t="inlineStr">
        <is>
          <t>DESPESAS</t>
        </is>
      </c>
      <c r="R4" s="222" t="inlineStr">
        <is>
          <t>SALDO</t>
        </is>
      </c>
      <c r="T4" s="207" t="inlineStr">
        <is>
          <t>A RECEBER</t>
        </is>
      </c>
    </row>
    <row r="5" ht="14.1" customHeight="1" s="158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K5" s="10" t="inlineStr">
        <is>
          <t>Fornecedores / Mercadoria</t>
        </is>
      </c>
      <c r="L5" s="11">
        <f>SUMIF(H5:H182,K5,G5:G182)</f>
        <v/>
      </c>
      <c r="N5" s="230">
        <f>D183-F183-T5</f>
        <v/>
      </c>
      <c r="P5" s="232">
        <f>L18-L19</f>
        <v/>
      </c>
      <c r="R5" s="231">
        <f>D184</f>
        <v/>
      </c>
      <c r="T5" s="212">
        <f>SUMIF(E5:E182,"Aguardando Pagamento",D5:D182)</f>
        <v/>
      </c>
    </row>
    <row r="6" ht="14.1" customHeight="1" s="158">
      <c r="A6" s="45" t="n">
        <v>46237</v>
      </c>
      <c r="B6" s="46" t="inlineStr">
        <is>
          <t>Cliente Consumidor Final</t>
        </is>
      </c>
      <c r="C6" s="46" t="inlineStr">
        <is>
          <t>Registro</t>
        </is>
      </c>
      <c r="D6" s="47" t="n">
        <v>30</v>
      </c>
      <c r="E6" s="46" t="inlineStr">
        <is>
          <t>Crédito à Vista</t>
        </is>
      </c>
      <c r="F6" s="48" t="n">
        <v>1.05</v>
      </c>
      <c r="G6" s="49" t="n"/>
      <c r="H6" s="50" t="n"/>
      <c r="I6" s="46" t="n"/>
      <c r="K6" s="13" t="inlineStr">
        <is>
          <t>Aluguel</t>
        </is>
      </c>
      <c r="L6" s="14">
        <f>SUMIF(H5:H182,K6,G5:G182)</f>
        <v/>
      </c>
    </row>
    <row r="7" ht="15.75" customHeight="1" s="158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SUMIF(H5:H182,K7,G5:G182)</f>
        <v/>
      </c>
    </row>
    <row r="8">
      <c r="A8" s="45" t="n">
        <v>46238</v>
      </c>
      <c r="B8" s="46" t="inlineStr">
        <is>
          <t>Conta de Água Adriano</t>
        </is>
      </c>
      <c r="C8" s="46" t="n"/>
      <c r="D8" s="47" t="n"/>
      <c r="E8" s="46" t="n"/>
      <c r="F8" s="48" t="n"/>
      <c r="G8" s="49" t="n">
        <v>74.27</v>
      </c>
      <c r="H8" s="50" t="inlineStr">
        <is>
          <t>Pro Labore Edilânia</t>
        </is>
      </c>
      <c r="I8" s="46" t="n"/>
      <c r="K8" s="13" t="inlineStr">
        <is>
          <t>Impostos e Taxas</t>
        </is>
      </c>
      <c r="L8" s="14">
        <f>SUMIF(H5:H182,K8,G5:G182)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SUMIF(H5:H182,K9,G5:G182)</f>
        <v/>
      </c>
    </row>
    <row r="10">
      <c r="A10" s="45" t="n">
        <v>46237</v>
      </c>
      <c r="B10" s="46" t="inlineStr">
        <is>
          <t>Salário Erick (Estagiário)</t>
        </is>
      </c>
      <c r="C10" s="46" t="n"/>
      <c r="D10" s="47" t="n"/>
      <c r="E10" s="46" t="n"/>
      <c r="F10" s="48" t="n"/>
      <c r="G10" s="49" t="n">
        <v>600</v>
      </c>
      <c r="H10" s="50" t="inlineStr">
        <is>
          <t>Salários, Comissões e Encargos</t>
        </is>
      </c>
      <c r="I10" s="46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SUMIF(H5:H182,K10,G5:G182)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n"/>
      <c r="K11" s="10" t="inlineStr">
        <is>
          <t>Salários, Comissões e Encargos</t>
        </is>
      </c>
      <c r="L11" s="11">
        <f>SUMIF(H5:H182,K11,G5:G182)</f>
        <v/>
      </c>
    </row>
    <row r="12">
      <c r="A12" s="45" t="n">
        <v>46238</v>
      </c>
      <c r="B12" s="46" t="inlineStr">
        <is>
          <t>Conta de Energia Loja</t>
        </is>
      </c>
      <c r="C12" s="46" t="n"/>
      <c r="D12" s="47" t="n"/>
      <c r="E12" s="46" t="n"/>
      <c r="F12" s="48" t="n"/>
      <c r="G12" s="49" t="n">
        <v>150.63</v>
      </c>
      <c r="H12" s="50" t="inlineStr">
        <is>
          <t>Água, Energia e Internet</t>
        </is>
      </c>
      <c r="I12" s="46" t="n"/>
      <c r="K12" s="13" t="inlineStr">
        <is>
          <t>Contabilidade</t>
        </is>
      </c>
      <c r="L12" s="14">
        <f>SUMIF(H5:H182,K12,G5:G182)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K13" s="10" t="inlineStr">
        <is>
          <t>Manutenção e Reparos</t>
        </is>
      </c>
      <c r="L13" s="11">
        <f>SUMIF(H5:H182,K13,G5:G182)</f>
        <v/>
      </c>
    </row>
    <row r="14" ht="15.75" customHeight="1" s="158">
      <c r="A14" s="45" t="n">
        <v>46238</v>
      </c>
      <c r="B14" s="46" t="inlineStr">
        <is>
          <t>Papel Higiênico e Copos Descartáveis</t>
        </is>
      </c>
      <c r="C14" s="46" t="n"/>
      <c r="D14" s="47" t="n"/>
      <c r="E14" s="46" t="n"/>
      <c r="F14" s="48" t="n"/>
      <c r="G14" s="49" t="n">
        <v>15.46</v>
      </c>
      <c r="H14" s="50" t="inlineStr">
        <is>
          <t>Material de Limpeza e Escritório</t>
        </is>
      </c>
      <c r="I14" s="46" t="n"/>
      <c r="K14" s="13" t="inlineStr">
        <is>
          <t>Material de Limpeza e Escritório</t>
        </is>
      </c>
      <c r="L14" s="14">
        <f>SUMIF(H5:H182,K14,G5:G182)</f>
        <v/>
      </c>
    </row>
    <row r="15" ht="15.75" customHeight="1" s="158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SUMIF(H5:H182,K15,G5:G182)</f>
        <v/>
      </c>
    </row>
    <row r="16">
      <c r="A16" s="45" t="n">
        <v>46238</v>
      </c>
      <c r="B16" s="46" t="inlineStr">
        <is>
          <t>Restante do Salário de Wiliam</t>
        </is>
      </c>
      <c r="C16" s="46" t="n"/>
      <c r="D16" s="47" t="n"/>
      <c r="E16" s="46" t="n"/>
      <c r="F16" s="48" t="n"/>
      <c r="G16" s="49" t="n">
        <v>132</v>
      </c>
      <c r="H16" s="50" t="inlineStr">
        <is>
          <t>Salários, Comissões e Encargos</t>
        </is>
      </c>
      <c r="I16" s="46" t="n"/>
      <c r="K16" t="inlineStr">
        <is>
          <t>Outras Despesas</t>
        </is>
      </c>
      <c r="L16" s="11">
        <f>SUMIF(H5:H182,K16,G5:G182)</f>
        <v/>
      </c>
    </row>
    <row r="17" ht="15.75" customHeight="1" s="158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K17" t="inlineStr">
        <is>
          <t>Pro Labore Edilânia</t>
        </is>
      </c>
      <c r="L17">
        <f>SUMIF(H5:H182,K17,G5:G182)</f>
        <v/>
      </c>
    </row>
    <row r="18" ht="15.75" customHeight="1" s="158">
      <c r="A18" s="45" t="n">
        <v>46239</v>
      </c>
      <c r="B18" s="46" t="inlineStr">
        <is>
          <t>Atacadão das Confecções</t>
        </is>
      </c>
      <c r="C18" s="46" t="inlineStr">
        <is>
          <t>Refil Everest</t>
        </is>
      </c>
      <c r="D18" s="47" t="n">
        <v>140</v>
      </c>
      <c r="E18" s="46" t="inlineStr">
        <is>
          <t>Dinheiro</t>
        </is>
      </c>
      <c r="F18" s="48" t="n"/>
      <c r="G18" s="49" t="n"/>
      <c r="H18" s="50" t="n"/>
      <c r="I18" s="46" t="n"/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5" t="n">
        <v>46239</v>
      </c>
      <c r="B20" s="46" t="inlineStr">
        <is>
          <t>Silva e Silva Advogados</t>
        </is>
      </c>
      <c r="C20" s="46" t="inlineStr">
        <is>
          <t>2x Refil Everest + Mangueira</t>
        </is>
      </c>
      <c r="D20" s="47" t="n">
        <v>150</v>
      </c>
      <c r="E20" s="46" t="inlineStr">
        <is>
          <t>Pix</t>
        </is>
      </c>
      <c r="F20" s="48" t="n"/>
      <c r="G20" s="49" t="n"/>
      <c r="H20" s="50" t="n"/>
      <c r="I20" s="46" t="n"/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</row>
    <row r="22">
      <c r="A22" s="45" t="n">
        <v>46239</v>
      </c>
      <c r="B22" s="46" t="inlineStr">
        <is>
          <t>Cilmara Melo Nunes de Souza</t>
        </is>
      </c>
      <c r="C22" s="46" t="inlineStr">
        <is>
          <t>Refil Everest</t>
        </is>
      </c>
      <c r="D22" s="47" t="n">
        <v>140</v>
      </c>
      <c r="E22" s="46" t="inlineStr">
        <is>
          <t>Pix</t>
        </is>
      </c>
      <c r="F22" s="48" t="n"/>
      <c r="G22" s="49" t="n"/>
      <c r="H22" s="50" t="n"/>
      <c r="I22" s="46" t="n"/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</row>
    <row r="24">
      <c r="A24" s="45" t="n">
        <v>46254</v>
      </c>
      <c r="B24" s="46" t="inlineStr">
        <is>
          <t>Ivanilton Costa</t>
        </is>
      </c>
      <c r="C24" s="46" t="inlineStr">
        <is>
          <t>Refil Everest</t>
        </is>
      </c>
      <c r="D24" s="47" t="n">
        <v>120</v>
      </c>
      <c r="E24" s="46" t="inlineStr">
        <is>
          <t>Crédito à Vista</t>
        </is>
      </c>
      <c r="F24" s="48" t="n">
        <v>4.21</v>
      </c>
      <c r="G24" s="49" t="n"/>
      <c r="H24" s="50" t="n"/>
      <c r="I24" s="46" t="inlineStr">
        <is>
          <t>Venda de 05/08/2026 — pagamento recebido em 20/08/2026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</row>
    <row r="26">
      <c r="A26" s="45" t="n">
        <v>46239</v>
      </c>
      <c r="B26" s="46" t="inlineStr">
        <is>
          <t>Supermercado Brasil</t>
        </is>
      </c>
      <c r="C26" s="46" t="inlineStr">
        <is>
          <t>2x Refil Pro Life</t>
        </is>
      </c>
      <c r="D26" s="47" t="n">
        <v>280</v>
      </c>
      <c r="E26" s="46" t="inlineStr">
        <is>
          <t>Aguardando Pagamento</t>
        </is>
      </c>
      <c r="F26" s="48" t="n"/>
      <c r="G26" s="49" t="n"/>
      <c r="H26" s="50" t="n"/>
      <c r="I26" s="46" t="n"/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</row>
    <row r="28">
      <c r="A28" s="45" t="n">
        <v>46239</v>
      </c>
      <c r="B28" s="46" t="inlineStr">
        <is>
          <t>Arena Jacobina Society</t>
        </is>
      </c>
      <c r="C28" s="46" t="inlineStr">
        <is>
          <t>Refil Carbon Tech 9"</t>
        </is>
      </c>
      <c r="D28" s="47" t="n">
        <v>90</v>
      </c>
      <c r="E28" s="46" t="inlineStr">
        <is>
          <t>Pix</t>
        </is>
      </c>
      <c r="F28" s="48" t="n"/>
      <c r="G28" s="49" t="n"/>
      <c r="H28" s="50" t="n"/>
      <c r="I28" s="46" t="n"/>
    </row>
    <row r="29" ht="15.75" customHeight="1" s="158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</row>
    <row r="30">
      <c r="A30" s="45" t="n">
        <v>46239</v>
      </c>
      <c r="B30" s="46" t="inlineStr">
        <is>
          <t>Filtros Planeta Água</t>
        </is>
      </c>
      <c r="C30" s="46" t="n"/>
      <c r="D30" s="47" t="n"/>
      <c r="E30" s="46" t="n"/>
      <c r="F30" s="48" t="n"/>
      <c r="G30" s="49" t="n">
        <v>1674.12</v>
      </c>
      <c r="H30" s="50" t="inlineStr">
        <is>
          <t>Fornecedores / Mercadoria</t>
        </is>
      </c>
      <c r="I30" s="46" t="inlineStr">
        <is>
          <t>Financiado por Capital de Giro (BB) — ver aba "Capital de Giro (BB)"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</t>
        </is>
      </c>
    </row>
    <row r="32">
      <c r="A32" s="45" t="n">
        <v>46239</v>
      </c>
      <c r="B32" s="46" t="inlineStr">
        <is>
          <t>Tarifa Pix</t>
        </is>
      </c>
      <c r="C32" s="46" t="n"/>
      <c r="D32" s="47" t="n"/>
      <c r="E32" s="46" t="n"/>
      <c r="F32" s="48" t="n"/>
      <c r="G32" s="49" t="n">
        <v>6.99</v>
      </c>
      <c r="H32" s="50" t="inlineStr">
        <is>
          <t>Tarifas Bancárias e Cartão</t>
        </is>
      </c>
      <c r="I32" s="46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5" t="n">
        <v>46239</v>
      </c>
      <c r="B34" s="46" t="inlineStr">
        <is>
          <t>Correios</t>
        </is>
      </c>
      <c r="C34" s="46" t="n"/>
      <c r="D34" s="47" t="n"/>
      <c r="E34" s="46" t="n"/>
      <c r="F34" s="48" t="n"/>
      <c r="G34" s="49" t="n">
        <v>52</v>
      </c>
      <c r="H34" s="50" t="inlineStr">
        <is>
          <t>Transporte e Entregas</t>
        </is>
      </c>
      <c r="I34" s="46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</row>
    <row r="36">
      <c r="A36" s="45" t="n">
        <v>46240</v>
      </c>
      <c r="B36" s="46" t="inlineStr">
        <is>
          <t>Ariosvaldo Mendes</t>
        </is>
      </c>
      <c r="C36" s="46" t="inlineStr">
        <is>
          <t>Reinstalação de Purificador + Registro + Refil Everest</t>
        </is>
      </c>
      <c r="D36" s="47" t="n">
        <v>200</v>
      </c>
      <c r="E36" s="46" t="inlineStr">
        <is>
          <t>Pix</t>
        </is>
      </c>
      <c r="F36" s="48" t="n"/>
      <c r="G36" s="49" t="n"/>
      <c r="H36" s="50" t="n"/>
      <c r="I36" s="46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5" t="n">
        <v>46240</v>
      </c>
      <c r="B38" s="46" t="inlineStr">
        <is>
          <t>Comissão Wiliam</t>
        </is>
      </c>
      <c r="C38" s="46" t="n"/>
      <c r="D38" s="47" t="n"/>
      <c r="E38" s="46" t="n"/>
      <c r="F38" s="48" t="n"/>
      <c r="G38" s="49" t="n">
        <v>150</v>
      </c>
      <c r="H38" s="50" t="inlineStr">
        <is>
          <t>Salários, Comissões e Encargos</t>
        </is>
      </c>
      <c r="I38" s="46" t="n"/>
    </row>
    <row r="39" ht="15.75" customHeight="1" s="158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5" t="n">
        <v>46241</v>
      </c>
      <c r="B40" s="46" t="inlineStr">
        <is>
          <t>Comissão Wiliam</t>
        </is>
      </c>
      <c r="C40" s="46" t="n"/>
      <c r="D40" s="47" t="n"/>
      <c r="E40" s="46" t="n"/>
      <c r="F40" s="48" t="n"/>
      <c r="G40" s="49" t="n">
        <v>210</v>
      </c>
      <c r="H40" s="50" t="inlineStr">
        <is>
          <t>Salários, Comissões e Encargos</t>
        </is>
      </c>
      <c r="I40" s="46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</row>
    <row r="42" ht="15.75" customHeight="1" s="158">
      <c r="A42" s="45" t="n">
        <v>46251</v>
      </c>
      <c r="B42" s="46" t="inlineStr">
        <is>
          <t>Marsilia Marmores e Granitos Erelli</t>
        </is>
      </c>
      <c r="C42" s="46" t="inlineStr">
        <is>
          <t>Refil Pro Life</t>
        </is>
      </c>
      <c r="D42" s="47" t="n">
        <v>140</v>
      </c>
      <c r="E42" s="46" t="inlineStr">
        <is>
          <t>Pix</t>
        </is>
      </c>
      <c r="F42" s="48" t="n"/>
      <c r="G42" s="49" t="n"/>
      <c r="H42" s="50" t="n"/>
      <c r="I42" s="46" t="inlineStr">
        <is>
          <t>Venda de 10/08/2026 — pagamento recebido em 17/08/2026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</row>
    <row r="44">
      <c r="A44" s="45" t="n">
        <v>46244</v>
      </c>
      <c r="B44" s="46" t="inlineStr">
        <is>
          <t>Acerto de Armando</t>
        </is>
      </c>
      <c r="C44" s="46" t="n"/>
      <c r="D44" s="47" t="n">
        <v>900</v>
      </c>
      <c r="E44" s="46" t="inlineStr">
        <is>
          <t>Dinheiro</t>
        </is>
      </c>
      <c r="F44" s="48" t="n"/>
      <c r="G44" s="49" t="n"/>
      <c r="H44" s="50" t="n"/>
      <c r="I44" s="46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5" t="n">
        <v>46244</v>
      </c>
      <c r="B46" s="46" t="inlineStr">
        <is>
          <t>Audioclin Clinca Médica LTDA - Tarcisio Nascimento</t>
        </is>
      </c>
      <c r="C46" s="46" t="inlineStr">
        <is>
          <t>2x Refil Everest + Refil Pro Life</t>
        </is>
      </c>
      <c r="D46" s="47" t="n">
        <v>399</v>
      </c>
      <c r="E46" s="46" t="inlineStr">
        <is>
          <t>Pix</t>
        </is>
      </c>
      <c r="F46" s="48" t="n"/>
      <c r="G46" s="49" t="n"/>
      <c r="H46" s="50" t="n"/>
      <c r="I46" s="46" t="inlineStr">
        <is>
          <t>Pago via Pix em 11/08/2026 (venda de 10/08)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n"/>
    </row>
    <row r="48" ht="15.75" customHeight="1" s="158">
      <c r="A48" s="45" t="n">
        <v>46244</v>
      </c>
      <c r="B48" s="46" t="inlineStr">
        <is>
          <t>Eversoft</t>
        </is>
      </c>
      <c r="C48" s="46" t="n"/>
      <c r="D48" s="47" t="n"/>
      <c r="E48" s="46" t="n"/>
      <c r="F48" s="48" t="n"/>
      <c r="G48" s="49" t="n">
        <v>878.92</v>
      </c>
      <c r="H48" s="50" t="inlineStr">
        <is>
          <t>Fornecedores / Mercadoria</t>
        </is>
      </c>
      <c r="I48" s="46" t="n"/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</row>
    <row r="50">
      <c r="A50" s="45" t="n">
        <v>46245</v>
      </c>
      <c r="B50" s="46" t="inlineStr">
        <is>
          <t>Maria das Dores e Reje Celia</t>
        </is>
      </c>
      <c r="C50" s="46" t="inlineStr">
        <is>
          <t>2x Refil Everest</t>
        </is>
      </c>
      <c r="D50" s="47" t="n">
        <v>280</v>
      </c>
      <c r="E50" s="46" t="inlineStr">
        <is>
          <t>Crédito Parcelado</t>
        </is>
      </c>
      <c r="F50" s="48" t="n">
        <v>19.57</v>
      </c>
      <c r="G50" s="49" t="n"/>
      <c r="H50" s="50" t="n"/>
      <c r="I50" s="46" t="n"/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</row>
    <row r="52">
      <c r="A52" s="45" t="n">
        <v>46245</v>
      </c>
      <c r="B52" s="46" t="inlineStr">
        <is>
          <t>Bucha Redução 3/4 x 1/2 (2 unidades)</t>
        </is>
      </c>
      <c r="C52" s="46" t="n"/>
      <c r="D52" s="47" t="n"/>
      <c r="E52" s="46" t="n"/>
      <c r="F52" s="48" t="n"/>
      <c r="G52" s="49" t="n">
        <v>3</v>
      </c>
      <c r="H52" s="50" t="inlineStr">
        <is>
          <t>Fornecedores / Mercadoria</t>
        </is>
      </c>
      <c r="I52" s="46" t="n"/>
    </row>
    <row r="53" ht="15.75" customHeight="1" s="158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</row>
    <row r="54">
      <c r="A54" s="45" t="n">
        <v>46245</v>
      </c>
      <c r="B54" s="46" t="inlineStr">
        <is>
          <t>Ivanir Carneiro de Oliveira</t>
        </is>
      </c>
      <c r="C54" s="46" t="inlineStr">
        <is>
          <t>Refil Pro Life + Mangueira</t>
        </is>
      </c>
      <c r="D54" s="47" t="n">
        <v>150</v>
      </c>
      <c r="E54" s="46" t="inlineStr">
        <is>
          <t>Crédito Parcelado</t>
        </is>
      </c>
      <c r="F54" s="48" t="n">
        <v>10.48</v>
      </c>
      <c r="G54" s="49" t="n"/>
      <c r="H54" s="50" t="n"/>
      <c r="I54" s="46" t="n"/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</row>
    <row r="56">
      <c r="A56" s="45" t="n">
        <v>46245</v>
      </c>
      <c r="B56" s="46" t="inlineStr">
        <is>
          <t>Bucha Redução 3/4 x 1/2 (2 unidades)</t>
        </is>
      </c>
      <c r="C56" s="46" t="n"/>
      <c r="D56" s="47" t="n"/>
      <c r="E56" s="46" t="n"/>
      <c r="F56" s="48" t="n"/>
      <c r="G56" s="49" t="n">
        <v>3</v>
      </c>
      <c r="H56" s="50" t="inlineStr">
        <is>
          <t>Fornecedores / Mercadoria</t>
        </is>
      </c>
      <c r="I56" s="46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5" t="n">
        <v>46245</v>
      </c>
      <c r="B58" s="46" t="inlineStr">
        <is>
          <t>Crédito Celular de Edilânia</t>
        </is>
      </c>
      <c r="C58" s="46" t="n"/>
      <c r="D58" s="47" t="n"/>
      <c r="E58" s="46" t="n"/>
      <c r="F58" s="48" t="n"/>
      <c r="G58" s="49" t="n">
        <v>25</v>
      </c>
      <c r="H58" s="50" t="inlineStr">
        <is>
          <t>Pro Labore Edilânia</t>
        </is>
      </c>
      <c r="I58" s="46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5" t="n">
        <v>46245</v>
      </c>
      <c r="B60" s="46" t="inlineStr">
        <is>
          <t>Pro Labore Edilânia</t>
        </is>
      </c>
      <c r="C60" s="46" t="n"/>
      <c r="D60" s="47" t="n"/>
      <c r="E60" s="46" t="n"/>
      <c r="F60" s="48" t="n"/>
      <c r="G60" s="49" t="n">
        <v>1000</v>
      </c>
      <c r="H60" s="50" t="inlineStr">
        <is>
          <t>Pro Labore Edilânia</t>
        </is>
      </c>
      <c r="I60" s="46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n"/>
    </row>
    <row r="62">
      <c r="A62" s="45" t="n">
        <v>46246</v>
      </c>
      <c r="B62" s="46" t="inlineStr">
        <is>
          <t>Angelo Marcio Bispo</t>
        </is>
      </c>
      <c r="C62" s="46" t="inlineStr">
        <is>
          <t>Refil Everest + Pré Filtro</t>
        </is>
      </c>
      <c r="D62" s="47" t="n">
        <v>200</v>
      </c>
      <c r="E62" s="46" t="inlineStr">
        <is>
          <t>Dinheiro</t>
        </is>
      </c>
      <c r="F62" s="48" t="n"/>
      <c r="G62" s="49" t="n"/>
      <c r="H62" s="50" t="n"/>
      <c r="I62" s="46" t="n"/>
    </row>
    <row r="63" ht="15.75" customHeight="1" s="158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5" t="n">
        <v>46247</v>
      </c>
      <c r="B64" s="46" t="inlineStr">
        <is>
          <t>Acerto de Armando</t>
        </is>
      </c>
      <c r="C64" s="46" t="n"/>
      <c r="D64" s="47" t="n">
        <v>140</v>
      </c>
      <c r="E64" s="46" t="inlineStr">
        <is>
          <t>Crédito à Vista</t>
        </is>
      </c>
      <c r="F64" s="48" t="n">
        <v>4.91</v>
      </c>
      <c r="G64" s="49" t="n"/>
      <c r="H64" s="50" t="n"/>
      <c r="I64" s="46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</row>
    <row r="66">
      <c r="A66" s="45" t="n">
        <v>46254</v>
      </c>
      <c r="B66" s="46" t="inlineStr">
        <is>
          <t>Maria Madalena de Santana Santos</t>
        </is>
      </c>
      <c r="C66" s="46" t="inlineStr">
        <is>
          <t>Refil Everest</t>
        </is>
      </c>
      <c r="D66" s="47" t="n">
        <v>130</v>
      </c>
      <c r="E66" s="46" t="inlineStr">
        <is>
          <t>Dinheiro</t>
        </is>
      </c>
      <c r="F66" s="48" t="n"/>
      <c r="G66" s="49" t="n"/>
      <c r="H66" s="50" t="n"/>
      <c r="I66" s="46" t="inlineStr">
        <is>
          <t>Venda de 13/08/2026 — pagamento recebido em 20/08/2026 (desconto de R$ 10,00)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</row>
    <row r="68">
      <c r="A68" s="45" t="n">
        <v>46247</v>
      </c>
      <c r="B68" s="46" t="inlineStr">
        <is>
          <t>SESC Administração Regional do Estado da Bahia</t>
        </is>
      </c>
      <c r="C68" s="46" t="inlineStr">
        <is>
          <t>4x Refil Carbon Tech 5"</t>
        </is>
      </c>
      <c r="D68" s="47" t="n">
        <v>240</v>
      </c>
      <c r="E68" s="46" t="inlineStr">
        <is>
          <t>Crédito à Vista</t>
        </is>
      </c>
      <c r="F68" s="48" t="n">
        <v>8.42</v>
      </c>
      <c r="G68" s="49" t="n"/>
      <c r="H68" s="50" t="n"/>
      <c r="I68" s="46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5" t="n">
        <v>46247</v>
      </c>
      <c r="B70" s="46" t="inlineStr">
        <is>
          <t>Natalice da Silva Masquarenhas</t>
        </is>
      </c>
      <c r="C70" s="46" t="inlineStr">
        <is>
          <t>Refil Everest + Mangueira</t>
        </is>
      </c>
      <c r="D70" s="47" t="n">
        <v>150</v>
      </c>
      <c r="E70" s="46" t="inlineStr">
        <is>
          <t>Crédito Parcelado</t>
        </is>
      </c>
      <c r="F70" s="48" t="n">
        <v>10.48</v>
      </c>
      <c r="G70" s="49" t="n"/>
      <c r="H70" s="50" t="n"/>
      <c r="I70" s="46" t="n"/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</row>
    <row r="72">
      <c r="A72" s="45" t="n">
        <v>46253</v>
      </c>
      <c r="B72" s="46" t="inlineStr">
        <is>
          <t>Ten Internet</t>
        </is>
      </c>
      <c r="C72" s="46" t="inlineStr">
        <is>
          <t>Refil Carbon Tech 5" + Refil Plissado</t>
        </is>
      </c>
      <c r="D72" s="47" t="n">
        <v>160</v>
      </c>
      <c r="E72" s="46" t="inlineStr">
        <is>
          <t>Pix</t>
        </is>
      </c>
      <c r="F72" s="48" t="n"/>
      <c r="G72" s="49" t="n"/>
      <c r="H72" s="50" t="n"/>
      <c r="I72" s="46" t="inlineStr">
        <is>
          <t>Venda de 14/08/2026 — pagamento recebido em 19/08/2026</t>
        </is>
      </c>
    </row>
    <row r="73" ht="15.75" customHeight="1" s="158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</row>
    <row r="74">
      <c r="A74" s="45" t="n">
        <v>46248</v>
      </c>
      <c r="B74" s="46" t="inlineStr">
        <is>
          <t>Ivanilton</t>
        </is>
      </c>
      <c r="C74" s="46" t="inlineStr">
        <is>
          <t>Mangueira</t>
        </is>
      </c>
      <c r="D74" s="47" t="n">
        <v>10</v>
      </c>
      <c r="E74" s="46" t="inlineStr">
        <is>
          <t>Débito</t>
        </is>
      </c>
      <c r="F74" s="48" t="n"/>
      <c r="G74" s="49" t="n"/>
      <c r="H74" s="50" t="n"/>
      <c r="I74" s="46" t="n"/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</row>
    <row r="76">
      <c r="A76" s="45" t="n">
        <v>46251</v>
      </c>
      <c r="B76" s="46" t="inlineStr">
        <is>
          <t>Acerto de Armando</t>
        </is>
      </c>
      <c r="C76" s="46" t="n"/>
      <c r="D76" s="47" t="n">
        <v>1200</v>
      </c>
      <c r="E76" s="46" t="inlineStr">
        <is>
          <t>Dinheiro</t>
        </is>
      </c>
      <c r="F76" s="48" t="n"/>
      <c r="G76" s="49" t="n"/>
      <c r="H76" s="50" t="n"/>
      <c r="I76" s="46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5" t="n">
        <v>46251</v>
      </c>
      <c r="B78" s="46" t="inlineStr">
        <is>
          <t>Everest Refrigeração</t>
        </is>
      </c>
      <c r="C78" s="46" t="n"/>
      <c r="D78" s="47" t="n"/>
      <c r="E78" s="46" t="n"/>
      <c r="F78" s="48" t="n"/>
      <c r="G78" s="49" t="n">
        <v>139.31</v>
      </c>
      <c r="H78" s="50" t="inlineStr">
        <is>
          <t>Fornecedores / Mercadoria</t>
        </is>
      </c>
      <c r="I78" s="46" t="n"/>
    </row>
    <row r="79" ht="15.75" customHeight="1" s="158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n"/>
    </row>
    <row r="80">
      <c r="A80" s="45" t="n">
        <v>46251</v>
      </c>
      <c r="B80" s="46" t="inlineStr">
        <is>
          <t>Everest Refrigeração</t>
        </is>
      </c>
      <c r="C80" s="46" t="n"/>
      <c r="D80" s="47" t="n"/>
      <c r="E80" s="46" t="n"/>
      <c r="F80" s="48" t="n"/>
      <c r="G80" s="49" t="n">
        <v>856.35</v>
      </c>
      <c r="H80" s="50" t="inlineStr">
        <is>
          <t>Fornecedores / Mercadoria</t>
        </is>
      </c>
      <c r="I80" s="46" t="n"/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n"/>
    </row>
    <row r="82">
      <c r="A82" s="45" t="n">
        <v>46251</v>
      </c>
      <c r="B82" s="46" t="inlineStr">
        <is>
          <t>Everest Refrigeração</t>
        </is>
      </c>
      <c r="C82" s="46" t="n"/>
      <c r="D82" s="47" t="n"/>
      <c r="E82" s="46" t="n"/>
      <c r="F82" s="48" t="n"/>
      <c r="G82" s="49" t="n">
        <v>892.3</v>
      </c>
      <c r="H82" s="50" t="inlineStr">
        <is>
          <t>Fornecedores / Mercadoria</t>
        </is>
      </c>
      <c r="I82" s="46" t="n"/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5" t="n">
        <v>46253</v>
      </c>
      <c r="B84" s="46" t="inlineStr">
        <is>
          <t>Abrigo São Vicente Miguel Calmon</t>
        </is>
      </c>
      <c r="C84" s="46" t="inlineStr">
        <is>
          <t>Refil Everest</t>
        </is>
      </c>
      <c r="D84" s="47" t="n">
        <v>150</v>
      </c>
      <c r="E84" s="46" t="inlineStr">
        <is>
          <t>Dinheiro</t>
        </is>
      </c>
      <c r="F84" s="48" t="n"/>
      <c r="G84" s="49" t="n"/>
      <c r="H84" s="50" t="n"/>
      <c r="I84" s="46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</row>
    <row r="86">
      <c r="A86" s="45" t="n">
        <v>46252</v>
      </c>
      <c r="B86" s="46" t="inlineStr">
        <is>
          <t>Marinez Bráulio</t>
        </is>
      </c>
      <c r="C86" s="46" t="inlineStr">
        <is>
          <t>Refil Everest</t>
        </is>
      </c>
      <c r="D86" s="47" t="n">
        <v>150</v>
      </c>
      <c r="E86" s="46" t="inlineStr">
        <is>
          <t>Dinheiro</t>
        </is>
      </c>
      <c r="F86" s="48" t="n"/>
      <c r="G86" s="49" t="n"/>
      <c r="H86" s="50" t="n"/>
      <c r="I86" s="46" t="n"/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</row>
    <row r="88">
      <c r="A88" s="45" t="n">
        <v>46252</v>
      </c>
      <c r="B88" s="46" t="inlineStr">
        <is>
          <t>Vitor Gabriel</t>
        </is>
      </c>
      <c r="C88" s="46" t="inlineStr">
        <is>
          <t>Refil Everest</t>
        </is>
      </c>
      <c r="D88" s="47" t="n">
        <v>120</v>
      </c>
      <c r="E88" s="46" t="inlineStr">
        <is>
          <t>Dinheiro</t>
        </is>
      </c>
      <c r="F88" s="48" t="n"/>
      <c r="G88" s="49" t="n"/>
      <c r="H88" s="50" t="n"/>
      <c r="I88" s="46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n"/>
    </row>
    <row r="90">
      <c r="A90" s="45" t="n">
        <v>46254</v>
      </c>
      <c r="B90" s="46" t="inlineStr">
        <is>
          <t>Edivaldo Jonas de Oliveira</t>
        </is>
      </c>
      <c r="C90" s="46" t="inlineStr">
        <is>
          <t>Refil Pro Life</t>
        </is>
      </c>
      <c r="D90" s="47" t="n">
        <v>140</v>
      </c>
      <c r="E90" s="46" t="inlineStr">
        <is>
          <t>Crédito Parcelado</t>
        </is>
      </c>
      <c r="F90" s="48" t="n">
        <v>9.970000000000001</v>
      </c>
      <c r="G90" s="49" t="n"/>
      <c r="H90" s="50" t="n"/>
      <c r="I90" s="46" t="inlineStr">
        <is>
          <t>Venda de 19/08/2026 — pagamento recebido em 20/08/2026 (crédito 3x)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</row>
    <row r="92">
      <c r="A92" s="45" t="n">
        <v>46253</v>
      </c>
      <c r="B92" s="46" t="inlineStr">
        <is>
          <t>Cliente Consumidor Final</t>
        </is>
      </c>
      <c r="C92" s="46" t="inlineStr">
        <is>
          <t>Mangueira</t>
        </is>
      </c>
      <c r="D92" s="47" t="n">
        <v>10</v>
      </c>
      <c r="E92" s="46" t="inlineStr">
        <is>
          <t>Dinheiro</t>
        </is>
      </c>
      <c r="F92" s="48" t="n"/>
      <c r="G92" s="49" t="n"/>
      <c r="H92" s="50" t="n"/>
      <c r="I92" s="46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5" t="n">
        <v>46253</v>
      </c>
      <c r="B94" s="46" t="inlineStr">
        <is>
          <t>Gasolina</t>
        </is>
      </c>
      <c r="C94" s="46" t="n"/>
      <c r="D94" s="47" t="n"/>
      <c r="E94" s="46" t="n"/>
      <c r="F94" s="48" t="n"/>
      <c r="G94" s="49" t="n">
        <v>50</v>
      </c>
      <c r="H94" s="50" t="inlineStr">
        <is>
          <t>Transporte e Entregas</t>
        </is>
      </c>
      <c r="I94" s="46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</row>
    <row r="96">
      <c r="A96" s="45" t="n">
        <v>46253</v>
      </c>
      <c r="B96" s="46" t="inlineStr">
        <is>
          <t>Atacadão Lojão dos Calçados</t>
        </is>
      </c>
      <c r="C96" s="46" t="inlineStr">
        <is>
          <t>Refil Everest</t>
        </is>
      </c>
      <c r="D96" s="47" t="n">
        <v>140</v>
      </c>
      <c r="E96" s="46" t="inlineStr">
        <is>
          <t>Dinheiro</t>
        </is>
      </c>
      <c r="F96" s="48" t="n"/>
      <c r="G96" s="49" t="n"/>
      <c r="H96" s="50" t="n"/>
      <c r="I96" s="46" t="n"/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n"/>
    </row>
    <row r="98">
      <c r="A98" s="45" t="n">
        <v>46253</v>
      </c>
      <c r="B98" s="46" t="inlineStr">
        <is>
          <t>Lapec</t>
        </is>
      </c>
      <c r="C98" s="46" t="inlineStr">
        <is>
          <t>Refil C+3</t>
        </is>
      </c>
      <c r="D98" s="47" t="n">
        <v>100</v>
      </c>
      <c r="E98" s="46" t="inlineStr">
        <is>
          <t>Dinheiro</t>
        </is>
      </c>
      <c r="F98" s="48" t="n"/>
      <c r="G98" s="49" t="n"/>
      <c r="H98" s="50" t="n"/>
      <c r="I98" s="46" t="n"/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8">
      <c r="A100" s="45" t="n">
        <v>46254</v>
      </c>
      <c r="B100" s="46" t="inlineStr">
        <is>
          <t>Elvira Rocha Magalhães</t>
        </is>
      </c>
      <c r="C100" s="46" t="inlineStr">
        <is>
          <t>Refil Everest</t>
        </is>
      </c>
      <c r="D100" s="47" t="n">
        <v>140</v>
      </c>
      <c r="E100" s="46" t="inlineStr">
        <is>
          <t>Débito</t>
        </is>
      </c>
      <c r="F100" s="48" t="n">
        <v>2.03</v>
      </c>
      <c r="G100" s="49" t="n"/>
      <c r="H100" s="50" t="n"/>
      <c r="I100" s="46" t="n"/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8">
      <c r="A102" s="45" t="n">
        <v>46254</v>
      </c>
      <c r="B102" s="46" t="inlineStr">
        <is>
          <t>Endalba</t>
        </is>
      </c>
      <c r="C102" s="46" t="inlineStr">
        <is>
          <t>Refil Pro Life</t>
        </is>
      </c>
      <c r="D102" s="47" t="n">
        <v>135</v>
      </c>
      <c r="E102" s="46" t="inlineStr">
        <is>
          <t>Dinheiro</t>
        </is>
      </c>
      <c r="F102" s="48" t="n"/>
      <c r="G102" s="49" t="n"/>
      <c r="H102" s="50" t="n"/>
      <c r="I102" s="46" t="n"/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</row>
    <row r="104" ht="15.75" customHeight="1" s="158">
      <c r="A104" s="45" t="n">
        <v>46254</v>
      </c>
      <c r="B104" s="46" t="inlineStr">
        <is>
          <t>DAS — Documento de Arrecadação do Simples Nacional</t>
        </is>
      </c>
      <c r="C104" s="46" t="n"/>
      <c r="D104" s="47" t="n"/>
      <c r="E104" s="46" t="n"/>
      <c r="F104" s="48" t="n"/>
      <c r="G104" s="49" t="n">
        <v>2330.53</v>
      </c>
      <c r="H104" s="50" t="inlineStr">
        <is>
          <t>Impostos e Taxas</t>
        </is>
      </c>
      <c r="I104" s="46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5" t="n">
        <v>46254</v>
      </c>
      <c r="B106" s="46" t="inlineStr">
        <is>
          <t>Pagamento de Tributos — Internet Banking</t>
        </is>
      </c>
      <c r="C106" s="46" t="n"/>
      <c r="D106" s="47" t="n"/>
      <c r="E106" s="46" t="n"/>
      <c r="F106" s="48" t="n"/>
      <c r="G106" s="49" t="n">
        <v>306.99</v>
      </c>
      <c r="H106" s="50" t="inlineStr">
        <is>
          <t>Impostos e Taxas</t>
        </is>
      </c>
      <c r="I106" s="46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</row>
    <row r="108">
      <c r="A108" s="45" t="n">
        <v>46255</v>
      </c>
      <c r="B108" s="46" t="inlineStr">
        <is>
          <t>Amélia Pinho</t>
        </is>
      </c>
      <c r="C108" s="46" t="inlineStr">
        <is>
          <t>Refil Pro Life + Pré Filtro</t>
        </is>
      </c>
      <c r="D108" s="47" t="n">
        <v>200</v>
      </c>
      <c r="E108" s="46" t="inlineStr">
        <is>
          <t>Débito</t>
        </is>
      </c>
      <c r="F108" s="48" t="n">
        <v>2.9</v>
      </c>
      <c r="G108" s="49" t="n"/>
      <c r="H108" s="50" t="n"/>
      <c r="I108" s="46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5" t="n">
        <v>46255</v>
      </c>
      <c r="B110" s="46" t="inlineStr">
        <is>
          <t>Diarista Eva</t>
        </is>
      </c>
      <c r="C110" s="46" t="n"/>
      <c r="D110" s="47" t="n"/>
      <c r="E110" s="46" t="n"/>
      <c r="F110" s="48" t="n"/>
      <c r="G110" s="49" t="n">
        <v>250</v>
      </c>
      <c r="H110" s="50" t="inlineStr">
        <is>
          <t>Pro Labore Edilânia</t>
        </is>
      </c>
      <c r="I110" s="46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5" t="n">
        <v>46255</v>
      </c>
      <c r="B112" s="46" t="inlineStr">
        <is>
          <t>Everest</t>
        </is>
      </c>
      <c r="C112" s="46" t="n"/>
      <c r="D112" s="47" t="n"/>
      <c r="E112" s="46" t="n"/>
      <c r="F112" s="48" t="n"/>
      <c r="G112" s="49" t="n">
        <v>874.6799999999999</v>
      </c>
      <c r="H112" s="50" t="inlineStr">
        <is>
          <t>Fornecedores / Mercadoria</t>
        </is>
      </c>
      <c r="I112" s="46" t="n"/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</row>
    <row r="114">
      <c r="A114" s="45" t="n">
        <v>46256</v>
      </c>
      <c r="B114" s="46" t="inlineStr">
        <is>
          <t>Cliente Consumidor Final</t>
        </is>
      </c>
      <c r="C114" s="46" t="inlineStr">
        <is>
          <t>Refil FP4</t>
        </is>
      </c>
      <c r="D114" s="47" t="n">
        <v>80</v>
      </c>
      <c r="E114" s="46" t="inlineStr">
        <is>
          <t>Dinheiro</t>
        </is>
      </c>
      <c r="F114" s="48" t="n"/>
      <c r="G114" s="49" t="n"/>
      <c r="H114" s="50" t="n"/>
      <c r="I114" s="46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</row>
    <row r="116">
      <c r="A116" s="45" t="n">
        <v>46256</v>
      </c>
      <c r="B116" s="46" t="inlineStr">
        <is>
          <t>Pedras e Pisos Depósito</t>
        </is>
      </c>
      <c r="C116" s="46" t="inlineStr">
        <is>
          <t>Refil E3</t>
        </is>
      </c>
      <c r="D116" s="47" t="n">
        <v>100</v>
      </c>
      <c r="E116" s="46" t="inlineStr">
        <is>
          <t>Dinheiro</t>
        </is>
      </c>
      <c r="F116" s="48" t="n"/>
      <c r="G116" s="49" t="n"/>
      <c r="H116" s="50" t="n"/>
      <c r="I116" s="46" t="n"/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5" t="n">
        <v>46256</v>
      </c>
      <c r="B118" s="46" t="inlineStr">
        <is>
          <t>Comissão Wiliam</t>
        </is>
      </c>
      <c r="C118" s="46" t="n"/>
      <c r="D118" s="47" t="n"/>
      <c r="E118" s="46" t="n"/>
      <c r="F118" s="48" t="n"/>
      <c r="G118" s="49" t="n">
        <v>590</v>
      </c>
      <c r="H118" s="50" t="inlineStr">
        <is>
          <t>Salários, Comissões e Encargos</t>
        </is>
      </c>
      <c r="I118" s="46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5" t="n">
        <v>46258</v>
      </c>
      <c r="B120" s="46" t="inlineStr">
        <is>
          <t>UNIFG Vasco da Gama (Guanambi/BA)</t>
        </is>
      </c>
      <c r="C120" s="46" t="inlineStr">
        <is>
          <t>11x Refil E3 + 6x Refil Pré E3</t>
        </is>
      </c>
      <c r="D120" s="47" t="n">
        <v>2320</v>
      </c>
      <c r="E120" s="46" t="inlineStr">
        <is>
          <t>Pix</t>
        </is>
      </c>
      <c r="F120" s="48" t="n"/>
      <c r="G120" s="49" t="n"/>
      <c r="H120" s="50" t="n"/>
      <c r="I120" s="46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5" t="n">
        <v>46258</v>
      </c>
      <c r="B122" s="46" t="inlineStr">
        <is>
          <t>FG Piedade (Jaboatão/PE)</t>
        </is>
      </c>
      <c r="C122" s="46" t="inlineStr">
        <is>
          <t>10x Refil E3 + 10x Refil Pré E3</t>
        </is>
      </c>
      <c r="D122" s="47" t="n">
        <v>2600</v>
      </c>
      <c r="E122" s="46" t="inlineStr">
        <is>
          <t>Pix</t>
        </is>
      </c>
      <c r="F122" s="48" t="n"/>
      <c r="G122" s="49" t="n"/>
      <c r="H122" s="50" t="n"/>
      <c r="I122" s="46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5" t="n">
        <v>46238</v>
      </c>
      <c r="B124" s="46" t="inlineStr">
        <is>
          <t>Click Comércio e Distribuição</t>
        </is>
      </c>
      <c r="C124" s="46" t="n"/>
      <c r="D124" s="47" t="n"/>
      <c r="E124" s="46" t="n"/>
      <c r="F124" s="48" t="n"/>
      <c r="G124" s="49" t="n">
        <v>3</v>
      </c>
      <c r="H124" s="50" t="inlineStr">
        <is>
          <t>Pro Labore Edilânia</t>
        </is>
      </c>
      <c r="I124" s="46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5" t="n">
        <v>46238</v>
      </c>
      <c r="B126" s="46" t="inlineStr">
        <is>
          <t>Estacionamento (Pagar.me)</t>
        </is>
      </c>
      <c r="C126" s="46" t="n"/>
      <c r="D126" s="47" t="n"/>
      <c r="E126" s="46" t="n"/>
      <c r="F126" s="48" t="n"/>
      <c r="G126" s="49" t="n">
        <v>4.8</v>
      </c>
      <c r="H126" s="50" t="inlineStr">
        <is>
          <t>Transporte e Entregas</t>
        </is>
      </c>
      <c r="I126" s="46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8">
      <c r="A128" s="45" t="n">
        <v>46239</v>
      </c>
      <c r="B128" s="46" t="inlineStr">
        <is>
          <t>Estacionamento (Pagar.me)</t>
        </is>
      </c>
      <c r="C128" s="46" t="n"/>
      <c r="D128" s="47" t="n"/>
      <c r="E128" s="46" t="n"/>
      <c r="F128" s="48" t="n"/>
      <c r="G128" s="49" t="n">
        <v>2.4</v>
      </c>
      <c r="H128" s="50" t="inlineStr">
        <is>
          <t>Transporte e Entregas</t>
        </is>
      </c>
      <c r="I128" s="46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5" t="n">
        <v>46244</v>
      </c>
      <c r="B130" s="46" t="inlineStr">
        <is>
          <t>Estacionamento (Pagar.me)</t>
        </is>
      </c>
      <c r="C130" s="46" t="n"/>
      <c r="D130" s="47" t="n"/>
      <c r="E130" s="46" t="n"/>
      <c r="F130" s="48" t="n"/>
      <c r="G130" s="49" t="n">
        <v>2.4</v>
      </c>
      <c r="H130" s="50" t="inlineStr">
        <is>
          <t>Transporte e Entregas</t>
        </is>
      </c>
      <c r="I130" s="46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5" t="n">
        <v>46245</v>
      </c>
      <c r="B132" s="46" t="inlineStr">
        <is>
          <t>Gerlaine Vieira Santos Costa</t>
        </is>
      </c>
      <c r="C132" s="46" t="n"/>
      <c r="D132" s="47" t="n"/>
      <c r="E132" s="46" t="n"/>
      <c r="F132" s="48" t="n"/>
      <c r="G132" s="49" t="n">
        <v>50</v>
      </c>
      <c r="H132" s="50" t="inlineStr">
        <is>
          <t>Pro Labore Edilânia</t>
        </is>
      </c>
      <c r="I132" s="46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5" t="n">
        <v>46247</v>
      </c>
      <c r="B134" s="46" t="inlineStr">
        <is>
          <t>Evanice Ferreira da Silva</t>
        </is>
      </c>
      <c r="C134" s="46" t="n"/>
      <c r="D134" s="47" t="n"/>
      <c r="E134" s="46" t="n"/>
      <c r="F134" s="48" t="n"/>
      <c r="G134" s="49" t="n">
        <v>90</v>
      </c>
      <c r="H134" s="50" t="inlineStr">
        <is>
          <t>Pro Labore Edilânia</t>
        </is>
      </c>
      <c r="I134" s="46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5" t="n">
        <v>46249</v>
      </c>
      <c r="B136" s="46" t="inlineStr">
        <is>
          <t>Teresinha Almeida Silva Costa</t>
        </is>
      </c>
      <c r="C136" s="46" t="n"/>
      <c r="D136" s="47" t="n"/>
      <c r="E136" s="46" t="n"/>
      <c r="F136" s="48" t="n"/>
      <c r="G136" s="49" t="n">
        <v>73</v>
      </c>
      <c r="H136" s="50" t="inlineStr">
        <is>
          <t>Pro Labore Edilânia</t>
        </is>
      </c>
      <c r="I136" s="46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5" t="n">
        <v>46252</v>
      </c>
      <c r="B138" s="46" t="inlineStr">
        <is>
          <t>Japedido Software</t>
        </is>
      </c>
      <c r="C138" s="46" t="n"/>
      <c r="D138" s="47" t="n"/>
      <c r="E138" s="46" t="n"/>
      <c r="F138" s="48" t="n"/>
      <c r="G138" s="49" t="n">
        <v>49.49</v>
      </c>
      <c r="H138" s="50" t="inlineStr">
        <is>
          <t>Pro Labore Edilânia</t>
        </is>
      </c>
      <c r="I138" s="46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5" t="n">
        <v>46252</v>
      </c>
      <c r="B140" s="46" t="inlineStr">
        <is>
          <t>Antonia Bizerra Neta</t>
        </is>
      </c>
      <c r="C140" s="46" t="n"/>
      <c r="D140" s="47" t="n"/>
      <c r="E140" s="46" t="n"/>
      <c r="F140" s="48" t="n"/>
      <c r="G140" s="49" t="n">
        <v>51.6</v>
      </c>
      <c r="H140" s="50" t="inlineStr">
        <is>
          <t>Pro Labore Edilânia</t>
        </is>
      </c>
      <c r="I140" s="46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5" t="n">
        <v>46255</v>
      </c>
      <c r="B142" s="46" t="inlineStr">
        <is>
          <t>Laura Christina Pecanhuk Hutson Schwenker Arcara Sales</t>
        </is>
      </c>
      <c r="C142" s="46" t="n"/>
      <c r="D142" s="47" t="n"/>
      <c r="E142" s="46" t="n"/>
      <c r="F142" s="48" t="n"/>
      <c r="G142" s="49" t="n">
        <v>50</v>
      </c>
      <c r="H142" s="50" t="inlineStr">
        <is>
          <t>Pro Labore Edilânia</t>
        </is>
      </c>
      <c r="I142" s="46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5" t="n">
        <v>46258</v>
      </c>
      <c r="B144" s="46" t="inlineStr">
        <is>
          <t>Comercial de Estivas e Cereais Rio do Ouro</t>
        </is>
      </c>
      <c r="C144" s="46" t="n"/>
      <c r="D144" s="47" t="n"/>
      <c r="E144" s="46" t="n"/>
      <c r="F144" s="48" t="n"/>
      <c r="G144" s="49" t="n">
        <v>58.1</v>
      </c>
      <c r="H144" s="50" t="inlineStr">
        <is>
          <t>Pro Labore Edilânia</t>
        </is>
      </c>
      <c r="I144" s="46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5" t="n">
        <v>46258</v>
      </c>
      <c r="B146" s="46" t="inlineStr">
        <is>
          <t>Papelaria Castro</t>
        </is>
      </c>
      <c r="C146" s="46" t="inlineStr">
        <is>
          <t>Refil Pro Life + Pré Filtro</t>
        </is>
      </c>
      <c r="D146" s="62" t="n">
        <v>185</v>
      </c>
      <c r="E146" s="46" t="inlineStr">
        <is>
          <t>Dinheiro</t>
        </is>
      </c>
      <c r="F146" s="48" t="n"/>
      <c r="G146" s="48" t="n"/>
      <c r="H146" s="50" t="n"/>
      <c r="I146" s="46" t="n"/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56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</row>
    <row r="148">
      <c r="A148" s="45" t="n">
        <v>46258</v>
      </c>
      <c r="B148" s="46" t="inlineStr">
        <is>
          <t>ICMS Antecipação Parcial</t>
        </is>
      </c>
      <c r="C148" s="46" t="n"/>
      <c r="D148" s="62" t="n"/>
      <c r="E148" s="46" t="n"/>
      <c r="F148" s="48" t="n"/>
      <c r="G148" s="48" t="n">
        <v>2135.72</v>
      </c>
      <c r="H148" s="50" t="inlineStr">
        <is>
          <t>Impostos e Taxas</t>
        </is>
      </c>
      <c r="I148" s="46" t="n"/>
    </row>
    <row r="149" ht="15.75" customHeight="1" s="158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56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5" t="n">
        <v>46259</v>
      </c>
      <c r="B150" s="46" t="inlineStr">
        <is>
          <t>Luciano de Matos Nascimento</t>
        </is>
      </c>
      <c r="C150" s="46" t="inlineStr">
        <is>
          <t>Purificador Everest Star Prata</t>
        </is>
      </c>
      <c r="D150" s="62" t="n">
        <v>1486</v>
      </c>
      <c r="E150" s="46" t="inlineStr">
        <is>
          <t>Crédito Parcelado</t>
        </is>
      </c>
      <c r="F150" s="48" t="n">
        <v>207.89</v>
      </c>
      <c r="G150" s="48" t="n"/>
      <c r="H150" s="50" t="n"/>
      <c r="I150" s="46" t="inlineStr">
        <is>
          <t>Crédito em 10x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56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n"/>
    </row>
    <row r="152">
      <c r="A152" s="45" t="n">
        <v>46259</v>
      </c>
      <c r="B152" s="46" t="inlineStr">
        <is>
          <t>Fix English School</t>
        </is>
      </c>
      <c r="C152" s="46" t="n"/>
      <c r="D152" s="62" t="n"/>
      <c r="E152" s="46" t="n"/>
      <c r="F152" s="48" t="n"/>
      <c r="G152" s="48" t="n">
        <v>137</v>
      </c>
      <c r="H152" s="50" t="inlineStr">
        <is>
          <t>Pro Labore Edilânia</t>
        </is>
      </c>
      <c r="I152" s="46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56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5" t="n">
        <v>46260</v>
      </c>
      <c r="B154" s="46" t="inlineStr">
        <is>
          <t>Cliente Consumidor Final</t>
        </is>
      </c>
      <c r="C154" s="46" t="inlineStr">
        <is>
          <t>Refil Carbon Tech 9"</t>
        </is>
      </c>
      <c r="D154" s="62" t="n">
        <v>80</v>
      </c>
      <c r="E154" s="46" t="inlineStr">
        <is>
          <t>Dinheiro</t>
        </is>
      </c>
      <c r="F154" s="48" t="n"/>
      <c r="G154" s="48" t="n"/>
      <c r="H154" s="50" t="n"/>
      <c r="I154" s="46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56" t="n">
        <v>60</v>
      </c>
      <c r="E155" s="18" t="inlineStr">
        <is>
          <t>Pix</t>
        </is>
      </c>
      <c r="F155" s="19" t="n"/>
      <c r="G155" s="20" t="n"/>
      <c r="H155" s="21" t="n"/>
      <c r="I155" s="18" t="n"/>
    </row>
    <row r="156">
      <c r="A156" s="45" t="n">
        <v>46261</v>
      </c>
      <c r="B156" s="46" t="inlineStr">
        <is>
          <t>Cícero Lima</t>
        </is>
      </c>
      <c r="C156" s="46" t="inlineStr">
        <is>
          <t>Refil Everest</t>
        </is>
      </c>
      <c r="D156" s="62" t="n">
        <v>140</v>
      </c>
      <c r="E156" s="46" t="inlineStr">
        <is>
          <t>Pix</t>
        </is>
      </c>
      <c r="F156" s="48" t="n"/>
      <c r="G156" s="48" t="n"/>
      <c r="H156" s="50" t="n"/>
      <c r="I156" s="46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56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5" t="n">
        <v>46262</v>
      </c>
      <c r="B158" s="46" t="inlineStr">
        <is>
          <t>Promotoria Regional de Jacobina</t>
        </is>
      </c>
      <c r="C158" s="46" t="inlineStr">
        <is>
          <t>(Mesma venda acima — 2ª forma de pagamento, sem produtos novos)</t>
        </is>
      </c>
      <c r="D158" s="62" t="n">
        <v>200</v>
      </c>
      <c r="E158" s="46" t="inlineStr">
        <is>
          <t>Crédito Parcelado</t>
        </is>
      </c>
      <c r="F158" s="48" t="n">
        <v>16.76</v>
      </c>
      <c r="G158" s="48" t="n"/>
      <c r="H158" s="50" t="n"/>
      <c r="I158" s="46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56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5" t="n">
        <v>46261</v>
      </c>
      <c r="B160" s="46" t="inlineStr">
        <is>
          <t>A E G Calçados LTDA</t>
        </is>
      </c>
      <c r="C160" s="46" t="n"/>
      <c r="D160" s="62" t="n"/>
      <c r="E160" s="46" t="n"/>
      <c r="F160" s="48" t="n"/>
      <c r="G160" s="48" t="n">
        <v>127.42</v>
      </c>
      <c r="H160" s="50" t="inlineStr">
        <is>
          <t>Pro Labore Edilânia</t>
        </is>
      </c>
      <c r="I160" s="46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56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5" t="n">
        <v>46260</v>
      </c>
      <c r="B162" s="46" t="inlineStr">
        <is>
          <t>Edilania Almeida Silva Costa Fontes</t>
        </is>
      </c>
      <c r="C162" s="46" t="n"/>
      <c r="D162" s="62" t="n"/>
      <c r="E162" s="46" t="n"/>
      <c r="F162" s="48" t="n"/>
      <c r="G162" s="48" t="n">
        <v>230</v>
      </c>
      <c r="H162" s="50" t="inlineStr">
        <is>
          <t>Pro Labore Edilânia</t>
        </is>
      </c>
      <c r="I162" s="46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56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5" t="n">
        <v>46261</v>
      </c>
      <c r="B164" s="46" t="inlineStr">
        <is>
          <t>4x Parafuso</t>
        </is>
      </c>
      <c r="C164" s="46" t="n"/>
      <c r="D164" s="47" t="n"/>
      <c r="E164" s="46" t="n"/>
      <c r="F164" s="48" t="n"/>
      <c r="G164" s="49" t="n">
        <v>4</v>
      </c>
      <c r="H164" s="50" t="inlineStr">
        <is>
          <t>Manutenção e Reparos</t>
        </is>
      </c>
      <c r="I164" s="46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5" t="n">
        <v>46261</v>
      </c>
      <c r="B166" s="46" t="inlineStr">
        <is>
          <t>UNIFG Guanambi (Guanambi/BA)</t>
        </is>
      </c>
      <c r="C166" s="46" t="inlineStr">
        <is>
          <t>Refis — troca de julho/2026</t>
        </is>
      </c>
      <c r="D166" s="47" t="n">
        <v>4534.75</v>
      </c>
      <c r="E166" s="46" t="inlineStr">
        <is>
          <t>Pix</t>
        </is>
      </c>
      <c r="F166" s="48" t="n"/>
      <c r="G166" s="49" t="n"/>
      <c r="H166" s="50" t="n"/>
      <c r="I166" s="46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5" t="n">
        <v>46262</v>
      </c>
      <c r="B168" s="46" t="inlineStr">
        <is>
          <t>UNP Caicó (Caicó/RN)</t>
        </is>
      </c>
      <c r="C168" s="46" t="inlineStr">
        <is>
          <t>Refis — troca de julho/2026</t>
        </is>
      </c>
      <c r="D168" s="47" t="n">
        <v>440</v>
      </c>
      <c r="E168" s="46" t="inlineStr">
        <is>
          <t>Pix</t>
        </is>
      </c>
      <c r="F168" s="48" t="n"/>
      <c r="G168" s="49" t="n"/>
      <c r="H168" s="50" t="n"/>
      <c r="I168" s="46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5" t="n">
        <v>46265</v>
      </c>
      <c r="B170" s="46" t="inlineStr">
        <is>
          <t>Katiane</t>
        </is>
      </c>
      <c r="C170" s="46" t="inlineStr">
        <is>
          <t>Refil Everest + Mangueira</t>
        </is>
      </c>
      <c r="D170" s="47" t="n">
        <v>150</v>
      </c>
      <c r="E170" s="46" t="inlineStr">
        <is>
          <t>Dinheiro</t>
        </is>
      </c>
      <c r="F170" s="48" t="n"/>
      <c r="G170" s="49" t="n"/>
      <c r="H170" s="50" t="n"/>
      <c r="I170" s="46" t="n"/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n"/>
    </row>
    <row r="172">
      <c r="A172" s="45" t="n">
        <v>46265</v>
      </c>
      <c r="B172" s="46" t="inlineStr">
        <is>
          <t>Cliente Consumidor Final</t>
        </is>
      </c>
      <c r="C172" s="46" t="inlineStr">
        <is>
          <t>Refil E3</t>
        </is>
      </c>
      <c r="D172" s="47" t="n">
        <v>80</v>
      </c>
      <c r="E172" s="46" t="inlineStr">
        <is>
          <t>Dinheiro</t>
        </is>
      </c>
      <c r="F172" s="48" t="n"/>
      <c r="G172" s="49" t="n"/>
      <c r="H172" s="50" t="n"/>
      <c r="I172" s="46" t="n"/>
    </row>
    <row r="173" ht="15.75" customHeight="1" s="158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5" t="n">
        <v>46265</v>
      </c>
      <c r="B174" s="46" t="inlineStr">
        <is>
          <t>Marcelo Pioverzan Pinheiro</t>
        </is>
      </c>
      <c r="C174" s="46" t="inlineStr">
        <is>
          <t>Bebedouro Industrial 50L + Engate</t>
        </is>
      </c>
      <c r="D174" s="62" t="n">
        <v>2020</v>
      </c>
      <c r="E174" s="46" t="inlineStr">
        <is>
          <t>Pix</t>
        </is>
      </c>
      <c r="F174" s="48" t="n"/>
      <c r="G174" s="48" t="n"/>
      <c r="H174" s="50" t="n"/>
      <c r="I174" s="46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56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</row>
    <row r="176" ht="15.75" customHeight="1" s="158">
      <c r="A176" s="45" t="n">
        <v>46265</v>
      </c>
      <c r="B176" s="46" t="inlineStr">
        <is>
          <t>Salário Wiliam</t>
        </is>
      </c>
      <c r="C176" s="46" t="n"/>
      <c r="D176" s="62" t="n"/>
      <c r="E176" s="46" t="n"/>
      <c r="F176" s="48" t="n"/>
      <c r="G176" s="48" t="n">
        <v>1571.32</v>
      </c>
      <c r="H176" s="50" t="inlineStr">
        <is>
          <t>Salários, Comissões e Encargos</t>
        </is>
      </c>
      <c r="I176" s="46" t="n"/>
    </row>
    <row r="177">
      <c r="A177" s="17" t="n">
        <v>46235</v>
      </c>
      <c r="B177" s="18" t="inlineStr">
        <is>
          <t>Tarifa Pacote de Tarifas</t>
        </is>
      </c>
      <c r="C177" s="18" t="n"/>
      <c r="D177" s="156" t="n"/>
      <c r="E177" s="18" t="n"/>
      <c r="F177" s="19" t="n"/>
      <c r="G177" s="20" t="n">
        <v>52.5</v>
      </c>
      <c r="H177" s="21" t="inlineStr">
        <is>
          <t>Tarifas Bancárias e Cartão</t>
        </is>
      </c>
      <c r="I177" s="18" t="n"/>
    </row>
    <row r="178">
      <c r="A178" s="45" t="n">
        <v>46265</v>
      </c>
      <c r="B178" s="46" t="inlineStr">
        <is>
          <t>Tarifa Pix (14 lançamentos)</t>
        </is>
      </c>
      <c r="C178" s="46" t="n"/>
      <c r="D178" s="62" t="n"/>
      <c r="E178" s="46" t="n"/>
      <c r="F178" s="48" t="n"/>
      <c r="G178" s="48" t="n">
        <v>48.25</v>
      </c>
      <c r="H178" s="50" t="inlineStr">
        <is>
          <t>Tarifas Bancárias e Cartão</t>
        </is>
      </c>
      <c r="I178" s="46" t="inlineStr">
        <is>
          <t>Extrato BNB agosto/2026 — soma de 14 tarifas Pix individuais</t>
        </is>
      </c>
    </row>
    <row r="179">
      <c r="A179" s="17" t="n">
        <v>46265</v>
      </c>
      <c r="B179" s="18" t="inlineStr">
        <is>
          <t>Pix Pessoal (4 lançamentos)</t>
        </is>
      </c>
      <c r="C179" s="18" t="n"/>
      <c r="D179" s="156" t="n"/>
      <c r="E179" s="18" t="n"/>
      <c r="F179" s="19" t="n"/>
      <c r="G179" s="20" t="n">
        <v>221.5</v>
      </c>
      <c r="H179" s="21" t="inlineStr">
        <is>
          <t>Pro Labore Edilânia</t>
        </is>
      </c>
      <c r="I179" s="18" t="inlineStr">
        <is>
          <t>Extrato BNB agosto/2026 — soma de 4 Pix pessoais de Adriano/Edilânia</t>
        </is>
      </c>
    </row>
    <row r="180">
      <c r="A180" s="45" t="n">
        <v>46265</v>
      </c>
      <c r="B180" s="46" t="inlineStr">
        <is>
          <t>Compras p/Loja (2 lançamentos)</t>
        </is>
      </c>
      <c r="C180" s="46" t="n"/>
      <c r="D180" s="62" t="n"/>
      <c r="E180" s="46" t="n"/>
      <c r="F180" s="48" t="n"/>
      <c r="G180" s="48" t="n">
        <v>131.29</v>
      </c>
      <c r="H180" s="50" t="inlineStr">
        <is>
          <t>Fornecedores / Mercadoria</t>
        </is>
      </c>
      <c r="I180" s="46" t="inlineStr">
        <is>
          <t>Extrato BNB agosto/2026 — soma de 2 compras para a loja</t>
        </is>
      </c>
    </row>
    <row r="181">
      <c r="A181" s="17" t="n">
        <v>46265</v>
      </c>
      <c r="B181" s="18" t="inlineStr">
        <is>
          <t>Estacionamento (2 lançamentos)</t>
        </is>
      </c>
      <c r="C181" s="18" t="n"/>
      <c r="D181" s="156" t="n"/>
      <c r="E181" s="18" t="n"/>
      <c r="F181" s="19" t="n"/>
      <c r="G181" s="20" t="n">
        <v>6</v>
      </c>
      <c r="H181" s="21" t="inlineStr">
        <is>
          <t>Transporte e Entregas</t>
        </is>
      </c>
      <c r="I181" s="18" t="inlineStr">
        <is>
          <t>Extrato BNB agosto/2026 — soma de 2 lançamentos de estacionamento</t>
        </is>
      </c>
    </row>
    <row r="182">
      <c r="A182" s="45" t="n">
        <v>46265</v>
      </c>
      <c r="B182" s="46" t="inlineStr">
        <is>
          <t>Gasolina</t>
        </is>
      </c>
      <c r="C182" s="46" t="n"/>
      <c r="D182" s="62" t="n"/>
      <c r="E182" s="46" t="n"/>
      <c r="F182" s="48" t="n"/>
      <c r="G182" s="48" t="n">
        <v>30</v>
      </c>
      <c r="H182" s="50" t="inlineStr">
        <is>
          <t>Transporte e Entregas</t>
        </is>
      </c>
      <c r="I182" s="46" t="n"/>
    </row>
    <row r="183">
      <c r="A183" s="29" t="n"/>
      <c r="B183" s="43" t="inlineStr">
        <is>
          <t>TOTAL DO MÊS</t>
        </is>
      </c>
      <c r="C183" s="161" t="n"/>
      <c r="D183" s="8">
        <f>SUM(D5:D182)</f>
        <v/>
      </c>
      <c r="E183" s="8" t="n"/>
      <c r="F183" s="29">
        <f>SUM(F5:F182)</f>
        <v/>
      </c>
      <c r="G183" s="8">
        <f>SUM(G5:G182)</f>
        <v/>
      </c>
      <c r="H183" s="29" t="n"/>
      <c r="I183" s="29" t="n"/>
      <c r="K183" s="31" t="n"/>
      <c r="L183" s="31" t="n"/>
    </row>
    <row r="184">
      <c r="A184" s="30" t="n"/>
      <c r="B184" s="154" t="inlineStr">
        <is>
          <t>SALDO DO MÊS (Entradas líquidas − Despesas da loja)</t>
        </is>
      </c>
      <c r="D184" s="153">
        <f>(D183-F183-T5)-(L18-L19)</f>
        <v/>
      </c>
      <c r="F184" s="30" t="n"/>
      <c r="H184" s="30" t="n"/>
      <c r="I184" s="30" t="n"/>
      <c r="K184" s="31" t="n"/>
      <c r="L184" s="31" t="n"/>
    </row>
    <row r="185">
      <c r="K185" s="31" t="n"/>
      <c r="L185" s="31" t="n"/>
    </row>
    <row r="186">
      <c r="K186" s="31" t="n"/>
      <c r="L186" s="31" t="n"/>
    </row>
    <row r="187">
      <c r="K187" s="31" t="n"/>
      <c r="L187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CBD5E0"/>
    <outlinePr summaryBelow="1" summaryRight="1"/>
    <pageSetUpPr/>
  </sheetPr>
  <dimension ref="A1:U1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46269</v>
      </c>
      <c r="B5" s="90" t="inlineStr">
        <is>
          <t>AGES Irecê (Irecê/BA)</t>
        </is>
      </c>
      <c r="C5" s="90" t="inlineStr">
        <is>
          <t>Refis — troca de julho/2026</t>
        </is>
      </c>
      <c r="D5" s="91" t="n">
        <v>1338.6</v>
      </c>
      <c r="E5" s="90" t="inlineStr">
        <is>
          <t>Pix</t>
        </is>
      </c>
      <c r="F5" s="91" t="n"/>
      <c r="G5" s="91" t="n"/>
      <c r="H5" s="90" t="n"/>
      <c r="I5" s="90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K5" s="90" t="inlineStr">
        <is>
          <t>Fornecedores / Mercadoria</t>
        </is>
      </c>
      <c r="L5" s="92">
        <f>SUMIF(H5:H98,K5,G5:G98)</f>
        <v/>
      </c>
      <c r="N5" s="237">
        <f>D99-F99-T5</f>
        <v/>
      </c>
      <c r="P5" s="189">
        <f>L18-L19</f>
        <v/>
      </c>
      <c r="R5" s="204">
        <f>D100</f>
        <v/>
      </c>
      <c r="T5" s="203">
        <f>SUMIF(E5:E98,"Aguardando Pagamento",D5:D98)</f>
        <v/>
      </c>
    </row>
    <row r="6">
      <c r="A6" s="93" t="n">
        <v>46269</v>
      </c>
      <c r="B6" s="94" t="inlineStr">
        <is>
          <t>CIS Irecê (Irecê/BA)</t>
        </is>
      </c>
      <c r="C6" s="94" t="inlineStr">
        <is>
          <t>Refis — troca de julho/2026</t>
        </is>
      </c>
      <c r="D6" s="95" t="n">
        <v>1358</v>
      </c>
      <c r="E6" s="94" t="inlineStr">
        <is>
          <t>Pix</t>
        </is>
      </c>
      <c r="F6" s="95" t="n"/>
      <c r="G6" s="95" t="n"/>
      <c r="H6" s="94" t="n"/>
      <c r="I6" s="94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90" t="inlineStr">
        <is>
          <t>Aluguel</t>
        </is>
      </c>
      <c r="L6" s="92">
        <f>SUMIF(H5:H98,K6,G5:G98)</f>
        <v/>
      </c>
    </row>
    <row r="7">
      <c r="A7" s="89" t="n">
        <v>46273</v>
      </c>
      <c r="B7" s="90" t="inlineStr">
        <is>
          <t>AGES Senhor do Bonfim (S. do Bonfim/BA)</t>
        </is>
      </c>
      <c r="C7" s="90" t="inlineStr">
        <is>
          <t>Refis — troca de julho/2026</t>
        </is>
      </c>
      <c r="D7" s="91" t="n">
        <v>649.9</v>
      </c>
      <c r="E7" s="90" t="inlineStr">
        <is>
          <t>Pix</t>
        </is>
      </c>
      <c r="F7" s="91" t="n"/>
      <c r="G7" s="91" t="n"/>
      <c r="H7" s="90" t="n"/>
      <c r="I7" s="90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K7" s="90" t="inlineStr">
        <is>
          <t>Água, Energia e Internet</t>
        </is>
      </c>
      <c r="L7" s="92">
        <f>SUMIF(H5:H98,K7,G5:G98)</f>
        <v/>
      </c>
    </row>
    <row r="8">
      <c r="A8" s="93" t="n">
        <v>46273</v>
      </c>
      <c r="B8" s="94" t="inlineStr">
        <is>
          <t>CIS Senhor do Bonfim (S. do Bonfim/BA)</t>
        </is>
      </c>
      <c r="C8" s="94" t="inlineStr">
        <is>
          <t>Refis — troca de julho/2026</t>
        </is>
      </c>
      <c r="D8" s="95" t="n">
        <v>562.6</v>
      </c>
      <c r="E8" s="94" t="inlineStr">
        <is>
          <t>Pix</t>
        </is>
      </c>
      <c r="F8" s="95" t="n"/>
      <c r="G8" s="95" t="n"/>
      <c r="H8" s="94" t="n"/>
      <c r="I8" s="94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90" t="inlineStr">
        <is>
          <t>Impostos e Taxas</t>
        </is>
      </c>
      <c r="L8" s="92">
        <f>SUMIF(H5:H98,K8,G5:G98)</f>
        <v/>
      </c>
    </row>
    <row r="9">
      <c r="A9" s="89" t="n">
        <v>46273</v>
      </c>
      <c r="B9" s="90" t="inlineStr">
        <is>
          <t>AGES Paripiranga (Paripiranga/BA)</t>
        </is>
      </c>
      <c r="C9" s="90" t="inlineStr">
        <is>
          <t>Refis — troca de julho/2026</t>
        </is>
      </c>
      <c r="D9" s="91" t="n">
        <v>1086.4</v>
      </c>
      <c r="E9" s="90" t="inlineStr">
        <is>
          <t>Pix</t>
        </is>
      </c>
      <c r="F9" s="91" t="n"/>
      <c r="G9" s="91" t="n"/>
      <c r="H9" s="90" t="n"/>
      <c r="I9" s="90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K9" s="90" t="inlineStr">
        <is>
          <t>Tarifas Bancárias e Cartão</t>
        </is>
      </c>
      <c r="L9" s="92">
        <f>SUMIF(H5:H98,K9,G5:G98)</f>
        <v/>
      </c>
    </row>
    <row r="10">
      <c r="A10" s="93" t="n">
        <v>46273</v>
      </c>
      <c r="B10" s="94" t="inlineStr">
        <is>
          <t>Clínica Veterinária Paripiranga (Paripiranga/BA)</t>
        </is>
      </c>
      <c r="C10" s="94" t="inlineStr">
        <is>
          <t>Refis — troca de julho/2026</t>
        </is>
      </c>
      <c r="D10" s="95" t="n">
        <v>1265.85</v>
      </c>
      <c r="E10" s="94" t="inlineStr">
        <is>
          <t>Pix</t>
        </is>
      </c>
      <c r="F10" s="95" t="n"/>
      <c r="G10" s="95" t="n"/>
      <c r="H10" s="94" t="n"/>
      <c r="I10" s="94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90" t="inlineStr">
        <is>
          <t>Transporte e Entregas</t>
        </is>
      </c>
      <c r="L10" s="92">
        <f>SUMIF(H5:H98,K10,G5:G98)</f>
        <v/>
      </c>
    </row>
    <row r="11">
      <c r="A11" s="89" t="n">
        <v>46273</v>
      </c>
      <c r="B11" s="90" t="inlineStr">
        <is>
          <t>UNP Mossoró (Mossoró/RN)</t>
        </is>
      </c>
      <c r="C11" s="90" t="inlineStr">
        <is>
          <t>Refis — troca de julho/2026</t>
        </is>
      </c>
      <c r="D11" s="91" t="n">
        <v>1867.25</v>
      </c>
      <c r="E11" s="90" t="inlineStr">
        <is>
          <t>Pix</t>
        </is>
      </c>
      <c r="F11" s="91" t="n"/>
      <c r="G11" s="91" t="n"/>
      <c r="H11" s="90" t="n"/>
      <c r="I11" s="90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90" t="inlineStr">
        <is>
          <t>Salários, Comissões e Encargos</t>
        </is>
      </c>
      <c r="L11" s="92">
        <f>SUMIF(H5:H98,K11,G5:G98)</f>
        <v/>
      </c>
    </row>
    <row r="12">
      <c r="A12" s="93" t="n">
        <v>46290</v>
      </c>
      <c r="B12" s="94" t="inlineStr">
        <is>
          <t>CIS Jacobina (Jacobina/BA)</t>
        </is>
      </c>
      <c r="C12" s="94" t="inlineStr">
        <is>
          <t>Refis — troca de julho/2026</t>
        </is>
      </c>
      <c r="D12" s="95" t="n">
        <v>2095.2</v>
      </c>
      <c r="E12" s="94" t="inlineStr">
        <is>
          <t>Aguardando Pagamento</t>
        </is>
      </c>
      <c r="F12" s="95" t="n"/>
      <c r="G12" s="95" t="n"/>
      <c r="H12" s="94" t="n"/>
      <c r="I12" s="94" t="inlineStr">
        <is>
          <t>Grupo Ânima — OC AEMPPO00004452 · NF 000.004.333 de 26/08/2026 · prazo 30 dias · vencimento 25/09/2026 (desc. 3%) · previsão de pagamento confirmada no portal V360 em 02/09/2026</t>
        </is>
      </c>
      <c r="K12" s="90" t="inlineStr">
        <is>
          <t>Contabilidade</t>
        </is>
      </c>
      <c r="L12" s="92">
        <f>SUMIF(H5:H98,K12,G5:G98)</f>
        <v/>
      </c>
    </row>
    <row r="13">
      <c r="A13" s="89" t="n">
        <v>46266</v>
      </c>
      <c r="B13" s="90" t="inlineStr">
        <is>
          <t>Carlos Tubbi</t>
        </is>
      </c>
      <c r="C13" s="90" t="inlineStr">
        <is>
          <t>Refil Everest</t>
        </is>
      </c>
      <c r="D13" s="91" t="n">
        <v>140</v>
      </c>
      <c r="E13" s="90" t="inlineStr">
        <is>
          <t>Dinheiro</t>
        </is>
      </c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SUMIF(H5:H98,K13,G5:G98)</f>
        <v/>
      </c>
    </row>
    <row r="14">
      <c r="A14" s="93" t="n">
        <v>46266</v>
      </c>
      <c r="B14" s="94" t="inlineStr">
        <is>
          <t>Neli Sena Rego</t>
        </is>
      </c>
      <c r="C14" s="94" t="inlineStr">
        <is>
          <t>Refil Pro Life + Conexão + Mangueira</t>
        </is>
      </c>
      <c r="D14" s="95" t="n">
        <v>170</v>
      </c>
      <c r="E14" s="94" t="inlineStr">
        <is>
          <t>Dinheiro</t>
        </is>
      </c>
      <c r="F14" s="95" t="n"/>
      <c r="G14" s="95" t="n"/>
      <c r="H14" s="94" t="n"/>
      <c r="I14" s="94" t="inlineStr">
        <is>
          <t>Vendas de 20 e 21/08/2026 (R$ 140,00 + R$ 40,00) — pagamento recebido em 01/09/2026 com desconto de R$ 10,00</t>
        </is>
      </c>
      <c r="K14" s="90" t="inlineStr">
        <is>
          <t>Material de Limpeza e Escritório</t>
        </is>
      </c>
      <c r="L14" s="92">
        <f>SUMIF(H5:H98,K14,G5:G98)</f>
        <v/>
      </c>
    </row>
    <row r="15">
      <c r="A15" s="89" t="n">
        <v>46275</v>
      </c>
      <c r="B15" s="90" t="inlineStr">
        <is>
          <t>Armazem Cecilio Mota</t>
        </is>
      </c>
      <c r="C15" s="90" t="inlineStr">
        <is>
          <t>Refil Everest + Refil Carbon 9"</t>
        </is>
      </c>
      <c r="D15" s="91" t="n">
        <v>225</v>
      </c>
      <c r="E15" s="90" t="inlineStr">
        <is>
          <t>Pix</t>
        </is>
      </c>
      <c r="F15" s="91" t="n"/>
      <c r="G15" s="91" t="n"/>
      <c r="H15" s="90" t="n"/>
      <c r="I15" s="90" t="inlineStr">
        <is>
          <t>Venda de 01/09/2026 — pagamento recebido via Pix em 10/09/2026</t>
        </is>
      </c>
      <c r="K15" s="90" t="inlineStr">
        <is>
          <t>Estornos de Vendas (Cancelamentos)</t>
        </is>
      </c>
      <c r="L15" s="92">
        <f>SUMIF(H5:H98,K15,G5:G98)</f>
        <v/>
      </c>
    </row>
    <row r="16">
      <c r="A16" s="93" t="n">
        <v>46266</v>
      </c>
      <c r="B16" s="94" t="inlineStr">
        <is>
          <t>Olindina Maria Santos Goes</t>
        </is>
      </c>
      <c r="C16" s="94" t="inlineStr">
        <is>
          <t>Refil Everest + Mangueira</t>
        </is>
      </c>
      <c r="D16" s="95" t="n">
        <v>150</v>
      </c>
      <c r="E16" s="94" t="inlineStr">
        <is>
          <t>Dinheiro</t>
        </is>
      </c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SUMIF(H5:H98,K16,G5:G98)</f>
        <v/>
      </c>
    </row>
    <row r="17">
      <c r="A17" s="89" t="n">
        <v>46267</v>
      </c>
      <c r="B17" s="90" t="inlineStr">
        <is>
          <t>Clebson Dantas Da Silva</t>
        </is>
      </c>
      <c r="C17" s="90" t="inlineStr">
        <is>
          <t>Refil Everest</t>
        </is>
      </c>
      <c r="D17" s="91" t="n">
        <v>140</v>
      </c>
      <c r="E17" s="90" t="inlineStr">
        <is>
          <t>Pix</t>
        </is>
      </c>
      <c r="F17" s="91" t="n"/>
      <c r="G17" s="91" t="n"/>
      <c r="H17" s="90" t="n"/>
      <c r="I17" s="90" t="inlineStr">
        <is>
          <t>Venda de 01/09/2026 — pagamento recebido em 02/09/2026</t>
        </is>
      </c>
      <c r="K17" s="96" t="inlineStr">
        <is>
          <t>Pro Labore Edilânia</t>
        </is>
      </c>
      <c r="L17" s="97">
        <f>SUMIF(H5:H98,K17,G5:G98)</f>
        <v/>
      </c>
    </row>
    <row r="18">
      <c r="A18" s="93" t="n">
        <v>46266</v>
      </c>
      <c r="B18" s="94" t="inlineStr">
        <is>
          <t>RC Produtos Naturais - Renilde Teixeira</t>
        </is>
      </c>
      <c r="C18" s="94" t="inlineStr">
        <is>
          <t>Purificador Everest Baby Cereja + Pré Filtro</t>
        </is>
      </c>
      <c r="D18" s="95" t="n">
        <v>400</v>
      </c>
      <c r="E18" s="94" t="inlineStr">
        <is>
          <t>Dinheiro</t>
        </is>
      </c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>
        <v>46266</v>
      </c>
      <c r="B19" s="90" t="inlineStr">
        <is>
          <t>Joselita Alves Da Silva</t>
        </is>
      </c>
      <c r="C19" s="90" t="inlineStr">
        <is>
          <t>Refil Pro Life</t>
        </is>
      </c>
      <c r="D19" s="91" t="n">
        <v>140</v>
      </c>
      <c r="E19" s="90" t="inlineStr">
        <is>
          <t>Débito</t>
        </is>
      </c>
      <c r="F19" s="91" t="n">
        <v>2.03</v>
      </c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93" t="n">
        <v>46266</v>
      </c>
      <c r="B20" s="94" t="inlineStr">
        <is>
          <t>Dalcira</t>
        </is>
      </c>
      <c r="C20" s="94" t="inlineStr">
        <is>
          <t>Refil Pro Life + Pré Filtro</t>
        </is>
      </c>
      <c r="D20" s="95" t="n">
        <v>190</v>
      </c>
      <c r="E20" s="94" t="inlineStr">
        <is>
          <t>Dinheiro</t>
        </is>
      </c>
      <c r="F20" s="95" t="n"/>
      <c r="G20" s="95" t="n"/>
      <c r="H20" s="94" t="n"/>
      <c r="I20" s="94" t="n"/>
    </row>
    <row r="21">
      <c r="A21" s="89" t="n">
        <v>46266</v>
      </c>
      <c r="B21" s="90" t="inlineStr">
        <is>
          <t>Maria Adriana Lima</t>
        </is>
      </c>
      <c r="C21" s="90" t="inlineStr">
        <is>
          <t>Refil Everest + Pré Filtro</t>
        </is>
      </c>
      <c r="D21" s="91" t="n">
        <v>200</v>
      </c>
      <c r="E21" s="90" t="inlineStr">
        <is>
          <t>Dinheiro</t>
        </is>
      </c>
      <c r="F21" s="91" t="n"/>
      <c r="G21" s="91" t="n"/>
      <c r="H21" s="90" t="n"/>
      <c r="I21" s="90" t="n"/>
    </row>
    <row r="22">
      <c r="A22" s="93" t="n">
        <v>46266</v>
      </c>
      <c r="B22" s="94" t="inlineStr">
        <is>
          <t>Vitoria Maria F Santos</t>
        </is>
      </c>
      <c r="C22" s="94" t="n"/>
      <c r="D22" s="95" t="n"/>
      <c r="E22" s="94" t="n"/>
      <c r="F22" s="95" t="n"/>
      <c r="G22" s="95" t="n">
        <v>880</v>
      </c>
      <c r="H22" s="94" t="inlineStr">
        <is>
          <t>Aluguel</t>
        </is>
      </c>
      <c r="I22" s="94" t="inlineStr">
        <is>
          <t>Aluguel da loja — referente a setembro/2026</t>
        </is>
      </c>
    </row>
    <row r="23">
      <c r="A23" s="89" t="n">
        <v>46266</v>
      </c>
      <c r="B23" s="90" t="inlineStr">
        <is>
          <t>Conta de Água Adriano</t>
        </is>
      </c>
      <c r="C23" s="90" t="n"/>
      <c r="D23" s="91" t="n"/>
      <c r="E23" s="90" t="n"/>
      <c r="F23" s="91" t="n"/>
      <c r="G23" s="91" t="n">
        <v>50.08</v>
      </c>
      <c r="H23" s="90" t="inlineStr">
        <is>
          <t>Pro Labore Edilânia</t>
        </is>
      </c>
      <c r="I23" s="90" t="n"/>
    </row>
    <row r="24">
      <c r="A24" s="93" t="n">
        <v>46267</v>
      </c>
      <c r="B24" s="94" t="inlineStr">
        <is>
          <t>Tesla Imagem Medicina Diagnostica Ltda</t>
        </is>
      </c>
      <c r="C24" s="94" t="inlineStr">
        <is>
          <t>3x Refil Everest + 2x Pré Filtro</t>
        </is>
      </c>
      <c r="D24" s="95" t="n">
        <v>540</v>
      </c>
      <c r="E24" s="94" t="inlineStr">
        <is>
          <t>Aguardando Pagamento</t>
        </is>
      </c>
      <c r="F24" s="95" t="n"/>
      <c r="G24" s="95" t="n"/>
      <c r="H24" s="94" t="n"/>
      <c r="I24" s="94" t="n"/>
    </row>
    <row r="25">
      <c r="A25" s="89" t="n">
        <v>46267</v>
      </c>
      <c r="B25" s="90" t="inlineStr">
        <is>
          <t>Javan Palace Hotel - Rosa Bruno</t>
        </is>
      </c>
      <c r="C25" s="90" t="inlineStr">
        <is>
          <t>Refil Everest</t>
        </is>
      </c>
      <c r="D25" s="91" t="n">
        <v>140</v>
      </c>
      <c r="E25" s="90" t="inlineStr">
        <is>
          <t>Dinheiro</t>
        </is>
      </c>
      <c r="F25" s="91" t="n"/>
      <c r="G25" s="91" t="n"/>
      <c r="H25" s="90" t="n"/>
      <c r="I25" s="90" t="n"/>
    </row>
    <row r="26">
      <c r="A26" s="93" t="n">
        <v>46267</v>
      </c>
      <c r="B26" s="94" t="inlineStr">
        <is>
          <t>Ozirema Silva Santos</t>
        </is>
      </c>
      <c r="C26" s="94" t="inlineStr">
        <is>
          <t>Purificador Everest Fit Branco</t>
        </is>
      </c>
      <c r="D26" s="95" t="n">
        <v>1379</v>
      </c>
      <c r="E26" s="94" t="inlineStr">
        <is>
          <t>Crédito Parcelado</t>
        </is>
      </c>
      <c r="F26" s="95" t="n">
        <v>137.76</v>
      </c>
      <c r="G26" s="95" t="n"/>
      <c r="H26" s="94" t="n"/>
      <c r="I26" s="94" t="inlineStr">
        <is>
          <t>Crédito em 5x</t>
        </is>
      </c>
    </row>
    <row r="27">
      <c r="A27" s="89" t="n">
        <v>46275</v>
      </c>
      <c r="B27" s="90" t="inlineStr">
        <is>
          <t>Cecilio Mota Junior</t>
        </is>
      </c>
      <c r="C27" s="90" t="inlineStr">
        <is>
          <t>Refil Everest</t>
        </is>
      </c>
      <c r="D27" s="91" t="n">
        <v>140</v>
      </c>
      <c r="E27" s="90" t="inlineStr">
        <is>
          <t>Pix</t>
        </is>
      </c>
      <c r="F27" s="91" t="n"/>
      <c r="G27" s="91" t="n"/>
      <c r="H27" s="90" t="n"/>
      <c r="I27" s="90" t="inlineStr">
        <is>
          <t>Venda de 02/09/2026 — pagamento recebido via Pix em 10/09/2026</t>
        </is>
      </c>
    </row>
    <row r="28">
      <c r="A28" s="93" t="n">
        <v>46268</v>
      </c>
      <c r="B28" s="94" t="inlineStr">
        <is>
          <t>Diane Oliveira dos Santos</t>
        </is>
      </c>
      <c r="C28" s="94" t="inlineStr">
        <is>
          <t>Refil Everest</t>
        </is>
      </c>
      <c r="D28" s="95" t="n">
        <v>145</v>
      </c>
      <c r="E28" s="94" t="inlineStr">
        <is>
          <t>Crédito Parcelado</t>
        </is>
      </c>
      <c r="F28" s="95" t="n">
        <v>10.14</v>
      </c>
      <c r="G28" s="95" t="n"/>
      <c r="H28" s="94" t="n"/>
      <c r="I28" s="94" t="inlineStr">
        <is>
          <t>Crédito em 3x</t>
        </is>
      </c>
    </row>
    <row r="29">
      <c r="A29" s="89" t="n">
        <v>46268</v>
      </c>
      <c r="B29" s="90" t="inlineStr">
        <is>
          <t>Helena Henrique Santos</t>
        </is>
      </c>
      <c r="C29" s="90" t="inlineStr">
        <is>
          <t>Refil Pro Life</t>
        </is>
      </c>
      <c r="D29" s="91" t="n">
        <v>120</v>
      </c>
      <c r="E29" s="90" t="inlineStr">
        <is>
          <t>Dinheiro</t>
        </is>
      </c>
      <c r="F29" s="91" t="n"/>
      <c r="G29" s="91" t="n"/>
      <c r="H29" s="90" t="n"/>
      <c r="I29" s="90" t="n"/>
    </row>
    <row r="30">
      <c r="A30" s="93" t="n">
        <v>46269</v>
      </c>
      <c r="B30" s="94" t="inlineStr">
        <is>
          <t>Tereza Cristina Aquino Martins - Luiz Augusto</t>
        </is>
      </c>
      <c r="C30" s="94" t="inlineStr">
        <is>
          <t>Refil Everest + Pré Filtro</t>
        </is>
      </c>
      <c r="D30" s="95" t="n">
        <v>200</v>
      </c>
      <c r="E30" s="94" t="inlineStr">
        <is>
          <t>Pix</t>
        </is>
      </c>
      <c r="F30" s="95" t="n"/>
      <c r="G30" s="95" t="n"/>
      <c r="H30" s="94" t="n"/>
      <c r="I30" s="94" t="inlineStr">
        <is>
          <t>Venda de 03/09/2026 — pagamento recebido via Pix em 04/09/2026</t>
        </is>
      </c>
    </row>
    <row r="31">
      <c r="A31" s="89" t="n">
        <v>46267</v>
      </c>
      <c r="B31" s="90" t="inlineStr">
        <is>
          <t>Compra de Velas Tripla Ação (12 un.) - Filtro de Barro</t>
        </is>
      </c>
      <c r="C31" s="90" t="n"/>
      <c r="D31" s="91" t="n"/>
      <c r="E31" s="90" t="n"/>
      <c r="F31" s="91" t="n"/>
      <c r="G31" s="91" t="n">
        <v>124.73</v>
      </c>
      <c r="H31" s="90" t="inlineStr">
        <is>
          <t>Fornecedores / Mercadoria</t>
        </is>
      </c>
      <c r="I31" s="90" t="inlineStr">
        <is>
          <t>Boleto Santander pago por Edilânia — venc. 02/09/2026</t>
        </is>
      </c>
    </row>
    <row r="32">
      <c r="A32" s="93" t="n">
        <v>46268</v>
      </c>
      <c r="B32" s="94" t="inlineStr">
        <is>
          <t>Acerto de Armando</t>
        </is>
      </c>
      <c r="C32" s="94" t="n"/>
      <c r="D32" s="95" t="n">
        <v>900</v>
      </c>
      <c r="E32" s="94" t="inlineStr">
        <is>
          <t>Dinheiro</t>
        </is>
      </c>
      <c r="F32" s="95" t="n"/>
      <c r="G32" s="95" t="n"/>
      <c r="H32" s="94" t="n"/>
      <c r="I32" s="94" t="n"/>
    </row>
    <row r="33">
      <c r="A33" s="89" t="n">
        <v>46267</v>
      </c>
      <c r="B33" s="90" t="inlineStr">
        <is>
          <t>Free Way</t>
        </is>
      </c>
      <c r="C33" s="90" t="inlineStr">
        <is>
          <t>5x Refil Everest</t>
        </is>
      </c>
      <c r="D33" s="91" t="n">
        <v>700</v>
      </c>
      <c r="E33" s="90" t="inlineStr">
        <is>
          <t>Pix</t>
        </is>
      </c>
      <c r="F33" s="91" t="n"/>
      <c r="G33" s="91" t="n"/>
      <c r="H33" s="90" t="n"/>
      <c r="I33" s="90" t="inlineStr">
        <is>
          <t>Venda de 17/08/2026 — pagamento recebido em 02/09/2026 via TED</t>
        </is>
      </c>
    </row>
    <row r="34">
      <c r="A34" s="93" t="n">
        <v>46266</v>
      </c>
      <c r="B34" s="94" t="inlineStr">
        <is>
          <t>Clube dos Mineiros</t>
        </is>
      </c>
      <c r="C34" s="94" t="inlineStr">
        <is>
          <t>Refil Pro Life</t>
        </is>
      </c>
      <c r="D34" s="95" t="n">
        <v>150</v>
      </c>
      <c r="E34" s="94" t="inlineStr">
        <is>
          <t>Pix</t>
        </is>
      </c>
      <c r="F34" s="95" t="n"/>
      <c r="G34" s="95" t="n"/>
      <c r="H34" s="94" t="n"/>
      <c r="I34" s="94" t="inlineStr">
        <is>
          <t>Venda de 31/08/2026 — pagamento recebido em 01/09/2026 via Pix (Sindicato dos Mineiros de Jacobina)</t>
        </is>
      </c>
    </row>
    <row r="35">
      <c r="A35" s="89" t="n">
        <v>46268</v>
      </c>
      <c r="B35" s="90" t="inlineStr">
        <is>
          <t>Eletronic Segurança Eletronica</t>
        </is>
      </c>
      <c r="C35" s="90" t="inlineStr">
        <is>
          <t>Pré Filtro</t>
        </is>
      </c>
      <c r="D35" s="91" t="n">
        <v>60</v>
      </c>
      <c r="E35" s="90" t="inlineStr">
        <is>
          <t>Pix</t>
        </is>
      </c>
      <c r="F35" s="91" t="n"/>
      <c r="G35" s="91" t="n"/>
      <c r="H35" s="90" t="n"/>
      <c r="I35" s="90" t="inlineStr">
        <is>
          <t>Venda de 31/08/2026 — pagamento recebido em 03/09/2026 via Pix</t>
        </is>
      </c>
    </row>
    <row r="36">
      <c r="A36" s="93" t="n">
        <v>46267</v>
      </c>
      <c r="B36" s="94" t="inlineStr">
        <is>
          <t>Filtros Planeta Água</t>
        </is>
      </c>
      <c r="C36" s="94" t="n"/>
      <c r="D36" s="95" t="n"/>
      <c r="E36" s="94" t="n"/>
      <c r="F36" s="95" t="n"/>
      <c r="G36" s="95" t="n">
        <v>1385.85</v>
      </c>
      <c r="H36" s="94" t="inlineStr">
        <is>
          <t>Fornecedores / Mercadoria</t>
        </is>
      </c>
      <c r="I36" s="94" t="inlineStr">
        <is>
          <t>Boleto doc. 131997 (emissão 08/07/2026) — venc. 02/09/2026.</t>
        </is>
      </c>
    </row>
    <row r="37">
      <c r="A37" s="89" t="n">
        <v>46268</v>
      </c>
      <c r="B37" s="90" t="inlineStr">
        <is>
          <t>Everest Refrigeração</t>
        </is>
      </c>
      <c r="C37" s="90" t="n"/>
      <c r="D37" s="91" t="n"/>
      <c r="E37" s="90" t="n"/>
      <c r="F37" s="91" t="n"/>
      <c r="G37" s="91" t="n">
        <v>706.67</v>
      </c>
      <c r="H37" s="90" t="inlineStr">
        <is>
          <t>Fornecedores / Mercadoria</t>
        </is>
      </c>
      <c r="I37" s="90" t="inlineStr">
        <is>
          <t>Boleto doc. 374271 (emissão 06/04/2026) — venc. 03/09/2026.</t>
        </is>
      </c>
    </row>
    <row r="38">
      <c r="A38" s="93" t="n">
        <v>46268</v>
      </c>
      <c r="B38" s="94" t="inlineStr">
        <is>
          <t>Consumidor Final</t>
        </is>
      </c>
      <c r="C38" s="94" t="inlineStr">
        <is>
          <t>Refil Carbon 7" + Carcaça 7"</t>
        </is>
      </c>
      <c r="D38" s="95" t="n">
        <v>170</v>
      </c>
      <c r="E38" s="94" t="inlineStr">
        <is>
          <t>Débito</t>
        </is>
      </c>
      <c r="F38" s="95" t="n">
        <v>2.46</v>
      </c>
      <c r="G38" s="95" t="n"/>
      <c r="H38" s="94" t="n"/>
      <c r="I38" s="94" t="n"/>
    </row>
    <row r="39">
      <c r="A39" s="89" t="n">
        <v>46268</v>
      </c>
      <c r="B39" s="90" t="inlineStr">
        <is>
          <t>Eversoft</t>
        </is>
      </c>
      <c r="C39" s="90" t="n"/>
      <c r="D39" s="91" t="n"/>
      <c r="E39" s="90" t="n"/>
      <c r="F39" s="91" t="n"/>
      <c r="G39" s="91" t="n">
        <v>980.83</v>
      </c>
      <c r="H39" s="90" t="inlineStr">
        <is>
          <t>Fornecedores / Mercadoria</t>
        </is>
      </c>
      <c r="I39" s="90" t="inlineStr">
        <is>
          <t>Boleto doc. 72869 (emissão 07/05/2026) — venc. 04/09/2026. Pago em 03/09/2026.</t>
        </is>
      </c>
    </row>
    <row r="40">
      <c r="A40" s="93" t="n">
        <v>46268</v>
      </c>
      <c r="B40" s="94" t="inlineStr">
        <is>
          <t>Lucas Souza</t>
        </is>
      </c>
      <c r="C40" s="94" t="inlineStr">
        <is>
          <t>Refil Everest + Pré Filtro</t>
        </is>
      </c>
      <c r="D40" s="95" t="n">
        <v>200</v>
      </c>
      <c r="E40" s="94" t="inlineStr">
        <is>
          <t>Dinheiro</t>
        </is>
      </c>
      <c r="F40" s="95" t="n"/>
      <c r="G40" s="95" t="n"/>
      <c r="H40" s="94" t="n"/>
      <c r="I40" s="94" t="inlineStr">
        <is>
          <t>Venda de 27/08/2026 — pagamento recebido em dinheiro em 03/09/2026</t>
        </is>
      </c>
    </row>
    <row r="41">
      <c r="A41" s="89" t="n">
        <v>46268</v>
      </c>
      <c r="B41" s="90" t="inlineStr">
        <is>
          <t>Frutos de Goiás - Rivael Sousa Santos</t>
        </is>
      </c>
      <c r="C41" s="90" t="inlineStr">
        <is>
          <t>Refil Everest</t>
        </is>
      </c>
      <c r="D41" s="91" t="n">
        <v>140</v>
      </c>
      <c r="E41" s="90" t="inlineStr">
        <is>
          <t>Pix</t>
        </is>
      </c>
      <c r="F41" s="91" t="n"/>
      <c r="G41" s="91" t="n"/>
      <c r="H41" s="90" t="n"/>
      <c r="I41" s="90" t="n"/>
    </row>
    <row r="42">
      <c r="A42" s="93" t="n">
        <v>46267</v>
      </c>
      <c r="B42" s="94" t="inlineStr">
        <is>
          <t>Andrea Dias Rocha (Blogueira) — Permuta</t>
        </is>
      </c>
      <c r="C42" s="94" t="inlineStr">
        <is>
          <t>Purificador Everest Fit Prata</t>
        </is>
      </c>
      <c r="D42" s="95" t="n">
        <v>0</v>
      </c>
      <c r="E42" s="94" t="n"/>
      <c r="F42" s="95" t="n"/>
      <c r="G42" s="95" t="n"/>
      <c r="H42" s="94" t="n"/>
      <c r="I42" s="94" t="inlineStr">
        <is>
          <t>Permuta: purificador entregue em troca de divulgação no Instagram (instalação em 02/09/2026). Sem entrada em caixa — valor de tabela do aparelho R$ 1.366,00.</t>
        </is>
      </c>
    </row>
    <row r="43">
      <c r="A43" s="89" t="n">
        <v>46269</v>
      </c>
      <c r="B43" s="90" t="inlineStr">
        <is>
          <t>DS Transportes</t>
        </is>
      </c>
      <c r="C43" s="90" t="inlineStr">
        <is>
          <t>Refil Everest</t>
        </is>
      </c>
      <c r="D43" s="91" t="n">
        <v>140</v>
      </c>
      <c r="E43" s="90" t="inlineStr">
        <is>
          <t>Pix</t>
        </is>
      </c>
      <c r="F43" s="91" t="n"/>
      <c r="G43" s="91" t="n"/>
      <c r="H43" s="90" t="n"/>
      <c r="I43" s="90" t="n"/>
    </row>
    <row r="44">
      <c r="A44" s="93" t="n">
        <v>46269</v>
      </c>
      <c r="B44" s="94" t="inlineStr">
        <is>
          <t>Sabrina Valois</t>
        </is>
      </c>
      <c r="C44" s="94" t="inlineStr">
        <is>
          <t>Refil Everest</t>
        </is>
      </c>
      <c r="D44" s="95" t="n">
        <v>140</v>
      </c>
      <c r="E44" s="94" t="inlineStr">
        <is>
          <t>Pix</t>
        </is>
      </c>
      <c r="F44" s="95" t="n"/>
      <c r="G44" s="95" t="n"/>
      <c r="H44" s="94" t="n"/>
      <c r="I44" s="94" t="n"/>
    </row>
    <row r="45">
      <c r="A45" s="89" t="n">
        <v>46269</v>
      </c>
      <c r="B45" s="90" t="inlineStr">
        <is>
          <t>José Henrique Silva Lima - Naiara Freire</t>
        </is>
      </c>
      <c r="C45" s="90" t="inlineStr">
        <is>
          <t>Refil Everest</t>
        </is>
      </c>
      <c r="D45" s="91" t="n">
        <v>140</v>
      </c>
      <c r="E45" s="90" t="inlineStr">
        <is>
          <t>Pix</t>
        </is>
      </c>
      <c r="F45" s="91" t="n"/>
      <c r="G45" s="91" t="n"/>
      <c r="H45" s="90" t="n"/>
      <c r="I45" s="90" t="n"/>
    </row>
    <row r="46">
      <c r="A46" s="93" t="n">
        <v>46269</v>
      </c>
      <c r="B46" s="94" t="inlineStr">
        <is>
          <t>Maria Alzete Santana</t>
        </is>
      </c>
      <c r="C46" s="94" t="inlineStr">
        <is>
          <t>Refil Everest</t>
        </is>
      </c>
      <c r="D46" s="95" t="n">
        <v>135</v>
      </c>
      <c r="E46" s="94" t="inlineStr">
        <is>
          <t>Pix</t>
        </is>
      </c>
      <c r="F46" s="95" t="n"/>
      <c r="G46" s="95" t="n"/>
      <c r="H46" s="94" t="n"/>
      <c r="I46" s="94" t="n"/>
    </row>
    <row r="47">
      <c r="A47" s="89" t="n">
        <v>46275</v>
      </c>
      <c r="B47" s="90" t="inlineStr">
        <is>
          <t>Samille Fiscina Lima Lordello - Tiago (Cartório)</t>
        </is>
      </c>
      <c r="C47" s="90" t="inlineStr">
        <is>
          <t>Refil Pro Life</t>
        </is>
      </c>
      <c r="D47" s="91" t="n">
        <v>140</v>
      </c>
      <c r="E47" s="90" t="inlineStr">
        <is>
          <t>Pix</t>
        </is>
      </c>
      <c r="F47" s="91" t="n"/>
      <c r="G47" s="91" t="n"/>
      <c r="H47" s="90" t="n"/>
      <c r="I47" s="90" t="inlineStr">
        <is>
          <t>Venda de 04/09/2026 — pagamento recebido via Pix em 10/09/2026</t>
        </is>
      </c>
    </row>
    <row r="48">
      <c r="A48" s="93" t="n">
        <v>46269</v>
      </c>
      <c r="B48" s="94" t="inlineStr">
        <is>
          <t>Luciane Martins de Souza Santos</t>
        </is>
      </c>
      <c r="C48" s="94" t="inlineStr">
        <is>
          <t>Refil Everest</t>
        </is>
      </c>
      <c r="D48" s="95" t="n">
        <v>140</v>
      </c>
      <c r="E48" s="94" t="inlineStr">
        <is>
          <t>Dinheiro</t>
        </is>
      </c>
      <c r="F48" s="95" t="n"/>
      <c r="G48" s="95" t="n"/>
      <c r="H48" s="94" t="n"/>
      <c r="I48" s="94" t="n"/>
    </row>
    <row r="49">
      <c r="A49" s="89" t="n">
        <v>46268</v>
      </c>
      <c r="B49" s="90" t="inlineStr">
        <is>
          <t>Consumidor Final</t>
        </is>
      </c>
      <c r="C49" s="90" t="inlineStr">
        <is>
          <t>Refil Universal + Filtro Bica Móvel</t>
        </is>
      </c>
      <c r="D49" s="91" t="n">
        <v>110</v>
      </c>
      <c r="E49" s="90" t="inlineStr">
        <is>
          <t>Dinheiro</t>
        </is>
      </c>
      <c r="F49" s="91" t="n"/>
      <c r="G49" s="91" t="n"/>
      <c r="H49" s="90" t="n"/>
      <c r="I49" s="90" t="n"/>
    </row>
    <row r="50">
      <c r="A50" s="93" t="n">
        <v>46273</v>
      </c>
      <c r="B50" s="94" t="inlineStr">
        <is>
          <t>Consumidor Final</t>
        </is>
      </c>
      <c r="C50" s="94" t="inlineStr">
        <is>
          <t>Suporte Everest</t>
        </is>
      </c>
      <c r="D50" s="95" t="n">
        <v>35</v>
      </c>
      <c r="E50" s="94" t="inlineStr">
        <is>
          <t>Dinheiro</t>
        </is>
      </c>
      <c r="F50" s="95" t="n"/>
      <c r="G50" s="95" t="n"/>
      <c r="H50" s="94" t="n"/>
      <c r="I50" s="94" t="n"/>
    </row>
    <row r="51">
      <c r="A51" s="89" t="n">
        <v>46273</v>
      </c>
      <c r="B51" s="90" t="inlineStr">
        <is>
          <t>Instituto Paulo Leão</t>
        </is>
      </c>
      <c r="C51" s="90" t="inlineStr">
        <is>
          <t>Refil E3 + Pré Filtro</t>
        </is>
      </c>
      <c r="D51" s="91" t="n">
        <v>160</v>
      </c>
      <c r="E51" s="90" t="inlineStr">
        <is>
          <t>Pix</t>
        </is>
      </c>
      <c r="F51" s="91" t="n"/>
      <c r="G51" s="91" t="n"/>
      <c r="H51" s="90" t="n"/>
      <c r="I51" s="90" t="inlineStr">
        <is>
          <t>Venda de 31/08/2026 — pagamento recebido via Pix em 08/09/2026</t>
        </is>
      </c>
    </row>
    <row r="52">
      <c r="A52" s="93" t="n">
        <v>46273</v>
      </c>
      <c r="B52" s="94" t="inlineStr">
        <is>
          <t>Crédito Celular da Loja</t>
        </is>
      </c>
      <c r="C52" s="94" t="n"/>
      <c r="D52" s="95" t="n"/>
      <c r="E52" s="94" t="n"/>
      <c r="F52" s="95" t="n"/>
      <c r="G52" s="95" t="n">
        <v>25</v>
      </c>
      <c r="H52" s="94" t="inlineStr">
        <is>
          <t>Outras Despesas</t>
        </is>
      </c>
      <c r="I52" s="94" t="n"/>
    </row>
    <row r="53">
      <c r="A53" s="89" t="n">
        <v>46273</v>
      </c>
      <c r="B53" s="90" t="inlineStr">
        <is>
          <t>Edileia Santana Lima</t>
        </is>
      </c>
      <c r="C53" s="90" t="inlineStr">
        <is>
          <t>Purificador Everest Fit Branco</t>
        </is>
      </c>
      <c r="D53" s="91" t="n">
        <v>1429</v>
      </c>
      <c r="E53" s="90" t="inlineStr">
        <is>
          <t>Crédito Parcelado</t>
        </is>
      </c>
      <c r="F53" s="91" t="n">
        <v>199.92</v>
      </c>
      <c r="G53" s="91" t="n"/>
      <c r="H53" s="90" t="n"/>
      <c r="I53" s="90" t="inlineStr">
        <is>
          <t>Crédito em 10x</t>
        </is>
      </c>
    </row>
    <row r="54">
      <c r="A54" s="93" t="n">
        <v>46273</v>
      </c>
      <c r="B54" s="94" t="inlineStr">
        <is>
          <t>Luiz Junior</t>
        </is>
      </c>
      <c r="C54" s="94" t="inlineStr">
        <is>
          <t>Refil Pro Life</t>
        </is>
      </c>
      <c r="D54" s="95" t="n">
        <v>130</v>
      </c>
      <c r="E54" s="94" t="inlineStr">
        <is>
          <t>Dinheiro</t>
        </is>
      </c>
      <c r="F54" s="95" t="n"/>
      <c r="G54" s="95" t="n"/>
      <c r="H54" s="94" t="n"/>
      <c r="I54" s="94" t="n"/>
    </row>
    <row r="55">
      <c r="A55" s="89" t="n">
        <v>46273</v>
      </c>
      <c r="B55" s="90" t="inlineStr">
        <is>
          <t>Consultório Dr Vitor Hugo</t>
        </is>
      </c>
      <c r="C55" s="90" t="inlineStr">
        <is>
          <t>Refil Everest</t>
        </is>
      </c>
      <c r="D55" s="91" t="n">
        <v>140</v>
      </c>
      <c r="E55" s="90" t="inlineStr">
        <is>
          <t>Dinheiro</t>
        </is>
      </c>
      <c r="F55" s="91" t="n"/>
      <c r="G55" s="91" t="n"/>
      <c r="H55" s="90" t="n"/>
      <c r="I55" s="90" t="n"/>
    </row>
    <row r="56">
      <c r="A56" s="93" t="n">
        <v>46273</v>
      </c>
      <c r="B56" s="94" t="inlineStr">
        <is>
          <t>Consumidor Final</t>
        </is>
      </c>
      <c r="C56" s="94" t="inlineStr">
        <is>
          <t>Carcaça 7" + 2x Refil Carbon 7"</t>
        </is>
      </c>
      <c r="D56" s="95" t="n">
        <v>230</v>
      </c>
      <c r="E56" s="94" t="inlineStr">
        <is>
          <t>Crédito Parcelado</t>
        </is>
      </c>
      <c r="F56" s="95" t="n">
        <v>19.27</v>
      </c>
      <c r="G56" s="95" t="n"/>
      <c r="H56" s="94" t="n"/>
      <c r="I56" s="94" t="inlineStr">
        <is>
          <t>Crédito em 2x</t>
        </is>
      </c>
    </row>
    <row r="57">
      <c r="A57" s="89" t="n">
        <v>46273</v>
      </c>
      <c r="B57" s="90" t="inlineStr">
        <is>
          <t>Lapec</t>
        </is>
      </c>
      <c r="C57" s="90" t="inlineStr">
        <is>
          <t>4x Refil Everest</t>
        </is>
      </c>
      <c r="D57" s="91" t="n">
        <v>480</v>
      </c>
      <c r="E57" s="90" t="inlineStr">
        <is>
          <t>Dinheiro</t>
        </is>
      </c>
      <c r="F57" s="91" t="n"/>
      <c r="G57" s="91" t="n"/>
      <c r="H57" s="90" t="n"/>
      <c r="I57" s="90" t="inlineStr">
        <is>
          <t>Venda de 24/08/2026 — pagamento recebido em dinheiro em 08/09/2026</t>
        </is>
      </c>
    </row>
    <row r="58">
      <c r="A58" s="93" t="n">
        <v>46273</v>
      </c>
      <c r="B58" s="94" t="inlineStr">
        <is>
          <t>Lapec</t>
        </is>
      </c>
      <c r="C58" s="94" t="inlineStr">
        <is>
          <t>Refil Everest + Refil C+3</t>
        </is>
      </c>
      <c r="D58" s="95" t="n">
        <v>220</v>
      </c>
      <c r="E58" s="94" t="inlineStr">
        <is>
          <t>Dinheiro</t>
        </is>
      </c>
      <c r="F58" s="95" t="n"/>
      <c r="G58" s="95" t="n"/>
      <c r="H58" s="94" t="n"/>
      <c r="I58" s="94" t="n"/>
    </row>
    <row r="59">
      <c r="A59" s="89" t="n">
        <v>46270</v>
      </c>
      <c r="B59" s="90" t="inlineStr">
        <is>
          <t>Comissão Wiliam</t>
        </is>
      </c>
      <c r="C59" s="90" t="n"/>
      <c r="D59" s="91" t="n"/>
      <c r="E59" s="90" t="n"/>
      <c r="F59" s="91" t="n"/>
      <c r="G59" s="91" t="n">
        <v>550</v>
      </c>
      <c r="H59" s="90" t="inlineStr">
        <is>
          <t>Salários, Comissões e Encargos</t>
        </is>
      </c>
      <c r="I59" s="90" t="inlineStr">
        <is>
          <t>Comissões da quinzena de 24/08 a 05/09/2026</t>
        </is>
      </c>
    </row>
    <row r="60">
      <c r="A60" s="93" t="n">
        <v>46273</v>
      </c>
      <c r="B60" s="94" t="inlineStr">
        <is>
          <t>Central do Suplemento</t>
        </is>
      </c>
      <c r="C60" s="94" t="inlineStr">
        <is>
          <t>Refil Everest</t>
        </is>
      </c>
      <c r="D60" s="95" t="n">
        <v>140</v>
      </c>
      <c r="E60" s="94" t="inlineStr">
        <is>
          <t>Dinheiro</t>
        </is>
      </c>
      <c r="F60" s="95" t="n"/>
      <c r="G60" s="95" t="n"/>
      <c r="H60" s="94" t="n"/>
      <c r="I60" s="94" t="n"/>
    </row>
    <row r="61">
      <c r="A61" s="89" t="n">
        <v>46273</v>
      </c>
      <c r="B61" s="90" t="inlineStr">
        <is>
          <t>Tarifa Pix (Cobrança QR Code)</t>
        </is>
      </c>
      <c r="C61" s="90" t="n"/>
      <c r="D61" s="91" t="n"/>
      <c r="E61" s="90" t="n"/>
      <c r="F61" s="91" t="n"/>
      <c r="G61" s="91" t="n">
        <v>0.5</v>
      </c>
      <c r="H61" s="90" t="inlineStr">
        <is>
          <t>Tarifas Bancárias e Cartão</t>
        </is>
      </c>
      <c r="I61" s="90" t="inlineStr">
        <is>
          <t>DOC 85500035</t>
        </is>
      </c>
    </row>
    <row r="62">
      <c r="A62" s="93" t="n">
        <v>46273</v>
      </c>
      <c r="B62" s="94" t="inlineStr">
        <is>
          <t>Conta de Energia Loja</t>
        </is>
      </c>
      <c r="C62" s="94" t="n"/>
      <c r="D62" s="95" t="n"/>
      <c r="E62" s="94" t="n"/>
      <c r="F62" s="95" t="n"/>
      <c r="G62" s="95" t="n">
        <v>150.06</v>
      </c>
      <c r="H62" s="94" t="inlineStr">
        <is>
          <t>Água, Energia e Internet</t>
        </is>
      </c>
      <c r="I62" s="94" t="inlineStr">
        <is>
          <t>Neoenergia Coelba — ref. 08/2026, venc. 08/09/2026.</t>
        </is>
      </c>
    </row>
    <row r="63">
      <c r="A63" s="89" t="n">
        <v>46273</v>
      </c>
      <c r="B63" s="90" t="inlineStr">
        <is>
          <t>Eversoft</t>
        </is>
      </c>
      <c r="C63" s="90" t="n"/>
      <c r="D63" s="91" t="n"/>
      <c r="E63" s="90" t="n"/>
      <c r="F63" s="91" t="n"/>
      <c r="G63" s="91" t="n">
        <v>878.92</v>
      </c>
      <c r="H63" s="90" t="inlineStr">
        <is>
          <t>Fornecedores / Mercadoria</t>
        </is>
      </c>
      <c r="I63" s="90" t="inlineStr">
        <is>
          <t>Boleto doc. 73636 (emissão 10/06/2026) — venc. 08/09/2026. Pago em 08/09/2026.</t>
        </is>
      </c>
    </row>
    <row r="64">
      <c r="A64" s="93" t="n">
        <v>46274</v>
      </c>
      <c r="B64" s="94" t="inlineStr">
        <is>
          <t>Juliane Rosa de Oliveira</t>
        </is>
      </c>
      <c r="C64" s="94" t="inlineStr">
        <is>
          <t>Refil Everest</t>
        </is>
      </c>
      <c r="D64" s="95" t="n">
        <v>140</v>
      </c>
      <c r="E64" s="94" t="inlineStr">
        <is>
          <t>Crédito à Vista</t>
        </is>
      </c>
      <c r="F64" s="95" t="n">
        <v>4.92</v>
      </c>
      <c r="G64" s="95" t="n"/>
      <c r="H64" s="94" t="n"/>
      <c r="I64" s="94" t="n"/>
    </row>
    <row r="65">
      <c r="A65" s="89" t="n">
        <v>46274</v>
      </c>
      <c r="B65" s="90" t="inlineStr">
        <is>
          <t>Erika Lopes de Guimaraes</t>
        </is>
      </c>
      <c r="C65" s="90" t="inlineStr">
        <is>
          <t>Refil FPA14</t>
        </is>
      </c>
      <c r="D65" s="91" t="n">
        <v>100</v>
      </c>
      <c r="E65" s="90" t="inlineStr">
        <is>
          <t>Pix</t>
        </is>
      </c>
      <c r="F65" s="91" t="n"/>
      <c r="G65" s="91" t="n"/>
      <c r="H65" s="90" t="n"/>
      <c r="I65" s="90" t="n"/>
    </row>
    <row r="66">
      <c r="A66" s="93" t="n">
        <v>46274</v>
      </c>
      <c r="B66" s="94" t="inlineStr">
        <is>
          <t>Bomboniere Doce Mania - Veronildo Basilio</t>
        </is>
      </c>
      <c r="C66" s="94" t="inlineStr">
        <is>
          <t>Refil Plissado + Refil BAG</t>
        </is>
      </c>
      <c r="D66" s="95" t="n">
        <v>150</v>
      </c>
      <c r="E66" s="94" t="inlineStr">
        <is>
          <t>Aguardando Pagamento</t>
        </is>
      </c>
      <c r="F66" s="95" t="n"/>
      <c r="G66" s="95" t="n"/>
      <c r="H66" s="94" t="n"/>
      <c r="I66" s="94" t="n"/>
    </row>
    <row r="67">
      <c r="A67" s="89" t="n">
        <v>46274</v>
      </c>
      <c r="B67" s="90" t="inlineStr">
        <is>
          <t>Filtros Planeta Água</t>
        </is>
      </c>
      <c r="C67" s="90" t="n"/>
      <c r="D67" s="91" t="n"/>
      <c r="E67" s="90" t="n"/>
      <c r="F67" s="91" t="n"/>
      <c r="G67" s="91" t="n">
        <v>649.83</v>
      </c>
      <c r="H67" s="90" t="inlineStr">
        <is>
          <t>Fornecedores / Mercadoria</t>
        </is>
      </c>
      <c r="I67" s="90" t="inlineStr">
        <is>
          <t>Boleto doc. 133138/1 (emissão 12/08/2026) — venc. 09/09/2026. Pago em 09/09/2026.</t>
        </is>
      </c>
    </row>
    <row r="68">
      <c r="A68" s="93" t="n">
        <v>46274</v>
      </c>
      <c r="B68" s="94" t="inlineStr">
        <is>
          <t>Sindicato dos Empregados no Comércio de Jacobina</t>
        </is>
      </c>
      <c r="C68" s="94" t="n"/>
      <c r="D68" s="95" t="n"/>
      <c r="E68" s="94" t="n"/>
      <c r="F68" s="95" t="n"/>
      <c r="G68" s="95" t="n">
        <v>59.5</v>
      </c>
      <c r="H68" s="94" t="inlineStr">
        <is>
          <t>Impostos e Taxas</t>
        </is>
      </c>
      <c r="I68" s="94" t="inlineStr">
        <is>
          <t>Contribuição assistencial — competência junho/2026. Venc. 10/09/2026, pago em 09/09/2026.</t>
        </is>
      </c>
    </row>
    <row r="69">
      <c r="A69" s="89" t="n">
        <v>46274</v>
      </c>
      <c r="B69" s="90" t="inlineStr">
        <is>
          <t>Pro Labore Edilânia</t>
        </is>
      </c>
      <c r="C69" s="90" t="n"/>
      <c r="D69" s="91" t="n"/>
      <c r="E69" s="90" t="n"/>
      <c r="F69" s="91" t="n"/>
      <c r="G69" s="91" t="n">
        <v>400</v>
      </c>
      <c r="H69" s="90" t="inlineStr">
        <is>
          <t>Pro Labore Edilânia</t>
        </is>
      </c>
      <c r="I69" s="90" t="n"/>
    </row>
    <row r="70">
      <c r="A70" s="93" t="n">
        <v>46274</v>
      </c>
      <c r="B70" s="94" t="inlineStr">
        <is>
          <t>Antonio Felix dos Santos</t>
        </is>
      </c>
      <c r="C70" s="94" t="inlineStr">
        <is>
          <t>Refil Everest</t>
        </is>
      </c>
      <c r="D70" s="95" t="n">
        <v>140</v>
      </c>
      <c r="E70" s="94" t="inlineStr">
        <is>
          <t>Dinheiro</t>
        </is>
      </c>
      <c r="F70" s="95" t="n"/>
      <c r="G70" s="95" t="n"/>
      <c r="H70" s="94" t="n"/>
      <c r="I70" s="94" t="n"/>
    </row>
    <row r="71">
      <c r="A71" s="89" t="n">
        <v>46274</v>
      </c>
      <c r="B71" s="90" t="inlineStr">
        <is>
          <t>Arivaldo Teixeira Advocacia</t>
        </is>
      </c>
      <c r="C71" s="90" t="inlineStr">
        <is>
          <t>Refil Everest</t>
        </is>
      </c>
      <c r="D71" s="91" t="n">
        <v>140</v>
      </c>
      <c r="E71" s="90" t="inlineStr">
        <is>
          <t>Pix</t>
        </is>
      </c>
      <c r="F71" s="91" t="n"/>
      <c r="G71" s="91" t="n"/>
      <c r="H71" s="90" t="n"/>
      <c r="I71" s="90" t="n"/>
    </row>
    <row r="72">
      <c r="A72" s="93" t="n">
        <v>46274</v>
      </c>
      <c r="B72" s="94" t="inlineStr">
        <is>
          <t>Central do Suplemento</t>
        </is>
      </c>
      <c r="C72" s="94" t="inlineStr">
        <is>
          <t>2x Botão do Purificador Everest</t>
        </is>
      </c>
      <c r="D72" s="95" t="n">
        <v>60</v>
      </c>
      <c r="E72" s="94" t="inlineStr">
        <is>
          <t>Dinheiro</t>
        </is>
      </c>
      <c r="F72" s="95" t="n"/>
      <c r="G72" s="95" t="n"/>
      <c r="H72" s="94" t="n"/>
      <c r="I72" s="94" t="n"/>
    </row>
    <row r="73">
      <c r="A73" s="89" t="n">
        <v>46274</v>
      </c>
      <c r="B73" s="90" t="inlineStr">
        <is>
          <t>Tereza Cristina Aquino Martins - Escritório</t>
        </is>
      </c>
      <c r="C73" s="90" t="inlineStr">
        <is>
          <t>Refil FPA14 + Refil Universal</t>
        </is>
      </c>
      <c r="D73" s="91" t="n">
        <v>130</v>
      </c>
      <c r="E73" s="90" t="inlineStr">
        <is>
          <t>Pix</t>
        </is>
      </c>
      <c r="F73" s="91" t="n"/>
      <c r="G73" s="91" t="n"/>
      <c r="H73" s="90" t="n"/>
      <c r="I73" s="90" t="n"/>
    </row>
    <row r="74">
      <c r="A74" s="93" t="n">
        <v>46274</v>
      </c>
      <c r="B74" s="94" t="inlineStr">
        <is>
          <t>Consumidor Final</t>
        </is>
      </c>
      <c r="C74" s="94" t="inlineStr">
        <is>
          <t>Mangueira (11m)</t>
        </is>
      </c>
      <c r="D74" s="95" t="n">
        <v>100</v>
      </c>
      <c r="E74" s="94" t="inlineStr">
        <is>
          <t>Dinheiro</t>
        </is>
      </c>
      <c r="F74" s="95" t="n"/>
      <c r="G74" s="95" t="n"/>
      <c r="H74" s="94" t="n"/>
      <c r="I74" s="94" t="n"/>
    </row>
    <row r="75">
      <c r="A75" s="89" t="n">
        <v>46274</v>
      </c>
      <c r="B75" s="90" t="inlineStr">
        <is>
          <t>Rebeca Oliveira Soares Avelino</t>
        </is>
      </c>
      <c r="C75" s="90" t="inlineStr">
        <is>
          <t>Purificador Everest Fit Branco</t>
        </is>
      </c>
      <c r="D75" s="91" t="n">
        <v>1299</v>
      </c>
      <c r="E75" s="90" t="inlineStr">
        <is>
          <t>Crédito Parcelado</t>
        </is>
      </c>
      <c r="F75" s="91" t="n">
        <v>181.73</v>
      </c>
      <c r="G75" s="91" t="n"/>
      <c r="H75" s="90" t="n"/>
      <c r="I75" s="90" t="inlineStr">
        <is>
          <t>Crédito em 10x</t>
        </is>
      </c>
    </row>
    <row r="76">
      <c r="A76" s="93" t="n">
        <v>46274</v>
      </c>
      <c r="B76" s="94" t="inlineStr">
        <is>
          <t>Acerto de Armando</t>
        </is>
      </c>
      <c r="C76" s="94" t="n"/>
      <c r="D76" s="95" t="n">
        <v>700</v>
      </c>
      <c r="E76" s="94" t="inlineStr">
        <is>
          <t>Dinheiro</t>
        </is>
      </c>
      <c r="F76" s="95" t="n"/>
      <c r="G76" s="95" t="n"/>
      <c r="H76" s="94" t="n"/>
      <c r="I76" s="94" t="n"/>
    </row>
    <row r="77">
      <c r="A77" s="89" t="n">
        <v>46275</v>
      </c>
      <c r="B77" s="90" t="inlineStr">
        <is>
          <t>Acerto de Armando</t>
        </is>
      </c>
      <c r="C77" s="90" t="n"/>
      <c r="D77" s="91" t="n">
        <v>2000</v>
      </c>
      <c r="E77" s="90" t="inlineStr">
        <is>
          <t>Pix</t>
        </is>
      </c>
      <c r="F77" s="91" t="n"/>
      <c r="G77" s="91" t="n"/>
      <c r="H77" s="90" t="n"/>
      <c r="I77" s="90" t="n"/>
    </row>
    <row r="78">
      <c r="A78" s="93" t="n">
        <v>46275</v>
      </c>
      <c r="B78" s="94" t="inlineStr">
        <is>
          <t>Consumidor Final</t>
        </is>
      </c>
      <c r="C78" s="94" t="inlineStr">
        <is>
          <t>Mangueira (2m)</t>
        </is>
      </c>
      <c r="D78" s="95" t="n">
        <v>20</v>
      </c>
      <c r="E78" s="94" t="inlineStr">
        <is>
          <t>Dinheiro</t>
        </is>
      </c>
      <c r="F78" s="95" t="n"/>
      <c r="G78" s="95" t="n"/>
      <c r="H78" s="94" t="n"/>
      <c r="I78" s="94" t="n"/>
    </row>
    <row r="79">
      <c r="A79" s="89" t="n">
        <v>46275</v>
      </c>
      <c r="B79" s="90" t="inlineStr">
        <is>
          <t>Compra na Shopee - Ferramentas, Velas e Tinta</t>
        </is>
      </c>
      <c r="C79" s="90" t="n"/>
      <c r="D79" s="91" t="n"/>
      <c r="E79" s="90" t="n"/>
      <c r="F79" s="91" t="n"/>
      <c r="G79" s="91" t="n">
        <v>139.59</v>
      </c>
      <c r="H79" s="90" t="inlineStr">
        <is>
          <t>Manutenção e Reparos</t>
        </is>
      </c>
      <c r="I79" s="90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93" t="n">
        <v>46275</v>
      </c>
      <c r="B80" s="94" t="inlineStr">
        <is>
          <t>Pamella Rodrigues Ribeiro de Oliveira</t>
        </is>
      </c>
      <c r="C80" s="94" t="inlineStr">
        <is>
          <t>Refil Everest + Mangueira</t>
        </is>
      </c>
      <c r="D80" s="95" t="n">
        <v>150</v>
      </c>
      <c r="E80" s="94" t="inlineStr">
        <is>
          <t>Crédito Parcelado</t>
        </is>
      </c>
      <c r="F80" s="95" t="n">
        <v>10.48</v>
      </c>
      <c r="G80" s="95" t="n"/>
      <c r="H80" s="94" t="n"/>
      <c r="I80" s="94" t="inlineStr">
        <is>
          <t>Crédito em 2x</t>
        </is>
      </c>
    </row>
    <row r="81">
      <c r="A81" s="89" t="n">
        <v>46275</v>
      </c>
      <c r="B81" s="90" t="inlineStr">
        <is>
          <t>Consumidor Final</t>
        </is>
      </c>
      <c r="C81" s="90" t="inlineStr">
        <is>
          <t>Refil BAG</t>
        </is>
      </c>
      <c r="D81" s="91" t="n">
        <v>50</v>
      </c>
      <c r="E81" s="90" t="inlineStr">
        <is>
          <t>Débito</t>
        </is>
      </c>
      <c r="F81" s="91" t="n">
        <v>0.72</v>
      </c>
      <c r="G81" s="91" t="n"/>
      <c r="H81" s="90" t="n"/>
      <c r="I81" s="90" t="n"/>
    </row>
    <row r="82">
      <c r="A82" s="93" t="n">
        <v>46276</v>
      </c>
      <c r="B82" s="94" t="inlineStr">
        <is>
          <t>Adriadne (Hotel Jovem Jota)</t>
        </is>
      </c>
      <c r="C82" s="94" t="inlineStr">
        <is>
          <t>Refil Everest</t>
        </is>
      </c>
      <c r="D82" s="95" t="n">
        <v>140</v>
      </c>
      <c r="E82" s="94" t="inlineStr">
        <is>
          <t>Pix</t>
        </is>
      </c>
      <c r="F82" s="95" t="n"/>
      <c r="G82" s="95" t="n"/>
      <c r="H82" s="94" t="n"/>
      <c r="I82" s="94" t="inlineStr">
        <is>
          <t>Venda de 10/09/2026 — pagamento recebido via Pix em 11/09/2026</t>
        </is>
      </c>
    </row>
    <row r="83">
      <c r="A83" s="89" t="n">
        <v>46276</v>
      </c>
      <c r="B83" s="90" t="inlineStr">
        <is>
          <t>Pousada Triunfo Ltda (Hotel Triunfo)</t>
        </is>
      </c>
      <c r="C83" s="90" t="inlineStr">
        <is>
          <t>Refil Everest + Pré Filtro</t>
        </is>
      </c>
      <c r="D83" s="91" t="n">
        <v>200</v>
      </c>
      <c r="E83" s="90" t="inlineStr">
        <is>
          <t>Pix</t>
        </is>
      </c>
      <c r="F83" s="91" t="n"/>
      <c r="G83" s="91" t="n"/>
      <c r="H83" s="90" t="n"/>
      <c r="I83" s="90" t="inlineStr">
        <is>
          <t>Venda de 10/09/2026 — pagamento recebido via Pix em 11/09/2026</t>
        </is>
      </c>
    </row>
    <row r="84">
      <c r="A84" s="93" t="n">
        <v>46276</v>
      </c>
      <c r="B84" s="94" t="inlineStr">
        <is>
          <t>Topvel Tropical Veiculos e Pecas</t>
        </is>
      </c>
      <c r="C84" s="94" t="inlineStr">
        <is>
          <t>2x Refil Everest + 2x Pré Filtro</t>
        </is>
      </c>
      <c r="D84" s="95" t="n">
        <v>370</v>
      </c>
      <c r="E84" s="94" t="inlineStr">
        <is>
          <t>Aguardando Pagamento</t>
        </is>
      </c>
      <c r="F84" s="95" t="n"/>
      <c r="G84" s="95" t="n"/>
      <c r="H84" s="94" t="n"/>
      <c r="I84" s="94" t="n"/>
    </row>
    <row r="85">
      <c r="A85" s="89" t="n">
        <v>46276</v>
      </c>
      <c r="B85" s="90" t="inlineStr">
        <is>
          <t>J Diesel Motores e Reparos - Gilmara</t>
        </is>
      </c>
      <c r="C85" s="90" t="inlineStr">
        <is>
          <t>Refil Everest</t>
        </is>
      </c>
      <c r="D85" s="91" t="n">
        <v>140</v>
      </c>
      <c r="E85" s="90" t="inlineStr">
        <is>
          <t>Pix</t>
        </is>
      </c>
      <c r="F85" s="91" t="n"/>
      <c r="G85" s="91" t="n"/>
      <c r="H85" s="90" t="n"/>
      <c r="I85" s="90" t="inlineStr">
        <is>
          <t>Venda de 11/09/2026 — pagamento recebido via Pix em 14/09/2026</t>
        </is>
      </c>
    </row>
    <row r="86">
      <c r="A86" s="93" t="n">
        <v>46276</v>
      </c>
      <c r="B86" s="94" t="inlineStr">
        <is>
          <t>Loja D Leles</t>
        </is>
      </c>
      <c r="C86" s="94" t="inlineStr">
        <is>
          <t>Refil Everest</t>
        </is>
      </c>
      <c r="D86" s="95" t="n">
        <v>140</v>
      </c>
      <c r="E86" s="94" t="inlineStr">
        <is>
          <t>Dinheiro</t>
        </is>
      </c>
      <c r="F86" s="95" t="n"/>
      <c r="G86" s="95" t="n"/>
      <c r="H86" s="94" t="n"/>
      <c r="I86" s="94" t="n"/>
    </row>
    <row r="87">
      <c r="A87" s="89" t="n">
        <v>46276</v>
      </c>
      <c r="B87" s="90" t="inlineStr">
        <is>
          <t>Atacadão da Limpeza</t>
        </is>
      </c>
      <c r="C87" s="90" t="n"/>
      <c r="D87" s="91" t="n"/>
      <c r="E87" s="90" t="n"/>
      <c r="F87" s="91" t="n"/>
      <c r="G87" s="91" t="n">
        <v>46</v>
      </c>
      <c r="H87" s="90" t="inlineStr">
        <is>
          <t>Material de Limpeza e Escritório</t>
        </is>
      </c>
      <c r="I87" s="90" t="inlineStr">
        <is>
          <t>Luva vinil G + saco de lixo 60L — venda nº 00021207 (total R$ 46,98, desconto R$ 0,98). Pago em dinheiro.</t>
        </is>
      </c>
    </row>
    <row r="88">
      <c r="A88" s="93" t="n">
        <v>46276</v>
      </c>
      <c r="B88" s="94" t="inlineStr">
        <is>
          <t>Faca Feira Supermercado</t>
        </is>
      </c>
      <c r="C88" s="94" t="n"/>
      <c r="D88" s="95" t="n"/>
      <c r="E88" s="94" t="n"/>
      <c r="F88" s="95" t="n"/>
      <c r="G88" s="95" t="n">
        <v>8.48</v>
      </c>
      <c r="H88" s="94" t="inlineStr">
        <is>
          <t>Material de Limpeza e Escritório</t>
        </is>
      </c>
      <c r="I88" s="94" t="inlineStr">
        <is>
          <t>Copo descartável 200 ml — NFC-e nº 208441. Pago em dinheiro.</t>
        </is>
      </c>
    </row>
    <row r="89">
      <c r="A89" s="89" t="n">
        <v>46276</v>
      </c>
      <c r="B89" s="90" t="inlineStr">
        <is>
          <t>Conserto do Controle do Alarme da Loja</t>
        </is>
      </c>
      <c r="C89" s="90" t="n"/>
      <c r="D89" s="91" t="n"/>
      <c r="E89" s="90" t="n"/>
      <c r="F89" s="91" t="n"/>
      <c r="G89" s="91" t="n">
        <v>20</v>
      </c>
      <c r="H89" s="90" t="inlineStr">
        <is>
          <t>Manutenção e Reparos</t>
        </is>
      </c>
      <c r="I89" s="90" t="n"/>
    </row>
    <row r="90">
      <c r="A90" s="93" t="n">
        <v>46276</v>
      </c>
      <c r="B90" s="94" t="inlineStr">
        <is>
          <t>Comissão Wiliam</t>
        </is>
      </c>
      <c r="C90" s="94" t="n"/>
      <c r="D90" s="95" t="n"/>
      <c r="E90" s="94" t="n"/>
      <c r="F90" s="95" t="n"/>
      <c r="G90" s="95" t="n">
        <v>30</v>
      </c>
      <c r="H90" s="94" t="inlineStr">
        <is>
          <t>Salários, Comissões e Encargos</t>
        </is>
      </c>
      <c r="I90" s="94" t="n"/>
    </row>
    <row r="91">
      <c r="A91" s="89" t="n">
        <v>46276</v>
      </c>
      <c r="B91" s="90" t="inlineStr">
        <is>
          <t>L K Abade Ltda</t>
        </is>
      </c>
      <c r="C91" s="90" t="n"/>
      <c r="D91" s="91" t="n"/>
      <c r="E91" s="90" t="n"/>
      <c r="F91" s="91" t="n"/>
      <c r="G91" s="91" t="n">
        <v>70</v>
      </c>
      <c r="H91" s="90" t="inlineStr">
        <is>
          <t>Material de Limpeza e Escritório</t>
        </is>
      </c>
      <c r="I91" s="90" t="inlineStr">
        <is>
          <t>4 caixas organizadoras rattan 28L + 2 panos multiuso + 1 forma descartável para air fryer — pedido nº 48303.</t>
        </is>
      </c>
    </row>
    <row r="92">
      <c r="A92" s="93" t="n">
        <v>46273</v>
      </c>
      <c r="B92" s="94" t="inlineStr">
        <is>
          <t>Moto Táxi</t>
        </is>
      </c>
      <c r="C92" s="94" t="n"/>
      <c r="D92" s="95" t="n"/>
      <c r="E92" s="94" t="n"/>
      <c r="F92" s="95" t="n"/>
      <c r="G92" s="95" t="n">
        <v>16</v>
      </c>
      <c r="H92" s="94" t="inlineStr">
        <is>
          <t>Transporte e Entregas</t>
        </is>
      </c>
      <c r="I92" s="94" t="n"/>
    </row>
    <row r="93">
      <c r="A93" s="89" t="n">
        <v>46279</v>
      </c>
      <c r="B93" s="90" t="inlineStr">
        <is>
          <t>Consumidor Final</t>
        </is>
      </c>
      <c r="C93" s="90" t="inlineStr">
        <is>
          <t>Refil E3</t>
        </is>
      </c>
      <c r="D93" s="91" t="n">
        <v>90</v>
      </c>
      <c r="E93" s="90" t="inlineStr">
        <is>
          <t>Dinheiro</t>
        </is>
      </c>
      <c r="F93" s="91" t="n"/>
      <c r="G93" s="91" t="n"/>
      <c r="H93" s="90" t="n"/>
      <c r="I93" s="90" t="n"/>
    </row>
    <row r="94">
      <c r="A94" s="93" t="n">
        <v>46279</v>
      </c>
      <c r="B94" s="94" t="inlineStr">
        <is>
          <t>IOB</t>
        </is>
      </c>
      <c r="C94" s="94" t="inlineStr">
        <is>
          <t>Refil Everest + Pré Filtro</t>
        </is>
      </c>
      <c r="D94" s="95" t="n">
        <v>200</v>
      </c>
      <c r="E94" s="94" t="inlineStr">
        <is>
          <t>Pix</t>
        </is>
      </c>
      <c r="F94" s="95" t="n"/>
      <c r="G94" s="95" t="n"/>
      <c r="H94" s="94" t="n"/>
      <c r="I94" s="94" t="n"/>
    </row>
    <row r="95">
      <c r="A95" s="89" t="n">
        <v>46279</v>
      </c>
      <c r="B95" s="90" t="inlineStr">
        <is>
          <t>Cliente de Armando</t>
        </is>
      </c>
      <c r="C95" s="90" t="n"/>
      <c r="D95" s="91" t="n">
        <v>145</v>
      </c>
      <c r="E95" s="90" t="inlineStr">
        <is>
          <t>Crédito Parcelado</t>
        </is>
      </c>
      <c r="F95" s="91" t="n">
        <v>10.14</v>
      </c>
      <c r="G95" s="91" t="n"/>
      <c r="H95" s="90" t="n"/>
      <c r="I95" s="90" t="inlineStr">
        <is>
          <t>Crédito em 3x</t>
        </is>
      </c>
    </row>
    <row r="96">
      <c r="A96" s="93" t="n">
        <v>46279</v>
      </c>
      <c r="B96" s="94" t="inlineStr">
        <is>
          <t>Acerto de Armando</t>
        </is>
      </c>
      <c r="C96" s="94" t="n"/>
      <c r="D96" s="95" t="n">
        <v>800</v>
      </c>
      <c r="E96" s="94" t="inlineStr">
        <is>
          <t>Dinheiro</t>
        </is>
      </c>
      <c r="F96" s="95" t="n"/>
      <c r="G96" s="95" t="n"/>
      <c r="H96" s="94" t="n"/>
      <c r="I96" s="94" t="n"/>
    </row>
    <row r="97">
      <c r="A97" s="89" t="n">
        <v>46279</v>
      </c>
      <c r="B97" s="90" t="inlineStr">
        <is>
          <t>Consumidor Final</t>
        </is>
      </c>
      <c r="C97" s="90" t="inlineStr">
        <is>
          <t>Suporte Fit (para Carcaça) + Refil Plissado + Refil Carbon Tech 9"</t>
        </is>
      </c>
      <c r="D97" s="91" t="n">
        <v>205</v>
      </c>
      <c r="E97" s="90" t="inlineStr">
        <is>
          <t>Crédito Parcelado</t>
        </is>
      </c>
      <c r="F97" s="91" t="n">
        <v>16.38</v>
      </c>
      <c r="G97" s="91" t="n"/>
      <c r="H97" s="90" t="n"/>
      <c r="I97" s="90" t="inlineStr">
        <is>
          <t>Crédito em 4x</t>
        </is>
      </c>
    </row>
    <row r="98">
      <c r="A98" s="93" t="n">
        <v>46279</v>
      </c>
      <c r="B98" s="94" t="inlineStr">
        <is>
          <t>Jaqueline da Silva Oliveira Nunes</t>
        </is>
      </c>
      <c r="C98" s="94" t="inlineStr">
        <is>
          <t>Refil Everest + Pré Filtro</t>
        </is>
      </c>
      <c r="D98" s="95" t="n">
        <v>200</v>
      </c>
      <c r="E98" s="94" t="inlineStr">
        <is>
          <t>Crédito Parcelado</t>
        </is>
      </c>
      <c r="F98" s="95" t="n">
        <v>16.38</v>
      </c>
      <c r="G98" s="95" t="n"/>
      <c r="H98" s="94" t="n"/>
      <c r="I98" s="94" t="inlineStr">
        <is>
          <t>Crédito em 4x</t>
        </is>
      </c>
    </row>
    <row r="99">
      <c r="A99" s="29" t="n"/>
      <c r="B99" s="43" t="inlineStr">
        <is>
          <t>TOTAL DO MÊS</t>
        </is>
      </c>
      <c r="C99" s="161" t="n"/>
      <c r="D99" s="8">
        <f>SUM(D5:D98)</f>
        <v/>
      </c>
      <c r="E99" s="8" t="n"/>
      <c r="F99" s="29">
        <f>SUM(F5:F98)</f>
        <v/>
      </c>
      <c r="G99" s="8">
        <f>SUM(G5:G98)</f>
        <v/>
      </c>
      <c r="H99" s="29" t="n"/>
      <c r="I99" s="29" t="n"/>
    </row>
    <row r="100">
      <c r="A100" s="30" t="n"/>
      <c r="B100" s="154" t="inlineStr">
        <is>
          <t>SALDO DO MÊS (Entradas líquidas − Despesas da loja)</t>
        </is>
      </c>
      <c r="D100" s="153">
        <f>(D99-F99-T5)-(L18-L19)</f>
        <v/>
      </c>
      <c r="F100" s="30" t="n"/>
      <c r="H100" s="30" t="n"/>
      <c r="I100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98" showDropDown="0" showInputMessage="0" showErrorMessage="0" allowBlank="1" type="list">
      <formula1>"Dinheiro,Pix,Débito,Crédito à Vista,Crédito Parcelado,Aguardando Pagamento"</formula1>
    </dataValidation>
    <dataValidation sqref="H5:H9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>
        <v>46305</v>
      </c>
      <c r="B5" s="90" t="inlineStr">
        <is>
          <t>AGES Jacobina (Jacobina/BA)</t>
        </is>
      </c>
      <c r="C5" s="90" t="inlineStr">
        <is>
          <t>Refis — troca de julho/2026</t>
        </is>
      </c>
      <c r="D5" s="91" t="n">
        <v>1188.25</v>
      </c>
      <c r="E5" s="90" t="inlineStr">
        <is>
          <t>Aguardando Pagamento</t>
        </is>
      </c>
      <c r="F5" s="91" t="n"/>
      <c r="G5" s="91" t="n"/>
      <c r="H5" s="90" t="n"/>
      <c r="I5" s="90" t="inlineStr">
        <is>
          <t>Grupo Ânima — OC AEMPPO00004453 · NF 000.004.332 de 26/08/2026 · prazo 45 dias · vencimento 10/10/2026 (desc. 3%) · previsão de pagamento confirmada no portal V360 em 02/09/2026</t>
        </is>
      </c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BD5E0"/>
    <outlinePr summaryBelow="1" summaryRight="1"/>
    <pageSetUpPr/>
  </sheetPr>
  <dimension ref="A1:U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58" min="1" max="1"/>
    <col width="42" customWidth="1" style="158" min="2" max="2"/>
    <col width="26" customWidth="1" style="158" min="3" max="3"/>
    <col width="14" customWidth="1" style="158" min="4" max="4"/>
    <col width="20" customWidth="1" style="158" min="5" max="5"/>
    <col width="16" customWidth="1" style="158" min="6" max="6"/>
    <col width="14" customWidth="1" style="158" min="7" max="7"/>
    <col width="26" customWidth="1" style="158" min="8" max="8"/>
    <col width="30" customWidth="1" style="158" min="9" max="9"/>
    <col width="3" customWidth="1" style="158" min="10" max="10"/>
    <col width="30" customWidth="1" style="158" min="11" max="11"/>
    <col width="14" customWidth="1" style="158" min="12" max="12"/>
    <col width="3" customWidth="1" style="158" min="13" max="13"/>
    <col width="13" customWidth="1" style="158" min="14" max="21"/>
  </cols>
  <sheetData>
    <row r="1" ht="21" customHeight="1" s="158">
      <c r="A1" s="235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46" t="inlineStr">
        <is>
          <t>← Início</t>
        </is>
      </c>
    </row>
    <row r="4" ht="30" customHeight="1" s="158">
      <c r="A4" s="88" t="inlineStr">
        <is>
          <t>Data</t>
        </is>
      </c>
      <c r="B4" s="88" t="inlineStr">
        <is>
          <t>Descrição / Cliente</t>
        </is>
      </c>
      <c r="C4" s="88" t="inlineStr">
        <is>
          <t>Produto</t>
        </is>
      </c>
      <c r="D4" s="88" t="inlineStr">
        <is>
          <t>Entrada (R$)</t>
        </is>
      </c>
      <c r="E4" s="88" t="inlineStr">
        <is>
          <t>Forma de Pagamento</t>
        </is>
      </c>
      <c r="F4" s="88" t="inlineStr">
        <is>
          <t>Taxa da Máquina (R$)</t>
        </is>
      </c>
      <c r="G4" s="88" t="inlineStr">
        <is>
          <t>Saída (R$)</t>
        </is>
      </c>
      <c r="H4" s="88" t="inlineStr">
        <is>
          <t>Categoria da Saída</t>
        </is>
      </c>
      <c r="I4" s="88" t="inlineStr">
        <is>
          <t>Observações</t>
        </is>
      </c>
      <c r="K4" s="236" t="inlineStr">
        <is>
          <t>Saídas por Categoria</t>
        </is>
      </c>
      <c r="N4" s="238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89" t="n"/>
      <c r="B5" s="90" t="n"/>
      <c r="C5" s="90" t="n"/>
      <c r="D5" s="91" t="n"/>
      <c r="E5" s="90" t="n"/>
      <c r="F5" s="91" t="n"/>
      <c r="G5" s="91" t="n"/>
      <c r="H5" s="90" t="n"/>
      <c r="I5" s="90" t="n"/>
      <c r="K5" s="90" t="inlineStr">
        <is>
          <t>Fornecedores / Mercadoria</t>
        </is>
      </c>
      <c r="L5" s="92">
        <f>SUMIF($H$5:$H$54,K5,$G$5:$G$54)</f>
        <v/>
      </c>
      <c r="N5" s="237">
        <f>D55-F55-T5</f>
        <v/>
      </c>
      <c r="P5" s="189">
        <f>L18-L19</f>
        <v/>
      </c>
      <c r="R5" s="204">
        <f>D56</f>
        <v/>
      </c>
      <c r="T5" s="203">
        <f>SUMIF(E5:E54,"Aguardando Pagamento",D5:D54)</f>
        <v/>
      </c>
    </row>
    <row r="6">
      <c r="A6" s="93" t="n"/>
      <c r="B6" s="94" t="n"/>
      <c r="C6" s="94" t="n"/>
      <c r="D6" s="95" t="n"/>
      <c r="E6" s="94" t="n"/>
      <c r="F6" s="95" t="n"/>
      <c r="G6" s="95" t="n"/>
      <c r="H6" s="94" t="n"/>
      <c r="I6" s="94" t="n"/>
      <c r="K6" s="90" t="inlineStr">
        <is>
          <t>Aluguel</t>
        </is>
      </c>
      <c r="L6" s="92">
        <f>SUMIF($H$5:$H$54,K6,$G$5:$G$54)</f>
        <v/>
      </c>
    </row>
    <row r="7">
      <c r="A7" s="89" t="n"/>
      <c r="B7" s="90" t="n"/>
      <c r="C7" s="90" t="n"/>
      <c r="D7" s="91" t="n"/>
      <c r="E7" s="90" t="n"/>
      <c r="F7" s="91" t="n"/>
      <c r="G7" s="91" t="n"/>
      <c r="H7" s="90" t="n"/>
      <c r="I7" s="90" t="n"/>
      <c r="K7" s="90" t="inlineStr">
        <is>
          <t>Água, Energia e Internet</t>
        </is>
      </c>
      <c r="L7" s="92">
        <f>SUMIF($H$5:$H$54,K7,$G$5:$G$54)</f>
        <v/>
      </c>
    </row>
    <row r="8">
      <c r="A8" s="93" t="n"/>
      <c r="B8" s="94" t="n"/>
      <c r="C8" s="94" t="n"/>
      <c r="D8" s="95" t="n"/>
      <c r="E8" s="94" t="n"/>
      <c r="F8" s="95" t="n"/>
      <c r="G8" s="95" t="n"/>
      <c r="H8" s="94" t="n"/>
      <c r="I8" s="94" t="n"/>
      <c r="K8" s="90" t="inlineStr">
        <is>
          <t>Impostos e Taxas</t>
        </is>
      </c>
      <c r="L8" s="92">
        <f>SUMIF($H$5:$H$54,K8,$G$5:$G$54)</f>
        <v/>
      </c>
    </row>
    <row r="9">
      <c r="A9" s="89" t="n"/>
      <c r="B9" s="90" t="n"/>
      <c r="C9" s="90" t="n"/>
      <c r="D9" s="91" t="n"/>
      <c r="E9" s="90" t="n"/>
      <c r="F9" s="91" t="n"/>
      <c r="G9" s="91" t="n"/>
      <c r="H9" s="90" t="n"/>
      <c r="I9" s="90" t="n"/>
      <c r="K9" s="90" t="inlineStr">
        <is>
          <t>Tarifas Bancárias e Cartão</t>
        </is>
      </c>
      <c r="L9" s="92">
        <f>SUMIF($H$5:$H$54,K9,$G$5:$G$54)</f>
        <v/>
      </c>
    </row>
    <row r="10">
      <c r="A10" s="93" t="n"/>
      <c r="B10" s="94" t="n"/>
      <c r="C10" s="94" t="n"/>
      <c r="D10" s="95" t="n"/>
      <c r="E10" s="94" t="n"/>
      <c r="F10" s="95" t="n"/>
      <c r="G10" s="95" t="n"/>
      <c r="H10" s="94" t="n"/>
      <c r="I10" s="94" t="n"/>
      <c r="K10" s="90" t="inlineStr">
        <is>
          <t>Transporte e Entregas</t>
        </is>
      </c>
      <c r="L10" s="92">
        <f>SUMIF($H$5:$H$54,K10,$G$5:$G$54)</f>
        <v/>
      </c>
    </row>
    <row r="11">
      <c r="A11" s="89" t="n"/>
      <c r="B11" s="90" t="n"/>
      <c r="C11" s="90" t="n"/>
      <c r="D11" s="91" t="n"/>
      <c r="E11" s="90" t="n"/>
      <c r="F11" s="91" t="n"/>
      <c r="G11" s="91" t="n"/>
      <c r="H11" s="90" t="n"/>
      <c r="I11" s="90" t="n"/>
      <c r="K11" s="90" t="inlineStr">
        <is>
          <t>Salários, Comissões e Encargos</t>
        </is>
      </c>
      <c r="L11" s="92">
        <f>SUMIF($H$5:$H$54,K11,$G$5:$G$54)</f>
        <v/>
      </c>
    </row>
    <row r="12">
      <c r="A12" s="93" t="n"/>
      <c r="B12" s="94" t="n"/>
      <c r="C12" s="94" t="n"/>
      <c r="D12" s="95" t="n"/>
      <c r="E12" s="94" t="n"/>
      <c r="F12" s="95" t="n"/>
      <c r="G12" s="95" t="n"/>
      <c r="H12" s="94" t="n"/>
      <c r="I12" s="94" t="n"/>
      <c r="K12" s="90" t="inlineStr">
        <is>
          <t>Contabilidade</t>
        </is>
      </c>
      <c r="L12" s="92">
        <f>SUMIF($H$5:$H$54,K12,$G$5:$G$54)</f>
        <v/>
      </c>
    </row>
    <row r="13">
      <c r="A13" s="89" t="n"/>
      <c r="B13" s="90" t="n"/>
      <c r="C13" s="90" t="n"/>
      <c r="D13" s="91" t="n"/>
      <c r="E13" s="90" t="n"/>
      <c r="F13" s="91" t="n"/>
      <c r="G13" s="91" t="n"/>
      <c r="H13" s="90" t="n"/>
      <c r="I13" s="90" t="n"/>
      <c r="K13" s="90" t="inlineStr">
        <is>
          <t>Manutenção e Reparos</t>
        </is>
      </c>
      <c r="L13" s="92">
        <f>SUMIF($H$5:$H$54,K13,$G$5:$G$54)</f>
        <v/>
      </c>
    </row>
    <row r="14">
      <c r="A14" s="93" t="n"/>
      <c r="B14" s="94" t="n"/>
      <c r="C14" s="94" t="n"/>
      <c r="D14" s="95" t="n"/>
      <c r="E14" s="94" t="n"/>
      <c r="F14" s="95" t="n"/>
      <c r="G14" s="95" t="n"/>
      <c r="H14" s="94" t="n"/>
      <c r="I14" s="94" t="n"/>
      <c r="K14" s="90" t="inlineStr">
        <is>
          <t>Material de Limpeza e Escritório</t>
        </is>
      </c>
      <c r="L14" s="92">
        <f>SUMIF($H$5:$H$54,K14,$G$5:$G$54)</f>
        <v/>
      </c>
    </row>
    <row r="15">
      <c r="A15" s="89" t="n"/>
      <c r="B15" s="90" t="n"/>
      <c r="C15" s="90" t="n"/>
      <c r="D15" s="91" t="n"/>
      <c r="E15" s="90" t="n"/>
      <c r="F15" s="91" t="n"/>
      <c r="G15" s="91" t="n"/>
      <c r="H15" s="90" t="n"/>
      <c r="I15" s="90" t="n"/>
      <c r="K15" s="90" t="inlineStr">
        <is>
          <t>Estornos de Vendas (Cancelamentos)</t>
        </is>
      </c>
      <c r="L15" s="92">
        <f>SUMIF($H$5:$H$54,K15,$G$5:$G$54)</f>
        <v/>
      </c>
    </row>
    <row r="16">
      <c r="A16" s="93" t="n"/>
      <c r="B16" s="94" t="n"/>
      <c r="C16" s="94" t="n"/>
      <c r="D16" s="95" t="n"/>
      <c r="E16" s="94" t="n"/>
      <c r="F16" s="95" t="n"/>
      <c r="G16" s="95" t="n"/>
      <c r="H16" s="94" t="n"/>
      <c r="I16" s="94" t="n"/>
      <c r="K16" s="90" t="inlineStr">
        <is>
          <t>Outras Despesas</t>
        </is>
      </c>
      <c r="L16" s="92">
        <f>SUMIF($H$5:$H$54,K16,$G$5:$G$54)</f>
        <v/>
      </c>
    </row>
    <row r="17">
      <c r="A17" s="89" t="n"/>
      <c r="B17" s="90" t="n"/>
      <c r="C17" s="90" t="n"/>
      <c r="D17" s="91" t="n"/>
      <c r="E17" s="90" t="n"/>
      <c r="F17" s="91" t="n"/>
      <c r="G17" s="91" t="n"/>
      <c r="H17" s="90" t="n"/>
      <c r="I17" s="90" t="n"/>
      <c r="K17" s="96" t="inlineStr">
        <is>
          <t>Pro Labore Edilânia</t>
        </is>
      </c>
      <c r="L17" s="97">
        <f>SUMIF($H$5:$H$54,K17,$G$5:$G$54)</f>
        <v/>
      </c>
    </row>
    <row r="18">
      <c r="A18" s="93" t="n"/>
      <c r="B18" s="94" t="n"/>
      <c r="C18" s="94" t="n"/>
      <c r="D18" s="95" t="n"/>
      <c r="E18" s="94" t="n"/>
      <c r="F18" s="95" t="n"/>
      <c r="G18" s="95" t="n"/>
      <c r="H18" s="94" t="n"/>
      <c r="I18" s="94" t="n"/>
      <c r="K18" s="98" t="inlineStr">
        <is>
          <t>Total</t>
        </is>
      </c>
      <c r="L18" s="99">
        <f>SUM(L5:L16)</f>
        <v/>
      </c>
    </row>
    <row r="19">
      <c r="A19" s="89" t="n"/>
      <c r="B19" s="90" t="n"/>
      <c r="C19" s="90" t="n"/>
      <c r="D19" s="91" t="n"/>
      <c r="E19" s="90" t="n"/>
      <c r="F19" s="91" t="n"/>
      <c r="G19" s="91" t="n"/>
      <c r="H19" s="90" t="n"/>
      <c r="I19" s="90" t="n"/>
      <c r="K19" s="100" t="inlineStr">
        <is>
          <t>Capital de Giro (BB) — ainda a devolver</t>
        </is>
      </c>
      <c r="L19" s="101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93" t="n"/>
      <c r="B20" s="94" t="n"/>
      <c r="C20" s="94" t="n"/>
      <c r="D20" s="95" t="n"/>
      <c r="E20" s="94" t="n"/>
      <c r="F20" s="95" t="n"/>
      <c r="G20" s="95" t="n"/>
      <c r="H20" s="94" t="n"/>
      <c r="I20" s="94" t="n"/>
    </row>
    <row r="21">
      <c r="A21" s="89" t="n"/>
      <c r="B21" s="90" t="n"/>
      <c r="C21" s="90" t="n"/>
      <c r="D21" s="91" t="n"/>
      <c r="E21" s="90" t="n"/>
      <c r="F21" s="91" t="n"/>
      <c r="G21" s="91" t="n"/>
      <c r="H21" s="90" t="n"/>
      <c r="I21" s="90" t="n"/>
    </row>
    <row r="22">
      <c r="A22" s="93" t="n"/>
      <c r="B22" s="94" t="n"/>
      <c r="C22" s="94" t="n"/>
      <c r="D22" s="95" t="n"/>
      <c r="E22" s="94" t="n"/>
      <c r="F22" s="95" t="n"/>
      <c r="G22" s="95" t="n"/>
      <c r="H22" s="94" t="n"/>
      <c r="I22" s="94" t="n"/>
    </row>
    <row r="23">
      <c r="A23" s="89" t="n"/>
      <c r="B23" s="90" t="n"/>
      <c r="C23" s="90" t="n"/>
      <c r="D23" s="91" t="n"/>
      <c r="E23" s="90" t="n"/>
      <c r="F23" s="91" t="n"/>
      <c r="G23" s="91" t="n"/>
      <c r="H23" s="90" t="n"/>
      <c r="I23" s="90" t="n"/>
    </row>
    <row r="24">
      <c r="A24" s="93" t="n"/>
      <c r="B24" s="94" t="n"/>
      <c r="C24" s="94" t="n"/>
      <c r="D24" s="95" t="n"/>
      <c r="E24" s="94" t="n"/>
      <c r="F24" s="95" t="n"/>
      <c r="G24" s="95" t="n"/>
      <c r="H24" s="94" t="n"/>
      <c r="I24" s="94" t="n"/>
    </row>
    <row r="25">
      <c r="A25" s="89" t="n"/>
      <c r="B25" s="90" t="n"/>
      <c r="C25" s="90" t="n"/>
      <c r="D25" s="91" t="n"/>
      <c r="E25" s="90" t="n"/>
      <c r="F25" s="91" t="n"/>
      <c r="G25" s="91" t="n"/>
      <c r="H25" s="90" t="n"/>
      <c r="I25" s="90" t="n"/>
    </row>
    <row r="26">
      <c r="A26" s="93" t="n"/>
      <c r="B26" s="94" t="n"/>
      <c r="C26" s="94" t="n"/>
      <c r="D26" s="95" t="n"/>
      <c r="E26" s="94" t="n"/>
      <c r="F26" s="95" t="n"/>
      <c r="G26" s="95" t="n"/>
      <c r="H26" s="94" t="n"/>
      <c r="I26" s="94" t="n"/>
    </row>
    <row r="27">
      <c r="A27" s="89" t="n"/>
      <c r="B27" s="90" t="n"/>
      <c r="C27" s="90" t="n"/>
      <c r="D27" s="91" t="n"/>
      <c r="E27" s="90" t="n"/>
      <c r="F27" s="91" t="n"/>
      <c r="G27" s="91" t="n"/>
      <c r="H27" s="90" t="n"/>
      <c r="I27" s="90" t="n"/>
    </row>
    <row r="28">
      <c r="A28" s="93" t="n"/>
      <c r="B28" s="94" t="n"/>
      <c r="C28" s="94" t="n"/>
      <c r="D28" s="95" t="n"/>
      <c r="E28" s="94" t="n"/>
      <c r="F28" s="95" t="n"/>
      <c r="G28" s="95" t="n"/>
      <c r="H28" s="94" t="n"/>
      <c r="I28" s="94" t="n"/>
    </row>
    <row r="29">
      <c r="A29" s="89" t="n"/>
      <c r="B29" s="90" t="n"/>
      <c r="C29" s="90" t="n"/>
      <c r="D29" s="91" t="n"/>
      <c r="E29" s="90" t="n"/>
      <c r="F29" s="91" t="n"/>
      <c r="G29" s="91" t="n"/>
      <c r="H29" s="90" t="n"/>
      <c r="I29" s="90" t="n"/>
    </row>
    <row r="30">
      <c r="A30" s="93" t="n"/>
      <c r="B30" s="94" t="n"/>
      <c r="C30" s="94" t="n"/>
      <c r="D30" s="95" t="n"/>
      <c r="E30" s="94" t="n"/>
      <c r="F30" s="95" t="n"/>
      <c r="G30" s="95" t="n"/>
      <c r="H30" s="94" t="n"/>
      <c r="I30" s="94" t="n"/>
    </row>
    <row r="31">
      <c r="A31" s="89" t="n"/>
      <c r="B31" s="90" t="n"/>
      <c r="C31" s="90" t="n"/>
      <c r="D31" s="91" t="n"/>
      <c r="E31" s="90" t="n"/>
      <c r="F31" s="91" t="n"/>
      <c r="G31" s="91" t="n"/>
      <c r="H31" s="90" t="n"/>
      <c r="I31" s="90" t="n"/>
    </row>
    <row r="32">
      <c r="A32" s="93" t="n"/>
      <c r="B32" s="94" t="n"/>
      <c r="C32" s="94" t="n"/>
      <c r="D32" s="95" t="n"/>
      <c r="E32" s="94" t="n"/>
      <c r="F32" s="95" t="n"/>
      <c r="G32" s="95" t="n"/>
      <c r="H32" s="94" t="n"/>
      <c r="I32" s="94" t="n"/>
    </row>
    <row r="33">
      <c r="A33" s="89" t="n"/>
      <c r="B33" s="90" t="n"/>
      <c r="C33" s="90" t="n"/>
      <c r="D33" s="91" t="n"/>
      <c r="E33" s="90" t="n"/>
      <c r="F33" s="91" t="n"/>
      <c r="G33" s="91" t="n"/>
      <c r="H33" s="90" t="n"/>
      <c r="I33" s="90" t="n"/>
    </row>
    <row r="34">
      <c r="A34" s="93" t="n"/>
      <c r="B34" s="94" t="n"/>
      <c r="C34" s="94" t="n"/>
      <c r="D34" s="95" t="n"/>
      <c r="E34" s="94" t="n"/>
      <c r="F34" s="95" t="n"/>
      <c r="G34" s="95" t="n"/>
      <c r="H34" s="94" t="n"/>
      <c r="I34" s="94" t="n"/>
    </row>
    <row r="35">
      <c r="A35" s="89" t="n"/>
      <c r="B35" s="90" t="n"/>
      <c r="C35" s="90" t="n"/>
      <c r="D35" s="91" t="n"/>
      <c r="E35" s="90" t="n"/>
      <c r="F35" s="91" t="n"/>
      <c r="G35" s="91" t="n"/>
      <c r="H35" s="90" t="n"/>
      <c r="I35" s="90" t="n"/>
    </row>
    <row r="36">
      <c r="A36" s="93" t="n"/>
      <c r="B36" s="94" t="n"/>
      <c r="C36" s="94" t="n"/>
      <c r="D36" s="95" t="n"/>
      <c r="E36" s="94" t="n"/>
      <c r="F36" s="95" t="n"/>
      <c r="G36" s="95" t="n"/>
      <c r="H36" s="94" t="n"/>
      <c r="I36" s="94" t="n"/>
    </row>
    <row r="37">
      <c r="A37" s="89" t="n"/>
      <c r="B37" s="90" t="n"/>
      <c r="C37" s="90" t="n"/>
      <c r="D37" s="91" t="n"/>
      <c r="E37" s="90" t="n"/>
      <c r="F37" s="91" t="n"/>
      <c r="G37" s="91" t="n"/>
      <c r="H37" s="90" t="n"/>
      <c r="I37" s="90" t="n"/>
    </row>
    <row r="38">
      <c r="A38" s="93" t="n"/>
      <c r="B38" s="94" t="n"/>
      <c r="C38" s="94" t="n"/>
      <c r="D38" s="95" t="n"/>
      <c r="E38" s="94" t="n"/>
      <c r="F38" s="95" t="n"/>
      <c r="G38" s="95" t="n"/>
      <c r="H38" s="94" t="n"/>
      <c r="I38" s="94" t="n"/>
    </row>
    <row r="39">
      <c r="A39" s="89" t="n"/>
      <c r="B39" s="90" t="n"/>
      <c r="C39" s="90" t="n"/>
      <c r="D39" s="91" t="n"/>
      <c r="E39" s="90" t="n"/>
      <c r="F39" s="91" t="n"/>
      <c r="G39" s="91" t="n"/>
      <c r="H39" s="90" t="n"/>
      <c r="I39" s="90" t="n"/>
    </row>
    <row r="40">
      <c r="A40" s="93" t="n"/>
      <c r="B40" s="94" t="n"/>
      <c r="C40" s="94" t="n"/>
      <c r="D40" s="95" t="n"/>
      <c r="E40" s="94" t="n"/>
      <c r="F40" s="95" t="n"/>
      <c r="G40" s="95" t="n"/>
      <c r="H40" s="94" t="n"/>
      <c r="I40" s="94" t="n"/>
    </row>
    <row r="41">
      <c r="A41" s="89" t="n"/>
      <c r="B41" s="90" t="n"/>
      <c r="C41" s="90" t="n"/>
      <c r="D41" s="91" t="n"/>
      <c r="E41" s="90" t="n"/>
      <c r="F41" s="91" t="n"/>
      <c r="G41" s="91" t="n"/>
      <c r="H41" s="90" t="n"/>
      <c r="I41" s="90" t="n"/>
    </row>
    <row r="42">
      <c r="A42" s="93" t="n"/>
      <c r="B42" s="94" t="n"/>
      <c r="C42" s="94" t="n"/>
      <c r="D42" s="95" t="n"/>
      <c r="E42" s="94" t="n"/>
      <c r="F42" s="95" t="n"/>
      <c r="G42" s="95" t="n"/>
      <c r="H42" s="94" t="n"/>
      <c r="I42" s="94" t="n"/>
    </row>
    <row r="43">
      <c r="A43" s="89" t="n"/>
      <c r="B43" s="90" t="n"/>
      <c r="C43" s="90" t="n"/>
      <c r="D43" s="91" t="n"/>
      <c r="E43" s="90" t="n"/>
      <c r="F43" s="91" t="n"/>
      <c r="G43" s="91" t="n"/>
      <c r="H43" s="90" t="n"/>
      <c r="I43" s="90" t="n"/>
    </row>
    <row r="44">
      <c r="A44" s="93" t="n"/>
      <c r="B44" s="94" t="n"/>
      <c r="C44" s="94" t="n"/>
      <c r="D44" s="95" t="n"/>
      <c r="E44" s="94" t="n"/>
      <c r="F44" s="95" t="n"/>
      <c r="G44" s="95" t="n"/>
      <c r="H44" s="94" t="n"/>
      <c r="I44" s="94" t="n"/>
    </row>
    <row r="45">
      <c r="A45" s="89" t="n"/>
      <c r="B45" s="90" t="n"/>
      <c r="C45" s="90" t="n"/>
      <c r="D45" s="91" t="n"/>
      <c r="E45" s="90" t="n"/>
      <c r="F45" s="91" t="n"/>
      <c r="G45" s="91" t="n"/>
      <c r="H45" s="90" t="n"/>
      <c r="I45" s="90" t="n"/>
    </row>
    <row r="46">
      <c r="A46" s="93" t="n"/>
      <c r="B46" s="94" t="n"/>
      <c r="C46" s="94" t="n"/>
      <c r="D46" s="95" t="n"/>
      <c r="E46" s="94" t="n"/>
      <c r="F46" s="95" t="n"/>
      <c r="G46" s="95" t="n"/>
      <c r="H46" s="94" t="n"/>
      <c r="I46" s="94" t="n"/>
    </row>
    <row r="47">
      <c r="A47" s="89" t="n"/>
      <c r="B47" s="90" t="n"/>
      <c r="C47" s="90" t="n"/>
      <c r="D47" s="91" t="n"/>
      <c r="E47" s="90" t="n"/>
      <c r="F47" s="91" t="n"/>
      <c r="G47" s="91" t="n"/>
      <c r="H47" s="90" t="n"/>
      <c r="I47" s="90" t="n"/>
    </row>
    <row r="48">
      <c r="A48" s="93" t="n"/>
      <c r="B48" s="94" t="n"/>
      <c r="C48" s="94" t="n"/>
      <c r="D48" s="95" t="n"/>
      <c r="E48" s="94" t="n"/>
      <c r="F48" s="95" t="n"/>
      <c r="G48" s="95" t="n"/>
      <c r="H48" s="94" t="n"/>
      <c r="I48" s="94" t="n"/>
    </row>
    <row r="49">
      <c r="A49" s="89" t="n"/>
      <c r="B49" s="90" t="n"/>
      <c r="C49" s="90" t="n"/>
      <c r="D49" s="91" t="n"/>
      <c r="E49" s="90" t="n"/>
      <c r="F49" s="91" t="n"/>
      <c r="G49" s="91" t="n"/>
      <c r="H49" s="90" t="n"/>
      <c r="I49" s="90" t="n"/>
    </row>
    <row r="50">
      <c r="A50" s="93" t="n"/>
      <c r="B50" s="94" t="n"/>
      <c r="C50" s="94" t="n"/>
      <c r="D50" s="95" t="n"/>
      <c r="E50" s="94" t="n"/>
      <c r="F50" s="95" t="n"/>
      <c r="G50" s="95" t="n"/>
      <c r="H50" s="94" t="n"/>
      <c r="I50" s="94" t="n"/>
    </row>
    <row r="51">
      <c r="A51" s="89" t="n"/>
      <c r="B51" s="90" t="n"/>
      <c r="C51" s="90" t="n"/>
      <c r="D51" s="91" t="n"/>
      <c r="E51" s="90" t="n"/>
      <c r="F51" s="91" t="n"/>
      <c r="G51" s="91" t="n"/>
      <c r="H51" s="90" t="n"/>
      <c r="I51" s="90" t="n"/>
    </row>
    <row r="52">
      <c r="A52" s="93" t="n"/>
      <c r="B52" s="94" t="n"/>
      <c r="C52" s="94" t="n"/>
      <c r="D52" s="95" t="n"/>
      <c r="E52" s="94" t="n"/>
      <c r="F52" s="95" t="n"/>
      <c r="G52" s="95" t="n"/>
      <c r="H52" s="94" t="n"/>
      <c r="I52" s="94" t="n"/>
    </row>
    <row r="53">
      <c r="A53" s="89" t="n"/>
      <c r="B53" s="90" t="n"/>
      <c r="C53" s="90" t="n"/>
      <c r="D53" s="91" t="n"/>
      <c r="E53" s="90" t="n"/>
      <c r="F53" s="91" t="n"/>
      <c r="G53" s="91" t="n"/>
      <c r="H53" s="90" t="n"/>
      <c r="I53" s="90" t="n"/>
    </row>
    <row r="54">
      <c r="A54" s="93" t="n"/>
      <c r="B54" s="94" t="n"/>
      <c r="C54" s="94" t="n"/>
      <c r="D54" s="95" t="n"/>
      <c r="E54" s="94" t="n"/>
      <c r="F54" s="95" t="n"/>
      <c r="G54" s="95" t="n"/>
      <c r="H54" s="94" t="n"/>
      <c r="I54" s="94" t="n"/>
    </row>
    <row r="55">
      <c r="A55" s="102" t="n"/>
      <c r="B55" s="102" t="inlineStr">
        <is>
          <t>TOTAL DO MÊS</t>
        </is>
      </c>
      <c r="C55" s="102" t="n"/>
      <c r="D55" s="103">
        <f>SUM(D5:D54)</f>
        <v/>
      </c>
      <c r="E55" s="102" t="n"/>
      <c r="F55" s="103">
        <f>SUM(F5:F54)</f>
        <v/>
      </c>
      <c r="G55" s="103">
        <f>SUM(G5:G54)</f>
        <v/>
      </c>
      <c r="H55" s="102" t="n"/>
      <c r="I55" s="102" t="n"/>
    </row>
    <row r="56">
      <c r="A56" s="104" t="n"/>
      <c r="B56" s="104" t="inlineStr">
        <is>
          <t>SALDO DO MÊS (Entradas líquidas − Despesas da loja)</t>
        </is>
      </c>
      <c r="C56" s="104" t="n"/>
      <c r="D56" s="105">
        <f>(D55-F55-T5)-(L18-L19)</f>
        <v/>
      </c>
      <c r="E56" s="104" t="n"/>
      <c r="F56" s="105" t="n"/>
      <c r="G56" s="105" t="n"/>
      <c r="H56" s="104" t="n"/>
      <c r="I56" s="104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54" showDropDown="0" showInputMessage="0" showErrorMessage="0" allowBlank="1" type="list">
      <formula1>"Dinheiro,Pix,Débito,Crédito à Vista,Crédito Parcelado,Aguardando Pagamento"</formula1>
    </dataValidation>
    <dataValidation sqref="H5:H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2026-09-14T21:25:13Z</dcterms:modified>
  <cp:lastModifiedBy>Planeta</cp:lastModifiedBy>
  <cp:revision>1</cp:revision>
</cp:coreProperties>
</file>