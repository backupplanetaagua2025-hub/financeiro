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81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D102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Comprado: 100x Refil Everest (NF-e 72153 de 02/04/2026, nota de R$ 4.394,61 em 5 boletos). 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Comprado: Purificador Everest Plus Prata + Purificador Everest Star Branco + Purificador Everest Star Preto + Purificador Everest Slim Prata + Purificador Everest Fit Branco (NF-e 374271 de 06/04/2026, nota de R$ 3.533,27 em 5 boletos). 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Comprado: 100x Refil Everest + 50x Pré Filtro (NF-e 72869 de 07/05/2026, nota de R$ 4.904,13 em 5 boletos). 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Comprado: 100x Refil Everest (NF-e 73636 de 10/06/2026, nota de R$ 4.394,61 em 5 boletos). 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Comprado: 100x Refil Everest + 50x Pré Filtro (NF-e 74454 de 17/07/2026, nota de R$ 4.904,13 em 5 boletos). 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Comprado: 100x Refil Everest + 30x Pré Filtro (NF-e 75472 de 26/08/2026, nota de R$ 4.700,32 em 5 boletos). 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Comprado: 100x Refil Everest + 50x Pré Filtro (NF-e 72869 de 07/05/2026, nota de R$ 4.904,13 em 5 boletos). 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Comprado: 100x Refil Everest (NF-e 73636 de 10/06/2026, nota de R$ 4.394,61 em 5 boletos). 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Comprado: 100x Refil Everest + 50x Pré Filtro (NF-e 74454 de 17/07/2026, nota de R$ 4.904,13 em 5 boletos). 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Comprado: 100x Refil Everest + 30x Pré Filtro (NF-e 75472 de 26/08/2026, nota de R$ 4.700,32 em 5 boletos). 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Comprado: 100x Refil Everest (NF-e 73636 de 10/06/2026, nota de R$ 4.394,61 em 5 boletos). 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Comprado: 12x Conexão T + 30x Registro + 20x Botão Completo de Purificador + 30x Suporte de Parede (NF-e 377737 de 19/05/2026, nota de R$ 725,16 em 5 boletos). 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Pago</t>
        </is>
      </c>
      <c r="F41" s="112">
        <f>IF(OR($E41="Pago",$C41=""),"",MAX(0,TODAY()-$C41))</f>
        <v/>
      </c>
      <c r="G41" s="78" t="inlineStr">
        <is>
          <t>Comprado: 12x Conexão T + 30x Registro + 20x Botão Completo de Purificador + 30x Suporte de Parede (NF-e 377737 de 19/05/2026, nota de R$ 725,16 em 5 boletos). 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Pago</t>
        </is>
      </c>
      <c r="F42" s="113">
        <f>IF(OR($E42="Pago",$C42=""),"",MAX(0,TODAY()-$C42))</f>
        <v/>
      </c>
      <c r="G42" s="82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Pago</t>
        </is>
      </c>
      <c r="F44" s="113">
        <f>IF(OR($E44="Pago",$C44=""),"",MAX(0,TODAY()-$C44))</f>
        <v/>
      </c>
      <c r="G44" s="82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 Pago em 20/10/2026 — lançado em "Out 2026" como "Everest Refrigeração".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Comprado: 2x Purificador Everest Slim Prata + 2x Purificador Everest Star Prata + Purificador Everest Star Branco + Purificador Everest Fit Branco (NF-e 379826 de 22/06/2026, nota de R$ 4.373,40 em 5 boletos). 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Pago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Pago</t>
        </is>
      </c>
      <c r="F91" s="112">
        <f>IF(OR($E91="Pago",$C91=""),"",MAX(0,TODAY()-$C91))</f>
        <v/>
      </c>
      <c r="G91" s="78" t="inlineStr">
        <is>
          <t>Categoria: Impostos e Taxas. Pagamento via QR Code Pix no documento original da guia (GFD). Pago em 20/10/2026 — lançado em "Out 2026" como "FGTS Digital (GFD)".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Pago</t>
        </is>
      </c>
      <c r="F92" s="113">
        <f>IF(OR($E92="Pago",$C92=""),"",MAX(0,TODAY()-$C92))</f>
        <v/>
      </c>
      <c r="G92" s="82" t="inlineStr">
        <is>
          <t>Categoria: Impostos e Taxas. Código de barras 858300000033 069903852621 930716262672 196301377104. Pago em 20/10/2026 — lançado em "Out 2026" como "Receita Federal — DARF / INSS".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2" t="inlineStr">
        <is>
          <t>Everest Refrigeracao e Industria</t>
        </is>
      </c>
      <c r="B95" s="82" t="inlineStr">
        <is>
          <t>Mercadoria — doc. 388850 (emissão 19/10/2026) · parcela 1/5</t>
        </is>
      </c>
      <c r="C95" s="81" t="n">
        <v>46344</v>
      </c>
      <c r="D95" s="83" t="n">
        <v>874.67</v>
      </c>
      <c r="E95" s="113" t="inlineStr">
        <is>
          <t>Pendente</t>
        </is>
      </c>
      <c r="F95" s="113">
        <f>IF(OR($E95="Pago",$C95=""),"",MAX(0,TODAY()-$C95))</f>
        <v/>
      </c>
      <c r="G95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112/39837740. Linha digitável 34191.12390 83774.010306 52238.850003 8 16340000087467. Boleto recebido por e-mail em 19/10/2026; PDF salvo em "03 - Despesas e Contas a Pagar/Boletos Everest NF 388850". Após o vencimento: multa de 2% + juros de R$ 0,29 ao dia.</t>
        </is>
      </c>
    </row>
    <row r="96" s="157">
      <c r="A96" s="78" t="inlineStr">
        <is>
          <t>Everest Refrigeracao e Industria</t>
        </is>
      </c>
      <c r="B96" s="78" t="inlineStr">
        <is>
          <t>Mercadoria — doc. 388850 (emissão 19/10/2026) · parcela 2/5</t>
        </is>
      </c>
      <c r="C96" s="77" t="n">
        <v>46374</v>
      </c>
      <c r="D96" s="79" t="n">
        <v>874.67</v>
      </c>
      <c r="E96" s="112" t="inlineStr">
        <is>
          <t>Pendente</t>
        </is>
      </c>
      <c r="F96" s="112">
        <f>IF(OR($E96="Pago",$C96=""),"",MAX(0,TODAY()-$C96))</f>
        <v/>
      </c>
      <c r="G96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112/39837859. Linha digitável 34191.12390 83785.990306 52238.850003 5 16640000087467. Boleto recebido por e-mail em 19/10/2026; PDF salvo em "03 - Despesas e Contas a Pagar/Boletos Everest NF 388850". Após o vencimento: multa de 2% + juros de R$ 0,29 ao dia.</t>
        </is>
      </c>
    </row>
    <row r="97" s="157">
      <c r="A97" s="82" t="inlineStr">
        <is>
          <t>Everest Refrigeracao e Industria</t>
        </is>
      </c>
      <c r="B97" s="82" t="inlineStr">
        <is>
          <t>Mercadoria — doc. 388850 (emissão 19/10/2026) · parcela 3/5</t>
        </is>
      </c>
      <c r="C97" s="81" t="n">
        <v>46404</v>
      </c>
      <c r="D97" s="83" t="n">
        <v>874.67</v>
      </c>
      <c r="E97" s="113" t="inlineStr">
        <is>
          <t>Pendente</t>
        </is>
      </c>
      <c r="F97" s="113">
        <f>IF(OR($E97="Pago",$C97=""),"",MAX(0,TODAY()-$C97))</f>
        <v/>
      </c>
      <c r="G97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112/39837936. Linha digitável 34191.12390 83793.650306 52238.850003 1 16940000087467. Boleto recebido por e-mail em 19/10/2026; PDF salvo em "03 - Despesas e Contas a Pagar/Boletos Everest NF 388850". Após o vencimento: multa de 2% + juros de R$ 0,29 ao dia.</t>
        </is>
      </c>
    </row>
    <row r="98" s="157">
      <c r="A98" s="78" t="inlineStr">
        <is>
          <t>Everest Refrigeracao e Industria</t>
        </is>
      </c>
      <c r="B98" s="78" t="inlineStr">
        <is>
          <t>Mercadoria — doc. 388850 (emissão 19/10/2026) · parcela 4/5</t>
        </is>
      </c>
      <c r="C98" s="77" t="n">
        <v>46434</v>
      </c>
      <c r="D98" s="79" t="n">
        <v>874.67</v>
      </c>
      <c r="E98" s="112" t="inlineStr">
        <is>
          <t>Pendente</t>
        </is>
      </c>
      <c r="F98" s="112">
        <f>IF(OR($E98="Pago",$C98=""),"",MAX(0,TODAY()-$C98))</f>
        <v/>
      </c>
      <c r="G98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112/39838041. Linha digitável 34191.12390 83804.130306 52238.850003 7 17240000087467. Boleto recebido por e-mail em 19/10/2026; PDF salvo em "03 - Despesas e Contas a Pagar/Boletos Everest NF 388850". Após o vencimento: multa de 2% + juros de R$ 0,29 ao dia.</t>
        </is>
      </c>
    </row>
    <row r="99" s="157">
      <c r="A99" s="82" t="inlineStr">
        <is>
          <t>Everest Refrigeracao e Industria</t>
        </is>
      </c>
      <c r="B99" s="82" t="inlineStr">
        <is>
          <t>Mercadoria — doc. 388850 (emissão 19/10/2026) · parcela 5/5 (última)</t>
        </is>
      </c>
      <c r="C99" s="81" t="n">
        <v>46464</v>
      </c>
      <c r="D99" s="83" t="n">
        <v>874.6900000000001</v>
      </c>
      <c r="E99" s="113" t="inlineStr">
        <is>
          <t>Pendente</t>
        </is>
      </c>
      <c r="F99" s="113">
        <f>IF(OR($E99="Pago",$C99=""),"",MAX(0,TODAY()-$C99))</f>
        <v/>
      </c>
      <c r="G99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112/39837725. Linha digitável 34191.12390 83772.520306 52238.850003 9 17540000087469. Boleto recebido por e-mail em 19/10/2026; PDF salvo em "03 - Despesas e Contas a Pagar/Boletos Everest NF 388850". Após o vencimento: multa de 2% + juros de R$ 0,29 ao dia.</t>
        </is>
      </c>
    </row>
    <row r="100" s="157">
      <c r="A100" s="86" t="inlineStr">
        <is>
          <t>TOTAL A PAGAR — COM BOLETO EM MÃOS</t>
        </is>
      </c>
      <c r="B100" s="86" t="n"/>
      <c r="C100" s="114" t="n"/>
      <c r="D100" s="115">
        <f>SUMIF(E11:E99,"Pendente",D11:D99)</f>
        <v/>
      </c>
      <c r="E100" s="116" t="n"/>
      <c r="F100" s="116" t="n"/>
      <c r="G100" s="86" t="n"/>
    </row>
    <row r="101" s="157">
      <c r="A101" s="144" t="inlineStr">
        <is>
          <t>PREVISTO — compromisso certo que ainda não está documentado</t>
        </is>
      </c>
      <c r="B101" s="144" t="n"/>
      <c r="C101" s="145" t="n"/>
      <c r="D101" s="146">
        <f>SUMIF(E11:E99,"Previsto",D11:D99)</f>
        <v/>
      </c>
      <c r="E101" s="142" t="n"/>
      <c r="F101" s="142" t="n"/>
      <c r="G101" s="144" t="n"/>
    </row>
    <row r="102" s="157">
      <c r="A102" s="86" t="inlineStr">
        <is>
          <t>TOTAL GERAL A PAGAR (boletos + previsão)</t>
        </is>
      </c>
      <c r="B102" s="86" t="n"/>
      <c r="C102" s="114" t="n"/>
      <c r="D102" s="115">
        <f>D100+D101</f>
        <v/>
      </c>
      <c r="E102" s="116" t="n"/>
      <c r="F102" s="116" t="n"/>
      <c r="G102" s="86" t="n"/>
    </row>
    <row r="103" ht="15.75" customHeight="1" s="157"/>
    <row r="104" ht="15.75" customHeight="1" s="157">
      <c r="A104" s="200" t="inlineStr">
        <is>
          <t>CONTAS A RECEBER  —  vendas feitas e ainda não pagas</t>
        </is>
      </c>
    </row>
    <row r="105" s="157">
      <c r="A105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6" s="157">
      <c r="A106" s="111" t="inlineStr">
        <is>
          <t>Cliente</t>
        </is>
      </c>
      <c r="B106" s="111" t="inlineStr">
        <is>
          <t>Produto / Referência</t>
        </is>
      </c>
      <c r="C106" s="111" t="inlineStr">
        <is>
          <t>Data da Venda</t>
        </is>
      </c>
      <c r="D106" s="111" t="inlineStr">
        <is>
          <t>Valor (R$)</t>
        </is>
      </c>
      <c r="E106" s="111" t="inlineStr">
        <is>
          <t>Status</t>
        </is>
      </c>
      <c r="F106" s="111" t="inlineStr">
        <is>
          <t>Dias em Atraso</t>
        </is>
      </c>
      <c r="G106" s="111" t="inlineStr">
        <is>
          <t>Observações</t>
        </is>
      </c>
    </row>
    <row r="107" s="157">
      <c r="A107" s="78" t="inlineStr">
        <is>
          <t>Centro de Especialidades Odontomédicas</t>
        </is>
      </c>
      <c r="B107" s="78" t="inlineStr">
        <is>
          <t>Refil Everest</t>
        </is>
      </c>
      <c r="C107" s="77" t="n">
        <v>46239</v>
      </c>
      <c r="D107" s="79" t="n">
        <v>140</v>
      </c>
      <c r="E107" s="112" t="inlineStr">
        <is>
          <t>Pendente</t>
        </is>
      </c>
      <c r="F107" s="112">
        <f>IF(OR($E107="Recebido",$C107=""),"",MAX(0,TODAY()-$C107))</f>
        <v/>
      </c>
      <c r="G107" s="78" t="n"/>
    </row>
    <row r="108" s="157">
      <c r="A108" s="82" t="inlineStr">
        <is>
          <t>Supermercado Brasil</t>
        </is>
      </c>
      <c r="B108" s="82" t="inlineStr">
        <is>
          <t>2x Refil Pro Life</t>
        </is>
      </c>
      <c r="C108" s="81" t="n">
        <v>46239</v>
      </c>
      <c r="D108" s="83" t="n">
        <v>280</v>
      </c>
      <c r="E108" s="113" t="inlineStr">
        <is>
          <t>Pendente</t>
        </is>
      </c>
      <c r="F108" s="113">
        <f>IF(OR($E108="Recebido",$C108=""),"",MAX(0,TODAY()-$C108))</f>
        <v/>
      </c>
      <c r="G108" s="82" t="n"/>
    </row>
    <row r="109" s="157">
      <c r="A109" s="78" t="inlineStr">
        <is>
          <t>Tropical Motos LTDA</t>
        </is>
      </c>
      <c r="B109" s="78" t="inlineStr">
        <is>
          <t>3x Refil Everest + Refil Pro Life + 3x Pré Filtro + Válvula Reguladora de Pressão</t>
        </is>
      </c>
      <c r="C109" s="77" t="n">
        <v>46245</v>
      </c>
      <c r="D109" s="79" t="n">
        <v>820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Recebido via TED em 25/08/2026. NF conferida: valor correto é R$820 (faltava a válvula no lançamento original de R$740).</t>
        </is>
      </c>
    </row>
    <row r="110" s="157">
      <c r="A110" s="82" t="inlineStr">
        <is>
          <t>Free Way</t>
        </is>
      </c>
      <c r="B110" s="82" t="inlineStr">
        <is>
          <t>5x Refil Everest</t>
        </is>
      </c>
      <c r="C110" s="81" t="n">
        <v>46251</v>
      </c>
      <c r="D110" s="83" t="n">
        <v>700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via TED em 02/09/2026.</t>
        </is>
      </c>
    </row>
    <row r="111" s="157">
      <c r="A111" s="78" t="inlineStr">
        <is>
          <t>Neli Sena Rego</t>
        </is>
      </c>
      <c r="B111" s="78" t="inlineStr">
        <is>
          <t>Refil Pro Life</t>
        </is>
      </c>
      <c r="C111" s="77" t="n">
        <v>46254</v>
      </c>
      <c r="D111" s="79" t="n">
        <v>140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Recebido em dinheiro em 01/09/2026 (R$ 170,00 pelas duas vendas)</t>
        </is>
      </c>
    </row>
    <row r="112" s="157">
      <c r="A112" s="82" t="inlineStr">
        <is>
          <t>Neli Sena Rego</t>
        </is>
      </c>
      <c r="B112" s="82" t="inlineStr">
        <is>
          <t>Conexão + Mangueira</t>
        </is>
      </c>
      <c r="C112" s="81" t="n">
        <v>46255</v>
      </c>
      <c r="D112" s="83" t="n">
        <v>40</v>
      </c>
      <c r="E112" s="113" t="inlineStr">
        <is>
          <t>Recebido</t>
        </is>
      </c>
      <c r="F112" s="113">
        <f>IF(OR($E112="Recebido",$C112=""),"",MAX(0,TODAY()-$C112))</f>
        <v/>
      </c>
      <c r="G112" s="82" t="inlineStr">
        <is>
          <t>Recebido em dinheiro em 01/09/2026 (R$ 170,00 pelas duas vendas)</t>
        </is>
      </c>
    </row>
    <row r="113" s="157">
      <c r="A113" s="78" t="inlineStr">
        <is>
          <t>Lapec</t>
        </is>
      </c>
      <c r="B113" s="78" t="inlineStr">
        <is>
          <t>4x Refil Everest</t>
        </is>
      </c>
      <c r="C113" s="77" t="n">
        <v>46258</v>
      </c>
      <c r="D113" s="79" t="n">
        <v>480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Recebido em dinheiro em 08/09/2026 — lançado em "Set 2026".</t>
        </is>
      </c>
    </row>
    <row r="114" s="157">
      <c r="A114" s="82" t="inlineStr">
        <is>
          <t>Cícero Lima</t>
        </is>
      </c>
      <c r="B114" s="82" t="inlineStr">
        <is>
          <t>Refil Everest</t>
        </is>
      </c>
      <c r="C114" s="81" t="n">
        <v>46261</v>
      </c>
      <c r="D114" s="83" t="n">
        <v>140</v>
      </c>
      <c r="E114" s="113" t="inlineStr">
        <is>
          <t>Recebido</t>
        </is>
      </c>
      <c r="F114" s="113">
        <f>IF(OR($E114="Recebido",$C114=""),"",MAX(0,TODAY()-$C114))</f>
        <v/>
      </c>
      <c r="G114" s="82" t="inlineStr">
        <is>
          <t>Recebido via Pix em 27/08/2026</t>
        </is>
      </c>
    </row>
    <row r="115" s="157">
      <c r="A115" s="78" t="inlineStr">
        <is>
          <t>Promotoria Regional de Jacobina</t>
        </is>
      </c>
      <c r="B115" s="78" t="inlineStr">
        <is>
          <t>2x Carcaça 9" + 2x Refil Plissado 9" + Conexão Reta Rosca</t>
        </is>
      </c>
      <c r="C115" s="77" t="n">
        <v>46261</v>
      </c>
      <c r="D115" s="79" t="n">
        <v>470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Pago em 28/08/2026 em duas formas: R$ 270,00 Pix + R$ 200,00 crédito 2x</t>
        </is>
      </c>
    </row>
    <row r="116" s="157">
      <c r="A116" s="82" t="inlineStr">
        <is>
          <t>Lucas Souza</t>
        </is>
      </c>
      <c r="B116" s="82" t="inlineStr">
        <is>
          <t>Refil Everest + Pré Filtro</t>
        </is>
      </c>
      <c r="C116" s="81" t="n">
        <v>46261</v>
      </c>
      <c r="D116" s="83" t="n">
        <v>200</v>
      </c>
      <c r="E116" s="113" t="inlineStr">
        <is>
          <t>Recebido</t>
        </is>
      </c>
      <c r="F116" s="113">
        <f>IF(OR($E116="Recebido",$C116=""),"",MAX(0,TODAY()-$C116))</f>
        <v/>
      </c>
      <c r="G116" s="82" t="inlineStr">
        <is>
          <t>Recebido em dinheiro em 03/09/2026 — lançado em "Set 2026".</t>
        </is>
      </c>
    </row>
    <row r="117" s="157">
      <c r="A117" s="78" t="inlineStr">
        <is>
          <t>FG Boa Vista (Recife/PE)</t>
        </is>
      </c>
      <c r="B117" s="78" t="inlineStr">
        <is>
          <t>Refis — troca de julho/2026</t>
        </is>
      </c>
      <c r="C117" s="77" t="n">
        <v>46261</v>
      </c>
      <c r="D117" s="79" t="n">
        <v>1008.8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Grupo Ânima — NF 000.004.280 · recebido em 30/08/2026 (Nota Paga no portal V360)</t>
        </is>
      </c>
    </row>
    <row r="118" s="157">
      <c r="A118" s="82" t="inlineStr">
        <is>
          <t>UNIFG Guanambi (Guanambi/BA)</t>
        </is>
      </c>
      <c r="B118" s="82" t="inlineStr">
        <is>
          <t>Refis — troca de julho/2026</t>
        </is>
      </c>
      <c r="C118" s="81" t="n">
        <v>46261</v>
      </c>
      <c r="D118" s="83" t="n">
        <v>4534.75</v>
      </c>
      <c r="E118" s="113" t="inlineStr">
        <is>
          <t>Recebido</t>
        </is>
      </c>
      <c r="F118" s="113">
        <f>IF(OR($E118="Recebido",$C118=""),"",MAX(0,TODAY()-$C118))</f>
        <v/>
      </c>
      <c r="G118" s="82" t="inlineStr">
        <is>
          <t>Grupo Ânima — NF 000.004.281 · recebido em 30/08/2026 (Nota Paga no portal V360)</t>
        </is>
      </c>
    </row>
    <row r="119" s="157">
      <c r="A119" s="78" t="inlineStr">
        <is>
          <t>UNP Zona Norte (Natal/RN)</t>
        </is>
      </c>
      <c r="B119" s="78" t="inlineStr">
        <is>
          <t>Refis — troca de julho/2026</t>
        </is>
      </c>
      <c r="C119" s="77" t="n">
        <v>46261</v>
      </c>
      <c r="D119" s="79" t="n">
        <v>870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Grupo Ânima — NF 000.004.282 · recebido em 30/08/2026 (Nota Paga no portal V360)</t>
        </is>
      </c>
    </row>
    <row r="120" s="157">
      <c r="A120" s="82" t="inlineStr">
        <is>
          <t>UNP Caicó (Caicó/RN)</t>
        </is>
      </c>
      <c r="B120" s="82" t="inlineStr">
        <is>
          <t>Refis — troca de julho/2026</t>
        </is>
      </c>
      <c r="C120" s="81" t="n">
        <v>46261</v>
      </c>
      <c r="D120" s="83" t="n">
        <v>440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Grupo Ânima — NF 000.004.283 · recebido via Pix em 27/08/2026</t>
        </is>
      </c>
    </row>
    <row r="121" s="157">
      <c r="A121" s="78" t="inlineStr">
        <is>
          <t>AGES Irecê (Irecê/BA)</t>
        </is>
      </c>
      <c r="B121" s="78" t="inlineStr">
        <is>
          <t>Refis — troca de julho/2026</t>
        </is>
      </c>
      <c r="C121" s="77" t="n">
        <v>46269</v>
      </c>
      <c r="D121" s="79" t="n">
        <v>1338.6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Grupo Ânima — NF 000.004.294 · recebido via Pix em 04/09/2026.</t>
        </is>
      </c>
    </row>
    <row r="122" s="157">
      <c r="A122" s="82" t="inlineStr">
        <is>
          <t>CIS Irecê (Irecê/BA)</t>
        </is>
      </c>
      <c r="B122" s="82" t="inlineStr">
        <is>
          <t>Refis — troca de julho/2026</t>
        </is>
      </c>
      <c r="C122" s="81" t="n">
        <v>46269</v>
      </c>
      <c r="D122" s="83" t="n">
        <v>1358</v>
      </c>
      <c r="E122" s="113" t="inlineStr">
        <is>
          <t>Recebido</t>
        </is>
      </c>
      <c r="F122" s="113">
        <f>IF(OR($E122="Recebido",$C122=""),"",MAX(0,TODAY()-$C122))</f>
        <v/>
      </c>
      <c r="G122" s="82" t="inlineStr">
        <is>
          <t>Grupo Ânima — NF 000.004.295 · recebido via Pix em 04/09/2026.</t>
        </is>
      </c>
    </row>
    <row r="123" s="157">
      <c r="A123" s="78" t="inlineStr">
        <is>
          <t>AGES Senhor do Bonfim (S. do Bonfim/BA)</t>
        </is>
      </c>
      <c r="B123" s="78" t="inlineStr">
        <is>
          <t>Refis — troca de julho/2026</t>
        </is>
      </c>
      <c r="C123" s="77" t="n">
        <v>46270</v>
      </c>
      <c r="D123" s="79" t="n">
        <v>649.9</v>
      </c>
      <c r="E123" s="112" t="inlineStr">
        <is>
          <t>Recebido</t>
        </is>
      </c>
      <c r="F123" s="112">
        <f>IF(OR($E123="Recebido",$C123=""),"",MAX(0,TODAY()-$C123))</f>
        <v/>
      </c>
      <c r="G123" s="78" t="inlineStr">
        <is>
          <t>Grupo Ânima — NF 000.004.298 · recebido via Pix em 08/09/2026.</t>
        </is>
      </c>
    </row>
    <row r="124" s="157">
      <c r="A124" s="82" t="inlineStr">
        <is>
          <t>CIS Senhor do Bonfim (S. do Bonfim/BA)</t>
        </is>
      </c>
      <c r="B124" s="82" t="inlineStr">
        <is>
          <t>Refis — troca de julho/2026</t>
        </is>
      </c>
      <c r="C124" s="81" t="n">
        <v>46270</v>
      </c>
      <c r="D124" s="83" t="n">
        <v>562.6</v>
      </c>
      <c r="E124" s="113" t="inlineStr">
        <is>
          <t>Recebido</t>
        </is>
      </c>
      <c r="F124" s="113">
        <f>IF(OR($E124="Recebido",$C124=""),"",MAX(0,TODAY()-$C124))</f>
        <v/>
      </c>
      <c r="G124" s="82" t="inlineStr">
        <is>
          <t>Grupo Ânima — NF 000.004.299 · recebido via Pix em 08/09/2026.</t>
        </is>
      </c>
    </row>
    <row r="125" s="157">
      <c r="A125" s="78" t="inlineStr">
        <is>
          <t>AGES Paripiranga (Paripiranga/BA)</t>
        </is>
      </c>
      <c r="B125" s="78" t="inlineStr">
        <is>
          <t>Refis — troca de julho/2026</t>
        </is>
      </c>
      <c r="C125" s="77" t="n">
        <v>46270</v>
      </c>
      <c r="D125" s="79" t="n">
        <v>1086.4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Grupo Ânima — NF 000.004.300 · recebido via Pix em 08/09/2026.</t>
        </is>
      </c>
    </row>
    <row r="126" s="157">
      <c r="A126" s="82" t="inlineStr">
        <is>
          <t>Clínica Veterinária Paripiranga (Paripiranga/BA)</t>
        </is>
      </c>
      <c r="B126" s="82" t="inlineStr">
        <is>
          <t>Refis — troca de julho/2026</t>
        </is>
      </c>
      <c r="C126" s="81" t="n">
        <v>46270</v>
      </c>
      <c r="D126" s="83" t="n">
        <v>1265.85</v>
      </c>
      <c r="E126" s="113" t="inlineStr">
        <is>
          <t>Recebido</t>
        </is>
      </c>
      <c r="F126" s="113">
        <f>IF(OR($E126="Recebido",$C126=""),"",MAX(0,TODAY()-$C126))</f>
        <v/>
      </c>
      <c r="G126" s="82" t="inlineStr">
        <is>
          <t>Grupo Ânima — NF 000.004.301 · recebido via Pix em 08/09/2026.</t>
        </is>
      </c>
    </row>
    <row r="127" s="157">
      <c r="A127" s="78" t="inlineStr">
        <is>
          <t>UNP Mossoró (Mossoró/RN)</t>
        </is>
      </c>
      <c r="B127" s="78" t="inlineStr">
        <is>
          <t>Refis — troca de julho/2026</t>
        </is>
      </c>
      <c r="C127" s="77" t="n">
        <v>46270</v>
      </c>
      <c r="D127" s="79" t="n">
        <v>1867.25</v>
      </c>
      <c r="E127" s="112" t="inlineStr">
        <is>
          <t>Recebido</t>
        </is>
      </c>
      <c r="F127" s="112">
        <f>IF(OR($E127="Recebido",$C127=""),"",MAX(0,TODAY()-$C127))</f>
        <v/>
      </c>
      <c r="G127" s="78" t="inlineStr">
        <is>
          <t>Grupo Ânima — NF 000.004.302 · recebido via Pix em 08/09/2026.</t>
        </is>
      </c>
    </row>
    <row r="128" s="157">
      <c r="A128" s="82" t="inlineStr">
        <is>
          <t>CIS Jacobina (Jacobina/BA)</t>
        </is>
      </c>
      <c r="B128" s="82" t="inlineStr">
        <is>
          <t>Refis — troca de julho/2026</t>
        </is>
      </c>
      <c r="C128" s="81" t="n">
        <v>46290</v>
      </c>
      <c r="D128" s="83" t="n">
        <v>2095.2</v>
      </c>
      <c r="E128" s="113" t="inlineStr">
        <is>
          <t>Recebido</t>
        </is>
      </c>
      <c r="F128" s="113">
        <f>IF(OR($E128="Recebido",$C128=""),"",MAX(0,TODAY()-$C128))</f>
        <v/>
      </c>
      <c r="G128" s="82" t="inlineStr">
        <is>
          <t>Grupo Ânima — NF 000.004.333 de 26/08/2026 · OC AEMPPO00004452 · 30 dias · recebido via Pix em 25/09/2026 (Nota Paga no portal V360).</t>
        </is>
      </c>
    </row>
    <row r="129" s="157">
      <c r="A129" s="78" t="inlineStr">
        <is>
          <t>AGES Jacobina (Jacobina/BA)</t>
        </is>
      </c>
      <c r="B129" s="78" t="inlineStr">
        <is>
          <t>Refis — troca de julho/2026</t>
        </is>
      </c>
      <c r="C129" s="77" t="n">
        <v>46305</v>
      </c>
      <c r="D129" s="79" t="n">
        <v>1188.25</v>
      </c>
      <c r="E129" s="112" t="inlineStr">
        <is>
          <t>Recebido</t>
        </is>
      </c>
      <c r="F129" s="112">
        <f>IF(OR($E129="Recebido",$C129=""),"",MAX(0,TODAY()-$C129))</f>
        <v/>
      </c>
      <c r="G129" s="78" t="inlineStr">
        <is>
          <t>Grupo Ânima — NF 000.004.332 de 26/08/2026 · OC AEMPPO00004453 · 45 dias · Recebido em 13/10/2026 no BNB (Nota Paga no portal V360).</t>
        </is>
      </c>
    </row>
    <row r="130" s="157">
      <c r="A130" s="82" t="inlineStr">
        <is>
          <t>Instituto Paulo Leão</t>
        </is>
      </c>
      <c r="B130" s="82" t="inlineStr">
        <is>
          <t>Refil E3 + Pré Filtro</t>
        </is>
      </c>
      <c r="C130" s="81" t="n">
        <v>46265</v>
      </c>
      <c r="D130" s="83" t="n">
        <v>160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Recebido via Pix em 08/09/2026 — lançado em "Set 2026".</t>
        </is>
      </c>
    </row>
    <row r="131" s="157">
      <c r="A131" s="78" t="inlineStr">
        <is>
          <t>Eletronic Segurança Eletronica</t>
        </is>
      </c>
      <c r="B131" s="78" t="inlineStr">
        <is>
          <t>Pré Filtro</t>
        </is>
      </c>
      <c r="C131" s="77" t="n">
        <v>46265</v>
      </c>
      <c r="D131" s="79" t="n">
        <v>60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03/09/2026.</t>
        </is>
      </c>
    </row>
    <row r="132" s="157">
      <c r="A132" s="82" t="inlineStr">
        <is>
          <t>Clube dos Mineiros</t>
        </is>
      </c>
      <c r="B132" s="82" t="inlineStr">
        <is>
          <t>Refil Pro Life</t>
        </is>
      </c>
      <c r="C132" s="81" t="n">
        <v>46265</v>
      </c>
      <c r="D132" s="83" t="n">
        <v>150</v>
      </c>
      <c r="E132" s="113" t="inlineStr">
        <is>
          <t>Recebido</t>
        </is>
      </c>
      <c r="F132" s="113">
        <f>IF(OR($E132="Recebido",$C132=""),"",MAX(0,TODAY()-$C132))</f>
        <v/>
      </c>
      <c r="G132" s="82" t="inlineStr">
        <is>
          <t>Recebido via Pix em 01/09/2026 (pagador: Sindicato dos Mineiros de Jacobina).</t>
        </is>
      </c>
    </row>
    <row r="133" s="157">
      <c r="A133" s="78" t="inlineStr">
        <is>
          <t>Armazem Cecilio Mota</t>
        </is>
      </c>
      <c r="B133" s="78" t="inlineStr">
        <is>
          <t>Refil Everest + Refil Carbon 9"</t>
        </is>
      </c>
      <c r="C133" s="77" t="n">
        <v>46266</v>
      </c>
      <c r="D133" s="79" t="n">
        <v>225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82" t="inlineStr">
        <is>
          <t>Clebson Dantas Da Silva</t>
        </is>
      </c>
      <c r="B134" s="82" t="inlineStr">
        <is>
          <t>Refil Everest</t>
        </is>
      </c>
      <c r="C134" s="81" t="n">
        <v>46266</v>
      </c>
      <c r="D134" s="83" t="n">
        <v>140</v>
      </c>
      <c r="E134" s="113" t="inlineStr">
        <is>
          <t>Recebido</t>
        </is>
      </c>
      <c r="F134" s="113">
        <f>IF(OR($E134="Recebido",$C134=""),"",MAX(0,TODAY()-$C134))</f>
        <v/>
      </c>
      <c r="G134" s="82" t="inlineStr">
        <is>
          <t>Recebido via Pix em 02/09/2026</t>
        </is>
      </c>
    </row>
    <row r="135" s="157">
      <c r="A135" s="82" t="inlineStr">
        <is>
          <t>Tesla Imagem Medicina Diagnostica Ltda</t>
        </is>
      </c>
      <c r="B135" s="82" t="inlineStr">
        <is>
          <t>3x Refil Everest + 2x Pré Filtro</t>
        </is>
      </c>
      <c r="C135" s="81" t="n">
        <v>46267</v>
      </c>
      <c r="D135" s="83" t="n">
        <v>540</v>
      </c>
      <c r="E135" s="113" t="inlineStr">
        <is>
          <t>Recebido</t>
        </is>
      </c>
      <c r="F135" s="113">
        <f>IF(OR($E135="Recebido",$C135=""),"",MAX(0,TODAY()-$C135))</f>
        <v/>
      </c>
      <c r="G135" s="82" t="inlineStr">
        <is>
          <t>Troca do dia 02/09/2026 — 1º Andar, Térreo e Copa. Recebido via Pix em 08/09/2026 — lançado em "Set 2026".</t>
        </is>
      </c>
    </row>
    <row r="136" s="157">
      <c r="A136" s="78" t="inlineStr">
        <is>
          <t>Cecilio Mota Junior</t>
        </is>
      </c>
      <c r="B136" s="78" t="inlineStr">
        <is>
          <t>Refil Everest</t>
        </is>
      </c>
      <c r="C136" s="77" t="n">
        <v>46267</v>
      </c>
      <c r="D136" s="79" t="n">
        <v>140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10/09/2026 — lançado em "Set 2026".</t>
        </is>
      </c>
    </row>
    <row r="137" s="157">
      <c r="A137" s="78" t="inlineStr">
        <is>
          <t>Tereza Cristina Aquino Martins - Luiz Augusto</t>
        </is>
      </c>
      <c r="B137" s="78" t="inlineStr">
        <is>
          <t>Refil Everest + Pré Filtro</t>
        </is>
      </c>
      <c r="C137" s="77" t="n">
        <v>46268</v>
      </c>
      <c r="D137" s="79" t="n">
        <v>200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Recebido via Pix em 04/09/2026.</t>
        </is>
      </c>
    </row>
    <row r="138" s="157">
      <c r="A138" s="78" t="inlineStr">
        <is>
          <t>Samille Fiscina Lima Lordello - Tiago (Cartório)</t>
        </is>
      </c>
      <c r="B138" s="78" t="inlineStr">
        <is>
          <t>Refil Pro Life</t>
        </is>
      </c>
      <c r="C138" s="77" t="n">
        <v>46269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Recebido via Pix em 10/09/2026 — lançado em "Set 2026".</t>
        </is>
      </c>
    </row>
    <row r="139" s="157">
      <c r="A139" s="78" t="inlineStr">
        <is>
          <t>Bomboniere Doce Mania - Veronildo Basilio</t>
        </is>
      </c>
      <c r="B139" s="78" t="inlineStr">
        <is>
          <t>Refil Plissado + Refil BAG</t>
        </is>
      </c>
      <c r="C139" s="77" t="n">
        <v>46274</v>
      </c>
      <c r="D139" s="79" t="n">
        <v>150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Recebido em dinheiro em 16/09/2026 — lançado em "Set 2026".</t>
        </is>
      </c>
    </row>
    <row r="140" s="157">
      <c r="A140" s="78" t="inlineStr">
        <is>
          <t>Adriadne (Hotel Jovem Jota)</t>
        </is>
      </c>
      <c r="B140" s="78" t="inlineStr">
        <is>
          <t>Refil Everest</t>
        </is>
      </c>
      <c r="C140" s="77" t="n">
        <v>46275</v>
      </c>
      <c r="D140" s="79" t="n">
        <v>140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Recebido via Pix em 11/09/2026 — lançado em "Set 2026".</t>
        </is>
      </c>
    </row>
    <row r="141" s="157">
      <c r="A141" s="78" t="inlineStr">
        <is>
          <t>Pousada Triunfo Ltda (Hotel Triunfo)</t>
        </is>
      </c>
      <c r="B141" s="78" t="inlineStr">
        <is>
          <t>Refil Everest + Pré Filtro</t>
        </is>
      </c>
      <c r="C141" s="77" t="n">
        <v>46275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11/09/2026 — lançado em "Set 2026".</t>
        </is>
      </c>
    </row>
    <row r="142" s="157">
      <c r="A142" s="78" t="inlineStr">
        <is>
          <t>Topvel Tropical Veiculos e Pecas</t>
        </is>
      </c>
      <c r="B142" s="78" t="inlineStr">
        <is>
          <t>2x Refil Everest + 2x Pré Filtro</t>
        </is>
      </c>
      <c r="C142" s="77" t="n">
        <v>46276</v>
      </c>
      <c r="D142" s="79" t="n">
        <v>370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11/09/2026 — dois purificadores. Recebido via TED no BNB em 05/10/2026 — lançado em "Out 2026".</t>
        </is>
      </c>
    </row>
    <row r="143" s="157">
      <c r="A143" s="78" t="inlineStr">
        <is>
          <t>J Diesel Motores e Reparos - Gilmara</t>
        </is>
      </c>
      <c r="B143" s="78" t="inlineStr">
        <is>
          <t>Refil Everest</t>
        </is>
      </c>
      <c r="C143" s="77" t="n">
        <v>46276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11/09/2026.</t>
        </is>
      </c>
    </row>
    <row r="144" s="157">
      <c r="A144" s="78" t="inlineStr">
        <is>
          <t>IOB</t>
        </is>
      </c>
      <c r="B144" s="78" t="inlineStr">
        <is>
          <t>Refil Everest + Pré Filtro</t>
        </is>
      </c>
      <c r="C144" s="77" t="n">
        <v>46279</v>
      </c>
      <c r="D144" s="79" t="n">
        <v>200</v>
      </c>
      <c r="E144" s="112" t="inlineStr">
        <is>
          <t>Recebido</t>
        </is>
      </c>
      <c r="F144" s="112">
        <f>IF(OR($E144="Recebido",$C144=""),"",MAX(0,TODAY()-$C144))</f>
        <v/>
      </c>
      <c r="G144" s="78" t="inlineStr">
        <is>
          <t>Troca do dia 14/09/2026.</t>
        </is>
      </c>
    </row>
    <row r="145" s="157">
      <c r="A145" s="78" t="inlineStr">
        <is>
          <t>Clínica Santa Cecília</t>
        </is>
      </c>
      <c r="B145" s="78" t="inlineStr">
        <is>
          <t>Refil Everest + Termostato</t>
        </is>
      </c>
      <c r="C145" s="77" t="n">
        <v>46281</v>
      </c>
      <c r="D145" s="79" t="n">
        <v>310</v>
      </c>
      <c r="E145" s="112" t="inlineStr">
        <is>
          <t>Recebido</t>
        </is>
      </c>
      <c r="F145" s="112">
        <f>IF(OR($E145="Recebido",$C145=""),"",MAX(0,TODAY()-$C145))</f>
        <v/>
      </c>
      <c r="G145" s="78" t="inlineStr">
        <is>
          <t>Troca do dia 16/09/2026 — refil + troca de termostato. Recebido via Pix em 29/09/2026.</t>
        </is>
      </c>
    </row>
    <row r="146" s="157">
      <c r="A146" s="78" t="inlineStr">
        <is>
          <t>Marilda Macedo / José Luciano Costa</t>
        </is>
      </c>
      <c r="B146" s="78" t="inlineStr">
        <is>
          <t>Refil Everest + Pré Filtro</t>
        </is>
      </c>
      <c r="C146" s="77" t="n">
        <v>46283</v>
      </c>
      <c r="D146" s="79" t="n">
        <v>200</v>
      </c>
      <c r="E146" s="112" t="inlineStr">
        <is>
          <t>Recebido</t>
        </is>
      </c>
      <c r="F146" s="112">
        <f>IF(OR($E146="Recebido",$C146=""),"",MAX(0,TODAY()-$C146))</f>
        <v/>
      </c>
      <c r="G146" s="78" t="inlineStr">
        <is>
          <t>Recebido via Pix em 19/09/2026 — lançado em "Set 2026".</t>
        </is>
      </c>
    </row>
    <row r="147" s="157">
      <c r="A147" s="78" t="inlineStr">
        <is>
          <t>Tatiana Rocha</t>
        </is>
      </c>
      <c r="B147" s="78" t="inlineStr">
        <is>
          <t>Refil Everest</t>
        </is>
      </c>
      <c r="C147" s="77" t="n">
        <v>46286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21/09/2026. Recebido via Pix em 22/09/2026 — lançado em "Set 2026".</t>
        </is>
      </c>
    </row>
    <row r="148" s="157">
      <c r="A148" s="78" t="inlineStr">
        <is>
          <t>Cleone Gomes de Andrade</t>
        </is>
      </c>
      <c r="B148" s="78" t="inlineStr">
        <is>
          <t>Refil Everest</t>
        </is>
      </c>
      <c r="C148" s="77" t="n">
        <v>46286</v>
      </c>
      <c r="D148" s="79" t="n">
        <v>140</v>
      </c>
      <c r="E148" s="112" t="inlineStr">
        <is>
          <t>Recebido</t>
        </is>
      </c>
      <c r="F148" s="112">
        <f>IF(OR($E148="Recebido",$C148=""),"",MAX(0,TODAY()-$C148))</f>
        <v/>
      </c>
      <c r="G148" s="78" t="inlineStr">
        <is>
          <t>Troca do dia 21/09/2026. Recebido via Pix em 21/09/2026.</t>
        </is>
      </c>
    </row>
    <row r="149" s="157">
      <c r="A149" s="78" t="inlineStr">
        <is>
          <t>Centro de Especialidades Odontomédicas</t>
        </is>
      </c>
      <c r="B149" s="78" t="inlineStr">
        <is>
          <t>2x Refil Everest</t>
        </is>
      </c>
      <c r="C149" s="77" t="n">
        <v>46044</v>
      </c>
      <c r="D149" s="79" t="n">
        <v>280</v>
      </c>
      <c r="E149" s="112" t="inlineStr">
        <is>
          <t>Pendente</t>
        </is>
      </c>
      <c r="F149" s="112">
        <f>IF(OR($E149="Recebido",$C149=""),"",MAX(0,TODAY()-$C149))</f>
        <v/>
      </c>
      <c r="G149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50" s="157">
      <c r="A150" s="78" t="inlineStr">
        <is>
          <t>Igreja Messiânica Mundial do Brasil</t>
        </is>
      </c>
      <c r="B150" s="78" t="inlineStr">
        <is>
          <t>Mangueira</t>
        </is>
      </c>
      <c r="C150" s="77" t="n">
        <v>46073</v>
      </c>
      <c r="D150" s="79" t="n">
        <v>30</v>
      </c>
      <c r="E150" s="112" t="inlineStr">
        <is>
          <t>Pendente</t>
        </is>
      </c>
      <c r="F150" s="112">
        <f>IF(OR($E150="Recebido",$C150=""),"",MAX(0,TODAY()-$C150))</f>
        <v/>
      </c>
      <c r="G150" s="78" t="inlineStr">
        <is>
          <t>NF-e 4075 de 20/02/2026 (CNPJ 62.647.383/0063-44). Conferido no DigiSat em 28/09/2026: não recebido.</t>
        </is>
      </c>
    </row>
    <row r="151" s="157">
      <c r="A151" s="78" t="inlineStr">
        <is>
          <t>Centro Médico de Jacobina</t>
        </is>
      </c>
      <c r="B151" s="78" t="inlineStr">
        <is>
          <t>2x Botão Completo</t>
        </is>
      </c>
      <c r="C151" s="77" t="n">
        <v>46203</v>
      </c>
      <c r="D151" s="79" t="n">
        <v>60</v>
      </c>
      <c r="E151" s="112" t="inlineStr">
        <is>
          <t>Pendente</t>
        </is>
      </c>
      <c r="F151" s="112">
        <f>IF(OR($E151="Recebido",$C151=""),"",MAX(0,TODAY()-$C151))</f>
        <v/>
      </c>
      <c r="G151" s="78" t="inlineStr">
        <is>
          <t>NF-e 4242 de 30/06/2026 (CNPJ 13.228.432/0001-04). Conferido no DigiSat em 28/09/2026: não recebido.</t>
        </is>
      </c>
    </row>
    <row r="152" s="157">
      <c r="A152" s="78" t="inlineStr">
        <is>
          <t>Vivencie Turismo Agencia de Viagens - Aneildes Rios</t>
        </is>
      </c>
      <c r="B152" s="78" t="inlineStr">
        <is>
          <t>Refil Everest</t>
        </is>
      </c>
      <c r="C152" s="77" t="n">
        <v>46294</v>
      </c>
      <c r="D152" s="79" t="n">
        <v>140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Troca do dia 29/09/2026. Recebido via Pix em 05/10/2026 — R$ 135,00 (Pix único de R$ 270,00 com as duas trocas; R$ 10,00 de desconto dividido).</t>
        </is>
      </c>
    </row>
    <row r="153" s="157">
      <c r="A153" s="78" t="inlineStr">
        <is>
          <t>Lapec</t>
        </is>
      </c>
      <c r="B153" s="78" t="inlineStr">
        <is>
          <t>Refil C+3</t>
        </is>
      </c>
      <c r="C153" s="77" t="n">
        <v>46294</v>
      </c>
      <c r="D153" s="79" t="n">
        <v>100</v>
      </c>
      <c r="E153" s="112" t="inlineStr">
        <is>
          <t>Recebido</t>
        </is>
      </c>
      <c r="F153" s="112">
        <f>IF(OR($E153="Recebido",$C153=""),"",MAX(0,TODAY()-$C153))</f>
        <v/>
      </c>
      <c r="G153" s="78" t="inlineStr">
        <is>
          <t>Pagamento previsto para 30/09/2026. Recebido em dinheiro em 14/10/2026 — lançado em "Set 2026".</t>
        </is>
      </c>
    </row>
    <row r="154" s="157">
      <c r="A154" s="78" t="inlineStr">
        <is>
          <t>PC Jacobina Administradora de Cartões LTDA - Cartão de Todos</t>
        </is>
      </c>
      <c r="B154" s="78" t="inlineStr">
        <is>
          <t>Refil Everest</t>
        </is>
      </c>
      <c r="C154" s="77" t="n">
        <v>46295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30/09/2026. Recebido via Pix em 01/10/2026 (comprovante enviado em 06/10/2026) — lançado em "Out 2026".</t>
        </is>
      </c>
    </row>
    <row r="155" s="157">
      <c r="A155" s="78" t="inlineStr">
        <is>
          <t>Aneilde Rios de Oliveira</t>
        </is>
      </c>
      <c r="B155" s="78" t="inlineStr">
        <is>
          <t>Refil Everest</t>
        </is>
      </c>
      <c r="C155" s="77" t="n">
        <v>46296</v>
      </c>
      <c r="D155" s="79" t="n">
        <v>140</v>
      </c>
      <c r="E155" s="112" t="inlineStr">
        <is>
          <t>Recebido</t>
        </is>
      </c>
      <c r="F155" s="112">
        <f>IF(OR($E155="Recebido",$C155=""),"",MAX(0,TODAY()-$C155))</f>
        <v/>
      </c>
      <c r="G155" s="78" t="inlineStr">
        <is>
          <t>Troca do dia 01/10/2026 (casa, Caeira). Recebido via Pix em 05/10/2026 — R$ 135,00 (Pix único de R$ 270,00 com as duas trocas; R$ 10,00 de desconto dividido).</t>
        </is>
      </c>
    </row>
    <row r="156" s="157">
      <c r="A156" s="78" t="inlineStr">
        <is>
          <t>Centro Medico da Chapada Diamantina LTDA</t>
        </is>
      </c>
      <c r="B156" s="78" t="inlineStr">
        <is>
          <t>Refil Pro Life + 2x Botão Completo</t>
        </is>
      </c>
      <c r="C156" s="77" t="n">
        <v>46296</v>
      </c>
      <c r="D156" s="79" t="n">
        <v>200</v>
      </c>
      <c r="E156" s="112" t="inlineStr">
        <is>
          <t>Recebido</t>
        </is>
      </c>
      <c r="F156" s="112">
        <f>IF(OR($E156="Recebido",$C156=""),"",MAX(0,TODAY()-$C156))</f>
        <v/>
      </c>
      <c r="G156" s="78" t="inlineStr">
        <is>
          <t>Subsolo — troca do dia 01/10/2026 (refil + 2 botões). Recebido em 05/10/2026 no crédito em 3x (pagamento único de R$ 400,00 pelas duas trocas).</t>
        </is>
      </c>
    </row>
    <row r="157" s="157">
      <c r="A157" s="78" t="inlineStr">
        <is>
          <t>Centro Medico da Chapada Diamantina LTDA</t>
        </is>
      </c>
      <c r="B157" s="78" t="inlineStr">
        <is>
          <t>Refil Pro Life + 2x Botão Completo</t>
        </is>
      </c>
      <c r="C157" s="77" t="n">
        <v>46297</v>
      </c>
      <c r="D157" s="79" t="n">
        <v>200</v>
      </c>
      <c r="E157" s="112" t="inlineStr">
        <is>
          <t>Recebido</t>
        </is>
      </c>
      <c r="F157" s="112">
        <f>IF(OR($E157="Recebido",$C157=""),"",MAX(0,TODAY()-$C157))</f>
        <v/>
      </c>
      <c r="G157" s="78" t="inlineStr">
        <is>
          <t>1º Andar — troca do dia 02/10/2026 (refil + 2 botões). Recebido em 05/10/2026 no crédito em 3x (pagamento único de R$ 400,00 pelas duas trocas).</t>
        </is>
      </c>
    </row>
    <row r="158" s="157">
      <c r="A158" s="78" t="inlineStr">
        <is>
          <t>Igreja Messiânica Mundial do Brasil</t>
        </is>
      </c>
      <c r="B158" s="78" t="inlineStr">
        <is>
          <t>Refil Everest</t>
        </is>
      </c>
      <c r="C158" s="77" t="n">
        <v>46300</v>
      </c>
      <c r="D158" s="79" t="n">
        <v>140</v>
      </c>
      <c r="E158" s="112" t="inlineStr">
        <is>
          <t>Pendente</t>
        </is>
      </c>
      <c r="F158" s="112">
        <f>IF(OR($E158="Recebido",$C158=""),"",MAX(0,TODAY()-$C158))</f>
        <v/>
      </c>
      <c r="G158" s="78" t="inlineStr">
        <is>
          <t>Troca do dia 05/10/2026. Mesmo cliente tem pendência de 20/02/2026 (Mangueira, R$ 30,00).</t>
        </is>
      </c>
    </row>
    <row r="159" s="157">
      <c r="A159" s="78" t="inlineStr">
        <is>
          <t>Rafael Landin Ribeiro</t>
        </is>
      </c>
      <c r="B159" s="78" t="inlineStr">
        <is>
          <t>Refil Everest</t>
        </is>
      </c>
      <c r="C159" s="77" t="n">
        <v>46304</v>
      </c>
      <c r="D159" s="79" t="n">
        <v>140</v>
      </c>
      <c r="E159" s="112" t="inlineStr">
        <is>
          <t>Recebido</t>
        </is>
      </c>
      <c r="F159" s="112">
        <f>IF(OR($E159="Recebido",$C159=""),"",MAX(0,TODAY()-$C159))</f>
        <v/>
      </c>
      <c r="G159" s="78" t="inlineStr">
        <is>
          <t>Troca do dia 09/10/2026. Recebido via Pix em 09/10/2026.</t>
        </is>
      </c>
    </row>
    <row r="160" s="157">
      <c r="A160" s="78" t="inlineStr">
        <is>
          <t>Restaurante Bonzão Bode - Aloisio Queiroz</t>
        </is>
      </c>
      <c r="B160" s="78" t="inlineStr">
        <is>
          <t>Refil Pro Life + Refil Universal (restante)</t>
        </is>
      </c>
      <c r="C160" s="77" t="n">
        <v>46304</v>
      </c>
      <c r="D160" s="79" t="n">
        <v>85</v>
      </c>
      <c r="E160" s="112" t="inlineStr">
        <is>
          <t>Pendente</t>
        </is>
      </c>
      <c r="F160" s="112">
        <f>IF(OR($E160="Recebido",$C160=""),"",MAX(0,TODAY()-$C160))</f>
        <v/>
      </c>
      <c r="G160" s="78" t="inlineStr">
        <is>
          <t>Venda de R$ 170,00 — R$ 85,00 pagos no débito em 09/10/2026; restante via Pix previsto para 16/10/2026.</t>
        </is>
      </c>
    </row>
    <row r="161" s="157">
      <c r="A161" s="78" t="inlineStr">
        <is>
          <t>Tropical Motos LTDA</t>
        </is>
      </c>
      <c r="B161" s="78" t="inlineStr">
        <is>
          <t>Refil Pro Life</t>
        </is>
      </c>
      <c r="C161" s="77" t="n">
        <v>46304</v>
      </c>
      <c r="D161" s="79" t="n">
        <v>140</v>
      </c>
      <c r="E161" s="112" t="inlineStr">
        <is>
          <t>Pendente</t>
        </is>
      </c>
      <c r="F161" s="112">
        <f>IF(OR($E161="Recebido",$C161=""),"",MAX(0,TODAY()-$C161))</f>
        <v/>
      </c>
      <c r="G161" s="78" t="inlineStr">
        <is>
          <t>Troca do dia 09/10/2026 — purificador do andar de cima.</t>
        </is>
      </c>
    </row>
    <row r="162" s="157">
      <c r="A162" s="78" t="inlineStr">
        <is>
          <t>Casa do Construtor</t>
        </is>
      </c>
      <c r="B162" s="78" t="inlineStr">
        <is>
          <t>Refil Everest</t>
        </is>
      </c>
      <c r="C162" s="77" t="n">
        <v>46310</v>
      </c>
      <c r="D162" s="79" t="n">
        <v>140</v>
      </c>
      <c r="E162" s="112" t="inlineStr">
        <is>
          <t>Pendente</t>
        </is>
      </c>
      <c r="F162" s="112">
        <f>IF(OR($E162="Recebido",$C162=""),"",MAX(0,TODAY()-$C162))</f>
        <v/>
      </c>
      <c r="G162" s="78" t="inlineStr">
        <is>
          <t>Troca do dia 15/10/2026.</t>
        </is>
      </c>
    </row>
    <row r="163" s="157">
      <c r="A163" s="78" t="inlineStr">
        <is>
          <t>Lapec</t>
        </is>
      </c>
      <c r="B163" s="78" t="inlineStr">
        <is>
          <t>Refil E3 + Refil Everest</t>
        </is>
      </c>
      <c r="C163" s="77" t="n">
        <v>46310</v>
      </c>
      <c r="D163" s="79" t="n">
        <v>200</v>
      </c>
      <c r="E163" s="112" t="inlineStr">
        <is>
          <t>Pendente</t>
        </is>
      </c>
      <c r="F163" s="112">
        <f>IF(OR($E163="Recebido",$C163=""),"",MAX(0,TODAY()-$C163))</f>
        <v/>
      </c>
      <c r="G163" s="78" t="inlineStr">
        <is>
          <t>Compra do dia 15/10/2026 — Refil E3 R$ 80,00 + Refil Everest R$ 120,00.</t>
        </is>
      </c>
    </row>
    <row r="164" s="157">
      <c r="A164" s="78" t="inlineStr">
        <is>
          <t>Primeiro Tabelionato de Notas - Tatiana Miranda Siqueira</t>
        </is>
      </c>
      <c r="B164" s="78" t="inlineStr">
        <is>
          <t>Refil Everest</t>
        </is>
      </c>
      <c r="C164" s="77" t="n">
        <v>46310</v>
      </c>
      <c r="D164" s="79" t="n">
        <v>140</v>
      </c>
      <c r="E164" s="112" t="inlineStr">
        <is>
          <t>Recebido</t>
        </is>
      </c>
      <c r="F164" s="112">
        <f>IF(OR($E164="Recebido",$C164=""),"",MAX(0,TODAY()-$C164))</f>
        <v/>
      </c>
      <c r="G164" s="78" t="inlineStr">
        <is>
          <t>Troca do dia 15/10/2026. Recebido via Pix em 16/10/2026 — lançado em "Out 2026".</t>
        </is>
      </c>
    </row>
    <row r="165" s="157">
      <c r="A165" s="78" t="inlineStr">
        <is>
          <t>Colegio Oasis de Jacobina - Unopar</t>
        </is>
      </c>
      <c r="B165" s="78" t="inlineStr">
        <is>
          <t>2x Refil Plissado + 2x Carcaça 9"</t>
        </is>
      </c>
      <c r="C165" s="77" t="n">
        <v>46305</v>
      </c>
      <c r="D165" s="79" t="n">
        <v>400</v>
      </c>
      <c r="E165" s="112" t="inlineStr">
        <is>
          <t>Pendente</t>
        </is>
      </c>
      <c r="F165" s="112">
        <f>IF(OR($E165="Recebido",$C165=""),"",MAX(0,TODAY()-$C165))</f>
        <v/>
      </c>
      <c r="G165" s="78" t="inlineStr">
        <is>
          <t>2x Refil Plissado R$ 80,00 cada + 2x Carcaça 9" R$ 120,00 cada. Cláudio assinou para pagar depois. Falta enviar a NF.</t>
        </is>
      </c>
    </row>
    <row r="166" s="157">
      <c r="A166" s="78" t="inlineStr">
        <is>
          <t>DFLL Serviços Medicos Ltda - ImCardio - Instituto Materno Cardiologico</t>
        </is>
      </c>
      <c r="B166" s="78" t="inlineStr">
        <is>
          <t>Refil Everest + Pré Filtro (restante)</t>
        </is>
      </c>
      <c r="C166" s="77" t="n">
        <v>46311</v>
      </c>
      <c r="D166" s="79" t="n">
        <v>60</v>
      </c>
      <c r="E166" s="112" t="inlineStr">
        <is>
          <t>Pendente</t>
        </is>
      </c>
      <c r="F166" s="112">
        <f>IF(OR($E166="Recebido",$C166=""),"",MAX(0,TODAY()-$C166))</f>
        <v/>
      </c>
      <c r="G166" s="78" t="inlineStr">
        <is>
          <t>Troca do dia 16/10/2026 — bebedouro da recepção. Venda de R$ 200,00: R$ 140,00 pagos em dinheiro em 16/10/2026; falta R$ 60,00.</t>
        </is>
      </c>
    </row>
    <row r="167" s="157">
      <c r="A167" s="78" t="inlineStr">
        <is>
          <t>Contabilidade Abreu</t>
        </is>
      </c>
      <c r="B167" s="78" t="inlineStr">
        <is>
          <t>Termostato</t>
        </is>
      </c>
      <c r="C167" s="77" t="n">
        <v>46311</v>
      </c>
      <c r="D167" s="79" t="n">
        <v>170</v>
      </c>
      <c r="E167" s="112" t="inlineStr">
        <is>
          <t>Pendente</t>
        </is>
      </c>
      <c r="F167" s="112">
        <f>IF(OR($E167="Recebido",$C167=""),"",MAX(0,TODAY()-$C167))</f>
        <v/>
      </c>
      <c r="G167" s="78" t="inlineStr">
        <is>
          <t>Troca de termostato do dia 16/10/2026.</t>
        </is>
      </c>
    </row>
    <row r="168" s="157">
      <c r="A168" s="78" t="inlineStr">
        <is>
          <t>Studio Malena Lorrane</t>
        </is>
      </c>
      <c r="B168" s="78" t="inlineStr">
        <is>
          <t>Refil Everest + Pré Filtro (restante)</t>
        </is>
      </c>
      <c r="C168" s="77" t="n">
        <v>46316</v>
      </c>
      <c r="D168" s="79" t="n">
        <v>150</v>
      </c>
      <c r="E168" s="112" t="inlineStr">
        <is>
          <t>Pendente</t>
        </is>
      </c>
      <c r="F168" s="112">
        <f>IF(OR($E168="Recebido",$C168=""),"",MAX(0,TODAY()-$C168))</f>
        <v/>
      </c>
      <c r="G168" s="78" t="inlineStr">
        <is>
          <t>Troca do dia 21/10/2026. Venda de R$ 190,00; R$ 40,00 pagos com serviço de sobrancelha para a Edilânia. Deve R$ 90,00 do refil + R$ 60,00 do pré-filtro.</t>
        </is>
      </c>
    </row>
    <row r="169" s="157">
      <c r="A169" s="78" t="n"/>
      <c r="B169" s="78" t="n"/>
      <c r="C169" s="77" t="n"/>
      <c r="D169" s="79" t="n"/>
      <c r="E169" s="112" t="n"/>
      <c r="F169" s="112">
        <f>IF(OR($E169="Recebido",$C169=""),"",MAX(0,TODAY()-$C169))</f>
        <v/>
      </c>
      <c r="G169" s="78" t="n"/>
    </row>
    <row r="170" s="157">
      <c r="A170" s="78" t="n"/>
      <c r="B170" s="78" t="n"/>
      <c r="C170" s="77" t="n"/>
      <c r="D170" s="79" t="n"/>
      <c r="E170" s="112" t="n"/>
      <c r="F170" s="112">
        <f>IF(OR($E170="Recebido",$C170=""),"",MAX(0,TODAY()-$C170))</f>
        <v/>
      </c>
      <c r="G170" s="78" t="n"/>
    </row>
    <row r="171" s="157">
      <c r="A171" s="78" t="n"/>
      <c r="B171" s="78" t="n"/>
      <c r="C171" s="77" t="n"/>
      <c r="D171" s="79" t="n"/>
      <c r="E171" s="112" t="n"/>
      <c r="F171" s="112">
        <f>IF(OR($E171="Recebido",$C171=""),"",MAX(0,TODAY()-$C171))</f>
        <v/>
      </c>
      <c r="G171" s="78" t="n"/>
    </row>
    <row r="172" s="157">
      <c r="A172" s="78" t="n"/>
      <c r="B172" s="78" t="n"/>
      <c r="C172" s="77" t="n"/>
      <c r="D172" s="79" t="n"/>
      <c r="E172" s="112" t="n"/>
      <c r="F172" s="112">
        <f>IF(OR($E172="Recebido",$C172=""),"",MAX(0,TODAY()-$C172))</f>
        <v/>
      </c>
      <c r="G172" s="78" t="n"/>
    </row>
    <row r="173" s="157">
      <c r="A173" s="78" t="n"/>
      <c r="B173" s="78" t="n"/>
      <c r="C173" s="77" t="n"/>
      <c r="D173" s="79" t="n"/>
      <c r="E173" s="112" t="n"/>
      <c r="F173" s="112">
        <f>IF(OR($E173="Recebido",$C173=""),"",MAX(0,TODAY()-$C173))</f>
        <v/>
      </c>
      <c r="G173" s="78" t="n"/>
    </row>
    <row r="174" s="157">
      <c r="A174" s="78" t="n"/>
      <c r="B174" s="78" t="n"/>
      <c r="C174" s="77" t="n"/>
      <c r="D174" s="79" t="n"/>
      <c r="E174" s="112" t="n"/>
      <c r="F174" s="112">
        <f>IF(OR($E174="Recebido",$C174=""),"",MAX(0,TODAY()-$C174))</f>
        <v/>
      </c>
      <c r="G174" s="78" t="n"/>
    </row>
    <row r="175" s="157">
      <c r="A175" s="78" t="n"/>
      <c r="B175" s="78" t="n"/>
      <c r="C175" s="77" t="n"/>
      <c r="D175" s="79" t="n"/>
      <c r="E175" s="112" t="n"/>
      <c r="F175" s="112">
        <f>IF(OR($E175="Recebido",$C175=""),"",MAX(0,TODAY()-$C175))</f>
        <v/>
      </c>
      <c r="G175" s="78" t="n"/>
    </row>
    <row r="176" s="157">
      <c r="A176" s="78" t="n"/>
      <c r="B176" s="78" t="n"/>
      <c r="C176" s="77" t="n"/>
      <c r="D176" s="79" t="n"/>
      <c r="E176" s="112" t="n"/>
      <c r="F176" s="112">
        <f>IF(OR($E176="Recebido",$C176=""),"",MAX(0,TODAY()-$C176))</f>
        <v/>
      </c>
      <c r="G176" s="78" t="n"/>
    </row>
    <row r="177" s="157">
      <c r="A177" s="78" t="n"/>
      <c r="B177" s="78" t="n"/>
      <c r="C177" s="77" t="n"/>
      <c r="D177" s="79" t="n"/>
      <c r="E177" s="112" t="n"/>
      <c r="F177" s="112">
        <f>IF(OR($E177="Recebido",$C177=""),"",MAX(0,TODAY()-$C177))</f>
        <v/>
      </c>
      <c r="G177" s="78" t="n"/>
    </row>
    <row r="178" s="157">
      <c r="A178" s="86" t="inlineStr">
        <is>
          <t>TOTAL EM ABERTO A RECEBER (detalhe)</t>
        </is>
      </c>
      <c r="D178" s="115">
        <f>SUMIF(E107:E177,"Pendente",D107:D177)</f>
        <v/>
      </c>
    </row>
    <row r="179" s="157">
      <c r="A179" s="202" t="inlineStr">
        <is>
          <t>CONFERÊNCIA COM AS ABAS DOS MESES</t>
        </is>
      </c>
      <c r="B179" s="159" t="n"/>
      <c r="C179" s="159" t="n"/>
      <c r="D179" s="159" t="n"/>
      <c r="E179" s="159" t="n"/>
      <c r="F179" s="159" t="n"/>
      <c r="G179" s="160" t="n"/>
    </row>
    <row r="180" s="157">
      <c r="A180" s="203">
        <f>IF(ROUND(D178-C5,2)=0,"OK — o detalhe acima bate com as vendas marcadas como Aguardando Pagamento nas abas dos meses.","ATENÇÃO: diferença de R$ "&amp;TEXT(ABS(D178-C5),"#,##0.00")&amp;" entre este detalhe e as abas dos meses — alguma venda mudou de status em um lado só.")</f>
        <v/>
      </c>
    </row>
    <row r="181" s="157">
      <c r="A181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  <row r="205" s="157"/>
    <row r="206" s="157"/>
    <row r="207" s="157"/>
    <row r="208" s="157"/>
    <row r="209" s="157"/>
    <row r="210" s="157"/>
    <row r="211" s="157"/>
    <row r="212" s="157"/>
    <row r="213" s="157"/>
    <row r="214" s="157"/>
    <row r="215" s="157"/>
    <row r="216" s="157"/>
    <row r="217" s="157"/>
    <row r="218" s="157"/>
    <row r="219" s="157"/>
  </sheetData>
  <mergeCells count="13">
    <mergeCell ref="A4:B4"/>
    <mergeCell ref="E4:F4"/>
    <mergeCell ref="A1:G1"/>
    <mergeCell ref="A9:G9"/>
    <mergeCell ref="A105:G105"/>
    <mergeCell ref="C5:D6"/>
    <mergeCell ref="A5:B6"/>
    <mergeCell ref="A2:G2"/>
    <mergeCell ref="E5:F6"/>
    <mergeCell ref="A104:G104"/>
    <mergeCell ref="A179:G179"/>
    <mergeCell ref="A180:G180"/>
    <mergeCell ref="C4:D4"/>
  </mergeCells>
  <dataValidations count="2">
    <dataValidation sqref="E11:E99" showDropDown="0" showInputMessage="0" showErrorMessage="0" allowBlank="1" type="list">
      <formula1>"Pendente,Pago,Previsto"</formula1>
    </dataValidation>
    <dataValidation sqref="E107:E177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EMP-0138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Comprado: 100x Refil Everest + 50x Pré Filtro (NF-e 72869 de 07/05/2026, nota de R$ 4.904,13 em 5 boletos). 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Comprado: 100x Refil Everest (NF-e 73636 de 10/06/2026, nota de R$ 4.394,61 em 5 boletos). 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46310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Aguardando Pagamento</t>
        </is>
      </c>
      <c r="F102" s="47" t="n"/>
      <c r="G102" s="48" t="n"/>
      <c r="H102" s="49" t="n"/>
      <c r="I102" s="45" t="n"/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Comprado: 100x Refil Everest + 50x Pré Filtro (NF-e 74454 de 17/07/2026, nota de R$ 4.904,13 em 5 boletos). 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Comprado: 2x Purificador Everest Fit Branco + Purificador Everest Slim Branco + Purificador Everest Star Prata (NF-e 386188 de 15/09/2026, nota de R$ 2.871,36 em 5 boletos). 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7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44" t="n">
        <v>46311</v>
      </c>
      <c r="B116" s="45" t="inlineStr">
        <is>
          <t>DFLL Serviços Medicos Ltda - ImCardio - Instituto Materno Cardiologico</t>
        </is>
      </c>
      <c r="C116" s="45" t="inlineStr">
        <is>
          <t>(Mesma venda acima — 2ª forma de pagamento, sem produtos novos)</t>
        </is>
      </c>
      <c r="D116" s="46" t="n">
        <v>60</v>
      </c>
      <c r="E116" s="45" t="inlineStr">
        <is>
          <t>Aguardando Pagamento</t>
        </is>
      </c>
      <c r="F116" s="47" t="n"/>
      <c r="G116" s="48" t="n"/>
      <c r="H116" s="49" t="n"/>
      <c r="I116" s="45" t="inlineStr">
        <is>
          <t>Restante da venda de R$ 200,00 (R$ 140,00 pagos em dinheiro). Cliente vai pagar depois.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7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44" t="n">
        <v>46310</v>
      </c>
      <c r="B118" s="45" t="inlineStr">
        <is>
          <t>Edinaldo Nunes - Marilene de Souza Oliveira</t>
        </is>
      </c>
      <c r="C118" s="45" t="inlineStr">
        <is>
          <t>(Mesma venda acima — 2ª forma de pagamento, sem produtos novos)</t>
        </is>
      </c>
      <c r="D118" s="46" t="n">
        <v>90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Eduardo Santos da Silva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CLI-0408</t>
        </is>
      </c>
    </row>
    <row r="120">
      <c r="A120" s="44" t="n">
        <v>46311</v>
      </c>
      <c r="B120" s="45" t="inlineStr">
        <is>
          <t>Cezar Silva Atacado e Varejo - A Lojinha Utilidades (Iene Quedila Nunes Dourado)</t>
        </is>
      </c>
      <c r="C120" s="45" t="n"/>
      <c r="D120" s="46" t="n"/>
      <c r="E120" s="45" t="n"/>
      <c r="F120" s="47" t="n"/>
      <c r="G120" s="48" t="n">
        <v>170</v>
      </c>
      <c r="H120" s="49" t="inlineStr">
        <is>
          <t>Manutenção e Reparos</t>
        </is>
      </c>
      <c r="I120" s="45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7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Comprado: 12x Conexão T + 30x Registro + 20x Botão Completo de Purificador + 30x Suporte de Parede (NF-e 377737 de 19/05/2026, nota de R$ 725,16 em 5 boletos). Boleto doc. 377737 (emissão 19/05/2026) · parcela 5/5 (última) — venc. 16/10/2026. Pago em 16/10/2026.</t>
        </is>
      </c>
      <c r="J121" s="18" t="n"/>
    </row>
    <row r="122">
      <c r="A122" s="44" t="n">
        <v>46311</v>
      </c>
      <c r="B122" s="45" t="inlineStr">
        <is>
          <t>Everest Refrigeração</t>
        </is>
      </c>
      <c r="C122" s="45" t="n"/>
      <c r="D122" s="46" t="n"/>
      <c r="E122" s="45" t="n"/>
      <c r="F122" s="47" t="n"/>
      <c r="G122" s="48" t="n">
        <v>865.52</v>
      </c>
      <c r="H122" s="49" t="inlineStr">
        <is>
          <t>Fornecedores / Mercadoria</t>
        </is>
      </c>
      <c r="I122" s="45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7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44" t="n">
        <v>46312</v>
      </c>
      <c r="B124" s="45" t="inlineStr">
        <is>
          <t>Cloro e Cia (Mello e Castiglioni Ltda)</t>
        </is>
      </c>
      <c r="C124" s="45" t="n"/>
      <c r="D124" s="46" t="n"/>
      <c r="E124" s="45" t="n"/>
      <c r="F124" s="47" t="n"/>
      <c r="G124" s="48" t="n">
        <v>36</v>
      </c>
      <c r="H124" s="49" t="inlineStr">
        <is>
          <t>Material de Limpeza e Escritório</t>
        </is>
      </c>
      <c r="I124" s="45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7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</t>
        </is>
      </c>
      <c r="J125" s="18" t="n"/>
    </row>
    <row r="126">
      <c r="A126" s="44" t="n">
        <v>46312</v>
      </c>
      <c r="B126" s="45" t="inlineStr">
        <is>
          <t>Compras para casa</t>
        </is>
      </c>
      <c r="C126" s="45" t="n"/>
      <c r="D126" s="46" t="n"/>
      <c r="E126" s="45" t="n"/>
      <c r="F126" s="47" t="n"/>
      <c r="G126" s="48" t="n">
        <v>200</v>
      </c>
      <c r="H126" s="49" t="inlineStr">
        <is>
          <t>Pro Labore Edilânia</t>
        </is>
      </c>
      <c r="I126" s="45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7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44" t="n">
        <v>46314</v>
      </c>
      <c r="B128" s="45" t="inlineStr">
        <is>
          <t>Carneiro Ultra Drogaria LTDA - Filial 02</t>
        </is>
      </c>
      <c r="C128" s="45" t="inlineStr">
        <is>
          <t>Refil Everest</t>
        </is>
      </c>
      <c r="D128" s="46" t="n">
        <v>140</v>
      </c>
      <c r="E128" s="45" t="inlineStr">
        <is>
          <t>Dinheiro</t>
        </is>
      </c>
      <c r="F128" s="47" t="n"/>
      <c r="G128" s="48" t="n"/>
      <c r="H128" s="49" t="n"/>
      <c r="I128" s="45" t="n"/>
      <c r="J128" t="inlineStr">
        <is>
          <t>EMP-0043</t>
        </is>
      </c>
    </row>
    <row r="129">
      <c r="A129" s="17" t="n">
        <v>46314</v>
      </c>
      <c r="B129" s="18" t="inlineStr">
        <is>
          <t>Otica Imagem - José Luciano Viera Costa</t>
        </is>
      </c>
      <c r="C129" s="18" t="inlineStr">
        <is>
          <t>Refil Everest</t>
        </is>
      </c>
      <c r="D129" s="27" t="n">
        <v>140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Ótica pagou R$ 280,00 pelas duas trocas (térreo e 1º andar).</t>
        </is>
      </c>
      <c r="J129" s="18" t="inlineStr">
        <is>
          <t>EMP-0238</t>
        </is>
      </c>
    </row>
    <row r="130">
      <c r="A130" s="44" t="n">
        <v>46314</v>
      </c>
      <c r="B130" s="45" t="inlineStr">
        <is>
          <t>Otica Imagem - José Luciano Viera Costa 1 Andar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Ótica pagou R$ 280,00 pelas duas trocas (térreo e 1º andar).</t>
        </is>
      </c>
      <c r="J130" t="inlineStr">
        <is>
          <t>EMP-0238</t>
        </is>
      </c>
    </row>
    <row r="131">
      <c r="A131" s="17" t="n">
        <v>46314</v>
      </c>
      <c r="B131" s="18" t="inlineStr">
        <is>
          <t>Pedras e Pisos - Loja</t>
        </is>
      </c>
      <c r="C131" s="18" t="inlineStr">
        <is>
          <t>Refil Everest</t>
        </is>
      </c>
      <c r="D131" s="27" t="n">
        <v>140</v>
      </c>
      <c r="E131" s="18" t="inlineStr">
        <is>
          <t>Dinheiro</t>
        </is>
      </c>
      <c r="F131" s="19" t="n"/>
      <c r="G131" s="19" t="n"/>
      <c r="H131" s="21" t="n"/>
      <c r="I131" s="18" t="n"/>
      <c r="J131" s="18" t="inlineStr">
        <is>
          <t>EMP-0245</t>
        </is>
      </c>
    </row>
    <row r="132">
      <c r="A132" s="44" t="n">
        <v>46314</v>
      </c>
      <c r="B132" s="45" t="inlineStr">
        <is>
          <t>Marsilia Marmores e Granitos Erelli</t>
        </is>
      </c>
      <c r="C132" s="45" t="inlineStr">
        <is>
          <t>Refil Everest</t>
        </is>
      </c>
      <c r="D132" s="46" t="n">
        <v>140</v>
      </c>
      <c r="E132" s="45" t="inlineStr">
        <is>
          <t>Aguardando Pagamento</t>
        </is>
      </c>
      <c r="F132" s="47" t="n"/>
      <c r="G132" s="48" t="n"/>
      <c r="H132" s="49" t="n"/>
      <c r="I132" s="45" t="n"/>
      <c r="J132" t="inlineStr">
        <is>
          <t>EMP-0216</t>
        </is>
      </c>
    </row>
    <row r="133">
      <c r="A133" s="17" t="n">
        <v>46314</v>
      </c>
      <c r="B133" s="18" t="inlineStr">
        <is>
          <t>Gilberto de Aguiar</t>
        </is>
      </c>
      <c r="C133" s="18" t="inlineStr">
        <is>
          <t>Refil Everest</t>
        </is>
      </c>
      <c r="D133" s="27" t="n">
        <v>140</v>
      </c>
      <c r="E133" s="18" t="inlineStr">
        <is>
          <t>Dinheiro</t>
        </is>
      </c>
      <c r="F133" s="19" t="n"/>
      <c r="G133" s="19" t="n"/>
      <c r="H133" s="21" t="n"/>
      <c r="I133" s="18" t="n"/>
      <c r="J133" s="18" t="inlineStr">
        <is>
          <t>CLI-0629</t>
        </is>
      </c>
    </row>
    <row r="134">
      <c r="A134" s="44" t="n">
        <v>46314</v>
      </c>
      <c r="B134" s="45" t="inlineStr">
        <is>
          <t>A. S. Supermercado</t>
        </is>
      </c>
      <c r="C134" s="45" t="inlineStr">
        <is>
          <t>Refil Pro Life + Pré Filtro</t>
        </is>
      </c>
      <c r="D134" s="46" t="n">
        <v>190</v>
      </c>
      <c r="E134" s="45" t="inlineStr">
        <is>
          <t>Dinheiro</t>
        </is>
      </c>
      <c r="F134" s="47" t="n"/>
      <c r="G134" s="48" t="n"/>
      <c r="H134" s="49" t="n"/>
      <c r="I134" s="45" t="n"/>
      <c r="J134" t="inlineStr">
        <is>
          <t>EMP-0321</t>
        </is>
      </c>
    </row>
    <row r="135">
      <c r="A135" s="17" t="n">
        <v>46314</v>
      </c>
      <c r="B135" s="18" t="inlineStr">
        <is>
          <t>Raulino Gonçalves dos Santos</t>
        </is>
      </c>
      <c r="C135" s="18" t="inlineStr">
        <is>
          <t>Purificador Everest Foz Branco</t>
        </is>
      </c>
      <c r="D135" s="27" t="n">
        <v>1500</v>
      </c>
      <c r="E135" s="18" t="inlineStr">
        <is>
          <t>Crédito Parcelado</t>
        </is>
      </c>
      <c r="F135" s="19" t="n">
        <v>119.85</v>
      </c>
      <c r="G135" s="19" t="n"/>
      <c r="H135" s="21" t="n"/>
      <c r="I135" s="18" t="inlineStr">
        <is>
          <t>Parcelado em 4x. Instalado em 19/10/2026.</t>
        </is>
      </c>
      <c r="J135" s="18" t="inlineStr">
        <is>
          <t>CLI-0906</t>
        </is>
      </c>
    </row>
    <row r="136">
      <c r="A136" s="44" t="n">
        <v>46314</v>
      </c>
      <c r="B136" s="45" t="inlineStr">
        <is>
          <t>Larissa Sena</t>
        </is>
      </c>
      <c r="C136" s="45" t="inlineStr">
        <is>
          <t>Refil FPA14</t>
        </is>
      </c>
      <c r="D136" s="46" t="n">
        <v>110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Pix de R$ 250,00 junto com o refil da Int Odontologia (R$ 140,00).</t>
        </is>
      </c>
      <c r="J136" t="inlineStr">
        <is>
          <t>CLI-0907</t>
        </is>
      </c>
    </row>
    <row r="137">
      <c r="A137" s="17" t="n">
        <v>46314</v>
      </c>
      <c r="B137" s="18" t="inlineStr">
        <is>
          <t>Int Odontologia - Larissa Sena</t>
        </is>
      </c>
      <c r="C137" s="18" t="inlineStr">
        <is>
          <t>Refil Everest</t>
        </is>
      </c>
      <c r="D137" s="27" t="n">
        <v>140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Pago adiantado em 19/10/2026 no mesmo Pix de R$ 250,00 da Larissa Sena; troca prevista para 20/10/2026.</t>
        </is>
      </c>
      <c r="J137" s="18" t="inlineStr">
        <is>
          <t>EMP-0184</t>
        </is>
      </c>
    </row>
    <row r="138">
      <c r="A138" s="44" t="n">
        <v>46314</v>
      </c>
      <c r="B138" s="45" t="inlineStr">
        <is>
          <t>Combustível</t>
        </is>
      </c>
      <c r="C138" s="45" t="n"/>
      <c r="D138" s="46" t="n"/>
      <c r="E138" s="45" t="n"/>
      <c r="F138" s="47" t="n"/>
      <c r="G138" s="48" t="n">
        <v>30</v>
      </c>
      <c r="H138" s="49" t="inlineStr">
        <is>
          <t>Transporte e Entregas</t>
        </is>
      </c>
      <c r="I138" s="45" t="inlineStr">
        <is>
      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      </is>
      </c>
    </row>
    <row r="139">
      <c r="A139" s="17" t="n">
        <v>46314</v>
      </c>
      <c r="B139" s="18" t="inlineStr">
        <is>
          <t>Vale Edilânia</t>
        </is>
      </c>
      <c r="C139" s="18" t="n"/>
      <c r="D139" s="27" t="n"/>
      <c r="E139" s="18" t="n"/>
      <c r="F139" s="19" t="n"/>
      <c r="G139" s="19" t="n">
        <v>20</v>
      </c>
      <c r="H139" s="21" t="inlineStr">
        <is>
          <t>Pro Labore Edilânia</t>
        </is>
      </c>
      <c r="I139" s="18" t="inlineStr">
        <is>
          <t>Vale de R$ 20,00 retirado do caixa em 19/10/2026.</t>
        </is>
      </c>
      <c r="J139" s="18" t="n"/>
    </row>
    <row r="140">
      <c r="A140" s="44" t="n">
        <v>46315</v>
      </c>
      <c r="B140" s="45" t="inlineStr">
        <is>
          <t>Banco do Nordeste do Brasil</t>
        </is>
      </c>
      <c r="C140" s="45" t="inlineStr">
        <is>
          <t>Refil Everest + Pré Filtro</t>
        </is>
      </c>
      <c r="D140" s="46" t="n">
        <v>200</v>
      </c>
      <c r="E140" s="45" t="inlineStr">
        <is>
          <t>Aguardando Pagamento</t>
        </is>
      </c>
      <c r="F140" s="47" t="n"/>
      <c r="G140" s="48" t="n"/>
      <c r="H140" s="49" t="n"/>
      <c r="I140" s="45" t="n"/>
      <c r="J140" t="inlineStr">
        <is>
          <t>EMP-0220</t>
        </is>
      </c>
    </row>
    <row r="141">
      <c r="A141" s="17" t="n">
        <v>46315</v>
      </c>
      <c r="B141" s="18" t="inlineStr">
        <is>
          <t>Receita Federal — Simples Nacional (DAS)</t>
        </is>
      </c>
      <c r="C141" s="18" t="n"/>
      <c r="D141" s="27" t="n"/>
      <c r="E141" s="18" t="n"/>
      <c r="F141" s="19" t="n"/>
      <c r="G141" s="19" t="n">
        <v>1430.03</v>
      </c>
      <c r="H141" s="21" t="inlineStr">
        <is>
          <t>Impostos e Taxas</t>
        </is>
      </c>
      <c r="I141" s="18" t="inlineStr">
        <is>
          <t>DAS competência setembro/2026 (doc. 07.20.26292.9598304-7) — venc. 20/10/2026. Detalhe: IRPJ R$ 78,65 · CSLL R$ 50,05 · COFINS R$ 182,19 · PIS R$ 39,47 · INSS R$ 593,46 · ICMS (BA) R$ 486,21. Pago em 20/10/2026 pelo Banco do Nordeste.</t>
        </is>
      </c>
      <c r="J141" s="18" t="n"/>
    </row>
    <row r="142">
      <c r="A142" s="44" t="n">
        <v>46315</v>
      </c>
      <c r="B142" s="45" t="inlineStr">
        <is>
          <t>Sindicato dos Trabalhadores Rurais</t>
        </is>
      </c>
      <c r="C142" s="45" t="inlineStr">
        <is>
          <t>2x Refil Everest</t>
        </is>
      </c>
      <c r="D142" s="46" t="n">
        <v>280</v>
      </c>
      <c r="E142" s="45" t="inlineStr">
        <is>
          <t>Dinheiro</t>
        </is>
      </c>
      <c r="F142" s="47" t="n"/>
      <c r="G142" s="48" t="n"/>
      <c r="H142" s="49" t="n"/>
      <c r="I142" s="45" t="inlineStr">
        <is>
          <t>Comprou na loja.</t>
        </is>
      </c>
      <c r="J142" t="inlineStr">
        <is>
          <t>OUT-0087</t>
        </is>
      </c>
    </row>
    <row r="143">
      <c r="A143" s="17" t="n">
        <v>46315</v>
      </c>
      <c r="B143" s="18" t="inlineStr">
        <is>
          <t>Magna dos Santos Carneiro Goncalves - Mirna</t>
        </is>
      </c>
      <c r="C143" s="18" t="inlineStr">
        <is>
          <t>Refil Everest</t>
        </is>
      </c>
      <c r="D143" s="27" t="n">
        <v>140</v>
      </c>
      <c r="E143" s="18" t="inlineStr">
        <is>
          <t>Aguardando Pagamento</t>
        </is>
      </c>
      <c r="F143" s="19" t="n"/>
      <c r="G143" s="19" t="n"/>
      <c r="H143" s="21" t="n"/>
      <c r="I143" s="18" t="n"/>
      <c r="J143" s="18" t="inlineStr">
        <is>
          <t>CLI-0488</t>
        </is>
      </c>
    </row>
    <row r="144">
      <c r="A144" s="44" t="n">
        <v>46315</v>
      </c>
      <c r="B144" s="45" t="inlineStr">
        <is>
          <t>Real Calçados Loja 1</t>
        </is>
      </c>
      <c r="C144" s="45" t="inlineStr">
        <is>
          <t>2x Refil Everest + Refil Pro Life + 2x Pré Filtro</t>
        </is>
      </c>
      <c r="D144" s="46" t="n">
        <v>515</v>
      </c>
      <c r="E144" s="45" t="inlineStr">
        <is>
          <t>Dinheiro</t>
        </is>
      </c>
      <c r="F144" s="47" t="n"/>
      <c r="G144" s="48" t="n"/>
      <c r="H144" s="49" t="n"/>
      <c r="I144" s="45" t="inlineStr">
        <is>
          <t>Loja 1 — térreo: Refil Everest + Pré Filtro · 1º andar: Refil Everest · 2º andar: Refil Pro Life + Pré Filtro. Total R$ 540,00 com desconto de R$ 25,00.</t>
        </is>
      </c>
      <c r="J144" t="inlineStr">
        <is>
          <t>EMP-0255</t>
        </is>
      </c>
    </row>
    <row r="145">
      <c r="A145" s="17" t="n">
        <v>46315</v>
      </c>
      <c r="B145" s="18" t="inlineStr">
        <is>
          <t>Everest Refrigeração</t>
        </is>
      </c>
      <c r="C145" s="18" t="n"/>
      <c r="D145" s="27" t="n"/>
      <c r="E145" s="18" t="n"/>
      <c r="F145" s="19" t="n"/>
      <c r="G145" s="19" t="n">
        <v>874.6799999999999</v>
      </c>
      <c r="H145" s="21" t="inlineStr">
        <is>
          <t>Fornecedores / Mercadoria</t>
        </is>
      </c>
      <c r="I145" s="18" t="inlineStr">
        <is>
          <t>Comprado: 2x Purificador Everest Slim Prata + 2x Purificador Everest Star Prata + Purificador Everest Star Branco + Purificador Everest Fit Branco (NF-e 379826 de 22/06/2026, nota de R$ 4.373,40 em 5 boletos). Boleto doc. 379826 (emissão 22/06/2026) · parcela 4/5 — venc. 20/10/2026. Pago em 20/10/2026.</t>
        </is>
      </c>
      <c r="J145" s="18" t="n"/>
    </row>
    <row r="146">
      <c r="A146" s="44" t="n">
        <v>46315</v>
      </c>
      <c r="B146" s="45" t="inlineStr">
        <is>
          <t>FGTS Digital (GFD)</t>
        </is>
      </c>
      <c r="C146" s="45" t="n"/>
      <c r="D146" s="46" t="n"/>
      <c r="E146" s="45" t="n"/>
      <c r="F146" s="47" t="n"/>
      <c r="G146" s="48" t="n">
        <v>136</v>
      </c>
      <c r="H146" s="49" t="inlineStr">
        <is>
          <t>Impostos e Taxas</t>
        </is>
      </c>
      <c r="I146" s="45" t="inlineStr">
        <is>
          <t>FGTS mensal — competência 09/2026. Venc. 20/10/2026, pago em 20/10/2026.</t>
        </is>
      </c>
    </row>
    <row r="147">
      <c r="A147" s="17" t="n">
        <v>46315</v>
      </c>
      <c r="B147" s="18" t="inlineStr">
        <is>
          <t>Receita Federal — DARF / INSS</t>
        </is>
      </c>
      <c r="C147" s="18" t="n"/>
      <c r="D147" s="27" t="n"/>
      <c r="E147" s="18" t="n"/>
      <c r="F147" s="19" t="n"/>
      <c r="G147" s="19" t="n">
        <v>306.99</v>
      </c>
      <c r="H147" s="21" t="inlineStr">
        <is>
          <t>Impostos e Taxas</t>
        </is>
      </c>
      <c r="I147" s="18" t="inlineStr">
        <is>
          <t>DARF / INSS — período de apuração setembro/2026. Venc. 20/10/2026, pago em 20/10/2026.</t>
        </is>
      </c>
      <c r="J147" s="18" t="n"/>
    </row>
    <row r="148">
      <c r="A148" s="44" t="n">
        <v>46315</v>
      </c>
      <c r="B148" s="45" t="inlineStr">
        <is>
          <t>Loja da Claro</t>
        </is>
      </c>
      <c r="C148" s="45" t="inlineStr">
        <is>
          <t>Refil Lacqua</t>
        </is>
      </c>
      <c r="D148" s="46" t="n">
        <v>80</v>
      </c>
      <c r="E148" s="45" t="inlineStr">
        <is>
          <t>Aguardando Pagamento</t>
        </is>
      </c>
      <c r="F148" s="47" t="n"/>
      <c r="G148" s="48" t="n"/>
      <c r="H148" s="49" t="n"/>
      <c r="I148" s="45" t="inlineStr">
        <is>
          <t>Cliente ainda não cadastrado na Planilha de Clientes.</t>
        </is>
      </c>
    </row>
    <row r="149">
      <c r="A149" s="17" t="n">
        <v>46316</v>
      </c>
      <c r="B149" s="18" t="inlineStr">
        <is>
          <t>Eliane Lisboa Silva</t>
        </is>
      </c>
      <c r="C149" s="18" t="inlineStr">
        <is>
          <t>Refil Everest + Pré Filtro</t>
        </is>
      </c>
      <c r="D149" s="27" t="n">
        <v>200</v>
      </c>
      <c r="E149" s="18" t="inlineStr">
        <is>
          <t>Dinheiro</t>
        </is>
      </c>
      <c r="F149" s="19" t="n"/>
      <c r="G149" s="19" t="n"/>
      <c r="H149" s="21" t="n"/>
      <c r="I149" s="18" t="n"/>
      <c r="J149" s="18" t="inlineStr">
        <is>
          <t>CLI-0908</t>
        </is>
      </c>
    </row>
    <row r="150">
      <c r="A150" s="44" t="n">
        <v>46316</v>
      </c>
      <c r="B150" s="45" t="inlineStr">
        <is>
          <t>Studio Malena Lorrane</t>
        </is>
      </c>
      <c r="C150" s="45" t="inlineStr">
        <is>
          <t>Refil Everest + Pré Filtro</t>
        </is>
      </c>
      <c r="D150" s="46" t="n">
        <v>150</v>
      </c>
      <c r="E150" s="45" t="inlineStr">
        <is>
          <t>Aguardando Pagamento</t>
        </is>
      </c>
      <c r="F150" s="47" t="n"/>
      <c r="G150" s="48" t="n"/>
      <c r="H150" s="49" t="n"/>
      <c r="I150" s="45" t="inlineStr">
        <is>
          <t>Venda de R$ 190,00: Refil Everest R$ 130,00 + Pré Filtro R$ 60,00 (o pré-filtro antigo, de 2020, da saída de água foi trocado na hora). R$ 40,00 do refil foram pagos com serviço de sobrancelha feito para a Edilânia; ficou devendo R$ 150,00 (R$ 90,00 do refil + R$ 60,00 do pré-filtro).</t>
        </is>
      </c>
      <c r="J150" t="inlineStr">
        <is>
          <t>EMP-0283</t>
        </is>
      </c>
    </row>
    <row r="151">
      <c r="A151" s="17" t="n">
        <v>46316</v>
      </c>
      <c r="B151" s="18" t="inlineStr">
        <is>
          <t>Edivandro De Jesus Bispo</t>
        </is>
      </c>
      <c r="C151" s="18" t="n"/>
      <c r="D151" s="27" t="n"/>
      <c r="E151" s="18" t="n"/>
      <c r="F151" s="19" t="n"/>
      <c r="G151" s="19" t="n">
        <v>200</v>
      </c>
      <c r="H151" s="21" t="inlineStr">
        <is>
          <t>Manutenção e Reparos</t>
        </is>
      </c>
      <c r="I151" s="18" t="inlineStr">
        <is>
          <t>Colocação de piso vinílico na loja, na área perto do banheiro. Pix de R$ 200,00 em 21/10/2026 09:56 pelo Banco do Nordeste (ID E07237373202610211255VN1BQCN2DOB).</t>
        </is>
      </c>
      <c r="J151" s="18" t="n"/>
    </row>
    <row r="152">
      <c r="A152" s="44" t="n">
        <v>46316</v>
      </c>
      <c r="B152" s="45" t="inlineStr">
        <is>
          <t>Miralva Lopes da Silva</t>
        </is>
      </c>
      <c r="C152" s="45" t="inlineStr">
        <is>
          <t>Refil Everest</t>
        </is>
      </c>
      <c r="D152" s="46" t="n">
        <v>140</v>
      </c>
      <c r="E152" s="45" t="inlineStr">
        <is>
          <t>Débito</t>
        </is>
      </c>
      <c r="F152" s="47" t="n">
        <v>2.03</v>
      </c>
      <c r="G152" s="48" t="n"/>
      <c r="H152" s="49" t="n"/>
      <c r="I152" s="45" t="n"/>
      <c r="J152" t="inlineStr">
        <is>
          <t>CLI-0390</t>
        </is>
      </c>
    </row>
    <row r="153">
      <c r="A153" s="17" t="n">
        <v>46311</v>
      </c>
      <c r="B153" s="18" t="inlineStr">
        <is>
          <t>Cezar Silva Atacado e Varejo (Iene Quedila Nunes Dourado)</t>
        </is>
      </c>
      <c r="C153" s="18" t="n"/>
      <c r="D153" s="27" t="n"/>
      <c r="E153" s="18" t="n"/>
      <c r="F153" s="19" t="n"/>
      <c r="G153" s="19" t="n">
        <v>40</v>
      </c>
      <c r="H153" s="21" t="inlineStr">
        <is>
          <t>Pro Labore Edilânia</t>
        </is>
      </c>
      <c r="I153" s="18" t="inlineStr">
        <is>
          <t>Extrato Stone — saída de 16/10/2026.</t>
        </is>
      </c>
      <c r="J153" s="18" t="n"/>
    </row>
    <row r="154">
      <c r="A154" s="44" t="n">
        <v>46314</v>
      </c>
      <c r="B154" s="45" t="inlineStr">
        <is>
          <t>Thiago de Jesus Nascimento</t>
        </is>
      </c>
      <c r="C154" s="45" t="n"/>
      <c r="D154" s="46" t="n"/>
      <c r="E154" s="45" t="n"/>
      <c r="F154" s="47" t="n"/>
      <c r="G154" s="48" t="n">
        <v>28</v>
      </c>
      <c r="H154" s="49" t="inlineStr">
        <is>
          <t>Pro Labore Edilânia</t>
        </is>
      </c>
      <c r="I154" s="45" t="inlineStr">
        <is>
          <t>Extrato Stone — saída de 19/10/2026.</t>
        </is>
      </c>
    </row>
    <row r="155">
      <c r="A155" s="17" t="n">
        <v>46315</v>
      </c>
      <c r="B155" s="18" t="inlineStr">
        <is>
          <t>Japedido Software</t>
        </is>
      </c>
      <c r="C155" s="18" t="n"/>
      <c r="D155" s="27" t="n"/>
      <c r="E155" s="18" t="n"/>
      <c r="F155" s="19" t="n"/>
      <c r="G155" s="19" t="n">
        <v>38.99</v>
      </c>
      <c r="H155" s="21" t="inlineStr">
        <is>
          <t>Pro Labore Edilânia</t>
        </is>
      </c>
      <c r="I155" s="18" t="inlineStr">
        <is>
          <t>Extrato Stone — saída de 20/10/2026.</t>
        </is>
      </c>
      <c r="J155" s="18" t="n"/>
    </row>
    <row r="156">
      <c r="A156" s="44" t="n">
        <v>46315</v>
      </c>
      <c r="B156" s="45" t="inlineStr">
        <is>
          <t>Maria Eva dos Santos</t>
        </is>
      </c>
      <c r="C156" s="45" t="n"/>
      <c r="D156" s="46" t="n"/>
      <c r="E156" s="45" t="n"/>
      <c r="F156" s="47" t="n"/>
      <c r="G156" s="48" t="n">
        <v>350</v>
      </c>
      <c r="H156" s="49" t="inlineStr">
        <is>
          <t>Pro Labore Edilânia</t>
        </is>
      </c>
      <c r="I156" s="45" t="inlineStr">
        <is>
          <t>Extrato Stone — saída de 20/10/2026. Diarista — não é o mesmo pagamento da "Diarista Eva" de R$ 400,00 de 17/10.</t>
        </is>
      </c>
    </row>
    <row r="157">
      <c r="A157" s="17" t="n">
        <v>46315</v>
      </c>
      <c r="B157" s="18" t="inlineStr">
        <is>
          <t>Uellinton Silva de Jesus</t>
        </is>
      </c>
      <c r="C157" s="18" t="n"/>
      <c r="D157" s="27" t="n"/>
      <c r="E157" s="18" t="n"/>
      <c r="F157" s="19" t="n"/>
      <c r="G157" s="19" t="n">
        <v>80</v>
      </c>
      <c r="H157" s="21" t="inlineStr">
        <is>
          <t>Pro Labore Edilânia</t>
        </is>
      </c>
      <c r="I157" s="18" t="inlineStr">
        <is>
          <t>Extrato Stone — Pix de 20/10/2026 18:58 (CNPJ 18.097.008/0001-83). Lançado como gasto pessoal — confirmar com a Edilânia.</t>
        </is>
      </c>
      <c r="J157" s="18" t="n"/>
    </row>
    <row r="158">
      <c r="A158" s="44" t="n">
        <v>46316</v>
      </c>
      <c r="B158" s="45" t="inlineStr">
        <is>
          <t>Fatura Claro TV (Embratel)</t>
        </is>
      </c>
      <c r="C158" s="45" t="n"/>
      <c r="D158" s="46" t="n"/>
      <c r="E158" s="45" t="n"/>
      <c r="F158" s="47" t="n"/>
      <c r="G158" s="48" t="n">
        <v>249.7</v>
      </c>
      <c r="H158" s="49" t="inlineStr">
        <is>
          <t>Pro Labore Edilânia</t>
        </is>
      </c>
      <c r="I158" s="45" t="inlineStr">
        <is>
          <t>TV de casa — despesa pessoal. Pix de R$ 249,70 em 21/10/2026 14:26 pelo Banco do Nordeste para Embratel (ID E07237373202610211726RDWOGZX74RT).</t>
        </is>
      </c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2026-10-21T17:31:10Z</dcterms:modified>
  <cp:lastModifiedBy>Planeta</cp:lastModifiedBy>
  <cp:revision>1</cp:revision>
</cp:coreProperties>
</file>