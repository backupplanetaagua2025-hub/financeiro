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8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em 21/10/2026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6" t="inlineStr">
        <is>
          <t>TOTAL A PAGAR — COM BOLETO EM MÃOS</t>
        </is>
      </c>
      <c r="B100" s="86" t="n"/>
      <c r="C100" s="114" t="n"/>
      <c r="D100" s="115">
        <f>SUMIF(E11:E99,"Pendente",D11:D99)</f>
        <v/>
      </c>
      <c r="E100" s="116" t="n"/>
      <c r="F100" s="116" t="n"/>
      <c r="G100" s="86" t="n"/>
    </row>
    <row r="101" s="157">
      <c r="A101" s="144" t="inlineStr">
        <is>
          <t>PREVISTO — compromisso certo que ainda não está documentado</t>
        </is>
      </c>
      <c r="B101" s="144" t="n"/>
      <c r="C101" s="145" t="n"/>
      <c r="D101" s="146">
        <f>SUMIF(E11:E99,"Previsto",D11:D99)</f>
        <v/>
      </c>
      <c r="E101" s="142" t="n"/>
      <c r="F101" s="142" t="n"/>
      <c r="G101" s="144" t="n"/>
    </row>
    <row r="102" s="157">
      <c r="A102" s="86" t="inlineStr">
        <is>
          <t>TOTAL GERAL A PAGAR (boletos + previsão)</t>
        </is>
      </c>
      <c r="B102" s="86" t="n"/>
      <c r="C102" s="114" t="n"/>
      <c r="D102" s="115">
        <f>D100+D101</f>
        <v/>
      </c>
      <c r="E102" s="116" t="n"/>
      <c r="F102" s="116" t="n"/>
      <c r="G102" s="86" t="n"/>
    </row>
    <row r="103" ht="15.75" customHeight="1" s="157"/>
    <row r="104" ht="15.75" customHeight="1" s="157">
      <c r="A104" s="200" t="inlineStr">
        <is>
          <t>CONTAS A RECEBER  —  vendas feitas e ainda não pagas</t>
        </is>
      </c>
    </row>
    <row r="105" s="157">
      <c r="A10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6" s="157">
      <c r="A106" s="111" t="inlineStr">
        <is>
          <t>Cliente</t>
        </is>
      </c>
      <c r="B106" s="111" t="inlineStr">
        <is>
          <t>Produto / Referência</t>
        </is>
      </c>
      <c r="C106" s="111" t="inlineStr">
        <is>
          <t>Data da Venda</t>
        </is>
      </c>
      <c r="D106" s="111" t="inlineStr">
        <is>
          <t>Valor (R$)</t>
        </is>
      </c>
      <c r="E106" s="111" t="inlineStr">
        <is>
          <t>Status</t>
        </is>
      </c>
      <c r="F106" s="111" t="inlineStr">
        <is>
          <t>Dias em Atraso</t>
        </is>
      </c>
      <c r="G106" s="111" t="inlineStr">
        <is>
          <t>Observações</t>
        </is>
      </c>
    </row>
    <row r="107" s="157">
      <c r="A107" s="78" t="inlineStr">
        <is>
          <t>Centro de Especialidades Odontomédicas</t>
        </is>
      </c>
      <c r="B107" s="78" t="inlineStr">
        <is>
          <t>Refil Everest</t>
        </is>
      </c>
      <c r="C107" s="77" t="n">
        <v>46239</v>
      </c>
      <c r="D107" s="79" t="n">
        <v>140</v>
      </c>
      <c r="E107" s="112" t="inlineStr">
        <is>
          <t>Pendente</t>
        </is>
      </c>
      <c r="F107" s="112">
        <f>IF(OR($E107="Recebido",$C107=""),"",MAX(0,TODAY()-$C107))</f>
        <v/>
      </c>
      <c r="G107" s="78" t="n"/>
    </row>
    <row r="108" s="157">
      <c r="A108" s="82" t="inlineStr">
        <is>
          <t>Supermercado Brasil</t>
        </is>
      </c>
      <c r="B108" s="82" t="inlineStr">
        <is>
          <t>2x Refil Pro Life</t>
        </is>
      </c>
      <c r="C108" s="81" t="n">
        <v>46239</v>
      </c>
      <c r="D108" s="83" t="n">
        <v>280</v>
      </c>
      <c r="E108" s="113" t="inlineStr">
        <is>
          <t>Pendente</t>
        </is>
      </c>
      <c r="F108" s="113">
        <f>IF(OR($E108="Recebido",$C108=""),"",MAX(0,TODAY()-$C108))</f>
        <v/>
      </c>
      <c r="G108" s="82" t="n"/>
    </row>
    <row r="109" s="157">
      <c r="A109" s="78" t="inlineStr">
        <is>
          <t>Tropical Motos LTDA</t>
        </is>
      </c>
      <c r="B109" s="78" t="inlineStr">
        <is>
          <t>3x Refil Everest + Refil Pro Life + 3x Pré Filtro + Válvula Reguladora de Pressão</t>
        </is>
      </c>
      <c r="C109" s="77" t="n">
        <v>46245</v>
      </c>
      <c r="D109" s="79" t="n">
        <v>820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TED em 25/08/2026. NF conferida: valor correto é R$820 (faltava a válvula no lançamento original de R$740).</t>
        </is>
      </c>
    </row>
    <row r="110" s="157">
      <c r="A110" s="82" t="inlineStr">
        <is>
          <t>Free Way</t>
        </is>
      </c>
      <c r="B110" s="82" t="inlineStr">
        <is>
          <t>5x Refil Everest</t>
        </is>
      </c>
      <c r="C110" s="81" t="n">
        <v>46251</v>
      </c>
      <c r="D110" s="83" t="n">
        <v>700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TED em 02/09/2026.</t>
        </is>
      </c>
    </row>
    <row r="111" s="157">
      <c r="A111" s="78" t="inlineStr">
        <is>
          <t>Neli Sena Rego</t>
        </is>
      </c>
      <c r="B111" s="78" t="inlineStr">
        <is>
          <t>Refil Pro Life</t>
        </is>
      </c>
      <c r="C111" s="77" t="n">
        <v>46254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em dinheiro em 01/09/2026 (R$ 170,00 pelas duas vendas)</t>
        </is>
      </c>
    </row>
    <row r="112" s="157">
      <c r="A112" s="82" t="inlineStr">
        <is>
          <t>Neli Sena Rego</t>
        </is>
      </c>
      <c r="B112" s="82" t="inlineStr">
        <is>
          <t>Conexão + Mangueira</t>
        </is>
      </c>
      <c r="C112" s="81" t="n">
        <v>46255</v>
      </c>
      <c r="D112" s="83" t="n">
        <v>40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Recebido em dinheiro em 01/09/2026 (R$ 170,00 pelas duas vendas)</t>
        </is>
      </c>
    </row>
    <row r="113" s="157">
      <c r="A113" s="78" t="inlineStr">
        <is>
          <t>Lapec</t>
        </is>
      </c>
      <c r="B113" s="78" t="inlineStr">
        <is>
          <t>4x Refil Everest</t>
        </is>
      </c>
      <c r="C113" s="77" t="n">
        <v>46258</v>
      </c>
      <c r="D113" s="79" t="n">
        <v>480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em dinheiro em 08/09/2026 — lançado em "Set 2026".</t>
        </is>
      </c>
    </row>
    <row r="114" s="157">
      <c r="A114" s="82" t="inlineStr">
        <is>
          <t>Cícero Lima</t>
        </is>
      </c>
      <c r="B114" s="82" t="inlineStr">
        <is>
          <t>Refil Everest</t>
        </is>
      </c>
      <c r="C114" s="81" t="n">
        <v>46261</v>
      </c>
      <c r="D114" s="83" t="n">
        <v>140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Recebido via Pix em 27/08/2026</t>
        </is>
      </c>
    </row>
    <row r="115" s="157">
      <c r="A115" s="78" t="inlineStr">
        <is>
          <t>Promotoria Regional de Jacobina</t>
        </is>
      </c>
      <c r="B115" s="78" t="inlineStr">
        <is>
          <t>2x Carcaça 9" + 2x Refil Plissado 9" + Conexão Reta Rosca</t>
        </is>
      </c>
      <c r="C115" s="77" t="n">
        <v>46261</v>
      </c>
      <c r="D115" s="79" t="n">
        <v>470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Pago em 28/08/2026 em duas formas: R$ 270,00 Pix + R$ 200,00 crédito 2x</t>
        </is>
      </c>
    </row>
    <row r="116" s="157">
      <c r="A116" s="82" t="inlineStr">
        <is>
          <t>Lucas Souza</t>
        </is>
      </c>
      <c r="B116" s="82" t="inlineStr">
        <is>
          <t>Refil Everest + Pré Filtro</t>
        </is>
      </c>
      <c r="C116" s="81" t="n">
        <v>46261</v>
      </c>
      <c r="D116" s="83" t="n">
        <v>200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Recebido em dinheiro em 03/09/2026 — lançado em "Set 2026".</t>
        </is>
      </c>
    </row>
    <row r="117" s="157">
      <c r="A117" s="78" t="inlineStr">
        <is>
          <t>FG Boa Vista (Recife/PE)</t>
        </is>
      </c>
      <c r="B117" s="78" t="inlineStr">
        <is>
          <t>Refis — troca de julho/2026</t>
        </is>
      </c>
      <c r="C117" s="77" t="n">
        <v>46261</v>
      </c>
      <c r="D117" s="79" t="n">
        <v>1008.8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000.004.280 · recebido em 30/08/2026 (Nota Paga no portal V360)</t>
        </is>
      </c>
    </row>
    <row r="118" s="157">
      <c r="A118" s="82" t="inlineStr">
        <is>
          <t>UNIFG Guanambi (Guanambi/BA)</t>
        </is>
      </c>
      <c r="B118" s="82" t="inlineStr">
        <is>
          <t>Refis — troca de julho/2026</t>
        </is>
      </c>
      <c r="C118" s="81" t="n">
        <v>46261</v>
      </c>
      <c r="D118" s="83" t="n">
        <v>4534.75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000.004.281 · recebido em 30/08/2026 (Nota Paga no portal V360)</t>
        </is>
      </c>
    </row>
    <row r="119" s="157">
      <c r="A119" s="78" t="inlineStr">
        <is>
          <t>UNP Zona Norte (Natal/RN)</t>
        </is>
      </c>
      <c r="B119" s="78" t="inlineStr">
        <is>
          <t>Refis — troca de julho/2026</t>
        </is>
      </c>
      <c r="C119" s="77" t="n">
        <v>46261</v>
      </c>
      <c r="D119" s="79" t="n">
        <v>870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000.004.282 · recebido em 30/08/2026 (Nota Paga no portal V360)</t>
        </is>
      </c>
    </row>
    <row r="120" s="157">
      <c r="A120" s="82" t="inlineStr">
        <is>
          <t>UNP Caicó (Caicó/RN)</t>
        </is>
      </c>
      <c r="B120" s="82" t="inlineStr">
        <is>
          <t>Refis — troca de julho/2026</t>
        </is>
      </c>
      <c r="C120" s="81" t="n">
        <v>46261</v>
      </c>
      <c r="D120" s="83" t="n">
        <v>440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000.004.283 · recebido via Pix em 27/08/2026</t>
        </is>
      </c>
    </row>
    <row r="121" s="157">
      <c r="A121" s="78" t="inlineStr">
        <is>
          <t>AGES Irecê (Irecê/BA)</t>
        </is>
      </c>
      <c r="B121" s="78" t="inlineStr">
        <is>
          <t>Refis — troca de julho/2026</t>
        </is>
      </c>
      <c r="C121" s="77" t="n">
        <v>46269</v>
      </c>
      <c r="D121" s="79" t="n">
        <v>1338.6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000.004.294 · recebido via Pix em 04/09/2026.</t>
        </is>
      </c>
    </row>
    <row r="122" s="157">
      <c r="A122" s="82" t="inlineStr">
        <is>
          <t>CIS Irecê (Irecê/BA)</t>
        </is>
      </c>
      <c r="B122" s="82" t="inlineStr">
        <is>
          <t>Refis — troca de julho/2026</t>
        </is>
      </c>
      <c r="C122" s="81" t="n">
        <v>46269</v>
      </c>
      <c r="D122" s="83" t="n">
        <v>1358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000.004.295 · recebido via Pix em 04/09/2026.</t>
        </is>
      </c>
    </row>
    <row r="123" s="157">
      <c r="A123" s="78" t="inlineStr">
        <is>
          <t>AGES Senhor do Bonfim (S. do Bonfim/BA)</t>
        </is>
      </c>
      <c r="B123" s="78" t="inlineStr">
        <is>
          <t>Refis — troca de julho/2026</t>
        </is>
      </c>
      <c r="C123" s="77" t="n">
        <v>46270</v>
      </c>
      <c r="D123" s="79" t="n">
        <v>649.9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Grupo Ânima — NF 000.004.298 · recebido via Pix em 08/09/2026.</t>
        </is>
      </c>
    </row>
    <row r="124" s="157">
      <c r="A124" s="82" t="inlineStr">
        <is>
          <t>CIS Senhor do Bonfim (S. do Bonfim/BA)</t>
        </is>
      </c>
      <c r="B124" s="82" t="inlineStr">
        <is>
          <t>Refis — troca de julho/2026</t>
        </is>
      </c>
      <c r="C124" s="81" t="n">
        <v>46270</v>
      </c>
      <c r="D124" s="83" t="n">
        <v>562.6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Grupo Ânima — NF 000.004.299 · recebido via Pix em 08/09/2026.</t>
        </is>
      </c>
    </row>
    <row r="125" s="157">
      <c r="A125" s="78" t="inlineStr">
        <is>
          <t>AGES Paripiranga (Paripiranga/BA)</t>
        </is>
      </c>
      <c r="B125" s="78" t="inlineStr">
        <is>
          <t>Refis — troca de julho/2026</t>
        </is>
      </c>
      <c r="C125" s="77" t="n">
        <v>46270</v>
      </c>
      <c r="D125" s="79" t="n">
        <v>1086.4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Grupo Ânima — NF 000.004.300 · recebido via Pix em 08/09/2026.</t>
        </is>
      </c>
    </row>
    <row r="126" s="157">
      <c r="A126" s="82" t="inlineStr">
        <is>
          <t>Clínica Veterinária Paripiranga (Paripiranga/BA)</t>
        </is>
      </c>
      <c r="B126" s="82" t="inlineStr">
        <is>
          <t>Refis — troca de julho/2026</t>
        </is>
      </c>
      <c r="C126" s="81" t="n">
        <v>46270</v>
      </c>
      <c r="D126" s="83" t="n">
        <v>1265.85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Grupo Ânima — NF 000.004.301 · recebido via Pix em 08/09/2026.</t>
        </is>
      </c>
    </row>
    <row r="127" s="157">
      <c r="A127" s="78" t="inlineStr">
        <is>
          <t>UNP Mossoró (Mossoró/RN)</t>
        </is>
      </c>
      <c r="B127" s="78" t="inlineStr">
        <is>
          <t>Refis — troca de julho/2026</t>
        </is>
      </c>
      <c r="C127" s="77" t="n">
        <v>46270</v>
      </c>
      <c r="D127" s="79" t="n">
        <v>1867.25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Grupo Ânima — NF 000.004.302 · recebido via Pix em 08/09/2026.</t>
        </is>
      </c>
    </row>
    <row r="128" s="157">
      <c r="A128" s="82" t="inlineStr">
        <is>
          <t>CIS Jacobina (Jacobina/BA)</t>
        </is>
      </c>
      <c r="B128" s="82" t="inlineStr">
        <is>
          <t>Refis — troca de julho/2026</t>
        </is>
      </c>
      <c r="C128" s="81" t="n">
        <v>46290</v>
      </c>
      <c r="D128" s="83" t="n">
        <v>2095.2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Grupo Ânima — NF 000.004.333 de 26/08/2026 · OC AEMPPO00004452 · 30 dias · recebido via Pix em 25/09/2026 (Nota Paga no portal V360).</t>
        </is>
      </c>
    </row>
    <row r="129" s="157">
      <c r="A129" s="78" t="inlineStr">
        <is>
          <t>AGES Jacobina (Jacobina/BA)</t>
        </is>
      </c>
      <c r="B129" s="78" t="inlineStr">
        <is>
          <t>Refis — troca de julho/2026</t>
        </is>
      </c>
      <c r="C129" s="77" t="n">
        <v>46305</v>
      </c>
      <c r="D129" s="79" t="n">
        <v>1188.25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Grupo Ânima — NF 000.004.332 de 26/08/2026 · OC AEMPPO00004453 · 45 dias · Recebido em 13/10/2026 no BNB (Nota Paga no portal V360).</t>
        </is>
      </c>
    </row>
    <row r="130" s="157">
      <c r="A130" s="82" t="inlineStr">
        <is>
          <t>Instituto Paulo Leão</t>
        </is>
      </c>
      <c r="B130" s="82" t="inlineStr">
        <is>
          <t>Refil E3 + Pré Filtro</t>
        </is>
      </c>
      <c r="C130" s="81" t="n">
        <v>46265</v>
      </c>
      <c r="D130" s="83" t="n">
        <v>160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Recebido via Pix em 08/09/2026 — lançado em "Set 2026".</t>
        </is>
      </c>
    </row>
    <row r="131" s="157">
      <c r="A131" s="78" t="inlineStr">
        <is>
          <t>Eletronic Segurança Eletronica</t>
        </is>
      </c>
      <c r="B131" s="78" t="inlineStr">
        <is>
          <t>Pré Filtro</t>
        </is>
      </c>
      <c r="C131" s="77" t="n">
        <v>46265</v>
      </c>
      <c r="D131" s="79" t="n">
        <v>60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03/09/2026.</t>
        </is>
      </c>
    </row>
    <row r="132" s="157">
      <c r="A132" s="82" t="inlineStr">
        <is>
          <t>Clube dos Mineiros</t>
        </is>
      </c>
      <c r="B132" s="82" t="inlineStr">
        <is>
          <t>Refil Pro Life</t>
        </is>
      </c>
      <c r="C132" s="81" t="n">
        <v>46265</v>
      </c>
      <c r="D132" s="83" t="n">
        <v>150</v>
      </c>
      <c r="E132" s="113" t="inlineStr">
        <is>
          <t>Recebido</t>
        </is>
      </c>
      <c r="F132" s="113">
        <f>IF(OR($E132="Recebido",$C132=""),"",MAX(0,TODAY()-$C132))</f>
        <v/>
      </c>
      <c r="G132" s="82" t="inlineStr">
        <is>
          <t>Recebido via Pix em 01/09/2026 (pagador: Sindicato dos Mineiros de Jacobina).</t>
        </is>
      </c>
    </row>
    <row r="133" s="157">
      <c r="A133" s="78" t="inlineStr">
        <is>
          <t>Armazem Cecilio Mota</t>
        </is>
      </c>
      <c r="B133" s="78" t="inlineStr">
        <is>
          <t>Refil Everest + Refil Carbon 9"</t>
        </is>
      </c>
      <c r="C133" s="77" t="n">
        <v>46266</v>
      </c>
      <c r="D133" s="79" t="n">
        <v>225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82" t="inlineStr">
        <is>
          <t>Clebson Dantas Da Silva</t>
        </is>
      </c>
      <c r="B134" s="82" t="inlineStr">
        <is>
          <t>Refil Everest</t>
        </is>
      </c>
      <c r="C134" s="81" t="n">
        <v>46266</v>
      </c>
      <c r="D134" s="83" t="n">
        <v>140</v>
      </c>
      <c r="E134" s="113" t="inlineStr">
        <is>
          <t>Recebido</t>
        </is>
      </c>
      <c r="F134" s="113">
        <f>IF(OR($E134="Recebido",$C134=""),"",MAX(0,TODAY()-$C134))</f>
        <v/>
      </c>
      <c r="G134" s="82" t="inlineStr">
        <is>
          <t>Recebido via Pix em 02/09/2026</t>
        </is>
      </c>
    </row>
    <row r="135" s="157">
      <c r="A135" s="82" t="inlineStr">
        <is>
          <t>Tesla Imagem Medicina Diagnostica Ltda</t>
        </is>
      </c>
      <c r="B135" s="82" t="inlineStr">
        <is>
          <t>3x Refil Everest + 2x Pré Filtro</t>
        </is>
      </c>
      <c r="C135" s="81" t="n">
        <v>46267</v>
      </c>
      <c r="D135" s="83" t="n">
        <v>540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Troca do dia 02/09/2026 — 1º Andar, Térreo e Copa. Recebido via Pix em 08/09/2026 — lançado em "Set 2026".</t>
        </is>
      </c>
    </row>
    <row r="136" s="157">
      <c r="A136" s="78" t="inlineStr">
        <is>
          <t>Cecilio Mota Junior</t>
        </is>
      </c>
      <c r="B136" s="78" t="inlineStr">
        <is>
          <t>Refil Everest</t>
        </is>
      </c>
      <c r="C136" s="77" t="n">
        <v>46267</v>
      </c>
      <c r="D136" s="79" t="n">
        <v>140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10/09/2026 — lançado em "Set 2026".</t>
        </is>
      </c>
    </row>
    <row r="137" s="157">
      <c r="A137" s="78" t="inlineStr">
        <is>
          <t>Tereza Cristina Aquino Martins - Luiz Augusto</t>
        </is>
      </c>
      <c r="B137" s="78" t="inlineStr">
        <is>
          <t>Refil Everest + Pré Filtro</t>
        </is>
      </c>
      <c r="C137" s="77" t="n">
        <v>46268</v>
      </c>
      <c r="D137" s="79" t="n">
        <v>200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Recebido via Pix em 04/09/2026.</t>
        </is>
      </c>
    </row>
    <row r="138" s="157">
      <c r="A138" s="78" t="inlineStr">
        <is>
          <t>Samille Fiscina Lima Lordello - Tiago (Cartório)</t>
        </is>
      </c>
      <c r="B138" s="78" t="inlineStr">
        <is>
          <t>Refil Pro Life</t>
        </is>
      </c>
      <c r="C138" s="77" t="n">
        <v>46269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10/09/2026 — lançado em "Set 2026".</t>
        </is>
      </c>
    </row>
    <row r="139" s="157">
      <c r="A139" s="78" t="inlineStr">
        <is>
          <t>Bomboniere Doce Mania - Veronildo Basilio</t>
        </is>
      </c>
      <c r="B139" s="78" t="inlineStr">
        <is>
          <t>Refil Plissado + Refil BAG</t>
        </is>
      </c>
      <c r="C139" s="77" t="n">
        <v>46274</v>
      </c>
      <c r="D139" s="79" t="n">
        <v>150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em dinheiro em 16/09/2026 — lançado em "Set 2026".</t>
        </is>
      </c>
    </row>
    <row r="140" s="157">
      <c r="A140" s="78" t="inlineStr">
        <is>
          <t>Adriadne (Hotel Jovem Jota)</t>
        </is>
      </c>
      <c r="B140" s="78" t="inlineStr">
        <is>
          <t>Refil Everest</t>
        </is>
      </c>
      <c r="C140" s="77" t="n">
        <v>46275</v>
      </c>
      <c r="D140" s="79" t="n">
        <v>140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11/09/2026 — lançado em "Set 2026".</t>
        </is>
      </c>
    </row>
    <row r="141" s="157">
      <c r="A141" s="78" t="inlineStr">
        <is>
          <t>Pousada Triunfo Ltda (Hotel Triunfo)</t>
        </is>
      </c>
      <c r="B141" s="78" t="inlineStr">
        <is>
          <t>Refil Everest + Pré Filtro</t>
        </is>
      </c>
      <c r="C141" s="77" t="n">
        <v>46275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11/09/2026 — lançado em "Set 2026".</t>
        </is>
      </c>
    </row>
    <row r="142" s="157">
      <c r="A142" s="78" t="inlineStr">
        <is>
          <t>Topvel Tropical Veiculos e Pecas</t>
        </is>
      </c>
      <c r="B142" s="78" t="inlineStr">
        <is>
          <t>2x Refil Everest + 2x Pré Filtro</t>
        </is>
      </c>
      <c r="C142" s="77" t="n">
        <v>46276</v>
      </c>
      <c r="D142" s="79" t="n">
        <v>370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11/09/2026 — dois purificadores. Recebido via TED no BNB em 05/10/2026 — lançado em "Out 2026".</t>
        </is>
      </c>
    </row>
    <row r="143" s="157">
      <c r="A143" s="78" t="inlineStr">
        <is>
          <t>J Diesel Motores e Reparos - Gilmara</t>
        </is>
      </c>
      <c r="B143" s="78" t="inlineStr">
        <is>
          <t>Refil Everest</t>
        </is>
      </c>
      <c r="C143" s="77" t="n">
        <v>46276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11/09/2026.</t>
        </is>
      </c>
    </row>
    <row r="144" s="157">
      <c r="A144" s="78" t="inlineStr">
        <is>
          <t>IOB</t>
        </is>
      </c>
      <c r="B144" s="78" t="inlineStr">
        <is>
          <t>Refil Everest + Pré Filtro</t>
        </is>
      </c>
      <c r="C144" s="77" t="n">
        <v>46279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Troca do dia 14/09/2026.</t>
        </is>
      </c>
    </row>
    <row r="145" s="157">
      <c r="A145" s="78" t="inlineStr">
        <is>
          <t>Clínica Santa Cecília</t>
        </is>
      </c>
      <c r="B145" s="78" t="inlineStr">
        <is>
          <t>Refil Everest + Termostato</t>
        </is>
      </c>
      <c r="C145" s="77" t="n">
        <v>46281</v>
      </c>
      <c r="D145" s="79" t="n">
        <v>310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Troca do dia 16/09/2026 — refil + troca de termostato. Recebido via Pix em 29/09/2026.</t>
        </is>
      </c>
    </row>
    <row r="146" s="157">
      <c r="A146" s="78" t="inlineStr">
        <is>
          <t>Marilda Macedo / José Luciano Costa</t>
        </is>
      </c>
      <c r="B146" s="78" t="inlineStr">
        <is>
          <t>Refil Everest + Pré Filtro</t>
        </is>
      </c>
      <c r="C146" s="77" t="n">
        <v>46283</v>
      </c>
      <c r="D146" s="79" t="n">
        <v>200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via Pix em 19/09/2026 — lançado em "Set 2026".</t>
        </is>
      </c>
    </row>
    <row r="147" s="157">
      <c r="A147" s="78" t="inlineStr">
        <is>
          <t>Tatiana Rocha</t>
        </is>
      </c>
      <c r="B147" s="78" t="inlineStr">
        <is>
          <t>Refil Everest</t>
        </is>
      </c>
      <c r="C147" s="77" t="n">
        <v>46286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21/09/2026. Recebido via Pix em 22/09/2026 — lançado em "Set 2026".</t>
        </is>
      </c>
    </row>
    <row r="148" s="157">
      <c r="A148" s="78" t="inlineStr">
        <is>
          <t>Cleone Gomes de Andrade</t>
        </is>
      </c>
      <c r="B148" s="78" t="inlineStr">
        <is>
          <t>Refil Everest</t>
        </is>
      </c>
      <c r="C148" s="77" t="n">
        <v>46286</v>
      </c>
      <c r="D148" s="79" t="n">
        <v>140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Troca do dia 21/09/2026. Recebido via Pix em 21/09/2026.</t>
        </is>
      </c>
    </row>
    <row r="149" s="157">
      <c r="A149" s="78" t="inlineStr">
        <is>
          <t>Centro de Especialidades Odontomédicas</t>
        </is>
      </c>
      <c r="B149" s="78" t="inlineStr">
        <is>
          <t>2x Refil Everest</t>
        </is>
      </c>
      <c r="C149" s="77" t="n">
        <v>46044</v>
      </c>
      <c r="D149" s="79" t="n">
        <v>280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0" s="157">
      <c r="A150" s="78" t="inlineStr">
        <is>
          <t>Igreja Messiânica Mundial do Brasil</t>
        </is>
      </c>
      <c r="B150" s="78" t="inlineStr">
        <is>
          <t>Mangueira</t>
        </is>
      </c>
      <c r="C150" s="77" t="n">
        <v>46073</v>
      </c>
      <c r="D150" s="79" t="n">
        <v>30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NF-e 4075 de 20/02/2026 (CNPJ 62.647.383/0063-44). Conferido no DigiSat em 28/09/2026: não recebido.</t>
        </is>
      </c>
    </row>
    <row r="151" s="157">
      <c r="A151" s="78" t="inlineStr">
        <is>
          <t>Centro Médico de Jacobina</t>
        </is>
      </c>
      <c r="B151" s="78" t="inlineStr">
        <is>
          <t>2x Botão Completo</t>
        </is>
      </c>
      <c r="C151" s="77" t="n">
        <v>46203</v>
      </c>
      <c r="D151" s="79" t="n">
        <v>60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NF-e 4242 de 30/06/2026 (CNPJ 13.228.432/0001-04). Conferido no DigiSat em 28/09/2026: não recebido.</t>
        </is>
      </c>
    </row>
    <row r="152" s="157">
      <c r="A152" s="78" t="inlineStr">
        <is>
          <t>Vivencie Turismo Agencia de Viagens - Aneildes Rios</t>
        </is>
      </c>
      <c r="B152" s="78" t="inlineStr">
        <is>
          <t>Refil Everest</t>
        </is>
      </c>
      <c r="C152" s="77" t="n">
        <v>46294</v>
      </c>
      <c r="D152" s="79" t="n">
        <v>140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29/09/2026. Recebido via Pix em 05/10/2026 — R$ 135,00 (Pix único de R$ 270,00 com as duas trocas; R$ 10,00 de desconto dividido).</t>
        </is>
      </c>
    </row>
    <row r="153" s="157">
      <c r="A153" s="78" t="inlineStr">
        <is>
          <t>Lapec</t>
        </is>
      </c>
      <c r="B153" s="78" t="inlineStr">
        <is>
          <t>Refil C+3</t>
        </is>
      </c>
      <c r="C153" s="77" t="n">
        <v>46294</v>
      </c>
      <c r="D153" s="79" t="n">
        <v>100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Pagamento previsto para 30/09/2026. Recebido em dinheiro em 14/10/2026 — lançado em "Set 2026".</t>
        </is>
      </c>
    </row>
    <row r="154" s="157">
      <c r="A154" s="78" t="inlineStr">
        <is>
          <t>PC Jacobina Administradora de Cartões LTDA - Cartão de Todos</t>
        </is>
      </c>
      <c r="B154" s="78" t="inlineStr">
        <is>
          <t>Refil Everest</t>
        </is>
      </c>
      <c r="C154" s="77" t="n">
        <v>46295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30/09/2026. Recebido via Pix em 01/10/2026 (comprovante enviado em 06/10/2026) — lançado em "Out 2026".</t>
        </is>
      </c>
    </row>
    <row r="155" s="157">
      <c r="A155" s="78" t="inlineStr">
        <is>
          <t>Aneilde Rios de Oliveira</t>
        </is>
      </c>
      <c r="B155" s="78" t="inlineStr">
        <is>
          <t>Refil Everest</t>
        </is>
      </c>
      <c r="C155" s="77" t="n">
        <v>46296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01/10/2026 (casa, Caeira). Recebido via Pix em 05/10/2026 — R$ 135,00 (Pix único de R$ 270,00 com as duas trocas; R$ 10,00 de desconto dividido).</t>
        </is>
      </c>
    </row>
    <row r="156" s="157">
      <c r="A156" s="78" t="inlineStr">
        <is>
          <t>Centro Medico da Chapada Diamantina LTDA</t>
        </is>
      </c>
      <c r="B156" s="78" t="inlineStr">
        <is>
          <t>Refil Pro Life + 2x Botão Completo</t>
        </is>
      </c>
      <c r="C156" s="77" t="n">
        <v>46296</v>
      </c>
      <c r="D156" s="79" t="n">
        <v>200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Subsolo — troca do dia 01/10/2026 (refil + 2 botões). Recebido em 05/10/2026 no crédito em 3x (pagamento único de R$ 400,00 pelas duas trocas).</t>
        </is>
      </c>
    </row>
    <row r="157" s="157">
      <c r="A157" s="78" t="inlineStr">
        <is>
          <t>Centro Medico da Chapada Diamantina LTDA</t>
        </is>
      </c>
      <c r="B157" s="78" t="inlineStr">
        <is>
          <t>Refil Pro Life + 2x Botão Completo</t>
        </is>
      </c>
      <c r="C157" s="77" t="n">
        <v>46297</v>
      </c>
      <c r="D157" s="79" t="n">
        <v>200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1º Andar — troca do dia 02/10/2026 (refil + 2 botões). Recebido em 05/10/2026 no crédito em 3x (pagamento único de R$ 400,00 pelas duas trocas).</t>
        </is>
      </c>
    </row>
    <row r="158" s="157">
      <c r="A158" s="78" t="inlineStr">
        <is>
          <t>Igreja Messiânica Mundial do Brasil</t>
        </is>
      </c>
      <c r="B158" s="78" t="inlineStr">
        <is>
          <t>Refil Everest</t>
        </is>
      </c>
      <c r="C158" s="77" t="n">
        <v>46300</v>
      </c>
      <c r="D158" s="79" t="n">
        <v>140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Troca do dia 05/10/2026. Mesmo cliente tem pendência de 20/02/2026 (Mangueira, R$ 30,00).</t>
        </is>
      </c>
    </row>
    <row r="159" s="157">
      <c r="A159" s="78" t="inlineStr">
        <is>
          <t>Rafael Landin Ribeiro</t>
        </is>
      </c>
      <c r="B159" s="78" t="inlineStr">
        <is>
          <t>Refil Everest</t>
        </is>
      </c>
      <c r="C159" s="77" t="n">
        <v>46304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09/10/2026. Recebido via Pix em 09/10/2026.</t>
        </is>
      </c>
    </row>
    <row r="160" s="157">
      <c r="A160" s="78" t="inlineStr">
        <is>
          <t>Restaurante Bonzão Bode - Aloisio Queiroz</t>
        </is>
      </c>
      <c r="B160" s="78" t="inlineStr">
        <is>
          <t>Refil Pro Life + Refil Universal (restante)</t>
        </is>
      </c>
      <c r="C160" s="77" t="n">
        <v>46304</v>
      </c>
      <c r="D160" s="79" t="n">
        <v>85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Venda de R$ 170,00 — R$ 85,00 pagos no débito em 09/10/2026; restante via Pix previsto para 16/10/2026.</t>
        </is>
      </c>
    </row>
    <row r="161" s="157">
      <c r="A161" s="78" t="inlineStr">
        <is>
          <t>Tropical Motos LTDA</t>
        </is>
      </c>
      <c r="B161" s="78" t="inlineStr">
        <is>
          <t>Refil Pro Life</t>
        </is>
      </c>
      <c r="C161" s="77" t="n">
        <v>46304</v>
      </c>
      <c r="D161" s="79" t="n">
        <v>140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09/10/2026 — purificador do andar de cima.</t>
        </is>
      </c>
    </row>
    <row r="162" s="157">
      <c r="A162" s="78" t="inlineStr">
        <is>
          <t>Casa do Construtor</t>
        </is>
      </c>
      <c r="B162" s="78" t="inlineStr">
        <is>
          <t>Refil Everest</t>
        </is>
      </c>
      <c r="C162" s="77" t="n">
        <v>46310</v>
      </c>
      <c r="D162" s="79" t="n">
        <v>140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do dia 15/10/2026.</t>
        </is>
      </c>
    </row>
    <row r="163" s="157">
      <c r="A163" s="78" t="inlineStr">
        <is>
          <t>Lapec</t>
        </is>
      </c>
      <c r="B163" s="78" t="inlineStr">
        <is>
          <t>Refil E3 + Refil Everest</t>
        </is>
      </c>
      <c r="C163" s="77" t="n">
        <v>46310</v>
      </c>
      <c r="D163" s="79" t="n">
        <v>200</v>
      </c>
      <c r="E163" s="112" t="inlineStr">
        <is>
          <t>Pendente</t>
        </is>
      </c>
      <c r="F163" s="112">
        <f>IF(OR($E163="Recebido",$C163=""),"",MAX(0,TODAY()-$C163))</f>
        <v/>
      </c>
      <c r="G163" s="78" t="inlineStr">
        <is>
          <t>Compra do dia 15/10/2026 — Refil E3 R$ 80,00 + Refil Everest R$ 120,00.</t>
        </is>
      </c>
    </row>
    <row r="164" s="157">
      <c r="A164" s="78" t="inlineStr">
        <is>
          <t>Primeiro Tabelionato de Notas - Tatiana Miranda Siqueira</t>
        </is>
      </c>
      <c r="B164" s="78" t="inlineStr">
        <is>
          <t>Refil Everest</t>
        </is>
      </c>
      <c r="C164" s="77" t="n">
        <v>46310</v>
      </c>
      <c r="D164" s="79" t="n">
        <v>140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Troca do dia 15/10/2026. Recebido via Pix em 16/10/2026 — lançado em "Out 2026".</t>
        </is>
      </c>
    </row>
    <row r="165" s="157">
      <c r="A165" s="78" t="inlineStr">
        <is>
          <t>Colegio Oasis de Jacobina - Unopar</t>
        </is>
      </c>
      <c r="B165" s="78" t="inlineStr">
        <is>
          <t>2x Refil Plissado + 2x Carcaça 9"</t>
        </is>
      </c>
      <c r="C165" s="77" t="n">
        <v>46305</v>
      </c>
      <c r="D165" s="79" t="n">
        <v>400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2x Refil Plissado R$ 80,00 cada + 2x Carcaça 9" R$ 120,00 cada. Cláudio assinou para pagar depois. Falta enviar a NF.</t>
        </is>
      </c>
    </row>
    <row r="166" s="157">
      <c r="A166" s="78" t="inlineStr">
        <is>
          <t>DFLL Serviços Medicos Ltda - ImCardio - Instituto Materno Cardiologico</t>
        </is>
      </c>
      <c r="B166" s="78" t="inlineStr">
        <is>
          <t>Refil Everest + Pré Filtro (restante)</t>
        </is>
      </c>
      <c r="C166" s="77" t="n">
        <v>46311</v>
      </c>
      <c r="D166" s="79" t="n">
        <v>60</v>
      </c>
      <c r="E166" s="112" t="inlineStr">
        <is>
          <t>Pendente</t>
        </is>
      </c>
      <c r="F166" s="112">
        <f>IF(OR($E166="Recebido",$C166=""),"",MAX(0,TODAY()-$C166))</f>
        <v/>
      </c>
      <c r="G166" s="78" t="inlineStr">
        <is>
          <t>Troca do dia 16/10/2026 — bebedouro da recepção. Venda de R$ 200,00: R$ 140,00 pagos em dinheiro em 16/10/2026; falta R$ 60,00.</t>
        </is>
      </c>
    </row>
    <row r="167" s="157">
      <c r="A167" s="78" t="inlineStr">
        <is>
          <t>Contabilidade Abreu</t>
        </is>
      </c>
      <c r="B167" s="78" t="inlineStr">
        <is>
          <t>Termostato</t>
        </is>
      </c>
      <c r="C167" s="77" t="n">
        <v>46311</v>
      </c>
      <c r="D167" s="79" t="n">
        <v>170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Troca de termostato do dia 16/10/2026.</t>
        </is>
      </c>
    </row>
    <row r="168" s="157">
      <c r="A168" s="78" t="inlineStr">
        <is>
          <t>Studio Malena Lorrane</t>
        </is>
      </c>
      <c r="B168" s="78" t="inlineStr">
        <is>
          <t>Refil Everest + Pré Filtro (restante)</t>
        </is>
      </c>
      <c r="C168" s="77" t="n">
        <v>46316</v>
      </c>
      <c r="D168" s="79" t="n">
        <v>150</v>
      </c>
      <c r="E168" s="112" t="inlineStr">
        <is>
          <t>Pendente</t>
        </is>
      </c>
      <c r="F168" s="112">
        <f>IF(OR($E168="Recebido",$C168=""),"",MAX(0,TODAY()-$C168))</f>
        <v/>
      </c>
      <c r="G168" s="78" t="inlineStr">
        <is>
          <t>Troca do dia 21/10/2026. Venda de R$ 190,00; R$ 40,00 pagos com serviço de sobrancelha para a Edilânia. Deve R$ 90,00 do refil + R$ 60,00 do pré-filtro.</t>
        </is>
      </c>
    </row>
    <row r="169" s="157">
      <c r="A169" s="78" t="n"/>
      <c r="B169" s="78" t="n"/>
      <c r="C169" s="77" t="n"/>
      <c r="D169" s="79" t="n"/>
      <c r="E169" s="112" t="n"/>
      <c r="F169" s="112">
        <f>IF(OR($E169="Recebido",$C169=""),"",MAX(0,TODAY()-$C169))</f>
        <v/>
      </c>
      <c r="G169" s="78" t="n"/>
    </row>
    <row r="170" s="157">
      <c r="A170" s="78" t="n"/>
      <c r="B170" s="78" t="n"/>
      <c r="C170" s="77" t="n"/>
      <c r="D170" s="79" t="n"/>
      <c r="E170" s="112" t="n"/>
      <c r="F170" s="112">
        <f>IF(OR($E170="Recebido",$C170=""),"",MAX(0,TODAY()-$C170))</f>
        <v/>
      </c>
      <c r="G170" s="78" t="n"/>
    </row>
    <row r="171" s="157">
      <c r="A171" s="78" t="n"/>
      <c r="B171" s="78" t="n"/>
      <c r="C171" s="77" t="n"/>
      <c r="D171" s="79" t="n"/>
      <c r="E171" s="112" t="n"/>
      <c r="F171" s="112">
        <f>IF(OR($E171="Recebido",$C171=""),"",MAX(0,TODAY()-$C171))</f>
        <v/>
      </c>
      <c r="G171" s="78" t="n"/>
    </row>
    <row r="172" s="157">
      <c r="A172" s="78" t="n"/>
      <c r="B172" s="78" t="n"/>
      <c r="C172" s="77" t="n"/>
      <c r="D172" s="79" t="n"/>
      <c r="E172" s="112" t="n"/>
      <c r="F172" s="112">
        <f>IF(OR($E172="Recebido",$C172=""),"",MAX(0,TODAY()-$C172))</f>
        <v/>
      </c>
      <c r="G172" s="78" t="n"/>
    </row>
    <row r="173" s="157">
      <c r="A173" s="78" t="n"/>
      <c r="B173" s="78" t="n"/>
      <c r="C173" s="77" t="n"/>
      <c r="D173" s="79" t="n"/>
      <c r="E173" s="112" t="n"/>
      <c r="F173" s="112">
        <f>IF(OR($E173="Recebido",$C173=""),"",MAX(0,TODAY()-$C173))</f>
        <v/>
      </c>
      <c r="G173" s="78" t="n"/>
    </row>
    <row r="174" s="157">
      <c r="A174" s="78" t="n"/>
      <c r="B174" s="78" t="n"/>
      <c r="C174" s="77" t="n"/>
      <c r="D174" s="79" t="n"/>
      <c r="E174" s="112" t="n"/>
      <c r="F174" s="112">
        <f>IF(OR($E174="Recebido",$C174=""),"",MAX(0,TODAY()-$C174))</f>
        <v/>
      </c>
      <c r="G174" s="78" t="n"/>
    </row>
    <row r="175" s="157">
      <c r="A175" s="78" t="n"/>
      <c r="B175" s="78" t="n"/>
      <c r="C175" s="77" t="n"/>
      <c r="D175" s="79" t="n"/>
      <c r="E175" s="112" t="n"/>
      <c r="F175" s="112">
        <f>IF(OR($E175="Recebido",$C175=""),"",MAX(0,TODAY()-$C175))</f>
        <v/>
      </c>
      <c r="G175" s="78" t="n"/>
    </row>
    <row r="176" s="157">
      <c r="A176" s="78" t="n"/>
      <c r="B176" s="78" t="n"/>
      <c r="C176" s="77" t="n"/>
      <c r="D176" s="79" t="n"/>
      <c r="E176" s="112" t="n"/>
      <c r="F176" s="112">
        <f>IF(OR($E176="Recebido",$C176=""),"",MAX(0,TODAY()-$C176))</f>
        <v/>
      </c>
      <c r="G176" s="78" t="n"/>
    </row>
    <row r="177" s="157">
      <c r="A177" s="78" t="n"/>
      <c r="B177" s="78" t="n"/>
      <c r="C177" s="77" t="n"/>
      <c r="D177" s="79" t="n"/>
      <c r="E177" s="112" t="n"/>
      <c r="F177" s="112">
        <f>IF(OR($E177="Recebido",$C177=""),"",MAX(0,TODAY()-$C177))</f>
        <v/>
      </c>
      <c r="G177" s="78" t="n"/>
    </row>
    <row r="178" s="157">
      <c r="A178" s="86" t="inlineStr">
        <is>
          <t>TOTAL EM ABERTO A RECEBER (detalhe)</t>
        </is>
      </c>
      <c r="D178" s="115">
        <f>SUMIF(E107:E177,"Pendente",D107:D177)</f>
        <v/>
      </c>
    </row>
    <row r="179" s="157">
      <c r="A179" s="202" t="inlineStr">
        <is>
          <t>CONFERÊNCIA COM AS ABAS DOS MESES</t>
        </is>
      </c>
      <c r="B179" s="159" t="n"/>
      <c r="C179" s="159" t="n"/>
      <c r="D179" s="159" t="n"/>
      <c r="E179" s="159" t="n"/>
      <c r="F179" s="159" t="n"/>
      <c r="G179" s="160" t="n"/>
    </row>
    <row r="180" s="157">
      <c r="A180" s="203">
        <f>IF(ROUND(D178-C5,2)=0,"OK — o detalhe acima bate com as vendas marcadas como Aguardando Pagamento nas abas dos meses.","ATENÇÃO: diferença de R$ "&amp;TEXT(ABS(D178-C5),"#,##0.00")&amp;" entre este detalhe e as abas dos meses — alguma venda mudou de status em um lado só.")</f>
        <v/>
      </c>
    </row>
    <row r="181" s="157">
      <c r="A18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9:G9"/>
    <mergeCell ref="A105:G105"/>
    <mergeCell ref="C5:D6"/>
    <mergeCell ref="A5:B6"/>
    <mergeCell ref="A2:G2"/>
    <mergeCell ref="E5:F6"/>
    <mergeCell ref="A104:G104"/>
    <mergeCell ref="A179:G179"/>
    <mergeCell ref="A180:G180"/>
    <mergeCell ref="C4:D4"/>
  </mergeCells>
  <dataValidations count="2">
    <dataValidation sqref="E11:E99" showDropDown="0" showInputMessage="0" showErrorMessage="0" allowBlank="1" type="list">
      <formula1>"Pendente,Pago,Previsto"</formula1>
    </dataValidation>
    <dataValidation sqref="E107:E17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EMP-0138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46316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em 21/10/2026.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2026-10-21T21:06:06Z</dcterms:modified>
  <cp:lastModifiedBy>Planeta</cp:lastModifiedBy>
  <cp:revision>1</cp:revision>
</cp:coreProperties>
</file>