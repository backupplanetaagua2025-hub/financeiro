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2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 s="158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 s="158">
      <c r="A3" s="129" t="inlineStr">
        <is>
          <t>← Início</t>
        </is>
      </c>
    </row>
    <row r="4" s="158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 s="158">
      <c r="A5" s="190">
        <f>D77</f>
        <v/>
      </c>
      <c r="C5" s="203">
        <f>'Ago 2026'!T5+'Set 2026'!T5+'Out 2026'!T5+'Nov 2026'!T5+'Dez 2026'!T5</f>
        <v/>
      </c>
      <c r="E5" s="204">
        <f>C5-A5</f>
        <v/>
      </c>
    </row>
    <row r="6" s="158"/>
    <row r="7" s="158"/>
    <row r="8" s="158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 s="158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 s="158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 s="158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 s="158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 s="158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 s="158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 s="158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 s="15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 s="158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 s="158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 s="158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 s="158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 s="158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 s="158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 s="158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 s="158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 s="158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 s="15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 s="158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 s="158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 s="158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 s="158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 s="158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 s="158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 s="158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 s="158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 s="158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 s="15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 s="158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 s="158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 s="158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 s="158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 s="158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 s="158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 s="158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 s="15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 s="158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 s="158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 s="158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 s="158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 s="158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 s="158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 s="158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 s="158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 s="158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 s="1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 s="158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 s="158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8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 s="158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 s="158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 s="158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 s="158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 s="158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 s="158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Pendente</t>
        </is>
      </c>
      <c r="F67" s="113">
        <f>IF(OR($E67="Pago",$C67=""),"",MAX(0,TODAY()-$C67))</f>
        <v/>
      </c>
      <c r="G67" s="82" t="inlineStr">
        <is>
          <t>Categoria quando pagar: Impostos e Taxas. Planeta Agua Ltda, CNPJ 07.341.784/0001-60. Detalhe: IRPJ R$ 187,69 · CSLL R$ 88,53 · COFINS R$ 249,45 · PIS R$ 54,04 · INSS R$ 822,37 · ICMS (BA) R$ 655,94. Linha digitável 85860000019 5 58020328262 0 64072026260 4 60170580750 5.</t>
        </is>
      </c>
    </row>
    <row r="68" s="15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Pendente</t>
        </is>
      </c>
      <c r="F68" s="113">
        <f>IF(OR($E68="Pago",$C68=""),"",MAX(0,TODAY()-$C68))</f>
        <v/>
      </c>
      <c r="G68" s="82" t="inlineStr">
        <is>
          <t>Categoria quando pagar: Impostos e Taxas. Inscrição Estadual 066.200.856. Linha digitável 85890000017 4 12700005202 5 60925196505 0 60882175193 3.</t>
        </is>
      </c>
    </row>
    <row r="69" s="158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Pendente</t>
        </is>
      </c>
      <c r="F69" s="113">
        <f>IF(OR($E69="Pago",$C69=""),"",MAX(0,TODAY()-$C69))</f>
        <v/>
      </c>
      <c r="G69" s="82" t="inlineStr">
        <is>
          <t>Categoria quando pagar: Impostos e Taxas. Inscrição Estadual 066.200.856. Linha digitável 85870000000 6 74050005202 0 60925196505 0 61070133812 7.</t>
        </is>
      </c>
    </row>
    <row r="70" s="158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Pendente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 quando pagar: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</t>
        </is>
      </c>
    </row>
    <row r="71" s="158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 s="158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 s="158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8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8">
      <c r="A75" s="86" t="inlineStr">
        <is>
          <t>TOTAL A PAGAR — COM BOLETO EM MÃOS</t>
        </is>
      </c>
      <c r="B75" s="86" t="n"/>
      <c r="C75" s="114" t="n"/>
      <c r="D75" s="115">
        <f>SUMIF(E11:E74,"Pendente",D11:D74)</f>
        <v/>
      </c>
      <c r="E75" s="116" t="n"/>
      <c r="F75" s="116" t="n"/>
      <c r="G75" s="86" t="n"/>
    </row>
    <row r="76" s="158">
      <c r="A76" s="154" t="inlineStr">
        <is>
          <t>PREVISTO — compromisso certo que ainda não está documentado</t>
        </is>
      </c>
      <c r="B76" s="154" t="n"/>
      <c r="C76" s="155" t="n"/>
      <c r="D76" s="156">
        <f>SUMIF(E11:E74,"Previsto",D11:D74)</f>
        <v/>
      </c>
      <c r="E76" s="152" t="n"/>
      <c r="F76" s="152" t="n"/>
      <c r="G76" s="154" t="n"/>
    </row>
    <row r="77" s="158">
      <c r="A77" s="86" t="inlineStr">
        <is>
          <t>TOTAL GERAL A PAGAR (boletos + previsão)</t>
        </is>
      </c>
      <c r="B77" s="86" t="n"/>
      <c r="C77" s="114" t="n"/>
      <c r="D77" s="115">
        <f>D75+D76</f>
        <v/>
      </c>
      <c r="E77" s="116" t="n"/>
      <c r="F77" s="116" t="n"/>
      <c r="G77" s="86" t="n"/>
    </row>
    <row r="78" s="158"/>
    <row r="79" ht="15.75" customHeight="1" s="158"/>
    <row r="80" s="158">
      <c r="A80" s="206" t="inlineStr">
        <is>
          <t>CONTAS A RECEBER  —  vendas feitas e ainda não pagas</t>
        </is>
      </c>
    </row>
    <row r="81" s="158">
      <c r="A81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2" s="158">
      <c r="A82" s="111" t="inlineStr">
        <is>
          <t>Cliente</t>
        </is>
      </c>
      <c r="B82" s="111" t="inlineStr">
        <is>
          <t>Produto / Referência</t>
        </is>
      </c>
      <c r="C82" s="111" t="inlineStr">
        <is>
          <t>Data da Venda</t>
        </is>
      </c>
      <c r="D82" s="111" t="inlineStr">
        <is>
          <t>Valor (R$)</t>
        </is>
      </c>
      <c r="E82" s="111" t="inlineStr">
        <is>
          <t>Status</t>
        </is>
      </c>
      <c r="F82" s="111" t="inlineStr">
        <is>
          <t>Dias em Atraso</t>
        </is>
      </c>
      <c r="G82" s="111" t="inlineStr">
        <is>
          <t>Observações</t>
        </is>
      </c>
    </row>
    <row r="83" s="158">
      <c r="A83" s="78" t="inlineStr">
        <is>
          <t>Centro de Especialidades Odontomédicas</t>
        </is>
      </c>
      <c r="B83" s="78" t="inlineStr">
        <is>
          <t>Refil Everest</t>
        </is>
      </c>
      <c r="C83" s="77" t="n">
        <v>46239</v>
      </c>
      <c r="D83" s="79" t="n">
        <v>140</v>
      </c>
      <c r="E83" s="112" t="inlineStr">
        <is>
          <t>Pendente</t>
        </is>
      </c>
      <c r="F83" s="112">
        <f>IF(OR($E83="Recebido",$C83=""),"",MAX(0,TODAY()-$C83))</f>
        <v/>
      </c>
      <c r="G83" s="78" t="n"/>
    </row>
    <row r="84" s="158">
      <c r="A84" s="82" t="inlineStr">
        <is>
          <t>Supermercado Brasil</t>
        </is>
      </c>
      <c r="B84" s="82" t="inlineStr">
        <is>
          <t>2x Refil Pro Life</t>
        </is>
      </c>
      <c r="C84" s="81" t="n">
        <v>46239</v>
      </c>
      <c r="D84" s="83" t="n">
        <v>280</v>
      </c>
      <c r="E84" s="113" t="inlineStr">
        <is>
          <t>Pendente</t>
        </is>
      </c>
      <c r="F84" s="113">
        <f>IF(OR($E84="Recebido",$C84=""),"",MAX(0,TODAY()-$C84))</f>
        <v/>
      </c>
      <c r="G84" s="82" t="n"/>
    </row>
    <row r="85" s="158">
      <c r="A85" s="78" t="inlineStr">
        <is>
          <t>Tropical Motos LTDA</t>
        </is>
      </c>
      <c r="B85" s="78" t="inlineStr">
        <is>
          <t>3x Refil Everest + Refil Pro Life + 3x Pré Filtro + Válvula Reguladora de Pressão</t>
        </is>
      </c>
      <c r="C85" s="77" t="n">
        <v>46245</v>
      </c>
      <c r="D85" s="79" t="n">
        <v>820</v>
      </c>
      <c r="E85" s="112" t="inlineStr">
        <is>
          <t>Recebido</t>
        </is>
      </c>
      <c r="F85" s="112">
        <f>IF(OR($E85="Recebido",$C85=""),"",MAX(0,TODAY()-$C85))</f>
        <v/>
      </c>
      <c r="G85" s="78" t="inlineStr">
        <is>
          <t>Recebido via TED em 25/08/2026. NF conferida: valor correto é R$820 (faltava a válvula no lançamento original de R$740).</t>
        </is>
      </c>
    </row>
    <row r="86" s="158">
      <c r="A86" s="82" t="inlineStr">
        <is>
          <t>Free Way</t>
        </is>
      </c>
      <c r="B86" s="82" t="inlineStr">
        <is>
          <t>5x Refil Everest</t>
        </is>
      </c>
      <c r="C86" s="81" t="n">
        <v>46251</v>
      </c>
      <c r="D86" s="83" t="n">
        <v>700</v>
      </c>
      <c r="E86" s="113" t="inlineStr">
        <is>
          <t>Recebido</t>
        </is>
      </c>
      <c r="F86" s="113">
        <f>IF(OR($E86="Recebido",$C86=""),"",MAX(0,TODAY()-$C86))</f>
        <v/>
      </c>
      <c r="G86" s="82" t="inlineStr">
        <is>
          <t>Recebido via TED em 02/09/2026.</t>
        </is>
      </c>
    </row>
    <row r="87" s="158">
      <c r="A87" s="78" t="inlineStr">
        <is>
          <t>Neli Sena Rego</t>
        </is>
      </c>
      <c r="B87" s="78" t="inlineStr">
        <is>
          <t>Refil Pro Life</t>
        </is>
      </c>
      <c r="C87" s="77" t="n">
        <v>46254</v>
      </c>
      <c r="D87" s="79" t="n">
        <v>140</v>
      </c>
      <c r="E87" s="112" t="inlineStr">
        <is>
          <t>Recebido</t>
        </is>
      </c>
      <c r="F87" s="112">
        <f>IF(OR($E87="Recebido",$C87=""),"",MAX(0,TODAY()-$C87))</f>
        <v/>
      </c>
      <c r="G87" s="78" t="inlineStr">
        <is>
          <t>Recebido em dinheiro em 01/09/2026 (R$ 170,00 pelas duas vendas)</t>
        </is>
      </c>
    </row>
    <row r="88" s="158">
      <c r="A88" s="82" t="inlineStr">
        <is>
          <t>Neli Sena Rego</t>
        </is>
      </c>
      <c r="B88" s="82" t="inlineStr">
        <is>
          <t>Conexão + Mangueira</t>
        </is>
      </c>
      <c r="C88" s="81" t="n">
        <v>46255</v>
      </c>
      <c r="D88" s="83" t="n">
        <v>40</v>
      </c>
      <c r="E88" s="113" t="inlineStr">
        <is>
          <t>Recebido</t>
        </is>
      </c>
      <c r="F88" s="113">
        <f>IF(OR($E88="Recebido",$C88=""),"",MAX(0,TODAY()-$C88))</f>
        <v/>
      </c>
      <c r="G88" s="82" t="inlineStr">
        <is>
          <t>Recebido em dinheiro em 01/09/2026 (R$ 170,00 pelas duas vendas)</t>
        </is>
      </c>
    </row>
    <row r="89" s="158">
      <c r="A89" s="78" t="inlineStr">
        <is>
          <t>Lapec</t>
        </is>
      </c>
      <c r="B89" s="78" t="inlineStr">
        <is>
          <t>4x Refil Everest</t>
        </is>
      </c>
      <c r="C89" s="77" t="n">
        <v>46258</v>
      </c>
      <c r="D89" s="79" t="n">
        <v>480</v>
      </c>
      <c r="E89" s="112" t="inlineStr">
        <is>
          <t>Recebido</t>
        </is>
      </c>
      <c r="F89" s="112">
        <f>IF(OR($E89="Recebido",$C89=""),"",MAX(0,TODAY()-$C89))</f>
        <v/>
      </c>
      <c r="G89" s="78" t="inlineStr">
        <is>
          <t>Recebido em dinheiro em 08/09/2026 — lançado em "Set 2026".</t>
        </is>
      </c>
    </row>
    <row r="90" s="158">
      <c r="A90" s="82" t="inlineStr">
        <is>
          <t>Cícero Lima</t>
        </is>
      </c>
      <c r="B90" s="82" t="inlineStr">
        <is>
          <t>Refil Everest</t>
        </is>
      </c>
      <c r="C90" s="81" t="n">
        <v>46261</v>
      </c>
      <c r="D90" s="83" t="n">
        <v>140</v>
      </c>
      <c r="E90" s="113" t="inlineStr">
        <is>
          <t>Recebido</t>
        </is>
      </c>
      <c r="F90" s="113">
        <f>IF(OR($E90="Recebido",$C90=""),"",MAX(0,TODAY()-$C90))</f>
        <v/>
      </c>
      <c r="G90" s="82" t="inlineStr">
        <is>
          <t>Recebido via Pix em 27/08/2026</t>
        </is>
      </c>
    </row>
    <row r="91" s="158">
      <c r="A91" s="78" t="inlineStr">
        <is>
          <t>Promotoria Regional de Jacobina</t>
        </is>
      </c>
      <c r="B91" s="78" t="inlineStr">
        <is>
          <t>2x Carcaça 9" + 2x Refil Plissado 9" + Conexão Reta Rosca</t>
        </is>
      </c>
      <c r="C91" s="77" t="n">
        <v>46261</v>
      </c>
      <c r="D91" s="79" t="n">
        <v>470</v>
      </c>
      <c r="E91" s="112" t="inlineStr">
        <is>
          <t>Recebido</t>
        </is>
      </c>
      <c r="F91" s="112">
        <f>IF(OR($E91="Recebido",$C91=""),"",MAX(0,TODAY()-$C91))</f>
        <v/>
      </c>
      <c r="G91" s="78" t="inlineStr">
        <is>
          <t>Pago em 28/08/2026 em duas formas: R$ 270,00 Pix + R$ 200,00 crédito 2x</t>
        </is>
      </c>
    </row>
    <row r="92" s="158">
      <c r="A92" s="82" t="inlineStr">
        <is>
          <t>Lucas Souza</t>
        </is>
      </c>
      <c r="B92" s="82" t="inlineStr">
        <is>
          <t>Refil Everest + Pré Filtro</t>
        </is>
      </c>
      <c r="C92" s="81" t="n">
        <v>46261</v>
      </c>
      <c r="D92" s="83" t="n">
        <v>200</v>
      </c>
      <c r="E92" s="113" t="inlineStr">
        <is>
          <t>Recebido</t>
        </is>
      </c>
      <c r="F92" s="113">
        <f>IF(OR($E92="Recebido",$C92=""),"",MAX(0,TODAY()-$C92))</f>
        <v/>
      </c>
      <c r="G92" s="82" t="inlineStr">
        <is>
          <t>Recebido em dinheiro em 03/09/2026 — lançado em "Set 2026".</t>
        </is>
      </c>
    </row>
    <row r="93" s="158">
      <c r="A93" s="78" t="inlineStr">
        <is>
          <t>FG Boa Vista (Recife/PE)</t>
        </is>
      </c>
      <c r="B93" s="78" t="inlineStr">
        <is>
          <t>Refis — troca de julho/2026</t>
        </is>
      </c>
      <c r="C93" s="77" t="n">
        <v>46261</v>
      </c>
      <c r="D93" s="79" t="n">
        <v>1008.8</v>
      </c>
      <c r="E93" s="112" t="inlineStr">
        <is>
          <t>Recebido</t>
        </is>
      </c>
      <c r="F93" s="112">
        <f>IF(OR($E93="Recebido",$C93=""),"",MAX(0,TODAY()-$C93))</f>
        <v/>
      </c>
      <c r="G93" s="78" t="inlineStr">
        <is>
          <t>Grupo Ânima — NF 000.004.280 · recebido em 30/08/2026 (Nota Paga no portal V360)</t>
        </is>
      </c>
    </row>
    <row r="94" s="158">
      <c r="A94" s="82" t="inlineStr">
        <is>
          <t>UNIFG Guanambi (Guanambi/BA)</t>
        </is>
      </c>
      <c r="B94" s="82" t="inlineStr">
        <is>
          <t>Refis — troca de julho/2026</t>
        </is>
      </c>
      <c r="C94" s="81" t="n">
        <v>46261</v>
      </c>
      <c r="D94" s="83" t="n">
        <v>4534.75</v>
      </c>
      <c r="E94" s="113" t="inlineStr">
        <is>
          <t>Recebido</t>
        </is>
      </c>
      <c r="F94" s="113">
        <f>IF(OR($E94="Recebido",$C94=""),"",MAX(0,TODAY()-$C94))</f>
        <v/>
      </c>
      <c r="G94" s="82" t="inlineStr">
        <is>
          <t>Grupo Ânima — NF 000.004.281 · recebido em 30/08/2026 (Nota Paga no portal V360)</t>
        </is>
      </c>
    </row>
    <row r="95" s="158">
      <c r="A95" s="78" t="inlineStr">
        <is>
          <t>UNP Zona Norte (Natal/RN)</t>
        </is>
      </c>
      <c r="B95" s="78" t="inlineStr">
        <is>
          <t>Refis — troca de julho/2026</t>
        </is>
      </c>
      <c r="C95" s="77" t="n">
        <v>46261</v>
      </c>
      <c r="D95" s="79" t="n">
        <v>870</v>
      </c>
      <c r="E95" s="112" t="inlineStr">
        <is>
          <t>Recebido</t>
        </is>
      </c>
      <c r="F95" s="112">
        <f>IF(OR($E95="Recebido",$C95=""),"",MAX(0,TODAY()-$C95))</f>
        <v/>
      </c>
      <c r="G95" s="78" t="inlineStr">
        <is>
          <t>Grupo Ânima — NF 000.004.282 · recebido em 30/08/2026 (Nota Paga no portal V360)</t>
        </is>
      </c>
    </row>
    <row r="96" s="158">
      <c r="A96" s="82" t="inlineStr">
        <is>
          <t>UNP Caicó (Caicó/RN)</t>
        </is>
      </c>
      <c r="B96" s="82" t="inlineStr">
        <is>
          <t>Refis — troca de julho/2026</t>
        </is>
      </c>
      <c r="C96" s="81" t="n">
        <v>46261</v>
      </c>
      <c r="D96" s="83" t="n">
        <v>440</v>
      </c>
      <c r="E96" s="113" t="inlineStr">
        <is>
          <t>Recebido</t>
        </is>
      </c>
      <c r="F96" s="113">
        <f>IF(OR($E96="Recebido",$C96=""),"",MAX(0,TODAY()-$C96))</f>
        <v/>
      </c>
      <c r="G96" s="82" t="inlineStr">
        <is>
          <t>Grupo Ânima — NF 000.004.283 · recebido via Pix em 27/08/2026</t>
        </is>
      </c>
    </row>
    <row r="97" s="158">
      <c r="A97" s="78" t="inlineStr">
        <is>
          <t>AGES Irecê (Irecê/BA)</t>
        </is>
      </c>
      <c r="B97" s="78" t="inlineStr">
        <is>
          <t>Refis — troca de julho/2026</t>
        </is>
      </c>
      <c r="C97" s="77" t="n">
        <v>46269</v>
      </c>
      <c r="D97" s="79" t="n">
        <v>1338.6</v>
      </c>
      <c r="E97" s="112" t="inlineStr">
        <is>
          <t>Recebido</t>
        </is>
      </c>
      <c r="F97" s="112">
        <f>IF(OR($E97="Recebido",$C97=""),"",MAX(0,TODAY()-$C97))</f>
        <v/>
      </c>
      <c r="G97" s="78" t="inlineStr">
        <is>
          <t>Grupo Ânima — NF 000.004.294 · recebido via Pix em 04/09/2026.</t>
        </is>
      </c>
    </row>
    <row r="98" s="158">
      <c r="A98" s="82" t="inlineStr">
        <is>
          <t>CIS Irecê (Irecê/BA)</t>
        </is>
      </c>
      <c r="B98" s="82" t="inlineStr">
        <is>
          <t>Refis — troca de julho/2026</t>
        </is>
      </c>
      <c r="C98" s="81" t="n">
        <v>46269</v>
      </c>
      <c r="D98" s="83" t="n">
        <v>1358</v>
      </c>
      <c r="E98" s="113" t="inlineStr">
        <is>
          <t>Recebido</t>
        </is>
      </c>
      <c r="F98" s="113">
        <f>IF(OR($E98="Recebido",$C98=""),"",MAX(0,TODAY()-$C98))</f>
        <v/>
      </c>
      <c r="G98" s="82" t="inlineStr">
        <is>
          <t>Grupo Ânima — NF 000.004.295 · recebido via Pix em 04/09/2026.</t>
        </is>
      </c>
    </row>
    <row r="99" s="158">
      <c r="A99" s="78" t="inlineStr">
        <is>
          <t>AGES Senhor do Bonfim (S. do Bonfim/BA)</t>
        </is>
      </c>
      <c r="B99" s="78" t="inlineStr">
        <is>
          <t>Refis — troca de julho/2026</t>
        </is>
      </c>
      <c r="C99" s="77" t="n">
        <v>46270</v>
      </c>
      <c r="D99" s="79" t="n">
        <v>649.9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Grupo Ânima — NF 000.004.298 · recebido via Pix em 08/09/2026.</t>
        </is>
      </c>
    </row>
    <row r="100" s="158">
      <c r="A100" s="82" t="inlineStr">
        <is>
          <t>CIS Senhor do Bonfim (S. do Bonfim/BA)</t>
        </is>
      </c>
      <c r="B100" s="82" t="inlineStr">
        <is>
          <t>Refis — troca de julho/2026</t>
        </is>
      </c>
      <c r="C100" s="81" t="n">
        <v>46270</v>
      </c>
      <c r="D100" s="83" t="n">
        <v>562.6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Grupo Ânima — NF 000.004.299 · recebido via Pix em 08/09/2026.</t>
        </is>
      </c>
    </row>
    <row r="101" s="158">
      <c r="A101" s="78" t="inlineStr">
        <is>
          <t>AGES Paripiranga (Paripiranga/BA)</t>
        </is>
      </c>
      <c r="B101" s="78" t="inlineStr">
        <is>
          <t>Refis — troca de julho/2026</t>
        </is>
      </c>
      <c r="C101" s="77" t="n">
        <v>46270</v>
      </c>
      <c r="D101" s="79" t="n">
        <v>1086.4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Grupo Ânima — NF 000.004.300 · recebido via Pix em 08/09/2026.</t>
        </is>
      </c>
    </row>
    <row r="102" s="158">
      <c r="A102" s="82" t="inlineStr">
        <is>
          <t>Clínica Veterinária Paripiranga (Paripiranga/BA)</t>
        </is>
      </c>
      <c r="B102" s="82" t="inlineStr">
        <is>
          <t>Refis — troca de julho/2026</t>
        </is>
      </c>
      <c r="C102" s="81" t="n">
        <v>46270</v>
      </c>
      <c r="D102" s="83" t="n">
        <v>1265.85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Grupo Ânima — NF 000.004.301 · recebido via Pix em 08/09/2026.</t>
        </is>
      </c>
    </row>
    <row r="103" s="158">
      <c r="A103" s="78" t="inlineStr">
        <is>
          <t>UNP Mossoró (Mossoró/RN)</t>
        </is>
      </c>
      <c r="B103" s="78" t="inlineStr">
        <is>
          <t>Refis — troca de julho/2026</t>
        </is>
      </c>
      <c r="C103" s="77" t="n">
        <v>46270</v>
      </c>
      <c r="D103" s="79" t="n">
        <v>1867.25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Grupo Ânima — NF 000.004.302 · recebido via Pix em 08/09/2026.</t>
        </is>
      </c>
    </row>
    <row r="104" s="158">
      <c r="A104" s="82" t="inlineStr">
        <is>
          <t>CIS Jacobina (Jacobina/BA)</t>
        </is>
      </c>
      <c r="B104" s="82" t="inlineStr">
        <is>
          <t>Refis — troca de julho/2026</t>
        </is>
      </c>
      <c r="C104" s="81" t="n">
        <v>46290</v>
      </c>
      <c r="D104" s="83" t="n">
        <v>2095.2</v>
      </c>
      <c r="E104" s="113" t="inlineStr">
        <is>
          <t>Pendente</t>
        </is>
      </c>
      <c r="F104" s="113">
        <f>IF(OR($E104="Recebido",$C104=""),"",MAX(0,TODAY()-$C104))</f>
        <v/>
      </c>
      <c r="G104" s="82" t="inlineStr">
        <is>
          <t>Grupo Ânima — NF 000.004.333 de 26/08/2026 · OC AEMPPO00004452 · 30 dias</t>
        </is>
      </c>
    </row>
    <row r="105" s="158">
      <c r="A105" s="78" t="inlineStr">
        <is>
          <t>AGES Jacobina (Jacobina/BA)</t>
        </is>
      </c>
      <c r="B105" s="78" t="inlineStr">
        <is>
          <t>Refis — troca de julho/2026</t>
        </is>
      </c>
      <c r="C105" s="77" t="n">
        <v>46305</v>
      </c>
      <c r="D105" s="79" t="n">
        <v>1188.25</v>
      </c>
      <c r="E105" s="112" t="inlineStr">
        <is>
          <t>Pendente</t>
        </is>
      </c>
      <c r="F105" s="112">
        <f>IF(OR($E105="Recebido",$C105=""),"",MAX(0,TODAY()-$C105))</f>
        <v/>
      </c>
      <c r="G105" s="78" t="inlineStr">
        <is>
          <t>Grupo Ânima — NF 000.004.332 de 26/08/2026 · OC AEMPPO00004453 · 45 dias</t>
        </is>
      </c>
    </row>
    <row r="106" s="158">
      <c r="A106" s="82" t="inlineStr">
        <is>
          <t>Instituto Paulo Leão</t>
        </is>
      </c>
      <c r="B106" s="82" t="inlineStr">
        <is>
          <t>Refil E3 + Pré Filtro</t>
        </is>
      </c>
      <c r="C106" s="81" t="n">
        <v>46265</v>
      </c>
      <c r="D106" s="83" t="n">
        <v>160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via Pix em 08/09/2026 — lançado em "Set 2026".</t>
        </is>
      </c>
    </row>
    <row r="107" s="158">
      <c r="A107" s="78" t="inlineStr">
        <is>
          <t>Eletronic Segurança Eletronica</t>
        </is>
      </c>
      <c r="B107" s="78" t="inlineStr">
        <is>
          <t>Pré Filtro</t>
        </is>
      </c>
      <c r="C107" s="77" t="n">
        <v>46265</v>
      </c>
      <c r="D107" s="79" t="n">
        <v>60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03/09/2026.</t>
        </is>
      </c>
    </row>
    <row r="108" s="158">
      <c r="A108" s="82" t="inlineStr">
        <is>
          <t>Clube dos Mineiros</t>
        </is>
      </c>
      <c r="B108" s="82" t="inlineStr">
        <is>
          <t>Refil Pro Life</t>
        </is>
      </c>
      <c r="C108" s="81" t="n">
        <v>46265</v>
      </c>
      <c r="D108" s="83" t="n">
        <v>150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01/09/2026 (pagador: Sindicato dos Mineiros de Jacobina).</t>
        </is>
      </c>
    </row>
    <row r="109" s="158">
      <c r="A109" s="78" t="inlineStr">
        <is>
          <t>Armazem Cecilio Mota</t>
        </is>
      </c>
      <c r="B109" s="78" t="inlineStr">
        <is>
          <t>Refil Everest + Refil Carbon 9"</t>
        </is>
      </c>
      <c r="C109" s="77" t="n">
        <v>46266</v>
      </c>
      <c r="D109" s="79" t="n">
        <v>225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Pix em 10/09/2026 — lançado em "Set 2026".</t>
        </is>
      </c>
    </row>
    <row r="110" s="158">
      <c r="A110" s="82" t="inlineStr">
        <is>
          <t>Clebson Dantas Da Silva</t>
        </is>
      </c>
      <c r="B110" s="82" t="inlineStr">
        <is>
          <t>Refil Everest</t>
        </is>
      </c>
      <c r="C110" s="81" t="n">
        <v>46266</v>
      </c>
      <c r="D110" s="83" t="n">
        <v>140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Pix em 02/09/2026</t>
        </is>
      </c>
    </row>
    <row r="111" s="158">
      <c r="A111" s="82" t="inlineStr">
        <is>
          <t>Tesla Imagem Medicina Diagnostica Ltda</t>
        </is>
      </c>
      <c r="B111" s="82" t="inlineStr">
        <is>
          <t>3x Refil Everest + 2x Pré Filtro</t>
        </is>
      </c>
      <c r="C111" s="81" t="n">
        <v>46267</v>
      </c>
      <c r="D111" s="83" t="n">
        <v>540</v>
      </c>
      <c r="E111" s="113" t="inlineStr">
        <is>
          <t>Pendente</t>
        </is>
      </c>
      <c r="F111" s="113">
        <f>IF(OR($E111="Recebido",$C111=""),"",MAX(0,TODAY()-$C111))</f>
        <v/>
      </c>
      <c r="G111" s="82" t="inlineStr">
        <is>
          <t>Troca do dia 02/09/2026 — 1º Andar, Térreo e Copa</t>
        </is>
      </c>
    </row>
    <row r="112" s="158">
      <c r="A112" s="78" t="inlineStr">
        <is>
          <t>Cecilio Mota Junior</t>
        </is>
      </c>
      <c r="B112" s="78" t="inlineStr">
        <is>
          <t>Refil Everest</t>
        </is>
      </c>
      <c r="C112" s="77" t="n">
        <v>46267</v>
      </c>
      <c r="D112" s="79" t="n">
        <v>140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10/09/2026 — lançado em "Set 2026".</t>
        </is>
      </c>
    </row>
    <row r="113" s="158">
      <c r="A113" s="78" t="inlineStr">
        <is>
          <t>Tereza Cristina Aquino Martins - Luiz Augusto</t>
        </is>
      </c>
      <c r="B113" s="78" t="inlineStr">
        <is>
          <t>Refil Everest + Pré Filtro</t>
        </is>
      </c>
      <c r="C113" s="77" t="n">
        <v>46268</v>
      </c>
      <c r="D113" s="79" t="n">
        <v>200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via Pix em 04/09/2026.</t>
        </is>
      </c>
    </row>
    <row r="114" s="158">
      <c r="A114" s="78" t="inlineStr">
        <is>
          <t>Samille Fiscina Lima Lordello - Tiago (Cartório)</t>
        </is>
      </c>
      <c r="B114" s="78" t="inlineStr">
        <is>
          <t>Refil Pro Life</t>
        </is>
      </c>
      <c r="C114" s="77" t="n">
        <v>46269</v>
      </c>
      <c r="D114" s="79" t="n">
        <v>140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 s="158">
      <c r="A115" s="78" t="inlineStr">
        <is>
          <t>Bomboniere Doce Mania - Veronildo Basilio</t>
        </is>
      </c>
      <c r="B115" s="78" t="inlineStr">
        <is>
          <t>Refil Plissado + Refil BAG</t>
        </is>
      </c>
      <c r="C115" s="77" t="n">
        <v>46274</v>
      </c>
      <c r="D115" s="79" t="n">
        <v>150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Recebido em dinheiro em 16/09/2026 — lançado em "Set 2026".</t>
        </is>
      </c>
    </row>
    <row r="116" s="158">
      <c r="A116" s="78" t="inlineStr">
        <is>
          <t>Adriadne (Hotel Jovem Jota)</t>
        </is>
      </c>
      <c r="B116" s="78" t="inlineStr">
        <is>
          <t>Refil Everest</t>
        </is>
      </c>
      <c r="C116" s="77" t="n">
        <v>46275</v>
      </c>
      <c r="D116" s="79" t="n">
        <v>140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11/09/2026 — lançado em "Set 2026".</t>
        </is>
      </c>
    </row>
    <row r="117" s="158">
      <c r="A117" s="78" t="inlineStr">
        <is>
          <t>Pousada Triunfo Ltda (Hotel Triunfo)</t>
        </is>
      </c>
      <c r="B117" s="78" t="inlineStr">
        <is>
          <t>Refil Everest + Pré Filtro</t>
        </is>
      </c>
      <c r="C117" s="77" t="n">
        <v>46275</v>
      </c>
      <c r="D117" s="79" t="n">
        <v>200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11/09/2026 — lançado em "Set 2026".</t>
        </is>
      </c>
    </row>
    <row r="118" s="158">
      <c r="A118" s="78" t="inlineStr">
        <is>
          <t>Topvel Tropical Veiculos e Pecas</t>
        </is>
      </c>
      <c r="B118" s="78" t="inlineStr">
        <is>
          <t>2x Refil Everest + 2x Pré Filtro</t>
        </is>
      </c>
      <c r="C118" s="77" t="n">
        <v>46276</v>
      </c>
      <c r="D118" s="79" t="n">
        <v>370</v>
      </c>
      <c r="E118" s="112" t="inlineStr">
        <is>
          <t>Pendente</t>
        </is>
      </c>
      <c r="F118" s="112">
        <f>IF(OR($E118="Recebido",$C118=""),"",MAX(0,TODAY()-$C118))</f>
        <v/>
      </c>
      <c r="G118" s="78" t="inlineStr">
        <is>
          <t>Troca do dia 11/09/2026 — dois purificadores.</t>
        </is>
      </c>
    </row>
    <row r="119" s="158">
      <c r="A119" s="78" t="inlineStr">
        <is>
          <t>J Diesel Motores e Reparos - Gilmara</t>
        </is>
      </c>
      <c r="B119" s="78" t="inlineStr">
        <is>
          <t>Refil Everest</t>
        </is>
      </c>
      <c r="C119" s="77" t="n">
        <v>46276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Troca do dia 11/09/2026.</t>
        </is>
      </c>
    </row>
    <row r="120" s="158">
      <c r="A120" s="78" t="inlineStr">
        <is>
          <t>IOB</t>
        </is>
      </c>
      <c r="B120" s="78" t="inlineStr">
        <is>
          <t>Refil Everest + Pré Filtro</t>
        </is>
      </c>
      <c r="C120" s="77" t="n">
        <v>46279</v>
      </c>
      <c r="D120" s="79" t="n">
        <v>200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Troca do dia 14/09/2026.</t>
        </is>
      </c>
    </row>
    <row r="121" s="158">
      <c r="A121" s="78" t="inlineStr">
        <is>
          <t>Clínica Santa Cecília</t>
        </is>
      </c>
      <c r="B121" s="78" t="inlineStr">
        <is>
          <t>Refil Everest + Termostato</t>
        </is>
      </c>
      <c r="C121" s="77" t="n">
        <v>46281</v>
      </c>
      <c r="D121" s="79" t="n">
        <v>310</v>
      </c>
      <c r="E121" s="112" t="inlineStr">
        <is>
          <t>Pendente</t>
        </is>
      </c>
      <c r="F121" s="112">
        <f>IF(OR($E121="Recebido",$C121=""),"",MAX(0,TODAY()-$C121))</f>
        <v/>
      </c>
      <c r="G121" s="78" t="inlineStr">
        <is>
          <t>Troca do dia 16/09/2026 — refil + troca de termostato.</t>
        </is>
      </c>
    </row>
    <row r="122" s="158">
      <c r="A122" s="78" t="inlineStr">
        <is>
          <t>Marilda Macedo / José Luciano Costa</t>
        </is>
      </c>
      <c r="B122" s="78" t="inlineStr">
        <is>
          <t>Refil Everest + Pré Filtro</t>
        </is>
      </c>
      <c r="C122" s="77" t="n">
        <v>46283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19/09/2026 — lançado em "Set 2026".</t>
        </is>
      </c>
    </row>
    <row r="123" s="158">
      <c r="A123" s="78" t="inlineStr">
        <is>
          <t>Tatiana Rocha</t>
        </is>
      </c>
      <c r="B123" s="78" t="inlineStr">
        <is>
          <t>Refil Everest</t>
        </is>
      </c>
      <c r="C123" s="77" t="n">
        <v>46286</v>
      </c>
      <c r="D123" s="79" t="n">
        <v>140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Troca do dia 21/09/2026.</t>
        </is>
      </c>
    </row>
    <row r="124" s="158">
      <c r="A124" s="78" t="inlineStr">
        <is>
          <t>Cleone Gomes de Andrade</t>
        </is>
      </c>
      <c r="B124" s="78" t="inlineStr">
        <is>
          <t>Refil Everest</t>
        </is>
      </c>
      <c r="C124" s="77" t="n">
        <v>46286</v>
      </c>
      <c r="D124" s="79" t="n">
        <v>140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Troca do dia 21/09/2026.</t>
        </is>
      </c>
    </row>
    <row r="125" s="158">
      <c r="A125" s="86" t="inlineStr">
        <is>
          <t>TOTAL EM ABERTO A RECEBER (detalhe)</t>
        </is>
      </c>
      <c r="D125" s="115">
        <f>SUMIF(E83:E124,"Pendente",D83:D124)</f>
        <v/>
      </c>
    </row>
    <row r="126" s="158">
      <c r="A126" s="205" t="inlineStr">
        <is>
          <t>CONFERÊNCIA COM AS ABAS DOS MESES</t>
        </is>
      </c>
      <c r="B126" s="160" t="n"/>
      <c r="C126" s="160" t="n"/>
      <c r="D126" s="160" t="n"/>
      <c r="E126" s="160" t="n"/>
      <c r="F126" s="160" t="n"/>
      <c r="G126" s="161" t="n"/>
    </row>
    <row r="127" s="158">
      <c r="A127" s="202">
        <f>IF(ROUND(D125-C5,2)=0,"OK — o detalhe acima bate com as vendas marcadas como Aguardando Pagamento nas abas dos meses.","ATENÇÃO: diferença de R$ "&amp;TEXT(ABS(D125-C5),"#,##0.00")&amp;" entre este detalhe e as abas dos meses — alguma venda mudou de status em um lado só.")</f>
        <v/>
      </c>
    </row>
    <row r="128" s="158">
      <c r="A128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29" s="158"/>
    <row r="130" s="158"/>
    <row r="131" s="158"/>
    <row r="132" s="158"/>
    <row r="133" s="158"/>
    <row r="134" s="158"/>
    <row r="135" s="158"/>
    <row r="136" s="158"/>
    <row r="137" s="158"/>
    <row r="138" s="158"/>
    <row r="139" s="158"/>
  </sheetData>
  <mergeCells count="13">
    <mergeCell ref="A4:B4"/>
    <mergeCell ref="E4:F4"/>
    <mergeCell ref="A1:G1"/>
    <mergeCell ref="A80:G80"/>
    <mergeCell ref="A9:G9"/>
    <mergeCell ref="A126:G126"/>
    <mergeCell ref="A127:G127"/>
    <mergeCell ref="C5:D6"/>
    <mergeCell ref="A5:B6"/>
    <mergeCell ref="A2:G2"/>
    <mergeCell ref="E5:F6"/>
    <mergeCell ref="A81:G81"/>
    <mergeCell ref="C4:D4"/>
  </mergeCells>
  <dataValidations count="2">
    <dataValidation sqref="E11:E74" showDropDown="0" showInputMessage="0" showErrorMessage="0" allowBlank="1" type="list">
      <formula1>"Pendente,Pago,Previsto"</formula1>
    </dataValidation>
    <dataValidation sqref="E83:E12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68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SUMIF(H5:H166,K5,G5:G166)</f>
        <v/>
      </c>
      <c r="N5" s="238">
        <f>D167-F167-T5</f>
        <v/>
      </c>
      <c r="P5" s="190">
        <f>L18-L19</f>
        <v/>
      </c>
      <c r="R5" s="204">
        <f>D168</f>
        <v/>
      </c>
      <c r="T5" s="203">
        <f>SUMIF(E5:E166,"Aguardando Pagamento",D5:D166)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SUMIF(H5:H166,K6,G5:G166)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SUMIF(H5:H166,K7,G5:G166)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SUMIF(H5:H166,K8,G5:G166)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SUMIF(H5:H166,K9,G5:G166)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SUMIF(H5:H166,K10,G5:G166)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SUMIF(H5:H166,K11,G5:G166)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SUMIF(H5:H166,K12,G5:G166)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SUMIF(H5:H166,K13,G5:G166)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SUMIF(H5:H166,K14,G5:G166)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SUMIF(H5:H166,K15,G5:G166)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SUMIF(H5:H166,K16,G5:G166)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SUMIF(H5:H166,K17,G5:G166)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46275</v>
      </c>
      <c r="B149" s="78" t="inlineStr">
        <is>
          <t>Humberto Fernandes Costa</t>
        </is>
      </c>
      <c r="C149" s="78" t="n"/>
      <c r="D149" s="79" t="n"/>
      <c r="E149" s="78" t="n"/>
      <c r="F149" s="79" t="n"/>
      <c r="G149" s="79" t="n">
        <v>964</v>
      </c>
      <c r="H149" s="78" t="inlineStr">
        <is>
          <t>Pro Labore Edilânia</t>
        </is>
      </c>
      <c r="I149" s="78" t="inlineStr">
        <is>
          <t>Extrato Stone — saída de 10/09/2026.</t>
        </is>
      </c>
      <c r="J149" s="78" t="n"/>
    </row>
    <row r="150">
      <c r="A150" s="81" t="n">
        <v>46279</v>
      </c>
      <c r="B150" s="82" t="inlineStr">
        <is>
          <t>Sinesio Moura da Silva</t>
        </is>
      </c>
      <c r="C150" s="82" t="n"/>
      <c r="D150" s="83" t="n"/>
      <c r="E150" s="82" t="n"/>
      <c r="F150" s="83" t="n"/>
      <c r="G150" s="83" t="n">
        <v>100</v>
      </c>
      <c r="H150" s="82" t="inlineStr">
        <is>
          <t>Pro Labore Edilânia</t>
        </is>
      </c>
      <c r="I150" s="82" t="inlineStr">
        <is>
          <t>Extrato Stone — saída de 14/09/2026.</t>
        </is>
      </c>
    </row>
    <row r="151">
      <c r="A151" s="77" t="n">
        <v>46280</v>
      </c>
      <c r="B151" s="78" t="inlineStr">
        <is>
          <t>Eziquiel Soares da Cruz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Lojão JB Mega 25</t>
        </is>
      </c>
      <c r="C152" s="82" t="n"/>
      <c r="D152" s="83" t="n"/>
      <c r="E152" s="82" t="n"/>
      <c r="F152" s="83" t="n"/>
      <c r="G152" s="83" t="n">
        <v>50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Rivael Sousa Santos</t>
        </is>
      </c>
      <c r="C153" s="78" t="n"/>
      <c r="D153" s="79" t="n"/>
      <c r="E153" s="78" t="n"/>
      <c r="F153" s="79" t="n"/>
      <c r="G153" s="79" t="n">
        <v>48.8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Thiago de Jesus Nascimento</t>
        </is>
      </c>
      <c r="C154" s="82" t="n"/>
      <c r="D154" s="83" t="n"/>
      <c r="E154" s="82" t="n"/>
      <c r="F154" s="83" t="n"/>
      <c r="G154" s="83" t="n">
        <v>28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46280</v>
      </c>
      <c r="B155" s="78" t="inlineStr">
        <is>
          <t>Luciana Cruz Freire Santos</t>
        </is>
      </c>
      <c r="C155" s="78" t="n"/>
      <c r="D155" s="79" t="n"/>
      <c r="E155" s="78" t="n"/>
      <c r="F155" s="79" t="n"/>
      <c r="G155" s="79" t="n">
        <v>140</v>
      </c>
      <c r="H155" s="78" t="inlineStr">
        <is>
          <t>Pro Labore Edilânia</t>
        </is>
      </c>
      <c r="I155" s="78" t="inlineStr">
        <is>
          <t>Extrato Stone — saída de 15/09/2026.</t>
        </is>
      </c>
      <c r="J155" s="78" t="n"/>
    </row>
    <row r="156">
      <c r="A156" s="81" t="n">
        <v>46281</v>
      </c>
      <c r="B156" s="82" t="inlineStr">
        <is>
          <t>Comercial de Estivas e Cereais Rio do Ouro</t>
        </is>
      </c>
      <c r="C156" s="82" t="n"/>
      <c r="D156" s="83" t="n"/>
      <c r="E156" s="82" t="n"/>
      <c r="F156" s="83" t="n"/>
      <c r="G156" s="83" t="n">
        <v>44.98</v>
      </c>
      <c r="H156" s="82" t="inlineStr">
        <is>
          <t>Pro Labore Edilânia</t>
        </is>
      </c>
      <c r="I156" s="82" t="inlineStr">
        <is>
          <t>Extrato Stone — saída de 16/09/2026.</t>
        </is>
      </c>
    </row>
    <row r="157">
      <c r="A157" s="77" t="n">
        <v>46283</v>
      </c>
      <c r="B157" s="78" t="inlineStr">
        <is>
          <t>Japedido Software</t>
        </is>
      </c>
      <c r="C157" s="78" t="n"/>
      <c r="D157" s="79" t="n"/>
      <c r="E157" s="78" t="n"/>
      <c r="F157" s="79" t="n"/>
      <c r="G157" s="79" t="n">
        <v>62.19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Jose Barbosa Leal Filho Ltda</t>
        </is>
      </c>
      <c r="C158" s="82" t="n"/>
      <c r="D158" s="83" t="n"/>
      <c r="E158" s="82" t="n"/>
      <c r="F158" s="83" t="n"/>
      <c r="G158" s="83" t="n">
        <v>130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46283</v>
      </c>
      <c r="B159" s="78" t="inlineStr">
        <is>
          <t>L K Abade Ltda</t>
        </is>
      </c>
      <c r="C159" s="78" t="n"/>
      <c r="D159" s="79" t="n"/>
      <c r="E159" s="78" t="n"/>
      <c r="F159" s="79" t="n"/>
      <c r="G159" s="79" t="n">
        <v>40</v>
      </c>
      <c r="H159" s="78" t="inlineStr">
        <is>
          <t>Pro Labore Edilânia</t>
        </is>
      </c>
      <c r="I159" s="78" t="inlineStr">
        <is>
          <t>Extrato Stone — saída de 18/09/2026.</t>
        </is>
      </c>
      <c r="J159" s="78" t="n"/>
    </row>
    <row r="160">
      <c r="A160" s="81" t="n">
        <v>46273</v>
      </c>
      <c r="B160" s="82" t="inlineStr">
        <is>
          <t>Multidisplay Comercio e Servicos Tecnologicos</t>
        </is>
      </c>
      <c r="C160" s="82" t="n"/>
      <c r="D160" s="83" t="n"/>
      <c r="E160" s="82" t="n"/>
      <c r="F160" s="83" t="n"/>
      <c r="G160" s="83" t="n">
        <v>25</v>
      </c>
      <c r="H160" s="82" t="inlineStr">
        <is>
          <t>Pro Labore Edilânia</t>
        </is>
      </c>
      <c r="I160" s="82" t="inlineStr">
        <is>
          <t>Extrato Stone — saída de 08/09/2026.</t>
        </is>
      </c>
    </row>
    <row r="161">
      <c r="A161" s="77" t="n">
        <v>46281</v>
      </c>
      <c r="B161" s="78" t="inlineStr">
        <is>
          <t>FGTS Digital (GFD)</t>
        </is>
      </c>
      <c r="C161" s="78" t="n"/>
      <c r="D161" s="79" t="n"/>
      <c r="E161" s="78" t="n"/>
      <c r="F161" s="79" t="n"/>
      <c r="G161" s="79" t="n">
        <v>136</v>
      </c>
      <c r="H161" s="78" t="inlineStr">
        <is>
          <t>Impostos e Taxas</t>
        </is>
      </c>
      <c r="I161" s="78" t="inlineStr">
        <is>
          <t>FGTS mensal — competência 08/2026. Venc. 18/09/2026, pago em 16/09/2026.</t>
        </is>
      </c>
      <c r="J161" s="78" t="n"/>
    </row>
    <row r="162">
      <c r="A162" s="81" t="n">
        <v>46281</v>
      </c>
      <c r="B162" s="82" t="inlineStr">
        <is>
          <t>Receita Federal — DARF / INSS</t>
        </is>
      </c>
      <c r="C162" s="82" t="n"/>
      <c r="D162" s="83" t="n"/>
      <c r="E162" s="82" t="n"/>
      <c r="F162" s="83" t="n"/>
      <c r="G162" s="83" t="n">
        <v>306.99</v>
      </c>
      <c r="H162" s="82" t="inlineStr">
        <is>
          <t>Impostos e Taxas</t>
        </is>
      </c>
      <c r="I162" s="82" t="inlineStr">
        <is>
          <t>DARF / INSS — período de apuração agosto/2026. Venc. 18/09/2026, pago em 16/09/2026.</t>
        </is>
      </c>
    </row>
    <row r="163">
      <c r="A163" s="77" t="n">
        <v>46286</v>
      </c>
      <c r="B163" s="78" t="inlineStr">
        <is>
          <t>Tatiana Rocha</t>
        </is>
      </c>
      <c r="C163" s="78" t="inlineStr">
        <is>
          <t>Refil Everest</t>
        </is>
      </c>
      <c r="D163" s="79" t="n">
        <v>140</v>
      </c>
      <c r="E163" s="78" t="inlineStr">
        <is>
          <t>Aguardando Pagamento</t>
        </is>
      </c>
      <c r="F163" s="79" t="n"/>
      <c r="G163" s="79" t="n"/>
      <c r="H163" s="78" t="n"/>
      <c r="I163" s="78" t="n"/>
      <c r="J163" s="78" t="inlineStr">
        <is>
          <t>CLI-0032</t>
        </is>
      </c>
    </row>
    <row r="164">
      <c r="A164" s="81" t="n">
        <v>46286</v>
      </c>
      <c r="B164" s="82" t="inlineStr">
        <is>
          <t>Josimar Souza Santos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CLI-0367</t>
        </is>
      </c>
    </row>
    <row r="165">
      <c r="A165" s="77" t="n">
        <v>46286</v>
      </c>
      <c r="B165" s="78" t="inlineStr">
        <is>
          <t>Cleone Gomes de Andrade</t>
        </is>
      </c>
      <c r="C165" s="78" t="inlineStr">
        <is>
          <t>Refil Everest</t>
        </is>
      </c>
      <c r="D165" s="79" t="n">
        <v>140</v>
      </c>
      <c r="E165" s="78" t="inlineStr">
        <is>
          <t>Aguardando Pagamento</t>
        </is>
      </c>
      <c r="F165" s="79" t="n"/>
      <c r="G165" s="79" t="n"/>
      <c r="H165" s="78" t="n"/>
      <c r="I165" s="78" t="n"/>
      <c r="J165" s="78" t="inlineStr">
        <is>
          <t>CLI-0296</t>
        </is>
      </c>
    </row>
    <row r="166">
      <c r="A166" s="81" t="n">
        <v>46286</v>
      </c>
      <c r="B166" s="82" t="inlineStr">
        <is>
          <t>Combustível (Etanol) — Transvale</t>
        </is>
      </c>
      <c r="C166" s="82" t="n"/>
      <c r="D166" s="83" t="n"/>
      <c r="E166" s="82" t="n"/>
      <c r="F166" s="83" t="n"/>
      <c r="G166" s="83" t="n">
        <v>50</v>
      </c>
      <c r="H166" s="82" t="inlineStr">
        <is>
          <t>Transporte e Entregas</t>
        </is>
      </c>
      <c r="I166" s="82" t="inlineStr">
        <is>
          <t>10,31 L de etanol hidratado a R$ 4,85/L — NFC-e nº 000284718 (Transvale Derivados de Petróleo, CNPJ 11.271.229/0002-68). Pago em dinheiro.</t>
        </is>
      </c>
    </row>
    <row r="167">
      <c r="A167" s="29" t="n"/>
      <c r="B167" s="43" t="inlineStr">
        <is>
          <t>TOTAL DO MÊS</t>
        </is>
      </c>
      <c r="C167" s="161" t="n"/>
      <c r="D167" s="8">
        <f>SUM(D5:D166)</f>
        <v/>
      </c>
      <c r="E167" s="8" t="n"/>
      <c r="F167" s="29">
        <f>SUM(F5:F166)</f>
        <v/>
      </c>
      <c r="G167" s="8">
        <f>SUM(G5:G166)</f>
        <v/>
      </c>
      <c r="H167" s="29" t="n"/>
      <c r="I167" s="29" t="n"/>
    </row>
    <row r="168">
      <c r="A168" s="30" t="n"/>
      <c r="B168" s="135" t="inlineStr">
        <is>
          <t>SALDO DO MÊS (Entradas líquidas − Despesas da loja)</t>
        </is>
      </c>
      <c r="D168" s="134">
        <f>(D167-F167-T5)-(L18-L19)</f>
        <v/>
      </c>
      <c r="F168" s="30" t="n"/>
      <c r="H168" s="30" t="n"/>
      <c r="I168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66" showDropDown="0" showInputMessage="0" showErrorMessage="0" allowBlank="1" type="list">
      <formula1>"Dinheiro,Pix,Débito,Crédito à Vista,Crédito Parcelado,Aguardando Pagamento"</formula1>
    </dataValidation>
    <dataValidation sqref="H5:H16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2026-09-21T15:05:55Z</dcterms:modified>
  <cp:lastModifiedBy>Planeta</cp:lastModifiedBy>
  <cp:revision>1</cp:revision>
</cp:coreProperties>
</file>