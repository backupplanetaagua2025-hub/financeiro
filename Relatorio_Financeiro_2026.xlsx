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&quot;R$ &quot;#,##0.00"/>
    <numFmt numFmtId="165" formatCode="0.0%"/>
    <numFmt numFmtId="166" formatCode="0.0"/>
    <numFmt numFmtId="167" formatCode="&quot;R$ &quot;#,##0.00;[Red]&quot;−R$ &quot;#,##0.00"/>
  </numFmts>
  <fonts count="78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  <font>
      <name val="Calibri"/>
      <b val="1"/>
      <color rgb="FF6B46C1"/>
      <sz val="15"/>
    </font>
    <font>
      <name val="Calibri"/>
      <b val="1"/>
      <color rgb="FF6B46C1"/>
      <sz val="13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53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  <xf numFmtId="0" fontId="66" fillId="22" borderId="0" applyAlignment="1" pivotButton="0" quotePrefix="0" xfId="0">
      <alignment horizontal="center" vertical="center" wrapText="1"/>
    </xf>
    <xf numFmtId="164" fontId="77" fillId="12" borderId="8" applyAlignment="1" pivotButton="0" quotePrefix="0" xfId="0">
      <alignment horizontal="center" vertical="center"/>
    </xf>
    <xf numFmtId="0" fontId="42" fillId="0" borderId="9" applyAlignment="1" pivotButton="0" quotePrefix="0" xfId="0">
      <alignment vertical="top" wrapText="1"/>
    </xf>
    <xf numFmtId="0" fontId="13" fillId="8" borderId="1" applyAlignment="1" pivotButton="0" quotePrefix="0" xfId="0">
      <alignment horizontal="center" vertical="center" wrapText="1"/>
    </xf>
    <xf numFmtId="0" fontId="56" fillId="16" borderId="8" applyAlignment="1" pivotButton="0" quotePrefix="0" xfId="0">
      <alignment horizontal="left" vertical="center"/>
    </xf>
    <xf numFmtId="164" fontId="56" fillId="16" borderId="8" applyAlignment="1" pivotButton="0" quotePrefix="0" xfId="0">
      <alignment horizontal="right" vertical="center"/>
    </xf>
    <xf numFmtId="167" fontId="46" fillId="0" borderId="8" applyAlignment="1" pivotButton="0" quotePrefix="0" xfId="0">
      <alignment horizontal="right" vertical="center"/>
    </xf>
    <xf numFmtId="1" fontId="46" fillId="0" borderId="8" applyAlignment="1" pivotButton="0" quotePrefix="0" xfId="0">
      <alignment horizontal="center"/>
    </xf>
    <xf numFmtId="0" fontId="33" fillId="0" borderId="7" pivotButton="0" quotePrefix="0" xfId="0"/>
    <xf numFmtId="164" fontId="33" fillId="0" borderId="7" pivotButton="0" quotePrefix="0" xfId="0"/>
    <xf numFmtId="0" fontId="37" fillId="0" borderId="9" applyAlignment="1" pivotButton="0" quotePrefix="0" xfId="0">
      <alignment vertical="top" wrapText="1"/>
    </xf>
    <xf numFmtId="0" fontId="22" fillId="22" borderId="9" applyAlignment="1" pivotButton="0" quotePrefix="0" xfId="0">
      <alignment horizontal="center" vertical="center"/>
    </xf>
    <xf numFmtId="164" fontId="76" fillId="12" borderId="9" applyAlignment="1" pivotButton="0" quotePrefix="0" xfId="0">
      <alignment horizontal="center" vertical="center"/>
    </xf>
    <xf numFmtId="0" fontId="48" fillId="22" borderId="9" applyAlignment="1" pivotButton="0" quotePrefix="0" xfId="0">
      <alignment horizontal="center" vertical="center"/>
    </xf>
    <xf numFmtId="0" fontId="48" fillId="16" borderId="9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SOBRA FINAL (DEPOIS DO PRÓ-LABORE)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FINAL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26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PRÓ-LABORE EDILÂNIA (ANO)</t>
        </is>
      </c>
      <c r="E10" s="120" t="inlineStr">
        <is>
          <t>PONTO DE EQUILÍBRIO (FAT. MÍN./MÊS)</t>
        </is>
      </c>
      <c r="F10" s="238" t="inlineStr">
        <is>
          <t>PRÓ-LABORE COMBINADO/MÊS</t>
        </is>
      </c>
      <c r="G10" s="117" t="inlineStr">
        <is>
          <t>SOBRA MÉDIA/MÊS DEPOIS DO PRÓ-LABORE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Equilíbrio'!B12</f>
        <v/>
      </c>
      <c r="F11" s="239">
        <f>'Ponto de Equilíbrio'!$B$10</f>
        <v/>
      </c>
      <c r="G11" s="122">
        <f>'Ponto de Equilíbrio'!B14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Entradas pelas notas fiscais (XML do DigiSat) com cliente e produto · saídas do Livro Caixa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Entradas pelas notas fiscais (XML do DigiSat) com cliente e produto · saídas do Livro Caixa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Entradas pelas notas fiscais (XML do DigiSat) com cliente e produto · saídas do Livro Caixa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Entradas pelas notas fiscais (XML do DigiSat) com cliente e produto · saídas do Livro Caixa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Entradas pelas notas fiscais (XML do DigiSat) com cliente e produto · saídas do Livro Caixa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Entradas pelas notas fiscais (XML do DigiSat) com cliente e produto · saídas do Livro Caixa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Entradas pelas notas fiscais (XML do DigiSat) com cliente e produto · saídas do Livro Caixa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 ht="44" customHeight="1" s="157">
      <c r="B50" s="240" t="inlineStr">
        <is>
          <t>4. Tudo o que a Edilânia gasta do dinheiro da loja (contas da casa, Pix pessoais, mercado, diarista...): categoria "Pro Labore Edilânia". Isso é o pró-labore dela — combinado em R$ 4.000,00/mês (valor na aba Ponto de Equilíbrio, B10). Cada mês mostra quanto ela já gastou, quanto ainda pode gastar e a SOBRA FINAL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7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B50:G50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Jan–Dez: lançamentos das abas dos meses. Entradas = faturamento recebido (líquido de taxa de máquina e sem vendas pendentes); saídas = despesas da loja (sem o pró-labore e sem as contas pagas pelo Capital de Giro do BB). O pró-labore da Edilânia aparece separado e é descontado na coluna "Sobra final". Vendas ainda não recebidas ficam na tabela "Contas a Receber".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SOBRA FINAL (DEPOIS DO PRÓ-LABORE)</t>
        </is>
      </c>
      <c r="F4" s="160" t="n"/>
      <c r="G4" s="191" t="inlineStr">
        <is>
          <t>MARGEM FINAL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SUM(G24:G35)</f>
        <v/>
      </c>
      <c r="F5" s="173" t="n"/>
      <c r="G5" s="176">
        <f>IF(B36=0,0,G36/B36)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(sobra final, depois do pró-labore): "&amp;INDEX(A24:A35,MATCH(MAX(G24:G35),G24:G35,0))&amp;" ("&amp;TEXT(MAX(G24:G35),"R$ #,##0.00")&amp;")"</f>
        <v/>
      </c>
    </row>
    <row r="10">
      <c r="A10" s="178">
        <f>"Mês mais fraco (sobra final, depois do pró-labore): "&amp;INDEX(A24:A35,MATCH(_xlfn.MINIFS(G24:G35,B24:B35,"&lt;&gt;0"),G24:G35,0))&amp;" ("&amp;TEXT(_xlfn.MINIFS(G24:G35,B24:B35,"&lt;&gt;0"),"R$ #,##0.00")&amp;")"</f>
        <v/>
      </c>
    </row>
    <row r="11">
      <c r="A11" s="178">
        <f>"Meses que fecharam no negativo depois do pró-labore: "&amp;COUNTIF(G24:G35,"&lt;0")&amp;" de "&amp;COUNTIF(B24:B35,"&lt;&gt;0")&amp;" meses com dados  ·  pró-labore do ano: "&amp;TEXT(F36,"R$ #,##0.00")&amp;" (combinado: "&amp;TEXT('Ponto de Equilíbrio'!$B$10,"R$ #,##0.00")&amp;"/mês)"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30" customHeight="1" s="157">
      <c r="A23" s="241" t="inlineStr">
        <is>
          <t>Mês</t>
        </is>
      </c>
      <c r="B23" s="241" t="inlineStr">
        <is>
          <t>Entradas (R$)</t>
        </is>
      </c>
      <c r="C23" s="241" t="inlineStr">
        <is>
          <t>Saídas (R$)</t>
        </is>
      </c>
      <c r="D23" s="241" t="inlineStr">
        <is>
          <t>Lucro da loja (R$)</t>
        </is>
      </c>
      <c r="E23" s="241" t="inlineStr">
        <is>
          <t>Margem da loja (%)</t>
        </is>
      </c>
      <c r="F23" s="241" t="inlineStr">
        <is>
          <t>Pró-labore Edilânia (R$)</t>
        </is>
      </c>
      <c r="G23" s="241" t="inlineStr">
        <is>
          <t>Sobra final (R$)</t>
        </is>
      </c>
    </row>
    <row r="24">
      <c r="A24" s="2" t="inlineStr">
        <is>
          <t>Janeiro</t>
        </is>
      </c>
      <c r="B24" s="3">
        <f>SUMIF('Jan 2026'!A5:A500,"&lt;&gt;",'Jan 2026'!D5:D500)-SUMIF('Jan 2026'!A5:A500,"&lt;&gt;",'Jan 2026'!F5:F500)-'Jan 2026'!T5</f>
        <v/>
      </c>
      <c r="C24" s="3">
        <f>'Jan 2026'!L18-'Jan 2026'!L19</f>
        <v/>
      </c>
      <c r="D24" s="3">
        <f>B24-C24</f>
        <v/>
      </c>
      <c r="E24" s="4">
        <f>IF(B24=0,0,D24/B24)</f>
        <v/>
      </c>
      <c r="F24" s="3">
        <f>'Jan 2026'!L17</f>
        <v/>
      </c>
      <c r="G24" s="3">
        <f>D24-F24</f>
        <v/>
      </c>
    </row>
    <row r="25">
      <c r="A25" s="5" t="inlineStr">
        <is>
          <t>Fevereiro</t>
        </is>
      </c>
      <c r="B25" s="6">
        <f>SUMIF('Fev 2026'!A5:A500,"&lt;&gt;",'Fev 2026'!D5:D500)-SUMIF('Fev 2026'!A5:A500,"&lt;&gt;",'Fev 2026'!F5:F500)-'Fev 2026'!T5</f>
        <v/>
      </c>
      <c r="C25" s="6">
        <f>'Fev 2026'!L18-'Fev 2026'!L19</f>
        <v/>
      </c>
      <c r="D25" s="6">
        <f>B25-C25</f>
        <v/>
      </c>
      <c r="E25" s="7">
        <f>IF(B25=0,0,D25/B25)</f>
        <v/>
      </c>
      <c r="F25" s="6">
        <f>'Fev 2026'!L17</f>
        <v/>
      </c>
      <c r="G25" s="6">
        <f>D25-F25</f>
        <v/>
      </c>
    </row>
    <row r="26">
      <c r="A26" s="2" t="inlineStr">
        <is>
          <t>Março</t>
        </is>
      </c>
      <c r="B26" s="3">
        <f>SUMIF('Mar 2026'!A5:A500,"&lt;&gt;",'Mar 2026'!D5:D500)-SUMIF('Mar 2026'!A5:A500,"&lt;&gt;",'Mar 2026'!F5:F500)-'Mar 2026'!T5</f>
        <v/>
      </c>
      <c r="C26" s="3">
        <f>'Mar 2026'!L18-'Mar 2026'!L19</f>
        <v/>
      </c>
      <c r="D26" s="3">
        <f>B26-C26</f>
        <v/>
      </c>
      <c r="E26" s="4">
        <f>IF(B26=0,0,D26/B26)</f>
        <v/>
      </c>
      <c r="F26" s="3">
        <f>'Mar 2026'!L17</f>
        <v/>
      </c>
      <c r="G26" s="3">
        <f>D26-F26</f>
        <v/>
      </c>
    </row>
    <row r="27">
      <c r="A27" s="5" t="inlineStr">
        <is>
          <t>Abril</t>
        </is>
      </c>
      <c r="B27" s="6">
        <f>SUMIF('Abr 2026'!A5:A500,"&lt;&gt;",'Abr 2026'!D5:D500)-SUMIF('Abr 2026'!A5:A500,"&lt;&gt;",'Abr 2026'!F5:F500)-'Abr 2026'!T5</f>
        <v/>
      </c>
      <c r="C27" s="6">
        <f>'Abr 2026'!L18-'Abr 2026'!L19</f>
        <v/>
      </c>
      <c r="D27" s="6">
        <f>B27-C27</f>
        <v/>
      </c>
      <c r="E27" s="7">
        <f>IF(B27=0,0,D27/B27)</f>
        <v/>
      </c>
      <c r="F27" s="6">
        <f>'Abr 2026'!L17</f>
        <v/>
      </c>
      <c r="G27" s="6">
        <f>D27-F27</f>
        <v/>
      </c>
    </row>
    <row r="28">
      <c r="A28" s="2" t="inlineStr">
        <is>
          <t>Maio</t>
        </is>
      </c>
      <c r="B28" s="3">
        <f>SUMIF('Mai 2026'!A5:A500,"&lt;&gt;",'Mai 2026'!D5:D500)-SUMIF('Mai 2026'!A5:A500,"&lt;&gt;",'Mai 2026'!F5:F500)-'Mai 2026'!T5</f>
        <v/>
      </c>
      <c r="C28" s="3">
        <f>'Mai 2026'!L18-'Mai 2026'!L19</f>
        <v/>
      </c>
      <c r="D28" s="3">
        <f>B28-C28</f>
        <v/>
      </c>
      <c r="E28" s="4">
        <f>IF(B28=0,0,D28/B28)</f>
        <v/>
      </c>
      <c r="F28" s="3">
        <f>'Mai 2026'!L17</f>
        <v/>
      </c>
      <c r="G28" s="3">
        <f>D28-F28</f>
        <v/>
      </c>
    </row>
    <row r="29">
      <c r="A29" s="5" t="inlineStr">
        <is>
          <t>Junho</t>
        </is>
      </c>
      <c r="B29" s="6">
        <f>SUMIF('Jun 2026'!A5:A500,"&lt;&gt;",'Jun 2026'!D5:D500)-SUMIF('Jun 2026'!A5:A500,"&lt;&gt;",'Jun 2026'!F5:F500)-'Jun 2026'!T5</f>
        <v/>
      </c>
      <c r="C29" s="6">
        <f>'Jun 2026'!L18-'Jun 2026'!L19</f>
        <v/>
      </c>
      <c r="D29" s="6">
        <f>B29-C29</f>
        <v/>
      </c>
      <c r="E29" s="7">
        <f>IF(B29=0,0,D29/B29)</f>
        <v/>
      </c>
      <c r="F29" s="6">
        <f>'Jun 2026'!L17</f>
        <v/>
      </c>
      <c r="G29" s="6">
        <f>D29-F29</f>
        <v/>
      </c>
    </row>
    <row r="30">
      <c r="A30" s="2" t="inlineStr">
        <is>
          <t>Julho</t>
        </is>
      </c>
      <c r="B30" s="3">
        <f>SUMIF('Jul 2026'!A5:A500,"&lt;&gt;",'Jul 2026'!D5:D500)-SUMIF('Jul 2026'!A5:A500,"&lt;&gt;",'Jul 2026'!F5:F500)-'Jul 2026'!T5</f>
        <v/>
      </c>
      <c r="C30" s="3">
        <f>'Jul 2026'!L18-'Jul 2026'!L19</f>
        <v/>
      </c>
      <c r="D30" s="3">
        <f>B30-C30</f>
        <v/>
      </c>
      <c r="E30" s="4">
        <f>IF(B30=0,0,D30/B30)</f>
        <v/>
      </c>
      <c r="F30" s="3">
        <f>'Jul 2026'!L17</f>
        <v/>
      </c>
      <c r="G30" s="3">
        <f>D30-F30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  <c r="F31" s="6">
        <f>'Ago 2026'!L17</f>
        <v/>
      </c>
      <c r="G31" s="6">
        <f>D31-F31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  <c r="F32" s="3">
        <f>'Set 2026'!L17</f>
        <v/>
      </c>
      <c r="G32" s="3">
        <f>D32-F32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  <c r="F33" s="6">
        <f>'Out 2026'!L17</f>
        <v/>
      </c>
      <c r="G33" s="6">
        <f>D33-F33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  <c r="F34" s="3">
        <f>'Nov 2026'!L17</f>
        <v/>
      </c>
      <c r="G34" s="3">
        <f>D34-F34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  <c r="F35" s="6">
        <f>'Dez 2026'!L17</f>
        <v/>
      </c>
      <c r="G35" s="6">
        <f>D35-F35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  <c r="F36" s="8">
        <f>SUM(F24:F35)</f>
        <v/>
      </c>
      <c r="G36" s="8">
        <f>SUM(G24:G35)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2026'!H5:H500,$A41,'Jan 2026'!G5:G500)+SUMIF('Fev 2026'!H5:H500,$A41,'Fev 2026'!G5:G500)+SUMIF('Mar 2026'!H5:H500,$A41,'Mar 2026'!G5:G500)+SUMIF('Abr 2026'!H5:H500,$A41,'Abr 2026'!G5:G500)+SUMIF('Mai 2026'!H5:H500,$A41,'Mai 2026'!G5:G500)+SUMIF('Jun 2026'!H5:H500,$A41,'Jun 2026'!G5:G500)+SUMIF('Jul 2026'!H5:H500,$A41,'Jul 2026'!G5:G500)+SUMIF('Ago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2026'!H5:H500,$A42,'Jan 2026'!G5:G500)+SUMIF('Fev 2026'!H5:H500,$A42,'Fev 2026'!G5:G500)+SUMIF('Mar 2026'!H5:H500,$A42,'Mar 2026'!G5:G500)+SUMIF('Abr 2026'!H5:H500,$A42,'Abr 2026'!G5:G500)+SUMIF('Mai 2026'!H5:H500,$A42,'Mai 2026'!G5:G500)+SUMIF('Jun 2026'!H5:H500,$A42,'Jun 2026'!G5:G500)+SUMIF('Jul 2026'!H5:H500,$A42,'Jul 2026'!G5:G500)+SUMIF('Ago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2026'!H5:H500,$A43,'Jan 2026'!G5:G500)+SUMIF('Fev 2026'!H5:H500,$A43,'Fev 2026'!G5:G500)+SUMIF('Mar 2026'!H5:H500,$A43,'Mar 2026'!G5:G500)+SUMIF('Abr 2026'!H5:H500,$A43,'Abr 2026'!G5:G500)+SUMIF('Mai 2026'!H5:H500,$A43,'Mai 2026'!G5:G500)+SUMIF('Jun 2026'!H5:H500,$A43,'Jun 2026'!G5:G500)+SUMIF('Jul 2026'!H5:H500,$A43,'Jul 2026'!G5:G500)+SUMIF('Ago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2026'!H5:H500,$A44,'Jan 2026'!G5:G500)+SUMIF('Fev 2026'!H5:H500,$A44,'Fev 2026'!G5:G500)+SUMIF('Mar 2026'!H5:H500,$A44,'Mar 2026'!G5:G500)+SUMIF('Abr 2026'!H5:H500,$A44,'Abr 2026'!G5:G500)+SUMIF('Mai 2026'!H5:H500,$A44,'Mai 2026'!G5:G500)+SUMIF('Jun 2026'!H5:H500,$A44,'Jun 2026'!G5:G500)+SUMIF('Jul 2026'!H5:H500,$A44,'Jul 2026'!G5:G500)+SUMIF('Ago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2026'!H5:H500,$A45,'Jan 2026'!G5:G500)+SUMIF('Fev 2026'!H5:H500,$A45,'Fev 2026'!G5:G500)+SUMIF('Mar 2026'!H5:H500,$A45,'Mar 2026'!G5:G500)+SUMIF('Abr 2026'!H5:H500,$A45,'Abr 2026'!G5:G500)+SUMIF('Mai 2026'!H5:H500,$A45,'Mai 2026'!G5:G500)+SUMIF('Jun 2026'!H5:H500,$A45,'Jun 2026'!G5:G500)+SUMIF('Jul 2026'!H5:H500,$A45,'Jul 2026'!G5:G500)+SUMIF('Ago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2026'!H5:H500,$A46,'Jan 2026'!G5:G500)+SUMIF('Fev 2026'!H5:H500,$A46,'Fev 2026'!G5:G500)+SUMIF('Mar 2026'!H5:H500,$A46,'Mar 2026'!G5:G500)+SUMIF('Abr 2026'!H5:H500,$A46,'Abr 2026'!G5:G500)+SUMIF('Mai 2026'!H5:H500,$A46,'Mai 2026'!G5:G500)+SUMIF('Jun 2026'!H5:H500,$A46,'Jun 2026'!G5:G500)+SUMIF('Jul 2026'!H5:H500,$A46,'Jul 2026'!G5:G500)+SUMIF('Ago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2026'!H5:H500,$A47,'Jan 2026'!G5:G500)+SUMIF('Fev 2026'!H5:H500,$A47,'Fev 2026'!G5:G500)+SUMIF('Mar 2026'!H5:H500,$A47,'Mar 2026'!G5:G500)+SUMIF('Abr 2026'!H5:H500,$A47,'Abr 2026'!G5:G500)+SUMIF('Mai 2026'!H5:H500,$A47,'Mai 2026'!G5:G500)+SUMIF('Jun 2026'!H5:H500,$A47,'Jun 2026'!G5:G500)+SUMIF('Jul 2026'!H5:H500,$A47,'Jul 2026'!G5:G500)+SUMIF('Ago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2026'!H5:H500,$A48,'Jan 2026'!G5:G500)+SUMIF('Fev 2026'!H5:H500,$A48,'Fev 2026'!G5:G500)+SUMIF('Mar 2026'!H5:H500,$A48,'Mar 2026'!G5:G500)+SUMIF('Abr 2026'!H5:H500,$A48,'Abr 2026'!G5:G500)+SUMIF('Mai 2026'!H5:H500,$A48,'Mai 2026'!G5:G500)+SUMIF('Jun 2026'!H5:H500,$A48,'Jun 2026'!G5:G500)+SUMIF('Jul 2026'!H5:H500,$A48,'Jul 2026'!G5:G500)+SUMIF('Ago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2026'!H5:H500,$A49,'Jan 2026'!G5:G500)+SUMIF('Fev 2026'!H5:H500,$A49,'Fev 2026'!G5:G500)+SUMIF('Mar 2026'!H5:H500,$A49,'Mar 2026'!G5:G500)+SUMIF('Abr 2026'!H5:H500,$A49,'Abr 2026'!G5:G500)+SUMIF('Mai 2026'!H5:H500,$A49,'Mai 2026'!G5:G500)+SUMIF('Jun 2026'!H5:H500,$A49,'Jun 2026'!G5:G500)+SUMIF('Jul 2026'!H5:H500,$A49,'Jul 2026'!G5:G500)+SUMIF('Ago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2026'!H5:H500,$A50,'Jan 2026'!G5:G500)+SUMIF('Fev 2026'!H5:H500,$A50,'Fev 2026'!G5:G500)+SUMIF('Mar 2026'!H5:H500,$A50,'Mar 2026'!G5:G500)+SUMIF('Abr 2026'!H5:H500,$A50,'Abr 2026'!G5:G500)+SUMIF('Mai 2026'!H5:H500,$A50,'Mai 2026'!G5:G500)+SUMIF('Jun 2026'!H5:H500,$A50,'Jun 2026'!G5:G500)+SUMIF('Jul 2026'!H5:H500,$A50,'Jul 2026'!G5:G500)+SUMIF('Ago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2026'!H5:H500,$A51,'Jan 2026'!G5:G500)+SUMIF('Fev 2026'!H5:H500,$A51,'Fev 2026'!G5:G500)+SUMIF('Mar 2026'!H5:H500,$A51,'Mar 2026'!G5:G500)+SUMIF('Abr 2026'!H5:H500,$A51,'Abr 2026'!G5:G500)+SUMIF('Mai 2026'!H5:H500,$A51,'Mai 2026'!G5:G500)+SUMIF('Jun 2026'!H5:H500,$A51,'Jun 2026'!G5:G500)+SUMIF('Jul 2026'!H5:H500,$A51,'Jul 2026'!G5:G500)+SUMIF('Ago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2026'!H5:H500,$A52,'Jan 2026'!G5:G500)+SUMIF('Fev 2026'!H5:H500,$A52,'Fev 2026'!G5:G500)+SUMIF('Mar 2026'!H5:H500,$A52,'Mar 2026'!G5:G500)+SUMIF('Abr 2026'!H5:H500,$A52,'Abr 2026'!G5:G500)+SUMIF('Mai 2026'!H5:H500,$A52,'Mai 2026'!G5:G500)+SUMIF('Jun 2026'!H5:H500,$A52,'Jun 2026'!G5:G500)+SUMIF('Jul 2026'!H5:H500,$A52,'Jul 2026'!G5:G500)+SUMIF('Ago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2026'!H5:H500,$A53,'Jan 2026'!G5:G500)+SUMIF('Fev 2026'!H5:H500,$A53,'Fev 2026'!G5:G500)+SUMIF('Mar 2026'!H5:H500,$A53,'Mar 2026'!G5:G500)+SUMIF('Abr 2026'!H5:H500,$A53,'Abr 2026'!G5:G500)+SUMIF('Mai 2026'!H5:H500,$A53,'Mai 2026'!G5:G500)+SUMIF('Jun 2026'!H5:H500,$A53,'Jun 2026'!G5:G500)+SUMIF('Jul 2026'!H5:H500,$A53,'Jul 2026'!G5:G500)+SUMIF('Ago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conditionalFormatting sqref="G24:G36">
    <cfRule type="cellIs" priority="1" operator="lessThan" dxfId="0">
      <formula>0</formula>
    </cfRule>
  </conditionalFormatting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8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 da loja.  Resultado da loja − Pró-labore da Edilânia = SOBRA FINAL. Puxa tudo das abas mensais, sem digitação.</t>
        </is>
      </c>
    </row>
    <row r="3">
      <c r="A3" s="127" t="inlineStr">
        <is>
          <t>← Início</t>
        </is>
      </c>
      <c r="B3" s="94">
        <f>SUM(B38:M38)</f>
        <v/>
      </c>
      <c r="C3" s="194" t="inlineStr">
        <is>
          <t>← meses já fechados (o mês em andamento fica fora); é a base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2026'!D5:D500)-SUMIF('Jan 2026'!A5:A500,"&lt;&gt;",'Jan 2026'!F5:F500)-'Jan 2026'!T5</f>
        <v/>
      </c>
      <c r="C5" s="96">
        <f>SUMIF('Fev 2026'!A5:A500,"&lt;&gt;",'Fev 2026'!D5:D500)-SUMIF('Fev 2026'!A5:A500,"&lt;&gt;",'Fev 2026'!F5:F500)-'Fev 2026'!T5</f>
        <v/>
      </c>
      <c r="D5" s="96">
        <f>SUMIF('Mar 2026'!A5:A500,"&lt;&gt;",'Mar 2026'!D5:D500)-SUMIF('Mar 2026'!A5:A500,"&lt;&gt;",'Mar 2026'!F5:F500)-'Mar 2026'!T5</f>
        <v/>
      </c>
      <c r="E5" s="96">
        <f>SUMIF('Abr 2026'!A5:A500,"&lt;&gt;",'Abr 2026'!D5:D500)-SUMIF('Abr 2026'!A5:A500,"&lt;&gt;",'Abr 2026'!F5:F500)-'Abr 2026'!T5</f>
        <v/>
      </c>
      <c r="F5" s="96">
        <f>SUMIF('Mai 2026'!A5:A500,"&lt;&gt;",'Mai 2026'!D5:D500)-SUMIF('Mai 2026'!A5:A500,"&lt;&gt;",'Mai 2026'!F5:F500)-'Mai 2026'!T5</f>
        <v/>
      </c>
      <c r="G5" s="96">
        <f>SUMIF('Jun 2026'!A5:A500,"&lt;&gt;",'Jun 2026'!D5:D500)-SUMIF('Jun 2026'!A5:A500,"&lt;&gt;",'Jun 2026'!F5:F500)-'Jun 2026'!T5</f>
        <v/>
      </c>
      <c r="H5" s="96">
        <f>SUMIF('Jul 2026'!A5:A500,"&lt;&gt;",'Jul 2026'!D5:D500)-SUMIF('Jul 2026'!A5:A500,"&lt;&gt;",'Jul 2026'!F5:F500)-'Jul 2026'!T5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IF($B$3=0,0,SUMPRODUCT(B5:M5,$B$38:$M$38)/$B$3)</f>
        <v/>
      </c>
    </row>
    <row r="6">
      <c r="A6" s="97" t="inlineStr">
        <is>
          <t xml:space="preserve">   (−) Fornecedores / Mercadoria</t>
        </is>
      </c>
      <c r="B6" s="98">
        <f>'Jan 2026'!L5</f>
        <v/>
      </c>
      <c r="C6" s="98">
        <f>'Fev 2026'!L5</f>
        <v/>
      </c>
      <c r="D6" s="98">
        <f>'Mar 2026'!L5</f>
        <v/>
      </c>
      <c r="E6" s="98">
        <f>'Abr 2026'!L5</f>
        <v/>
      </c>
      <c r="F6" s="98">
        <f>'Mai 2026'!L5</f>
        <v/>
      </c>
      <c r="G6" s="98">
        <f>'Jun 2026'!L5</f>
        <v/>
      </c>
      <c r="H6" s="98">
        <f>'Jul 2026'!L5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IF($B$3=0,0,SUMPRODUCT(B6:M6,$B$38:$M$38)/$B$3)</f>
        <v/>
      </c>
    </row>
    <row r="7">
      <c r="A7" s="97" t="inlineStr">
        <is>
          <t xml:space="preserve">   (−) Impostos e Taxas</t>
        </is>
      </c>
      <c r="B7" s="98">
        <f>'Jan 2026'!L8</f>
        <v/>
      </c>
      <c r="C7" s="98">
        <f>'Fev 2026'!L8</f>
        <v/>
      </c>
      <c r="D7" s="98">
        <f>'Mar 2026'!L8</f>
        <v/>
      </c>
      <c r="E7" s="98">
        <f>'Abr 2026'!L8</f>
        <v/>
      </c>
      <c r="F7" s="98">
        <f>'Mai 2026'!L8</f>
        <v/>
      </c>
      <c r="G7" s="98">
        <f>'Jun 2026'!L8</f>
        <v/>
      </c>
      <c r="H7" s="98">
        <f>'Jul 2026'!L8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IF($B$3=0,0,SUMPRODUCT(B7:M7,$B$38:$M$38)/$B$3)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2026'!L10-B21</f>
        <v/>
      </c>
      <c r="C8" s="98">
        <f>'Fev 2026'!L10-C21</f>
        <v/>
      </c>
      <c r="D8" s="98">
        <f>'Mar 2026'!L10-D21</f>
        <v/>
      </c>
      <c r="E8" s="98">
        <f>'Abr 2026'!L10-E21</f>
        <v/>
      </c>
      <c r="F8" s="98">
        <f>'Mai 2026'!L10-F21</f>
        <v/>
      </c>
      <c r="G8" s="98">
        <f>'Jun 2026'!L10-G21</f>
        <v/>
      </c>
      <c r="H8" s="98">
        <f>'Jul 2026'!L10-H21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IF($B$3=0,0,SUMPRODUCT(B8:M8,$B$38:$M$38)/$B$3)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2026'!G5:G500,'Jan 2026'!B5:B500,"Comissão*",'Jan 2026'!H5:H500,"Salários, Comissões e Encargos")</f>
        <v/>
      </c>
      <c r="C9" s="98">
        <f>SUMIFS('Fev 2026'!G5:G500,'Fev 2026'!B5:B500,"Comissão*",'Fev 2026'!H5:H500,"Salários, Comissões e Encargos")</f>
        <v/>
      </c>
      <c r="D9" s="98">
        <f>SUMIFS('Mar 2026'!G5:G500,'Mar 2026'!B5:B500,"Comissão*",'Mar 2026'!H5:H500,"Salários, Comissões e Encargos")</f>
        <v/>
      </c>
      <c r="E9" s="98">
        <f>SUMIFS('Abr 2026'!G5:G500,'Abr 2026'!B5:B500,"Comissão*",'Abr 2026'!H5:H500,"Salários, Comissões e Encargos")</f>
        <v/>
      </c>
      <c r="F9" s="98">
        <f>SUMIFS('Mai 2026'!G5:G500,'Mai 2026'!B5:B500,"Comissão*",'Mai 2026'!H5:H500,"Salários, Comissões e Encargos")</f>
        <v/>
      </c>
      <c r="G9" s="98">
        <f>SUMIFS('Jun 2026'!G5:G500,'Jun 2026'!B5:B500,"Comissão*",'Jun 2026'!H5:H500,"Salários, Comissões e Encargos")</f>
        <v/>
      </c>
      <c r="H9" s="98">
        <f>SUMIFS('Jul 2026'!G5:G500,'Jul 2026'!B5:B500,"Comissão*",'Jul 2026'!H5:H500,"Salários,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IF($B$3=0,0,SUMPRODUCT(B9:M9,$B$38:$M$38)/$B$3)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IF($B$3=0,0,SUMPRODUCT(B10:M10,$B$38:$M$38)/$B$3)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IF($B$3=0,0,SUMPRODUCT(B11:M11,$B$38:$M$38)/$B$3)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IF(O5=0,"",O11/O5)</f>
        <v/>
      </c>
    </row>
    <row r="13" s="157">
      <c r="A13" s="97" t="inlineStr">
        <is>
          <t xml:space="preserve">   (−) Aluguel</t>
        </is>
      </c>
      <c r="B13" s="98">
        <f>'Jan 2026'!L6</f>
        <v/>
      </c>
      <c r="C13" s="98">
        <f>'Fev 2026'!L6</f>
        <v/>
      </c>
      <c r="D13" s="98">
        <f>'Mar 2026'!L6</f>
        <v/>
      </c>
      <c r="E13" s="98">
        <f>'Abr 2026'!L6</f>
        <v/>
      </c>
      <c r="F13" s="98">
        <f>'Mai 2026'!L6</f>
        <v/>
      </c>
      <c r="G13" s="98">
        <f>'Jun 2026'!L6</f>
        <v/>
      </c>
      <c r="H13" s="98">
        <f>'Jul 2026'!L6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IF($B$3=0,0,SUMPRODUCT(B13:M13,$B$38:$M$38)/$B$3)</f>
        <v/>
      </c>
    </row>
    <row r="14" s="157">
      <c r="A14" s="97" t="inlineStr">
        <is>
          <t xml:space="preserve">   (−) Água, Energia e Internet</t>
        </is>
      </c>
      <c r="B14" s="98">
        <f>'Jan 2026'!L7</f>
        <v/>
      </c>
      <c r="C14" s="98">
        <f>'Fev 2026'!L7</f>
        <v/>
      </c>
      <c r="D14" s="98">
        <f>'Mar 2026'!L7</f>
        <v/>
      </c>
      <c r="E14" s="98">
        <f>'Abr 2026'!L7</f>
        <v/>
      </c>
      <c r="F14" s="98">
        <f>'Mai 2026'!L7</f>
        <v/>
      </c>
      <c r="G14" s="98">
        <f>'Jun 2026'!L7</f>
        <v/>
      </c>
      <c r="H14" s="98">
        <f>'Jul 2026'!L7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IF($B$3=0,0,SUMPRODUCT(B14:M14,$B$38:$M$38)/$B$3)</f>
        <v/>
      </c>
    </row>
    <row r="15" s="157">
      <c r="A15" s="97" t="inlineStr">
        <is>
          <t xml:space="preserve">   (−) Tarifas Bancárias e Cartão</t>
        </is>
      </c>
      <c r="B15" s="98">
        <f>'Jan 2026'!L9</f>
        <v/>
      </c>
      <c r="C15" s="98">
        <f>'Fev 2026'!L9</f>
        <v/>
      </c>
      <c r="D15" s="98">
        <f>'Mar 2026'!L9</f>
        <v/>
      </c>
      <c r="E15" s="98">
        <f>'Abr 2026'!L9</f>
        <v/>
      </c>
      <c r="F15" s="98">
        <f>'Mai 2026'!L9</f>
        <v/>
      </c>
      <c r="G15" s="98">
        <f>'Jun 2026'!L9</f>
        <v/>
      </c>
      <c r="H15" s="98">
        <f>'Jul 2026'!L9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IF($B$3=0,0,SUMPRODUCT(B15:M15,$B$38:$M$38)/$B$3)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2026'!L11-B9</f>
        <v/>
      </c>
      <c r="C16" s="98">
        <f>'Fev 2026'!L11-C9</f>
        <v/>
      </c>
      <c r="D16" s="98">
        <f>'Mar 2026'!L11-D9</f>
        <v/>
      </c>
      <c r="E16" s="98">
        <f>'Abr 2026'!L11-E9</f>
        <v/>
      </c>
      <c r="F16" s="98">
        <f>'Mai 2026'!L11-F9</f>
        <v/>
      </c>
      <c r="G16" s="98">
        <f>'Jun 2026'!L11-G9</f>
        <v/>
      </c>
      <c r="H16" s="98">
        <f>'Jul 2026'!L11-H9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IF($B$3=0,0,SUMPRODUCT(B16:M16,$B$38:$M$38)/$B$3)</f>
        <v/>
      </c>
    </row>
    <row r="17" s="157">
      <c r="A17" s="97" t="inlineStr">
        <is>
          <t xml:space="preserve">   (−) Contabilidade</t>
        </is>
      </c>
      <c r="B17" s="98">
        <f>'Jan 2026'!L12</f>
        <v/>
      </c>
      <c r="C17" s="98">
        <f>'Fev 2026'!L12</f>
        <v/>
      </c>
      <c r="D17" s="98">
        <f>'Mar 2026'!L12</f>
        <v/>
      </c>
      <c r="E17" s="98">
        <f>'Abr 2026'!L12</f>
        <v/>
      </c>
      <c r="F17" s="98">
        <f>'Mai 2026'!L12</f>
        <v/>
      </c>
      <c r="G17" s="98">
        <f>'Jun 2026'!L12</f>
        <v/>
      </c>
      <c r="H17" s="98">
        <f>'Jul 2026'!L12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IF($B$3=0,0,SUMPRODUCT(B17:M17,$B$38:$M$38)/$B$3)</f>
        <v/>
      </c>
    </row>
    <row r="18" s="157">
      <c r="A18" s="97" t="inlineStr">
        <is>
          <t xml:space="preserve">   (−) Manutenção e Reparos</t>
        </is>
      </c>
      <c r="B18" s="98">
        <f>'Jan 2026'!L13</f>
        <v/>
      </c>
      <c r="C18" s="98">
        <f>'Fev 2026'!L13</f>
        <v/>
      </c>
      <c r="D18" s="98">
        <f>'Mar 2026'!L13</f>
        <v/>
      </c>
      <c r="E18" s="98">
        <f>'Abr 2026'!L13</f>
        <v/>
      </c>
      <c r="F18" s="98">
        <f>'Mai 2026'!L13</f>
        <v/>
      </c>
      <c r="G18" s="98">
        <f>'Jun 2026'!L13</f>
        <v/>
      </c>
      <c r="H18" s="98">
        <f>'Jul 2026'!L13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IF($B$3=0,0,SUMPRODUCT(B18:M18,$B$38:$M$38)/$B$3)</f>
        <v/>
      </c>
    </row>
    <row r="19" s="157">
      <c r="A19" s="97" t="inlineStr">
        <is>
          <t xml:space="preserve">   (−) Material de Limpeza e Escritório</t>
        </is>
      </c>
      <c r="B19" s="98">
        <f>'Jan 2026'!L14</f>
        <v/>
      </c>
      <c r="C19" s="98">
        <f>'Fev 2026'!L14</f>
        <v/>
      </c>
      <c r="D19" s="98">
        <f>'Mar 2026'!L14</f>
        <v/>
      </c>
      <c r="E19" s="98">
        <f>'Abr 2026'!L14</f>
        <v/>
      </c>
      <c r="F19" s="98">
        <f>'Mai 2026'!L14</f>
        <v/>
      </c>
      <c r="G19" s="98">
        <f>'Jun 2026'!L14</f>
        <v/>
      </c>
      <c r="H19" s="98">
        <f>'Jul 2026'!L14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IF($B$3=0,0,SUMPRODUCT(B19:M19,$B$38:$M$38)/$B$3)</f>
        <v/>
      </c>
    </row>
    <row r="20" s="157">
      <c r="A20" s="97" t="inlineStr">
        <is>
          <t xml:space="preserve">   (−) Estornos de Vendas (Cancelamentos)</t>
        </is>
      </c>
      <c r="B20" s="98">
        <f>'Jan 2026'!L15</f>
        <v/>
      </c>
      <c r="C20" s="98">
        <f>'Fev 2026'!L15</f>
        <v/>
      </c>
      <c r="D20" s="98">
        <f>'Mar 2026'!L15</f>
        <v/>
      </c>
      <c r="E20" s="98">
        <f>'Abr 2026'!L15</f>
        <v/>
      </c>
      <c r="F20" s="98">
        <f>'Mai 2026'!L15</f>
        <v/>
      </c>
      <c r="G20" s="98">
        <f>'Jun 2026'!L15</f>
        <v/>
      </c>
      <c r="H20" s="98">
        <f>'Jul 2026'!L15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IF($B$3=0,0,SUMPRODUCT(B20:M20,$B$38:$M$38)/$B$3)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2026'!G5:G500)</f>
        <v/>
      </c>
      <c r="C21" s="98">
        <f>SUMIF('Fev 2026'!B5:B500,"Estacionamento*",'Fev 2026'!G5:G500)</f>
        <v/>
      </c>
      <c r="D21" s="98">
        <f>SUMIF('Mar 2026'!B5:B500,"Estacionamento*",'Mar 2026'!G5:G500)</f>
        <v/>
      </c>
      <c r="E21" s="98">
        <f>SUMIF('Abr 2026'!B5:B500,"Estacionamento*",'Abr 2026'!G5:G500)</f>
        <v/>
      </c>
      <c r="F21" s="98">
        <f>SUMIF('Mai 2026'!B5:B500,"Estacionamento*",'Mai 2026'!G5:G500)</f>
        <v/>
      </c>
      <c r="G21" s="98">
        <f>SUMIF('Jun 2026'!B5:B500,"Estacionamento*",'Jun 2026'!G5:G500)</f>
        <v/>
      </c>
      <c r="H21" s="98">
        <f>SUMIF('Jul 2026'!B5:B500,"Estacionamento*",'Jul 2026'!G5:G500)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IF($B$3=0,0,SUMPRODUCT(B21:M21,$B$38:$M$38)/$B$3)</f>
        <v/>
      </c>
    </row>
    <row r="22" s="157">
      <c r="A22" s="97" t="inlineStr">
        <is>
          <t xml:space="preserve">   (−) Outras Despesas</t>
        </is>
      </c>
      <c r="B22" s="98">
        <f>'Jan 2026'!L16</f>
        <v/>
      </c>
      <c r="C22" s="98">
        <f>'Fev 2026'!L16</f>
        <v/>
      </c>
      <c r="D22" s="98">
        <f>'Mar 2026'!L16</f>
        <v/>
      </c>
      <c r="E22" s="98">
        <f>'Abr 2026'!L16</f>
        <v/>
      </c>
      <c r="F22" s="98">
        <f>'Mai 2026'!L16</f>
        <v/>
      </c>
      <c r="G22" s="98">
        <f>'Jun 2026'!L16</f>
        <v/>
      </c>
      <c r="H22" s="98">
        <f>'Jul 2026'!L16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IF($B$3=0,0,SUMPRODUCT(B22:M22,$B$38:$M$38)/$B$3)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IF($B$3=0,0,SUMPRODUCT(B23:M23,$B$38:$M$38)/$B$3)</f>
        <v/>
      </c>
    </row>
    <row r="24" ht="15.75" customHeight="1" s="157">
      <c r="A24" s="103" t="inlineStr">
        <is>
          <t>(=) RESULTADO DA LOJA (antes do pró-labore)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IF($B$3=0,0,SUMPRODUCT(B24:M24,$B$38:$M$38)/$B$3)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IF(O5=0,"",O24/O5)</f>
        <v/>
      </c>
    </row>
    <row r="26">
      <c r="A26" s="97" t="inlineStr">
        <is>
          <t xml:space="preserve">   (−) Pró-labore Edilânia (tudo o que ela gastou do dinheiro da loja)</t>
        </is>
      </c>
      <c r="B26" s="98">
        <f>'Jan 2026'!L17</f>
        <v/>
      </c>
      <c r="C26" s="98">
        <f>'Fev 2026'!L17</f>
        <v/>
      </c>
      <c r="D26" s="98">
        <f>'Mar 2026'!L17</f>
        <v/>
      </c>
      <c r="E26" s="98">
        <f>'Abr 2026'!L17</f>
        <v/>
      </c>
      <c r="F26" s="98">
        <f>'Mai 2026'!L17</f>
        <v/>
      </c>
      <c r="G26" s="98">
        <f>'Jun 2026'!L17</f>
        <v/>
      </c>
      <c r="H26" s="98">
        <f>'Jul 2026'!L17</f>
        <v/>
      </c>
      <c r="I26" s="98">
        <f>'Ago 2026'!L17</f>
        <v/>
      </c>
      <c r="J26" s="98">
        <f>'Set 2026'!L17</f>
        <v/>
      </c>
      <c r="K26" s="98">
        <f>'Out 2026'!L17</f>
        <v/>
      </c>
      <c r="L26" s="98">
        <f>'Nov 2026'!L17</f>
        <v/>
      </c>
      <c r="M26" s="98">
        <f>'Dez 2026'!L17</f>
        <v/>
      </c>
      <c r="N26" s="98">
        <f>SUM(B26:M26)</f>
        <v/>
      </c>
      <c r="O26" s="98">
        <f>IF($B$3=0,0,SUMPRODUCT(B26:M26,$B$38:$M$38)/$B$3)</f>
        <v/>
      </c>
    </row>
    <row r="27">
      <c r="A27" s="242" t="inlineStr">
        <is>
          <t>(=) SOBRA FINAL (depois do pró-labore)</t>
        </is>
      </c>
      <c r="B27" s="243">
        <f>B24-B26</f>
        <v/>
      </c>
      <c r="C27" s="243">
        <f>C24-C26</f>
        <v/>
      </c>
      <c r="D27" s="243">
        <f>D24-D26</f>
        <v/>
      </c>
      <c r="E27" s="243">
        <f>E24-E26</f>
        <v/>
      </c>
      <c r="F27" s="243">
        <f>F24-F26</f>
        <v/>
      </c>
      <c r="G27" s="243">
        <f>G24-G26</f>
        <v/>
      </c>
      <c r="H27" s="243">
        <f>H24-H26</f>
        <v/>
      </c>
      <c r="I27" s="243">
        <f>I24-I26</f>
        <v/>
      </c>
      <c r="J27" s="243">
        <f>J24-J26</f>
        <v/>
      </c>
      <c r="K27" s="243">
        <f>K24-K26</f>
        <v/>
      </c>
      <c r="L27" s="243">
        <f>L24-L26</f>
        <v/>
      </c>
      <c r="M27" s="243">
        <f>M24-M26</f>
        <v/>
      </c>
      <c r="N27" s="243">
        <f>SUM(B27:M27)</f>
        <v/>
      </c>
      <c r="O27" s="243">
        <f>IF($B$3=0,0,SUMPRODUCT(B27:M27,$B$38:$M$38)/$B$3)</f>
        <v/>
      </c>
    </row>
    <row r="28">
      <c r="A28" s="101" t="inlineStr">
        <is>
          <t xml:space="preserve">      Combinado com ela: sobrou (+) ou passou (−) do combinado</t>
        </is>
      </c>
      <c r="B28" s="244">
        <f>IF(B5=0,"",'Ponto de Equilíbrio'!$B$10-B26)</f>
        <v/>
      </c>
      <c r="C28" s="244">
        <f>IF(C5=0,"",'Ponto de Equilíbrio'!$B$10-C26)</f>
        <v/>
      </c>
      <c r="D28" s="244">
        <f>IF(D5=0,"",'Ponto de Equilíbrio'!$B$10-D26)</f>
        <v/>
      </c>
      <c r="E28" s="244">
        <f>IF(E5=0,"",'Ponto de Equilíbrio'!$B$10-E26)</f>
        <v/>
      </c>
      <c r="F28" s="244">
        <f>IF(F5=0,"",'Ponto de Equilíbrio'!$B$10-F26)</f>
        <v/>
      </c>
      <c r="G28" s="244">
        <f>IF(G5=0,"",'Ponto de Equilíbrio'!$B$10-G26)</f>
        <v/>
      </c>
      <c r="H28" s="244">
        <f>IF(H5=0,"",'Ponto de Equilíbrio'!$B$10-H26)</f>
        <v/>
      </c>
      <c r="I28" s="244">
        <f>IF(I5=0,"",'Ponto de Equilíbrio'!$B$10-I26)</f>
        <v/>
      </c>
      <c r="J28" s="244">
        <f>IF(J5=0,"",'Ponto de Equilíbrio'!$B$10-J26)</f>
        <v/>
      </c>
      <c r="K28" s="244">
        <f>IF(K5=0,"",'Ponto de Equilíbrio'!$B$10-K26)</f>
        <v/>
      </c>
      <c r="L28" s="244">
        <f>IF(L5=0,"",'Ponto de Equilíbrio'!$B$10-L26)</f>
        <v/>
      </c>
      <c r="M28" s="244">
        <f>IF(M5=0,"",'Ponto de Equilíbrio'!$B$10-M26)</f>
        <v/>
      </c>
      <c r="N28" s="244">
        <f>SUM(B28:M28)</f>
        <v/>
      </c>
      <c r="O28" s="244">
        <f>IF($B$3=0,0,SUMPRODUCT(B28:M28,$B$38:$M$38)/$B$3)</f>
        <v/>
      </c>
    </row>
    <row r="30" ht="27.95" customHeight="1" s="157">
      <c r="A30" s="105" t="inlineStr">
        <is>
          <t>MEMÓRIA (não entra no resultado)</t>
        </is>
      </c>
    </row>
    <row r="31" ht="27.95" customHeight="1" s="157">
      <c r="A31" s="107" t="inlineStr">
        <is>
          <t xml:space="preserve">   Despesas da loja pagas com Capital de Giro (BB) — dívida a devolver</t>
        </is>
      </c>
      <c r="B31" s="108">
        <f>'Jan 2026'!L19</f>
        <v/>
      </c>
      <c r="C31" s="108">
        <f>'Fev 2026'!L19</f>
        <v/>
      </c>
      <c r="D31" s="108">
        <f>'Mar 2026'!L19</f>
        <v/>
      </c>
      <c r="E31" s="108">
        <f>'Abr 2026'!L19</f>
        <v/>
      </c>
      <c r="F31" s="108">
        <f>'Mai 2026'!L19</f>
        <v/>
      </c>
      <c r="G31" s="108">
        <f>'Jun 2026'!L19</f>
        <v/>
      </c>
      <c r="H31" s="108">
        <f>'Jul 2026'!L19</f>
        <v/>
      </c>
      <c r="I31" s="108">
        <f>'Ago 2026'!L19</f>
        <v/>
      </c>
      <c r="J31" s="108">
        <f>'Set 2026'!L19</f>
        <v/>
      </c>
      <c r="K31" s="108">
        <f>'Out 2026'!L19</f>
        <v/>
      </c>
      <c r="L31" s="108">
        <f>'Nov 2026'!L19</f>
        <v/>
      </c>
      <c r="M31" s="108">
        <f>'Dez 2026'!L19</f>
        <v/>
      </c>
      <c r="N31" s="108">
        <f>SUM(B31:M31)</f>
        <v/>
      </c>
      <c r="O31" s="108">
        <f>IF($B$3=0,0,SUMPRODUCT(B31:M31,$B$38:$M$38)/$B$3)</f>
        <v/>
      </c>
    </row>
    <row r="32" ht="27.95" customHeight="1" s="157"/>
    <row r="33" ht="28" customHeight="1" s="157">
      <c r="A33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4" ht="28" customHeight="1" s="157">
      <c r="A34" s="182" t="inlineStr">
        <is>
          <t>A Receita de Ago–Dez já está líquida: descontadas as taxas de máquina e as vendas ainda não recebidas (A Receber).</t>
        </is>
      </c>
    </row>
    <row r="35" ht="28" customHeight="1" s="157">
      <c r="A35" s="182" t="inlineStr">
        <is>
          <t>A "Média/mês" divide só pelos meses JÁ FECHADOS (linha 38 = 1). O mês em andamento fica fora da média até terminar, para um mês pela metade não puxar o número para baixo.</t>
        </is>
      </c>
    </row>
    <row r="36" ht="28" customHeight="1" s="157">
      <c r="A36" s="182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  <row r="37" ht="28" customHeight="1" s="157">
      <c r="A37" s="182" t="inlineStr">
        <is>
          <t>PRÓ-LABORE: tudo o que a Edilânia gasta do dinheiro da loja (contas da casa, Pix pessoais, mercado, diarista...) é o pró-labore dela. O combinado é o valor da célula B10 da aba "Ponto de Equilíbrio" (R$ 4.000,00/mês desde 05/10/2026). A linha 28 mostra, mês a mês, se sobrou ou se passou do combinado.</t>
        </is>
      </c>
    </row>
    <row r="38">
      <c r="A38" s="101" t="inlineStr">
        <is>
          <t>Entra na média? (1 = mês já fechado e com movimento)</t>
        </is>
      </c>
      <c r="B38" s="245">
        <f>IF(AND(B5&gt;0,1&lt;IF(YEAR(TODAY())&gt;2026,13,MONTH(TODAY()))),1,0)</f>
        <v/>
      </c>
      <c r="C38" s="245">
        <f>IF(AND(C5&gt;0,2&lt;IF(YEAR(TODAY())&gt;2026,13,MONTH(TODAY()))),1,0)</f>
        <v/>
      </c>
      <c r="D38" s="245">
        <f>IF(AND(D5&gt;0,3&lt;IF(YEAR(TODAY())&gt;2026,13,MONTH(TODAY()))),1,0)</f>
        <v/>
      </c>
      <c r="E38" s="245">
        <f>IF(AND(E5&gt;0,4&lt;IF(YEAR(TODAY())&gt;2026,13,MONTH(TODAY()))),1,0)</f>
        <v/>
      </c>
      <c r="F38" s="245">
        <f>IF(AND(F5&gt;0,5&lt;IF(YEAR(TODAY())&gt;2026,13,MONTH(TODAY()))),1,0)</f>
        <v/>
      </c>
      <c r="G38" s="245">
        <f>IF(AND(G5&gt;0,6&lt;IF(YEAR(TODAY())&gt;2026,13,MONTH(TODAY()))),1,0)</f>
        <v/>
      </c>
      <c r="H38" s="245">
        <f>IF(AND(H5&gt;0,7&lt;IF(YEAR(TODAY())&gt;2026,13,MONTH(TODAY()))),1,0)</f>
        <v/>
      </c>
      <c r="I38" s="245">
        <f>IF(AND(I5&gt;0,8&lt;IF(YEAR(TODAY())&gt;2026,13,MONTH(TODAY()))),1,0)</f>
        <v/>
      </c>
      <c r="J38" s="245">
        <f>IF(AND(J5&gt;0,9&lt;IF(YEAR(TODAY())&gt;2026,13,MONTH(TODAY()))),1,0)</f>
        <v/>
      </c>
      <c r="K38" s="245">
        <f>IF(AND(K5&gt;0,10&lt;IF(YEAR(TODAY())&gt;2026,13,MONTH(TODAY()))),1,0)</f>
        <v/>
      </c>
      <c r="L38" s="245">
        <f>IF(AND(L5&gt;0,11&lt;IF(YEAR(TODAY())&gt;2026,13,MONTH(TODAY()))),1,0)</f>
        <v/>
      </c>
      <c r="M38" s="245">
        <f>IF(AND(M5&gt;0,12&lt;IF(YEAR(TODAY())&gt;2026,13,MONTH(TODAY()))),1,0)</f>
        <v/>
      </c>
    </row>
  </sheetData>
  <mergeCells count="8">
    <mergeCell ref="A35:O35"/>
    <mergeCell ref="C3:F3"/>
    <mergeCell ref="A2:O2"/>
    <mergeCell ref="A36:O36"/>
    <mergeCell ref="A33:O33"/>
    <mergeCell ref="A1:O1"/>
    <mergeCell ref="A37:O37"/>
    <mergeCell ref="A34:O34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55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D95</f>
        <v/>
      </c>
      <c r="C5" s="204">
        <f>'Jan 2026'!T5+'Fev 2026'!T5+'Mar 2026'!T5+'Abr 2026'!T5+'Mai 2026'!T5+'Jun 2026'!T5+'Jul 2026'!T5+'Ago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 à reserva</t>
        </is>
      </c>
      <c r="B11" s="78" t="inlineStr">
        <is>
          <t>Dinheiro da reserva (Banco do Brasil) usado para pagar contas da loja</t>
        </is>
      </c>
      <c r="C11" s="77" t="n"/>
      <c r="D11" s="79">
        <f>'Capital de Giro (BB)'!C5</f>
        <v/>
      </c>
      <c r="E11" s="112" t="inlineStr">
        <is>
          <t>Pendente</t>
        </is>
      </c>
      <c r="F11" s="112">
        <f>IF(OR($E11="Pago",$C11=""),"",MAX(0,TODAY()-$C11))</f>
        <v/>
      </c>
      <c r="G11" s="78" t="inlineStr">
        <is>
          <t>Detalhe na aba Capital de Giro (BB). Ago/2026 quitado em 31/08/2026. Em 30/09/2026 a reserva pagou R$ 3.272,00 à Knox (2 bebedouros industriais) — a devolver.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Categoria: Fornecedores / Mercadoria. Pago em 04/09/2026 pelo Banco do Nordeste (DOC 5301)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Pago</t>
        </is>
      </c>
      <c r="F29" s="112">
        <f>IF(OR($E29="Pago",$C29=""),"",MAX(0,TODAY()-$C29))</f>
        <v/>
      </c>
      <c r="G29" s="78" t="inlineStr">
        <is>
          <t>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Pendente</t>
        </is>
      </c>
      <c r="F30" s="113">
        <f>IF(OR($E30="Pago",$C30=""),"",MAX(0,TODAY()-$C30))</f>
        <v/>
      </c>
      <c r="G30" s="82" t="inlineStr">
        <is>
          <t>Categoria quando pagar: Fornecedores / Mercadoria. Boleto Itaú 341-7 (Eversoft, CNPJ 08.782.043/0001-88). Nosso número 112/19915315-9. Linha digitável 34191.12192 91531.590304 55679.010003 3 15890000098081. Após o vencimento: juros ao dia + multa de 2%. | Conferido com o XML da NF-e nº 72869 (emissão 07/05/2026):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33260508782043000188550060000728691612874239.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Pendente</t>
        </is>
      </c>
      <c r="F31" s="112">
        <f>IF(OR($E31="Pago",$C31=""),"",MAX(0,TODAY()-$C31))</f>
        <v/>
      </c>
      <c r="G31" s="78" t="inlineStr">
        <is>
          <t>Categoria quando pagar: Fornecedores / Mercadoria. Boleto Itaú 341-7 (Eversoft, CNPJ 08.782.043/0001-88). Nosso número 112/24142201-6. Linha digitável 34191.12242 14220.160304 55679.010003 7 15930000087892.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Pendente</t>
        </is>
      </c>
      <c r="F32" s="113">
        <f>IF(OR($E32="Pago",$C32=""),"",MAX(0,TODAY()-$C32))</f>
        <v/>
      </c>
      <c r="G32" s="82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Pendente</t>
        </is>
      </c>
      <c r="F40" s="113">
        <f>IF(OR($E40="Pago",$C40=""),"",MAX(0,TODAY()-$C40))</f>
        <v/>
      </c>
      <c r="G40" s="82" t="inlineStr">
        <is>
          <t>Categoria quando pagar: Fornecedores / Mercadoria. Boleto Itaú 341-7. Nosso número 112/28637900-6. Linha digitável 34191.12283 63790.060303 52238.850003 9 16000000089230. Após o vencimento: juros ao dia + multa de 2%.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Pendente</t>
        </is>
      </c>
      <c r="F41" s="112">
        <f>IF(OR($E41="Pago",$C41=""),"",MAX(0,TODAY()-$C41))</f>
        <v/>
      </c>
      <c r="G41" s="78" t="inlineStr">
        <is>
          <t>Categoria quando pagar: Fornecedores / Mercadoria. Boleto Itaú 341-7. Nosso número 112/21335994-9. Linha digitável 34191.12218 33599.490308 52238.850003 1 16010000013932. Após o vencimento: juros ao dia + multa de 2%. | Conferido com o XML da NF-e nº 377737 (emissão 19/05/2026): EVEREST REFRIGERACAO INDUSTRIA E COMERCIO LTDA., CNPJ 33.079.641/0001-32, RUA CARDOSO QUINTAO, 914, TOMAS COELHO, RIO DE JANEIRO/RJ. Valor total da nota R$ 725,16 em 5 parcelas. Frete FOB (frete por conta da loja), transportadora FRACIONE TRANSPORTES EIRELI - ME. Chave da NF-e 33260533079641000132550020003777371117471168.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Pendente</t>
        </is>
      </c>
      <c r="F42" s="113">
        <f>IF(OR($E42="Pago",$C42=""),"",MAX(0,TODAY()-$C42))</f>
        <v/>
      </c>
      <c r="G42" s="82" t="inlineStr">
        <is>
          <t>Categoria quando pagar: Fornecedores / Mercadoria. Boleto Itaú 341-7. Nosso número 112/21335634-1. Linha digitável 34191.12218 33563.410308 52238.850003 5 16010000086552. Após o vencimento: juros ao dia + multa de 2%. | Conferido com o XML da NF-e nº 377738 (emissão 19/05/2026): EVEREST REFRIGERACAO INDUSTRIA E COMERCIO LTDA., CNPJ 33.079.641/0001-32, RUA CARDOSO QUINTAO, 914, TOMAS COELHO, RIO DE JANEIRO/RJ. Valor total da nota R$ 4.327,52 em 5 parcelas. Frete FOB (frete por conta da loja), transportadora FRACIONE TRANSPORTES EIRELI - ME. Chave da NF-e 33260533079641000132550020003777381143358478.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Pendente</t>
        </is>
      </c>
      <c r="F43" s="112">
        <f>IF(OR($E43="Pago",$C43=""),"",MAX(0,TODAY()-$C43))</f>
        <v/>
      </c>
      <c r="G43" s="78" t="inlineStr">
        <is>
          <t>Categoria quando pagar: Fornecedores / Mercadoria. Boleto Itaú 341-7. Nosso número 112/21335118-5. Linha digitável 34191.12218 33511.850308 52238.850003 9 16010000085634. Após o vencimento: juros ao dia + multa de 2%. | Conferido com o XML da NF-e nº 377739 (emissão 19/05/2026): EVEREST REFRIGERACAO INDUSTRIA E COMERCIO LTDA., CNPJ 33.079.641/0001-32, RUA CARDOSO QUINTAO, 914, TOMAS COELHO, RIO DE JANEIRO/RJ. Valor total da nota R$ 4.281,74 em 5 parcelas. Frete FOB (frete por conta da loja), transportadora FRACIONE TRANSPORTES EIRELI - ME. Chave da NF-e 33260533079641000132550020003777391313049192.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Pendente</t>
        </is>
      </c>
      <c r="F44" s="113">
        <f>IF(OR($E44="Pago",$C44=""),"",MAX(0,TODAY()-$C44))</f>
        <v/>
      </c>
      <c r="G44" s="82" t="inlineStr">
        <is>
          <t>Categoria quando pagar: Fornecedores / Mercadoria. Boleto Itaú 341-7. Nosso número 112/25528695-0. Linha digitável 34191.12259 52869.500307 52238.850003 1 16050000087468. Após o vencimento: juros ao dia + multa de 2%.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PREVISÃO (aguarda boleto) — o fornecedor ainda não emitiu este boleto. Valor e vencimento conforme as duplicatas da NF 379826 (emissão 22/06/2026). Categoria quando pagar: Fornecedores / Mercadoria. Conferir o boleto quando chegar.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Pago</t>
        </is>
      </c>
      <c r="F56" s="113">
        <f>IF(OR($E56="Pago",$C56=""),"",MAX(0,TODAY()-$C56))</f>
        <v/>
      </c>
      <c r="G56" s="82" t="inlineStr">
        <is>
          <t>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 s="1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Pago</t>
        </is>
      </c>
      <c r="F57" s="112">
        <f>IF(OR($E57="Pago",$C57=""),"",MAX(0,TODAY()-$C57))</f>
        <v/>
      </c>
      <c r="G57" s="78" t="inlineStr">
        <is>
          <t>Categoria: Pro Labore Edilânia. Pago em 01/10/2026 — lançado em Out 2026 como "Conta de Água Adriano". Fatura em nome pessoal do sócio, matrícula 0531718-70.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Pendente</t>
        </is>
      </c>
      <c r="F58" s="113">
        <f>IF(OR($E58="Pago",$C58=""),"",MAX(0,TODAY()-$C58))</f>
        <v/>
      </c>
      <c r="G58" s="82" t="inlineStr">
        <is>
          <t>Categoria quando pagar: Fornecedores / Mercadoria. Boleto Itaú 341-7 (carteira 109). Nosso número 109/00257851-4. Linha digitável 34191.09008 25785.141430 81531.550002 6 15920000053793.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Pago</t>
        </is>
      </c>
      <c r="F60" s="143">
        <f>IF(OR($E60="Pago",$C60=""),"",MAX(0,TODAY()-$C60))</f>
        <v/>
      </c>
      <c r="G60" s="139" t="inlineStr">
        <is>
          <t>Categoria: Salários, Comissões e Encargos. Pago em 01/10/2026 — lançado em "Out 2026" como "Salário Wiliam" (R$ 1.571,32).</t>
        </is>
      </c>
    </row>
    <row r="61" s="157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Pendente</t>
        </is>
      </c>
      <c r="F62" s="113">
        <f>IF(OR($E62="Pago",$C62=""),"",MAX(0,TODAY()-$C62))</f>
        <v/>
      </c>
      <c r="G62" s="82" t="inlineStr">
        <is>
          <t>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Pago</t>
        </is>
      </c>
      <c r="F68" s="113">
        <f>IF(OR($E68="Pago",$C68=""),"",MAX(0,TODAY()-$C68))</f>
        <v/>
      </c>
      <c r="G68" s="82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Pago</t>
        </is>
      </c>
      <c r="F69" s="113">
        <f>IF(OR($E69="Pago",$C69=""),"",MAX(0,TODAY()-$C69))</f>
        <v/>
      </c>
      <c r="G69" s="82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Pendente</t>
        </is>
      </c>
      <c r="F71" s="113">
        <f>IF(OR($E71="Pago",$C71=""),"",MAX(0,TODAY()-$C71))</f>
        <v/>
      </c>
      <c r="G71" s="82" t="inlineStr">
        <is>
          <t>Categoria quando pagar: Fornecedores / Mercadoria.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4" s="157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Pago</t>
        </is>
      </c>
      <c r="F74" s="113">
        <f>IF(OR($E74="Pago",$C74=""),"",MAX(0,TODAY()-$C74))</f>
        <v/>
      </c>
      <c r="G74" s="82" t="inlineStr">
        <is>
          <t>Categoria: Transporte e Entregas. Boleto Bradesco 237-2, nosso número 34840000190-0. Pago em 01/10/2026 (antecipado, venc. 02/10) — lançado em "Out 2026" como "Patrus Transportes".</t>
        </is>
      </c>
    </row>
    <row r="75" s="157">
      <c r="A75" s="82" t="inlineStr">
        <is>
          <t>Everest Refrigeracao e Industria</t>
        </is>
      </c>
      <c r="B75" s="82" t="inlineStr">
        <is>
          <t>Mercadoria — doc. 386838 (emissão 23/09/2026) · parcela 1/5</t>
        </is>
      </c>
      <c r="C75" s="81" t="n">
        <v>46318</v>
      </c>
      <c r="D75" s="83" t="n">
        <v>613.12</v>
      </c>
      <c r="E75" s="113" t="inlineStr">
        <is>
          <t>Pendente</t>
        </is>
      </c>
      <c r="F75" s="113">
        <f>IF(OR($E75="Pago",$C75=""),"",MAX(0,TODAY()-$C75))</f>
        <v/>
      </c>
      <c r="G75" s="82" t="inlineStr">
        <is>
          <t>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6" s="157">
      <c r="A76" s="82" t="inlineStr">
        <is>
          <t>Everest Refrigeracao e Industria</t>
        </is>
      </c>
      <c r="B76" s="82" t="inlineStr">
        <is>
          <t>Mercadoria — doc. 386838 (emissão 23/09/2026) · parcela 2/5</t>
        </is>
      </c>
      <c r="C76" s="81" t="n">
        <v>46348</v>
      </c>
      <c r="D76" s="83" t="n">
        <v>613.12</v>
      </c>
      <c r="E76" s="113" t="inlineStr">
        <is>
          <t>Pendente</t>
        </is>
      </c>
      <c r="F76" s="113">
        <f>IF(OR($E76="Pago",$C76=""),"",MAX(0,TODAY()-$C76))</f>
        <v/>
      </c>
      <c r="G76" s="82" t="inlineStr">
        <is>
          <t>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7" s="157">
      <c r="A77" s="82" t="inlineStr">
        <is>
          <t>Everest Refrigeracao e Industria</t>
        </is>
      </c>
      <c r="B77" s="82" t="inlineStr">
        <is>
          <t>Mercadoria — doc. 386838 (emissão 23/09/2026) · parcela 3/5</t>
        </is>
      </c>
      <c r="C77" s="81" t="n">
        <v>46378</v>
      </c>
      <c r="D77" s="83" t="n">
        <v>613.12</v>
      </c>
      <c r="E77" s="113" t="inlineStr">
        <is>
          <t>Pendente</t>
        </is>
      </c>
      <c r="F77" s="113">
        <f>IF(OR($E77="Pago",$C77=""),"",MAX(0,TODAY()-$C77))</f>
        <v/>
      </c>
      <c r="G77" s="82" t="inlineStr">
        <is>
          <t>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8" s="157">
      <c r="A78" s="82" t="inlineStr">
        <is>
          <t>Everest Refrigeracao e Industria</t>
        </is>
      </c>
      <c r="B78" s="82" t="inlineStr">
        <is>
          <t>Mercadoria — doc. 386838 (emissão 23/09/2026) · parcela 4/5</t>
        </is>
      </c>
      <c r="C78" s="81" t="n">
        <v>46408</v>
      </c>
      <c r="D78" s="83" t="n">
        <v>613.12</v>
      </c>
      <c r="E78" s="113" t="inlineStr">
        <is>
          <t>Pendente</t>
        </is>
      </c>
      <c r="F78" s="113">
        <f>IF(OR($E78="Pago",$C78=""),"",MAX(0,TODAY()-$C78))</f>
        <v/>
      </c>
      <c r="G78" s="82" t="inlineStr">
        <is>
          <t>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9" s="157">
      <c r="A79" s="82" t="inlineStr">
        <is>
          <t>Everest Refrigeracao e Industria</t>
        </is>
      </c>
      <c r="B79" s="82" t="inlineStr">
        <is>
          <t>Mercadoria — doc. 386838 (emissão 23/09/2026) · parcela 5/5 (última)</t>
        </is>
      </c>
      <c r="C79" s="81" t="n">
        <v>46438</v>
      </c>
      <c r="D79" s="83" t="n">
        <v>613.12</v>
      </c>
      <c r="E79" s="113" t="inlineStr">
        <is>
          <t>Pendente</t>
        </is>
      </c>
      <c r="F79" s="113">
        <f>IF(OR($E79="Pago",$C79=""),"",MAX(0,TODAY()-$C79))</f>
        <v/>
      </c>
      <c r="G79" s="82" t="inlineStr">
        <is>
          <t>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80" s="157">
      <c r="A80" s="139" t="inlineStr">
        <is>
          <t>Vitoria Maria F Santos</t>
        </is>
      </c>
      <c r="B80" s="139" t="inlineStr">
        <is>
          <t>Aluguel da loja — outubro/2026</t>
        </is>
      </c>
      <c r="C80" s="140" t="n">
        <v>46296</v>
      </c>
      <c r="D80" s="141" t="n">
        <v>880</v>
      </c>
      <c r="E80" s="142" t="inlineStr">
        <is>
          <t>Pago</t>
        </is>
      </c>
      <c r="F80" s="143">
        <f>IF(OR($E80="Pago",$C80=""),"",MAX(0,TODAY()-$C80))</f>
        <v/>
      </c>
      <c r="G80" s="139" t="inlineStr">
        <is>
          <t>Categoria: Aluguel. Pago em 01/10/2026 — depósito em dinheiro no Banco do Brasil (doc. 013573031141511) — lançado em "Out 2026" como "Vitoria Maria F Santos".</t>
        </is>
      </c>
    </row>
    <row r="81" s="157">
      <c r="A81" s="139" t="inlineStr">
        <is>
          <t>Vitoria Maria F Santos</t>
        </is>
      </c>
      <c r="B81" s="139" t="inlineStr">
        <is>
          <t>Aluguel da loja — novembro/2026</t>
        </is>
      </c>
      <c r="C81" s="140" t="n">
        <v>46327</v>
      </c>
      <c r="D81" s="141" t="n">
        <v>880</v>
      </c>
      <c r="E81" s="142" t="inlineStr">
        <is>
          <t>Previsto</t>
        </is>
      </c>
      <c r="F81" s="143">
        <f>IF(OR($E81="Pago",$C81=""),"",MAX(0,TODAY()-$C81))</f>
        <v/>
      </c>
      <c r="G81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2" s="157">
      <c r="A82" s="139" t="inlineStr">
        <is>
          <t>Vitoria Maria F Santos</t>
        </is>
      </c>
      <c r="B82" s="139" t="inlineStr">
        <is>
          <t>Aluguel da loja — dezembro/2026</t>
        </is>
      </c>
      <c r="C82" s="140" t="n">
        <v>46357</v>
      </c>
      <c r="D82" s="141" t="n">
        <v>880</v>
      </c>
      <c r="E82" s="142" t="inlineStr">
        <is>
          <t>Previsto</t>
        </is>
      </c>
      <c r="F82" s="143">
        <f>IF(OR($E82="Pago",$C82=""),"",MAX(0,TODAY()-$C82))</f>
        <v/>
      </c>
      <c r="G82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3" s="157">
      <c r="A83" s="78" t="inlineStr">
        <is>
          <t>Neoenergia Coelba</t>
        </is>
      </c>
      <c r="B83" s="78" t="inlineStr">
        <is>
          <t>Conta de energia — despesa pessoal do dono (não é da loja) — ref. 09/2026</t>
        </is>
      </c>
      <c r="C83" s="77" t="n">
        <v>46301</v>
      </c>
      <c r="D83" s="79" t="n">
        <v>435.34</v>
      </c>
      <c r="E83" s="112" t="inlineStr">
        <is>
          <t>Pendente</t>
        </is>
      </c>
      <c r="F83" s="112">
        <f>IF(OR($E83="Pago",$C83=""),"",MAX(0,TODAY()-$C83))</f>
        <v/>
      </c>
      <c r="G83" s="78" t="inlineStr">
        <is>
          <t>Categoria quando pagar: Pro Labore Edilânia. Fatura residencial em nome de Adriano Silva Fontes (Rua Irmã Lúcia de Fátima, 283 — Mundo Novo), UC 5.158.506.028-83, NF 996180107. Inclui multas/juros de faturas anteriores. Boleto Itaú 341, linha digitável 34191.75207 56491.952935 85832.220009 5 15910000043534. PDF (sem senha) salvo em "boletos planeta agua/Coelba Adriano - venc 06-10-2026.pdf".</t>
        </is>
      </c>
    </row>
    <row r="84" s="157">
      <c r="A84" s="82" t="inlineStr">
        <is>
          <t>Everest Refrigeracao e Industria</t>
        </is>
      </c>
      <c r="B84" s="82" t="inlineStr">
        <is>
          <t>Mercadoria — doc. 387488 (emissão 30/09/2026) · parcela 1/5</t>
        </is>
      </c>
      <c r="C84" s="81" t="n">
        <v>46325</v>
      </c>
      <c r="D84" s="83" t="n">
        <v>633.52</v>
      </c>
      <c r="E84" s="113" t="inlineStr">
        <is>
          <t>Pendente</t>
        </is>
      </c>
      <c r="F84" s="113">
        <f>IF(OR($E84="Pago",$C84=""),"",MAX(0,TODAY()-$C84))</f>
        <v/>
      </c>
      <c r="G84" s="82" t="inlineStr">
        <is>
          <t>Categoria quando pagar: Fornecedores / Mercadoria. Boleto Itaú 341-7. Nosso número 112/37879986. Linha digitável 34191.12374 87998.630302 52238.850003 9 16150000063352. Boleto recebido por e-mail em 30/09/2026; PDF salvo em "03 - Despesas e Contas a Pagar/Boletos Everest NF 387488". Após o vencimento: multa de 2% + juros de R$ 0,21 ao dia.</t>
        </is>
      </c>
    </row>
    <row r="85" s="157">
      <c r="A85" s="78" t="inlineStr">
        <is>
          <t>Everest Refrigeracao e Industria</t>
        </is>
      </c>
      <c r="B85" s="78" t="inlineStr">
        <is>
          <t>Mercadoria — doc. 387488 (emissão 30/09/2026) · parcela 2/5</t>
        </is>
      </c>
      <c r="C85" s="77" t="n">
        <v>46355</v>
      </c>
      <c r="D85" s="79" t="n">
        <v>633.52</v>
      </c>
      <c r="E85" s="112" t="inlineStr">
        <is>
          <t>Pendente</t>
        </is>
      </c>
      <c r="F85" s="112">
        <f>IF(OR($E85="Pago",$C85=""),"",MAX(0,TODAY()-$C85))</f>
        <v/>
      </c>
      <c r="G85" s="78" t="inlineStr">
        <is>
          <t>Categoria quando pagar: Fornecedores / Mercadoria. Boleto Itaú 341-7. Nosso número 112/37879706. Linha digitável 34191.12374 87970.650302 52238.850003 9 16450000063352. Boleto recebido por e-mail em 30/09/2026; PDF salvo em "03 - Despesas e Contas a Pagar/Boletos Everest NF 387488". Após o vencimento: multa de 2% + juros de R$ 0,21 ao dia.</t>
        </is>
      </c>
    </row>
    <row r="86" s="157">
      <c r="A86" s="82" t="inlineStr">
        <is>
          <t>Everest Refrigeracao e Industria</t>
        </is>
      </c>
      <c r="B86" s="82" t="inlineStr">
        <is>
          <t>Mercadoria — doc. 387488 (emissão 30/09/2026) · parcela 3/5</t>
        </is>
      </c>
      <c r="C86" s="81" t="n">
        <v>46385</v>
      </c>
      <c r="D86" s="83" t="n">
        <v>633.52</v>
      </c>
      <c r="E86" s="113" t="inlineStr">
        <is>
          <t>Pendente</t>
        </is>
      </c>
      <c r="F86" s="113">
        <f>IF(OR($E86="Pago",$C86=""),"",MAX(0,TODAY()-$C86))</f>
        <v/>
      </c>
      <c r="G86" s="82" t="inlineStr">
        <is>
          <t>Categoria quando pagar: Fornecedores / Mercadoria. Boleto Itaú 341-7. Nosso número 112/37879936. Linha digitável 34191.12374 87993.680302 52238.850003 5 16750000063352. Boleto recebido por e-mail em 30/09/2026; PDF salvo em "03 - Despesas e Contas a Pagar/Boletos Everest NF 387488". Após o vencimento: multa de 2% + juros de R$ 0,21 ao dia.</t>
        </is>
      </c>
    </row>
    <row r="87" s="157">
      <c r="A87" s="78" t="inlineStr">
        <is>
          <t>Everest Refrigeracao e Industria</t>
        </is>
      </c>
      <c r="B87" s="78" t="inlineStr">
        <is>
          <t>Mercadoria — doc. 387488 (emissão 30/09/2026) · parcela 4/5</t>
        </is>
      </c>
      <c r="C87" s="77" t="n">
        <v>46415</v>
      </c>
      <c r="D87" s="79" t="n">
        <v>633.52</v>
      </c>
      <c r="E87" s="112" t="inlineStr">
        <is>
          <t>Pendente</t>
        </is>
      </c>
      <c r="F87" s="112">
        <f>IF(OR($E87="Pago",$C87=""),"",MAX(0,TODAY()-$C87))</f>
        <v/>
      </c>
      <c r="G87" s="78" t="inlineStr">
        <is>
          <t>Categoria quando pagar: Fornecedores / Mercadoria. Boleto Itaú 341-7. Nosso número 112/37879730. Linha digitável 34191.12374 87973.050302 52238.850003 3 17050000063352. Boleto recebido por e-mail em 30/09/2026; PDF salvo em "03 - Despesas e Contas a Pagar/Boletos Everest NF 387488". Após o vencimento: multa de 2% + juros de R$ 0,21 ao dia.</t>
        </is>
      </c>
    </row>
    <row r="88" s="157">
      <c r="A88" s="82" t="inlineStr">
        <is>
          <t>Everest Refrigeracao e Industria</t>
        </is>
      </c>
      <c r="B88" s="82" t="inlineStr">
        <is>
          <t>Mercadoria — doc. 387488 (emissão 30/09/2026) · parcela 5/5 (última)</t>
        </is>
      </c>
      <c r="C88" s="81" t="n">
        <v>46445</v>
      </c>
      <c r="D88" s="83" t="n">
        <v>633.5</v>
      </c>
      <c r="E88" s="113" t="inlineStr">
        <is>
          <t>Pendente</t>
        </is>
      </c>
      <c r="F88" s="113">
        <f>IF(OR($E88="Pago",$C88=""),"",MAX(0,TODAY()-$C88))</f>
        <v/>
      </c>
      <c r="G88" s="82" t="inlineStr">
        <is>
          <t>Categoria quando pagar: Fornecedores / Mercadoria. Boleto Itaú 341-7. Nosso número 112/37879582. Linha digitável 34191.12374 87958.200302 52238.850003 2 17350000063350. Boleto recebido por e-mail em 30/09/2026; PDF salvo em "03 - Despesas e Contas a Pagar/Boletos Everest NF 387488". Após o vencimento: multa de 2% + juros de R$ 0,21 ao dia.</t>
        </is>
      </c>
    </row>
    <row r="89" s="157">
      <c r="A89" s="78" t="inlineStr">
        <is>
          <t>Patrus Transportes Ltda</t>
        </is>
      </c>
      <c r="B89" s="78" t="inlineStr">
        <is>
          <t>Frete — boleto Bradesco</t>
        </is>
      </c>
      <c r="C89" s="77" t="n">
        <v>46311</v>
      </c>
      <c r="D89" s="79" t="n">
        <v>277.48</v>
      </c>
      <c r="E89" s="112" t="inlineStr">
        <is>
          <t>Pendente</t>
        </is>
      </c>
      <c r="F89" s="112">
        <f>IF(OR($E89="Pago",$C89=""),"",MAX(0,TODAY()-$C89))</f>
        <v/>
      </c>
      <c r="G89" s="78" t="inlineStr">
        <is>
          <t>Categoria quando pagar: Transporte e Entregas. Boleto Bradesco 237-2. Linha digitável 23791.43007 93484.000265 98003.073701 2 16010000027748.</t>
        </is>
      </c>
    </row>
    <row r="90" s="157">
      <c r="A90" s="82" t="inlineStr">
        <is>
          <t>Tarcisio Oliveira Lima</t>
        </is>
      </c>
      <c r="B90" s="82" t="inlineStr">
        <is>
          <t>Boleto Banco do Brasil — serviço contábil</t>
        </is>
      </c>
      <c r="C90" s="81" t="n">
        <v>46310</v>
      </c>
      <c r="D90" s="83" t="n">
        <v>486.32</v>
      </c>
      <c r="E90" s="113" t="inlineStr">
        <is>
          <t>Pendente</t>
        </is>
      </c>
      <c r="F90" s="113">
        <f>IF(OR($E90="Pago",$C90=""),"",MAX(0,TODAY()-$C90))</f>
        <v/>
      </c>
      <c r="G90" s="82" t="inlineStr">
        <is>
          <t>Categoria quando pagar: Contabilidade. Boleto Banco do Brasil 001-9. Linha digitável 00190.00009 03128.364001 00003.179173 8 16000000048632.</t>
        </is>
      </c>
    </row>
    <row r="91" s="157">
      <c r="A91" s="78" t="inlineStr">
        <is>
          <t>FGTS Digital (GFD)</t>
        </is>
      </c>
      <c r="B91" s="78" t="inlineStr">
        <is>
          <t>FGTS mensal — competência 09/2026</t>
        </is>
      </c>
      <c r="C91" s="77" t="n">
        <v>46315</v>
      </c>
      <c r="D91" s="79" t="n">
        <v>136</v>
      </c>
      <c r="E91" s="112" t="inlineStr">
        <is>
          <t>Pendente</t>
        </is>
      </c>
      <c r="F91" s="112">
        <f>IF(OR($E91="Pago",$C91=""),"",MAX(0,TODAY()-$C91))</f>
        <v/>
      </c>
      <c r="G91" s="78" t="inlineStr">
        <is>
          <t>Categoria quando pagar: Impostos e Taxas. Pagamento via QR Code Pix no documento original da guia (GFD).</t>
        </is>
      </c>
    </row>
    <row r="92" s="157">
      <c r="A92" s="82" t="inlineStr">
        <is>
          <t>Receita Federal</t>
        </is>
      </c>
      <c r="B92" s="82" t="inlineStr">
        <is>
          <t>DARF / INSS — período de apuração setembro/2026</t>
        </is>
      </c>
      <c r="C92" s="81" t="n">
        <v>46315</v>
      </c>
      <c r="D92" s="83" t="n">
        <v>306.99</v>
      </c>
      <c r="E92" s="113" t="inlineStr">
        <is>
          <t>Pendente</t>
        </is>
      </c>
      <c r="F92" s="113">
        <f>IF(OR($E92="Pago",$C92=""),"",MAX(0,TODAY()-$C92))</f>
        <v/>
      </c>
      <c r="G92" s="82" t="inlineStr">
        <is>
          <t>Categoria quando pagar: Impostos e Taxas. Código de barras 858300000033 069903852621 930716262672 196301377104.</t>
        </is>
      </c>
    </row>
    <row r="93" s="157">
      <c r="A93" s="86" t="inlineStr">
        <is>
          <t>TOTAL A PAGAR — COM BOLETO EM MÃOS</t>
        </is>
      </c>
      <c r="B93" s="86" t="n"/>
      <c r="C93" s="114" t="n"/>
      <c r="D93" s="115">
        <f>SUMIF(E11:E92,"Pendente",D11:D92)</f>
        <v/>
      </c>
      <c r="E93" s="116" t="n"/>
      <c r="F93" s="116" t="n"/>
      <c r="G93" s="86" t="n"/>
    </row>
    <row r="94" s="157">
      <c r="A94" s="144" t="inlineStr">
        <is>
          <t>PREVISTO — compromisso certo que ainda não está documentado</t>
        </is>
      </c>
      <c r="B94" s="144" t="n"/>
      <c r="C94" s="145" t="n"/>
      <c r="D94" s="146">
        <f>SUMIF(E11:E92,"Previsto",D11:D92)</f>
        <v/>
      </c>
      <c r="E94" s="142" t="n"/>
      <c r="F94" s="142" t="n"/>
      <c r="G94" s="144" t="n"/>
    </row>
    <row r="95" s="157">
      <c r="A95" s="86" t="inlineStr">
        <is>
          <t>TOTAL GERAL A PAGAR (boletos + previsão)</t>
        </is>
      </c>
      <c r="B95" s="86" t="n"/>
      <c r="C95" s="114" t="n"/>
      <c r="D95" s="115">
        <f>D93+D94</f>
        <v/>
      </c>
      <c r="E95" s="116" t="n"/>
      <c r="F95" s="116" t="n"/>
      <c r="G95" s="86" t="n"/>
    </row>
    <row r="96" s="157"/>
    <row r="97" ht="15.75" customHeight="1" s="157"/>
    <row r="98" ht="15.75" customHeight="1" s="157">
      <c r="A98" s="200" t="inlineStr">
        <is>
          <t>CONTAS A RECEBER  —  vendas feitas e ainda não pagas</t>
        </is>
      </c>
    </row>
    <row r="99" s="157">
      <c r="A99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100" s="157">
      <c r="A100" s="111" t="inlineStr">
        <is>
          <t>Cliente</t>
        </is>
      </c>
      <c r="B100" s="111" t="inlineStr">
        <is>
          <t>Produto / Referência</t>
        </is>
      </c>
      <c r="C100" s="111" t="inlineStr">
        <is>
          <t>Data da Venda</t>
        </is>
      </c>
      <c r="D100" s="111" t="inlineStr">
        <is>
          <t>Valor (R$)</t>
        </is>
      </c>
      <c r="E100" s="111" t="inlineStr">
        <is>
          <t>Status</t>
        </is>
      </c>
      <c r="F100" s="111" t="inlineStr">
        <is>
          <t>Dias em Atraso</t>
        </is>
      </c>
      <c r="G100" s="111" t="inlineStr">
        <is>
          <t>Observações</t>
        </is>
      </c>
    </row>
    <row r="101" s="157">
      <c r="A101" s="78" t="inlineStr">
        <is>
          <t>Centro de Especialidades Odontomédicas</t>
        </is>
      </c>
      <c r="B101" s="78" t="inlineStr">
        <is>
          <t>Refil Everest</t>
        </is>
      </c>
      <c r="C101" s="77" t="n">
        <v>46239</v>
      </c>
      <c r="D101" s="79" t="n">
        <v>140</v>
      </c>
      <c r="E101" s="112" t="inlineStr">
        <is>
          <t>Pendente</t>
        </is>
      </c>
      <c r="F101" s="112">
        <f>IF(OR($E101="Recebido",$C101=""),"",MAX(0,TODAY()-$C101))</f>
        <v/>
      </c>
      <c r="G101" s="78" t="n"/>
    </row>
    <row r="102" s="157">
      <c r="A102" s="82" t="inlineStr">
        <is>
          <t>Supermercado Brasil</t>
        </is>
      </c>
      <c r="B102" s="82" t="inlineStr">
        <is>
          <t>2x Refil Pro Life</t>
        </is>
      </c>
      <c r="C102" s="81" t="n">
        <v>46239</v>
      </c>
      <c r="D102" s="83" t="n">
        <v>280</v>
      </c>
      <c r="E102" s="113" t="inlineStr">
        <is>
          <t>Pendente</t>
        </is>
      </c>
      <c r="F102" s="113">
        <f>IF(OR($E102="Recebido",$C102=""),"",MAX(0,TODAY()-$C102))</f>
        <v/>
      </c>
      <c r="G102" s="82" t="n"/>
    </row>
    <row r="103" s="157">
      <c r="A103" s="78" t="inlineStr">
        <is>
          <t>Tropical Motos LTDA</t>
        </is>
      </c>
      <c r="B103" s="78" t="inlineStr">
        <is>
          <t>3x Refil Everest + Refil Pro Life + 3x Pré Filtro + Válvula Reguladora de Pressão</t>
        </is>
      </c>
      <c r="C103" s="77" t="n">
        <v>46245</v>
      </c>
      <c r="D103" s="79" t="n">
        <v>820</v>
      </c>
      <c r="E103" s="112" t="inlineStr">
        <is>
          <t>Recebido</t>
        </is>
      </c>
      <c r="F103" s="112">
        <f>IF(OR($E103="Recebido",$C103=""),"",MAX(0,TODAY()-$C103))</f>
        <v/>
      </c>
      <c r="G103" s="78" t="inlineStr">
        <is>
          <t>Recebido via TED em 25/08/2026. NF conferida: valor correto é R$820 (faltava a válvula no lançamento original de R$740).</t>
        </is>
      </c>
    </row>
    <row r="104" s="157">
      <c r="A104" s="82" t="inlineStr">
        <is>
          <t>Free Way</t>
        </is>
      </c>
      <c r="B104" s="82" t="inlineStr">
        <is>
          <t>5x Refil Everest</t>
        </is>
      </c>
      <c r="C104" s="81" t="n">
        <v>46251</v>
      </c>
      <c r="D104" s="83" t="n">
        <v>700</v>
      </c>
      <c r="E104" s="113" t="inlineStr">
        <is>
          <t>Recebido</t>
        </is>
      </c>
      <c r="F104" s="113">
        <f>IF(OR($E104="Recebido",$C104=""),"",MAX(0,TODAY()-$C104))</f>
        <v/>
      </c>
      <c r="G104" s="82" t="inlineStr">
        <is>
          <t>Recebido via TED em 02/09/2026.</t>
        </is>
      </c>
    </row>
    <row r="105" s="157">
      <c r="A105" s="78" t="inlineStr">
        <is>
          <t>Neli Sena Rego</t>
        </is>
      </c>
      <c r="B105" s="78" t="inlineStr">
        <is>
          <t>Refil Pro Life</t>
        </is>
      </c>
      <c r="C105" s="77" t="n">
        <v>46254</v>
      </c>
      <c r="D105" s="79" t="n">
        <v>140</v>
      </c>
      <c r="E105" s="112" t="inlineStr">
        <is>
          <t>Recebido</t>
        </is>
      </c>
      <c r="F105" s="112">
        <f>IF(OR($E105="Recebido",$C105=""),"",MAX(0,TODAY()-$C105))</f>
        <v/>
      </c>
      <c r="G105" s="78" t="inlineStr">
        <is>
          <t>Recebido em dinheiro em 01/09/2026 (R$ 170,00 pelas duas vendas)</t>
        </is>
      </c>
    </row>
    <row r="106" s="157">
      <c r="A106" s="82" t="inlineStr">
        <is>
          <t>Neli Sena Rego</t>
        </is>
      </c>
      <c r="B106" s="82" t="inlineStr">
        <is>
          <t>Conexão + Mangueira</t>
        </is>
      </c>
      <c r="C106" s="81" t="n">
        <v>46255</v>
      </c>
      <c r="D106" s="83" t="n">
        <v>40</v>
      </c>
      <c r="E106" s="113" t="inlineStr">
        <is>
          <t>Recebido</t>
        </is>
      </c>
      <c r="F106" s="113">
        <f>IF(OR($E106="Recebido",$C106=""),"",MAX(0,TODAY()-$C106))</f>
        <v/>
      </c>
      <c r="G106" s="82" t="inlineStr">
        <is>
          <t>Recebido em dinheiro em 01/09/2026 (R$ 170,00 pelas duas vendas)</t>
        </is>
      </c>
    </row>
    <row r="107" s="157">
      <c r="A107" s="78" t="inlineStr">
        <is>
          <t>Lapec</t>
        </is>
      </c>
      <c r="B107" s="78" t="inlineStr">
        <is>
          <t>4x Refil Everest</t>
        </is>
      </c>
      <c r="C107" s="77" t="n">
        <v>46258</v>
      </c>
      <c r="D107" s="79" t="n">
        <v>480</v>
      </c>
      <c r="E107" s="112" t="inlineStr">
        <is>
          <t>Recebido</t>
        </is>
      </c>
      <c r="F107" s="112">
        <f>IF(OR($E107="Recebido",$C107=""),"",MAX(0,TODAY()-$C107))</f>
        <v/>
      </c>
      <c r="G107" s="78" t="inlineStr">
        <is>
          <t>Recebido em dinheiro em 08/09/2026 — lançado em "Set 2026".</t>
        </is>
      </c>
    </row>
    <row r="108" s="157">
      <c r="A108" s="82" t="inlineStr">
        <is>
          <t>Cícero Lima</t>
        </is>
      </c>
      <c r="B108" s="82" t="inlineStr">
        <is>
          <t>Refil Everest</t>
        </is>
      </c>
      <c r="C108" s="81" t="n">
        <v>46261</v>
      </c>
      <c r="D108" s="83" t="n">
        <v>140</v>
      </c>
      <c r="E108" s="113" t="inlineStr">
        <is>
          <t>Recebido</t>
        </is>
      </c>
      <c r="F108" s="113">
        <f>IF(OR($E108="Recebido",$C108=""),"",MAX(0,TODAY()-$C108))</f>
        <v/>
      </c>
      <c r="G108" s="82" t="inlineStr">
        <is>
          <t>Recebido via Pix em 27/08/2026</t>
        </is>
      </c>
    </row>
    <row r="109" s="157">
      <c r="A109" s="78" t="inlineStr">
        <is>
          <t>Promotoria Regional de Jacobina</t>
        </is>
      </c>
      <c r="B109" s="78" t="inlineStr">
        <is>
          <t>2x Carcaça 9" + 2x Refil Plissado 9" + Conexão Reta Rosca</t>
        </is>
      </c>
      <c r="C109" s="77" t="n">
        <v>46261</v>
      </c>
      <c r="D109" s="79" t="n">
        <v>470</v>
      </c>
      <c r="E109" s="112" t="inlineStr">
        <is>
          <t>Recebido</t>
        </is>
      </c>
      <c r="F109" s="112">
        <f>IF(OR($E109="Recebido",$C109=""),"",MAX(0,TODAY()-$C109))</f>
        <v/>
      </c>
      <c r="G109" s="78" t="inlineStr">
        <is>
          <t>Pago em 28/08/2026 em duas formas: R$ 270,00 Pix + R$ 200,00 crédito 2x</t>
        </is>
      </c>
    </row>
    <row r="110" s="157">
      <c r="A110" s="82" t="inlineStr">
        <is>
          <t>Lucas Souza</t>
        </is>
      </c>
      <c r="B110" s="82" t="inlineStr">
        <is>
          <t>Refil Everest + Pré Filtro</t>
        </is>
      </c>
      <c r="C110" s="81" t="n">
        <v>46261</v>
      </c>
      <c r="D110" s="83" t="n">
        <v>200</v>
      </c>
      <c r="E110" s="113" t="inlineStr">
        <is>
          <t>Recebido</t>
        </is>
      </c>
      <c r="F110" s="113">
        <f>IF(OR($E110="Recebido",$C110=""),"",MAX(0,TODAY()-$C110))</f>
        <v/>
      </c>
      <c r="G110" s="82" t="inlineStr">
        <is>
          <t>Recebido em dinheiro em 03/09/2026 — lançado em "Set 2026".</t>
        </is>
      </c>
    </row>
    <row r="111" s="157">
      <c r="A111" s="78" t="inlineStr">
        <is>
          <t>FG Boa Vista (Recife/PE)</t>
        </is>
      </c>
      <c r="B111" s="78" t="inlineStr">
        <is>
          <t>Refis — troca de julho/2026</t>
        </is>
      </c>
      <c r="C111" s="77" t="n">
        <v>46261</v>
      </c>
      <c r="D111" s="79" t="n">
        <v>1008.8</v>
      </c>
      <c r="E111" s="112" t="inlineStr">
        <is>
          <t>Recebido</t>
        </is>
      </c>
      <c r="F111" s="112">
        <f>IF(OR($E111="Recebido",$C111=""),"",MAX(0,TODAY()-$C111))</f>
        <v/>
      </c>
      <c r="G111" s="78" t="inlineStr">
        <is>
          <t>Grupo Ânima — NF 000.004.280 · recebido em 30/08/2026 (Nota Paga no portal V360)</t>
        </is>
      </c>
    </row>
    <row r="112" s="157">
      <c r="A112" s="82" t="inlineStr">
        <is>
          <t>UNIFG Guanambi (Guanambi/BA)</t>
        </is>
      </c>
      <c r="B112" s="82" t="inlineStr">
        <is>
          <t>Refis — troca de julho/2026</t>
        </is>
      </c>
      <c r="C112" s="81" t="n">
        <v>46261</v>
      </c>
      <c r="D112" s="83" t="n">
        <v>4534.75</v>
      </c>
      <c r="E112" s="113" t="inlineStr">
        <is>
          <t>Recebido</t>
        </is>
      </c>
      <c r="F112" s="113">
        <f>IF(OR($E112="Recebido",$C112=""),"",MAX(0,TODAY()-$C112))</f>
        <v/>
      </c>
      <c r="G112" s="82" t="inlineStr">
        <is>
          <t>Grupo Ânima — NF 000.004.281 · recebido em 30/08/2026 (Nota Paga no portal V360)</t>
        </is>
      </c>
    </row>
    <row r="113" s="157">
      <c r="A113" s="78" t="inlineStr">
        <is>
          <t>UNP Zona Norte (Natal/RN)</t>
        </is>
      </c>
      <c r="B113" s="78" t="inlineStr">
        <is>
          <t>Refis — troca de julho/2026</t>
        </is>
      </c>
      <c r="C113" s="77" t="n">
        <v>46261</v>
      </c>
      <c r="D113" s="79" t="n">
        <v>870</v>
      </c>
      <c r="E113" s="112" t="inlineStr">
        <is>
          <t>Recebido</t>
        </is>
      </c>
      <c r="F113" s="112">
        <f>IF(OR($E113="Recebido",$C113=""),"",MAX(0,TODAY()-$C113))</f>
        <v/>
      </c>
      <c r="G113" s="78" t="inlineStr">
        <is>
          <t>Grupo Ânima — NF 000.004.282 · recebido em 30/08/2026 (Nota Paga no portal V360)</t>
        </is>
      </c>
    </row>
    <row r="114" s="157">
      <c r="A114" s="82" t="inlineStr">
        <is>
          <t>UNP Caicó (Caicó/RN)</t>
        </is>
      </c>
      <c r="B114" s="82" t="inlineStr">
        <is>
          <t>Refis — troca de julho/2026</t>
        </is>
      </c>
      <c r="C114" s="81" t="n">
        <v>46261</v>
      </c>
      <c r="D114" s="83" t="n">
        <v>440</v>
      </c>
      <c r="E114" s="113" t="inlineStr">
        <is>
          <t>Recebido</t>
        </is>
      </c>
      <c r="F114" s="113">
        <f>IF(OR($E114="Recebido",$C114=""),"",MAX(0,TODAY()-$C114))</f>
        <v/>
      </c>
      <c r="G114" s="82" t="inlineStr">
        <is>
          <t>Grupo Ânima — NF 000.004.283 · recebido via Pix em 27/08/2026</t>
        </is>
      </c>
    </row>
    <row r="115" s="157">
      <c r="A115" s="78" t="inlineStr">
        <is>
          <t>AGES Irecê (Irecê/BA)</t>
        </is>
      </c>
      <c r="B115" s="78" t="inlineStr">
        <is>
          <t>Refis — troca de julho/2026</t>
        </is>
      </c>
      <c r="C115" s="77" t="n">
        <v>46269</v>
      </c>
      <c r="D115" s="79" t="n">
        <v>1338.6</v>
      </c>
      <c r="E115" s="112" t="inlineStr">
        <is>
          <t>Recebido</t>
        </is>
      </c>
      <c r="F115" s="112">
        <f>IF(OR($E115="Recebido",$C115=""),"",MAX(0,TODAY()-$C115))</f>
        <v/>
      </c>
      <c r="G115" s="78" t="inlineStr">
        <is>
          <t>Grupo Ânima — NF 000.004.294 · recebido via Pix em 04/09/2026.</t>
        </is>
      </c>
    </row>
    <row r="116" s="157">
      <c r="A116" s="82" t="inlineStr">
        <is>
          <t>CIS Irecê (Irecê/BA)</t>
        </is>
      </c>
      <c r="B116" s="82" t="inlineStr">
        <is>
          <t>Refis — troca de julho/2026</t>
        </is>
      </c>
      <c r="C116" s="81" t="n">
        <v>46269</v>
      </c>
      <c r="D116" s="83" t="n">
        <v>1358</v>
      </c>
      <c r="E116" s="113" t="inlineStr">
        <is>
          <t>Recebido</t>
        </is>
      </c>
      <c r="F116" s="113">
        <f>IF(OR($E116="Recebido",$C116=""),"",MAX(0,TODAY()-$C116))</f>
        <v/>
      </c>
      <c r="G116" s="82" t="inlineStr">
        <is>
          <t>Grupo Ânima — NF 000.004.295 · recebido via Pix em 04/09/2026.</t>
        </is>
      </c>
    </row>
    <row r="117" s="157">
      <c r="A117" s="78" t="inlineStr">
        <is>
          <t>AGES Senhor do Bonfim (S. do Bonfim/BA)</t>
        </is>
      </c>
      <c r="B117" s="78" t="inlineStr">
        <is>
          <t>Refis — troca de julho/2026</t>
        </is>
      </c>
      <c r="C117" s="77" t="n">
        <v>46270</v>
      </c>
      <c r="D117" s="79" t="n">
        <v>649.9</v>
      </c>
      <c r="E117" s="112" t="inlineStr">
        <is>
          <t>Recebido</t>
        </is>
      </c>
      <c r="F117" s="112">
        <f>IF(OR($E117="Recebido",$C117=""),"",MAX(0,TODAY()-$C117))</f>
        <v/>
      </c>
      <c r="G117" s="78" t="inlineStr">
        <is>
          <t>Grupo Ânima — NF 000.004.298 · recebido via Pix em 08/09/2026.</t>
        </is>
      </c>
    </row>
    <row r="118" s="157">
      <c r="A118" s="82" t="inlineStr">
        <is>
          <t>CIS Senhor do Bonfim (S. do Bonfim/BA)</t>
        </is>
      </c>
      <c r="B118" s="82" t="inlineStr">
        <is>
          <t>Refis — troca de julho/2026</t>
        </is>
      </c>
      <c r="C118" s="81" t="n">
        <v>46270</v>
      </c>
      <c r="D118" s="83" t="n">
        <v>562.6</v>
      </c>
      <c r="E118" s="113" t="inlineStr">
        <is>
          <t>Recebido</t>
        </is>
      </c>
      <c r="F118" s="113">
        <f>IF(OR($E118="Recebido",$C118=""),"",MAX(0,TODAY()-$C118))</f>
        <v/>
      </c>
      <c r="G118" s="82" t="inlineStr">
        <is>
          <t>Grupo Ânima — NF 000.004.299 · recebido via Pix em 08/09/2026.</t>
        </is>
      </c>
    </row>
    <row r="119" s="157">
      <c r="A119" s="78" t="inlineStr">
        <is>
          <t>AGES Paripiranga (Paripiranga/BA)</t>
        </is>
      </c>
      <c r="B119" s="78" t="inlineStr">
        <is>
          <t>Refis — troca de julho/2026</t>
        </is>
      </c>
      <c r="C119" s="77" t="n">
        <v>46270</v>
      </c>
      <c r="D119" s="79" t="n">
        <v>1086.4</v>
      </c>
      <c r="E119" s="112" t="inlineStr">
        <is>
          <t>Recebido</t>
        </is>
      </c>
      <c r="F119" s="112">
        <f>IF(OR($E119="Recebido",$C119=""),"",MAX(0,TODAY()-$C119))</f>
        <v/>
      </c>
      <c r="G119" s="78" t="inlineStr">
        <is>
          <t>Grupo Ânima — NF 000.004.300 · recebido via Pix em 08/09/2026.</t>
        </is>
      </c>
    </row>
    <row r="120" s="157">
      <c r="A120" s="82" t="inlineStr">
        <is>
          <t>Clínica Veterinária Paripiranga (Paripiranga/BA)</t>
        </is>
      </c>
      <c r="B120" s="82" t="inlineStr">
        <is>
          <t>Refis — troca de julho/2026</t>
        </is>
      </c>
      <c r="C120" s="81" t="n">
        <v>46270</v>
      </c>
      <c r="D120" s="83" t="n">
        <v>1265.85</v>
      </c>
      <c r="E120" s="113" t="inlineStr">
        <is>
          <t>Recebido</t>
        </is>
      </c>
      <c r="F120" s="113">
        <f>IF(OR($E120="Recebido",$C120=""),"",MAX(0,TODAY()-$C120))</f>
        <v/>
      </c>
      <c r="G120" s="82" t="inlineStr">
        <is>
          <t>Grupo Ânima — NF 000.004.301 · recebido via Pix em 08/09/2026.</t>
        </is>
      </c>
    </row>
    <row r="121" s="157">
      <c r="A121" s="78" t="inlineStr">
        <is>
          <t>UNP Mossoró (Mossoró/RN)</t>
        </is>
      </c>
      <c r="B121" s="78" t="inlineStr">
        <is>
          <t>Refis — troca de julho/2026</t>
        </is>
      </c>
      <c r="C121" s="77" t="n">
        <v>46270</v>
      </c>
      <c r="D121" s="79" t="n">
        <v>1867.25</v>
      </c>
      <c r="E121" s="112" t="inlineStr">
        <is>
          <t>Recebido</t>
        </is>
      </c>
      <c r="F121" s="112">
        <f>IF(OR($E121="Recebido",$C121=""),"",MAX(0,TODAY()-$C121))</f>
        <v/>
      </c>
      <c r="G121" s="78" t="inlineStr">
        <is>
          <t>Grupo Ânima — NF 000.004.302 · recebido via Pix em 08/09/2026.</t>
        </is>
      </c>
    </row>
    <row r="122" s="157">
      <c r="A122" s="82" t="inlineStr">
        <is>
          <t>CIS Jacobina (Jacobina/BA)</t>
        </is>
      </c>
      <c r="B122" s="82" t="inlineStr">
        <is>
          <t>Refis — troca de julho/2026</t>
        </is>
      </c>
      <c r="C122" s="81" t="n">
        <v>46290</v>
      </c>
      <c r="D122" s="83" t="n">
        <v>2095.2</v>
      </c>
      <c r="E122" s="113" t="inlineStr">
        <is>
          <t>Recebido</t>
        </is>
      </c>
      <c r="F122" s="113">
        <f>IF(OR($E122="Recebido",$C122=""),"",MAX(0,TODAY()-$C122))</f>
        <v/>
      </c>
      <c r="G122" s="82" t="inlineStr">
        <is>
          <t>Grupo Ânima — NF 000.004.333 de 26/08/2026 · OC AEMPPO00004452 · 30 dias · recebido via Pix em 25/09/2026 (Nota Paga no portal V360).</t>
        </is>
      </c>
    </row>
    <row r="123" s="157">
      <c r="A123" s="78" t="inlineStr">
        <is>
          <t>AGES Jacobina (Jacobina/BA)</t>
        </is>
      </c>
      <c r="B123" s="78" t="inlineStr">
        <is>
          <t>Refis — troca de julho/2026</t>
        </is>
      </c>
      <c r="C123" s="77" t="n">
        <v>46305</v>
      </c>
      <c r="D123" s="79" t="n">
        <v>1188.25</v>
      </c>
      <c r="E123" s="112" t="inlineStr">
        <is>
          <t>Pendente</t>
        </is>
      </c>
      <c r="F123" s="112">
        <f>IF(OR($E123="Recebido",$C123=""),"",MAX(0,TODAY()-$C123))</f>
        <v/>
      </c>
      <c r="G123" s="78" t="inlineStr">
        <is>
          <t>Grupo Ânima — NF 000.004.332 de 26/08/2026 · OC AEMPPO00004453 · 45 dias</t>
        </is>
      </c>
    </row>
    <row r="124" s="157">
      <c r="A124" s="82" t="inlineStr">
        <is>
          <t>Instituto Paulo Leão</t>
        </is>
      </c>
      <c r="B124" s="82" t="inlineStr">
        <is>
          <t>Refil E3 + Pré Filtro</t>
        </is>
      </c>
      <c r="C124" s="81" t="n">
        <v>46265</v>
      </c>
      <c r="D124" s="83" t="n">
        <v>160</v>
      </c>
      <c r="E124" s="113" t="inlineStr">
        <is>
          <t>Recebido</t>
        </is>
      </c>
      <c r="F124" s="113">
        <f>IF(OR($E124="Recebido",$C124=""),"",MAX(0,TODAY()-$C124))</f>
        <v/>
      </c>
      <c r="G124" s="82" t="inlineStr">
        <is>
          <t>Recebido via Pix em 08/09/2026 — lançado em "Set 2026".</t>
        </is>
      </c>
    </row>
    <row r="125" s="157">
      <c r="A125" s="78" t="inlineStr">
        <is>
          <t>Eletronic Segurança Eletronica</t>
        </is>
      </c>
      <c r="B125" s="78" t="inlineStr">
        <is>
          <t>Pré Filtro</t>
        </is>
      </c>
      <c r="C125" s="77" t="n">
        <v>46265</v>
      </c>
      <c r="D125" s="79" t="n">
        <v>60</v>
      </c>
      <c r="E125" s="112" t="inlineStr">
        <is>
          <t>Recebido</t>
        </is>
      </c>
      <c r="F125" s="112">
        <f>IF(OR($E125="Recebido",$C125=""),"",MAX(0,TODAY()-$C125))</f>
        <v/>
      </c>
      <c r="G125" s="78" t="inlineStr">
        <is>
          <t>Recebido via Pix em 03/09/2026.</t>
        </is>
      </c>
    </row>
    <row r="126" s="157">
      <c r="A126" s="82" t="inlineStr">
        <is>
          <t>Clube dos Mineiros</t>
        </is>
      </c>
      <c r="B126" s="82" t="inlineStr">
        <is>
          <t>Refil Pro Life</t>
        </is>
      </c>
      <c r="C126" s="81" t="n">
        <v>46265</v>
      </c>
      <c r="D126" s="83" t="n">
        <v>150</v>
      </c>
      <c r="E126" s="113" t="inlineStr">
        <is>
          <t>Recebido</t>
        </is>
      </c>
      <c r="F126" s="113">
        <f>IF(OR($E126="Recebido",$C126=""),"",MAX(0,TODAY()-$C126))</f>
        <v/>
      </c>
      <c r="G126" s="82" t="inlineStr">
        <is>
          <t>Recebido via Pix em 01/09/2026 (pagador: Sindicato dos Mineiros de Jacobina).</t>
        </is>
      </c>
    </row>
    <row r="127" s="157">
      <c r="A127" s="78" t="inlineStr">
        <is>
          <t>Armazem Cecilio Mota</t>
        </is>
      </c>
      <c r="B127" s="78" t="inlineStr">
        <is>
          <t>Refil Everest + Refil Carbon 9"</t>
        </is>
      </c>
      <c r="C127" s="77" t="n">
        <v>46266</v>
      </c>
      <c r="D127" s="79" t="n">
        <v>225</v>
      </c>
      <c r="E127" s="112" t="inlineStr">
        <is>
          <t>Recebido</t>
        </is>
      </c>
      <c r="F127" s="112">
        <f>IF(OR($E127="Recebido",$C127=""),"",MAX(0,TODAY()-$C127))</f>
        <v/>
      </c>
      <c r="G127" s="78" t="inlineStr">
        <is>
          <t>Recebido via Pix em 10/09/2026 — lançado em "Set 2026".</t>
        </is>
      </c>
    </row>
    <row r="128" s="157">
      <c r="A128" s="82" t="inlineStr">
        <is>
          <t>Clebson Dantas Da Silva</t>
        </is>
      </c>
      <c r="B128" s="82" t="inlineStr">
        <is>
          <t>Refil Everest</t>
        </is>
      </c>
      <c r="C128" s="81" t="n">
        <v>46266</v>
      </c>
      <c r="D128" s="83" t="n">
        <v>140</v>
      </c>
      <c r="E128" s="113" t="inlineStr">
        <is>
          <t>Recebido</t>
        </is>
      </c>
      <c r="F128" s="113">
        <f>IF(OR($E128="Recebido",$C128=""),"",MAX(0,TODAY()-$C128))</f>
        <v/>
      </c>
      <c r="G128" s="82" t="inlineStr">
        <is>
          <t>Recebido via Pix em 02/09/2026</t>
        </is>
      </c>
    </row>
    <row r="129" s="157">
      <c r="A129" s="82" t="inlineStr">
        <is>
          <t>Tesla Imagem Medicina Diagnostica Ltda</t>
        </is>
      </c>
      <c r="B129" s="82" t="inlineStr">
        <is>
          <t>3x Refil Everest + 2x Pré Filtro</t>
        </is>
      </c>
      <c r="C129" s="81" t="n">
        <v>46267</v>
      </c>
      <c r="D129" s="83" t="n">
        <v>540</v>
      </c>
      <c r="E129" s="113" t="inlineStr">
        <is>
          <t>Recebido</t>
        </is>
      </c>
      <c r="F129" s="113">
        <f>IF(OR($E129="Recebido",$C129=""),"",MAX(0,TODAY()-$C129))</f>
        <v/>
      </c>
      <c r="G129" s="82" t="inlineStr">
        <is>
          <t>Troca do dia 02/09/2026 — 1º Andar, Térreo e Copa. Recebido via Pix em 08/09/2026 — lançado em "Set 2026".</t>
        </is>
      </c>
    </row>
    <row r="130" s="157">
      <c r="A130" s="78" t="inlineStr">
        <is>
          <t>Cecilio Mota Junior</t>
        </is>
      </c>
      <c r="B130" s="78" t="inlineStr">
        <is>
          <t>Refil Everest</t>
        </is>
      </c>
      <c r="C130" s="77" t="n">
        <v>46267</v>
      </c>
      <c r="D130" s="79" t="n">
        <v>140</v>
      </c>
      <c r="E130" s="112" t="inlineStr">
        <is>
          <t>Recebido</t>
        </is>
      </c>
      <c r="F130" s="112">
        <f>IF(OR($E130="Recebido",$C130=""),"",MAX(0,TODAY()-$C130))</f>
        <v/>
      </c>
      <c r="G130" s="78" t="inlineStr">
        <is>
          <t>Recebido via Pix em 10/09/2026 — lançado em "Set 2026".</t>
        </is>
      </c>
    </row>
    <row r="131" s="157">
      <c r="A131" s="78" t="inlineStr">
        <is>
          <t>Tereza Cristina Aquino Martins - Luiz Augusto</t>
        </is>
      </c>
      <c r="B131" s="78" t="inlineStr">
        <is>
          <t>Refil Everest + Pré Filtro</t>
        </is>
      </c>
      <c r="C131" s="77" t="n">
        <v>46268</v>
      </c>
      <c r="D131" s="79" t="n">
        <v>200</v>
      </c>
      <c r="E131" s="112" t="inlineStr">
        <is>
          <t>Recebido</t>
        </is>
      </c>
      <c r="F131" s="112">
        <f>IF(OR($E131="Recebido",$C131=""),"",MAX(0,TODAY()-$C131))</f>
        <v/>
      </c>
      <c r="G131" s="78" t="inlineStr">
        <is>
          <t>Recebido via Pix em 04/09/2026.</t>
        </is>
      </c>
    </row>
    <row r="132" s="157">
      <c r="A132" s="78" t="inlineStr">
        <is>
          <t>Samille Fiscina Lima Lordello - Tiago (Cartório)</t>
        </is>
      </c>
      <c r="B132" s="78" t="inlineStr">
        <is>
          <t>Refil Pro Life</t>
        </is>
      </c>
      <c r="C132" s="77" t="n">
        <v>46269</v>
      </c>
      <c r="D132" s="79" t="n">
        <v>140</v>
      </c>
      <c r="E132" s="112" t="inlineStr">
        <is>
          <t>Recebido</t>
        </is>
      </c>
      <c r="F132" s="112">
        <f>IF(OR($E132="Recebido",$C132=""),"",MAX(0,TODAY()-$C132))</f>
        <v/>
      </c>
      <c r="G132" s="78" t="inlineStr">
        <is>
          <t>Recebido via Pix em 10/09/2026 — lançado em "Set 2026".</t>
        </is>
      </c>
    </row>
    <row r="133" s="157">
      <c r="A133" s="78" t="inlineStr">
        <is>
          <t>Bomboniere Doce Mania - Veronildo Basilio</t>
        </is>
      </c>
      <c r="B133" s="78" t="inlineStr">
        <is>
          <t>Refil Plissado + Refil BAG</t>
        </is>
      </c>
      <c r="C133" s="77" t="n">
        <v>46274</v>
      </c>
      <c r="D133" s="79" t="n">
        <v>150</v>
      </c>
      <c r="E133" s="112" t="inlineStr">
        <is>
          <t>Recebido</t>
        </is>
      </c>
      <c r="F133" s="112">
        <f>IF(OR($E133="Recebido",$C133=""),"",MAX(0,TODAY()-$C133))</f>
        <v/>
      </c>
      <c r="G133" s="78" t="inlineStr">
        <is>
          <t>Recebido em dinheiro em 16/09/2026 — lançado em "Set 2026".</t>
        </is>
      </c>
    </row>
    <row r="134" s="157">
      <c r="A134" s="78" t="inlineStr">
        <is>
          <t>Adriadne (Hotel Jovem Jota)</t>
        </is>
      </c>
      <c r="B134" s="78" t="inlineStr">
        <is>
          <t>Refil Everest</t>
        </is>
      </c>
      <c r="C134" s="77" t="n">
        <v>46275</v>
      </c>
      <c r="D134" s="79" t="n">
        <v>140</v>
      </c>
      <c r="E134" s="112" t="inlineStr">
        <is>
          <t>Recebido</t>
        </is>
      </c>
      <c r="F134" s="112">
        <f>IF(OR($E134="Recebido",$C134=""),"",MAX(0,TODAY()-$C134))</f>
        <v/>
      </c>
      <c r="G134" s="78" t="inlineStr">
        <is>
          <t>Recebido via Pix em 11/09/2026 — lançado em "Set 2026".</t>
        </is>
      </c>
    </row>
    <row r="135" s="157">
      <c r="A135" s="78" t="inlineStr">
        <is>
          <t>Pousada Triunfo Ltda (Hotel Triunfo)</t>
        </is>
      </c>
      <c r="B135" s="78" t="inlineStr">
        <is>
          <t>Refil Everest + Pré Filtro</t>
        </is>
      </c>
      <c r="C135" s="77" t="n">
        <v>46275</v>
      </c>
      <c r="D135" s="79" t="n">
        <v>200</v>
      </c>
      <c r="E135" s="112" t="inlineStr">
        <is>
          <t>Recebido</t>
        </is>
      </c>
      <c r="F135" s="112">
        <f>IF(OR($E135="Recebido",$C135=""),"",MAX(0,TODAY()-$C135))</f>
        <v/>
      </c>
      <c r="G135" s="78" t="inlineStr">
        <is>
          <t>Recebido via Pix em 11/09/2026 — lançado em "Set 2026".</t>
        </is>
      </c>
    </row>
    <row r="136" s="157">
      <c r="A136" s="78" t="inlineStr">
        <is>
          <t>Topvel Tropical Veiculos e Pecas</t>
        </is>
      </c>
      <c r="B136" s="78" t="inlineStr">
        <is>
          <t>2x Refil Everest + 2x Pré Filtro</t>
        </is>
      </c>
      <c r="C136" s="77" t="n">
        <v>46276</v>
      </c>
      <c r="D136" s="79" t="n">
        <v>370</v>
      </c>
      <c r="E136" s="112" t="inlineStr">
        <is>
          <t>Pendente</t>
        </is>
      </c>
      <c r="F136" s="112">
        <f>IF(OR($E136="Recebido",$C136=""),"",MAX(0,TODAY()-$C136))</f>
        <v/>
      </c>
      <c r="G136" s="78" t="inlineStr">
        <is>
          <t>Troca do dia 11/09/2026 — dois purificadores.</t>
        </is>
      </c>
    </row>
    <row r="137" s="157">
      <c r="A137" s="78" t="inlineStr">
        <is>
          <t>J Diesel Motores e Reparos - Gilmara</t>
        </is>
      </c>
      <c r="B137" s="78" t="inlineStr">
        <is>
          <t>Refil Everest</t>
        </is>
      </c>
      <c r="C137" s="77" t="n">
        <v>46276</v>
      </c>
      <c r="D137" s="79" t="n">
        <v>140</v>
      </c>
      <c r="E137" s="112" t="inlineStr">
        <is>
          <t>Recebido</t>
        </is>
      </c>
      <c r="F137" s="112">
        <f>IF(OR($E137="Recebido",$C137=""),"",MAX(0,TODAY()-$C137))</f>
        <v/>
      </c>
      <c r="G137" s="78" t="inlineStr">
        <is>
          <t>Troca do dia 11/09/2026.</t>
        </is>
      </c>
    </row>
    <row r="138" s="157">
      <c r="A138" s="78" t="inlineStr">
        <is>
          <t>IOB</t>
        </is>
      </c>
      <c r="B138" s="78" t="inlineStr">
        <is>
          <t>Refil Everest + Pré Filtro</t>
        </is>
      </c>
      <c r="C138" s="77" t="n">
        <v>46279</v>
      </c>
      <c r="D138" s="79" t="n">
        <v>200</v>
      </c>
      <c r="E138" s="112" t="inlineStr">
        <is>
          <t>Recebido</t>
        </is>
      </c>
      <c r="F138" s="112">
        <f>IF(OR($E138="Recebido",$C138=""),"",MAX(0,TODAY()-$C138))</f>
        <v/>
      </c>
      <c r="G138" s="78" t="inlineStr">
        <is>
          <t>Troca do dia 14/09/2026.</t>
        </is>
      </c>
    </row>
    <row r="139" s="157">
      <c r="A139" s="78" t="inlineStr">
        <is>
          <t>Clínica Santa Cecília</t>
        </is>
      </c>
      <c r="B139" s="78" t="inlineStr">
        <is>
          <t>Refil Everest + Termostato</t>
        </is>
      </c>
      <c r="C139" s="77" t="n">
        <v>46281</v>
      </c>
      <c r="D139" s="79" t="n">
        <v>310</v>
      </c>
      <c r="E139" s="112" t="inlineStr">
        <is>
          <t>Recebido</t>
        </is>
      </c>
      <c r="F139" s="112">
        <f>IF(OR($E139="Recebido",$C139=""),"",MAX(0,TODAY()-$C139))</f>
        <v/>
      </c>
      <c r="G139" s="78" t="inlineStr">
        <is>
          <t>Troca do dia 16/09/2026 — refil + troca de termostato. Recebido via Pix em 29/09/2026.</t>
        </is>
      </c>
    </row>
    <row r="140" s="157">
      <c r="A140" s="78" t="inlineStr">
        <is>
          <t>Marilda Macedo / José Luciano Costa</t>
        </is>
      </c>
      <c r="B140" s="78" t="inlineStr">
        <is>
          <t>Refil Everest + Pré Filtro</t>
        </is>
      </c>
      <c r="C140" s="77" t="n">
        <v>46283</v>
      </c>
      <c r="D140" s="79" t="n">
        <v>200</v>
      </c>
      <c r="E140" s="112" t="inlineStr">
        <is>
          <t>Recebido</t>
        </is>
      </c>
      <c r="F140" s="112">
        <f>IF(OR($E140="Recebido",$C140=""),"",MAX(0,TODAY()-$C140))</f>
        <v/>
      </c>
      <c r="G140" s="78" t="inlineStr">
        <is>
          <t>Recebido via Pix em 19/09/2026 — lançado em "Set 2026".</t>
        </is>
      </c>
    </row>
    <row r="141" s="157">
      <c r="A141" s="78" t="inlineStr">
        <is>
          <t>Tatiana Rocha</t>
        </is>
      </c>
      <c r="B141" s="78" t="inlineStr">
        <is>
          <t>Refil Everest</t>
        </is>
      </c>
      <c r="C141" s="77" t="n">
        <v>46286</v>
      </c>
      <c r="D141" s="79" t="n">
        <v>140</v>
      </c>
      <c r="E141" s="112" t="inlineStr">
        <is>
          <t>Recebido</t>
        </is>
      </c>
      <c r="F141" s="112">
        <f>IF(OR($E141="Recebido",$C141=""),"",MAX(0,TODAY()-$C141))</f>
        <v/>
      </c>
      <c r="G141" s="78" t="inlineStr">
        <is>
          <t>Troca do dia 21/09/2026. Recebido via Pix em 22/09/2026 — lançado em "Set 2026".</t>
        </is>
      </c>
    </row>
    <row r="142" s="157">
      <c r="A142" s="78" t="inlineStr">
        <is>
          <t>Cleone Gomes de Andrade</t>
        </is>
      </c>
      <c r="B142" s="78" t="inlineStr">
        <is>
          <t>Refil Everest</t>
        </is>
      </c>
      <c r="C142" s="77" t="n">
        <v>46286</v>
      </c>
      <c r="D142" s="79" t="n">
        <v>140</v>
      </c>
      <c r="E142" s="112" t="inlineStr">
        <is>
          <t>Recebido</t>
        </is>
      </c>
      <c r="F142" s="112">
        <f>IF(OR($E142="Recebido",$C142=""),"",MAX(0,TODAY()-$C142))</f>
        <v/>
      </c>
      <c r="G142" s="78" t="inlineStr">
        <is>
          <t>Troca do dia 21/09/2026. Recebido via Pix em 21/09/2026.</t>
        </is>
      </c>
    </row>
    <row r="143" s="157">
      <c r="A143" s="78" t="inlineStr">
        <is>
          <t>Centro de Especialidades Odontomédicas</t>
        </is>
      </c>
      <c r="B143" s="78" t="inlineStr">
        <is>
          <t>2x Refil Everest</t>
        </is>
      </c>
      <c r="C143" s="77" t="n">
        <v>46044</v>
      </c>
      <c r="D143" s="79" t="n">
        <v>280</v>
      </c>
      <c r="E143" s="112" t="inlineStr">
        <is>
          <t>Pendente</t>
        </is>
      </c>
      <c r="F143" s="112">
        <f>IF(OR($E143="Recebido",$C143=""),"",MAX(0,TODAY()-$C143))</f>
        <v/>
      </c>
      <c r="G143" s="78" t="inlineStr">
        <is>
          <t>NF-e 4039 de 22/01/2026 (CNPJ 54.747.945/0001-09). Venda anterior ao controle manual (aba Jan 2026 vem do Livro Caixa). Conferido no DigiSat em 28/09/2026: não recebido. Mesmo cliente tem outra pendência de 05/08/2026 (R$ 140,00).</t>
        </is>
      </c>
    </row>
    <row r="144" s="157">
      <c r="A144" s="78" t="inlineStr">
        <is>
          <t>Igreja Messiânica Mundial do Brasil</t>
        </is>
      </c>
      <c r="B144" s="78" t="inlineStr">
        <is>
          <t>Mangueira</t>
        </is>
      </c>
      <c r="C144" s="77" t="n">
        <v>46073</v>
      </c>
      <c r="D144" s="79" t="n">
        <v>30</v>
      </c>
      <c r="E144" s="112" t="inlineStr">
        <is>
          <t>Pendente</t>
        </is>
      </c>
      <c r="F144" s="112">
        <f>IF(OR($E144="Recebido",$C144=""),"",MAX(0,TODAY()-$C144))</f>
        <v/>
      </c>
      <c r="G144" s="78" t="inlineStr">
        <is>
          <t>NF-e 4075 de 20/02/2026 (CNPJ 62.647.383/0063-44). Conferido no DigiSat em 28/09/2026: não recebido.</t>
        </is>
      </c>
    </row>
    <row r="145" s="157">
      <c r="A145" s="78" t="inlineStr">
        <is>
          <t>Centro Médico de Jacobina</t>
        </is>
      </c>
      <c r="B145" s="78" t="inlineStr">
        <is>
          <t>2x Botão Completo</t>
        </is>
      </c>
      <c r="C145" s="77" t="n">
        <v>46203</v>
      </c>
      <c r="D145" s="79" t="n">
        <v>60</v>
      </c>
      <c r="E145" s="112" t="inlineStr">
        <is>
          <t>Pendente</t>
        </is>
      </c>
      <c r="F145" s="112">
        <f>IF(OR($E145="Recebido",$C145=""),"",MAX(0,TODAY()-$C145))</f>
        <v/>
      </c>
      <c r="G145" s="78" t="inlineStr">
        <is>
          <t>NF-e 4242 de 30/06/2026 (CNPJ 13.228.432/0001-04). Conferido no DigiSat em 28/09/2026: não recebido.</t>
        </is>
      </c>
    </row>
    <row r="146" s="157">
      <c r="A146" s="78" t="inlineStr">
        <is>
          <t>Vivencie Turismo Agencia de Viagens - Aneildes Rios</t>
        </is>
      </c>
      <c r="B146" s="78" t="inlineStr">
        <is>
          <t>Refil Everest</t>
        </is>
      </c>
      <c r="C146" s="77" t="n">
        <v>46294</v>
      </c>
      <c r="D146" s="79" t="n">
        <v>140</v>
      </c>
      <c r="E146" s="112" t="inlineStr">
        <is>
          <t>Recebido</t>
        </is>
      </c>
      <c r="F146" s="112">
        <f>IF(OR($E146="Recebido",$C146=""),"",MAX(0,TODAY()-$C146))</f>
        <v/>
      </c>
      <c r="G146" s="78" t="inlineStr">
        <is>
          <t>Troca do dia 29/09/2026. Recebido via Pix em 05/10/2026 — R$ 135,00 (Pix único de R$ 270,00 com as duas trocas; R$ 10,00 de desconto dividido).</t>
        </is>
      </c>
    </row>
    <row r="147" s="157">
      <c r="A147" s="78" t="inlineStr">
        <is>
          <t>Lapec</t>
        </is>
      </c>
      <c r="B147" s="78" t="inlineStr">
        <is>
          <t>Refil C+3</t>
        </is>
      </c>
      <c r="C147" s="77" t="n">
        <v>46294</v>
      </c>
      <c r="D147" s="79" t="n">
        <v>100</v>
      </c>
      <c r="E147" s="112" t="inlineStr">
        <is>
          <t>Pendente</t>
        </is>
      </c>
      <c r="F147" s="112">
        <f>IF(OR($E147="Recebido",$C147=""),"",MAX(0,TODAY()-$C147))</f>
        <v/>
      </c>
      <c r="G147" s="78" t="inlineStr">
        <is>
          <t>Pagamento previsto para 30/09/2026.</t>
        </is>
      </c>
    </row>
    <row r="148" s="157">
      <c r="A148" s="78" t="inlineStr">
        <is>
          <t>PC Jacobina Administradora de Cartões LTDA</t>
        </is>
      </c>
      <c r="B148" s="78" t="inlineStr">
        <is>
          <t>Refil Everest</t>
        </is>
      </c>
      <c r="C148" s="77" t="n">
        <v>46295</v>
      </c>
      <c r="D148" s="79" t="n">
        <v>140</v>
      </c>
      <c r="E148" s="112" t="inlineStr">
        <is>
          <t>Pendente</t>
        </is>
      </c>
      <c r="F148" s="112">
        <f>IF(OR($E148="Recebido",$C148=""),"",MAX(0,TODAY()-$C148))</f>
        <v/>
      </c>
      <c r="G148" s="78" t="inlineStr">
        <is>
          <t>Troca do dia 30/09/2026.</t>
        </is>
      </c>
    </row>
    <row r="149" s="157">
      <c r="A149" s="78" t="inlineStr">
        <is>
          <t>Aneilde Rios de Oliveira</t>
        </is>
      </c>
      <c r="B149" s="78" t="inlineStr">
        <is>
          <t>Refil Everest</t>
        </is>
      </c>
      <c r="C149" s="77" t="n">
        <v>46296</v>
      </c>
      <c r="D149" s="79" t="n">
        <v>140</v>
      </c>
      <c r="E149" s="112" t="inlineStr">
        <is>
          <t>Recebido</t>
        </is>
      </c>
      <c r="F149" s="112">
        <f>IF(OR($E149="Recebido",$C149=""),"",MAX(0,TODAY()-$C149))</f>
        <v/>
      </c>
      <c r="G149" s="78" t="inlineStr">
        <is>
          <t>Troca do dia 01/10/2026 (casa, Caeira). Recebido via Pix em 05/10/2026 — R$ 135,00 (Pix único de R$ 270,00 com as duas trocas; R$ 10,00 de desconto dividido).</t>
        </is>
      </c>
    </row>
    <row r="150" s="157">
      <c r="A150" s="78" t="inlineStr">
        <is>
          <t>Centro Medico da Chapada Diamantina LTDA</t>
        </is>
      </c>
      <c r="B150" s="78" t="inlineStr">
        <is>
          <t>Refil Pro Life + 2x Botão Completo</t>
        </is>
      </c>
      <c r="C150" s="77" t="n">
        <v>46296</v>
      </c>
      <c r="D150" s="79" t="n">
        <v>200</v>
      </c>
      <c r="E150" s="112" t="inlineStr">
        <is>
          <t>Pendente</t>
        </is>
      </c>
      <c r="F150" s="112">
        <f>IF(OR($E150="Recebido",$C150=""),"",MAX(0,TODAY()-$C150))</f>
        <v/>
      </c>
      <c r="G150" s="78" t="inlineStr">
        <is>
          <t>Subsolo — troca do dia 01/10/2026 (refil + 2 botões).</t>
        </is>
      </c>
    </row>
    <row r="151" s="157">
      <c r="A151" s="78" t="inlineStr">
        <is>
          <t>Centro Medico da Chapada Diamantina LTDA</t>
        </is>
      </c>
      <c r="B151" s="78" t="inlineStr">
        <is>
          <t>Refil Pro Life + 2x Botão Completo</t>
        </is>
      </c>
      <c r="C151" s="77" t="n">
        <v>46297</v>
      </c>
      <c r="D151" s="79" t="n">
        <v>200</v>
      </c>
      <c r="E151" s="112" t="inlineStr">
        <is>
          <t>Pendente</t>
        </is>
      </c>
      <c r="F151" s="112">
        <f>IF(OR($E151="Recebido",$C151=""),"",MAX(0,TODAY()-$C151))</f>
        <v/>
      </c>
      <c r="G151" s="78" t="inlineStr">
        <is>
          <t>1º Andar — troca do dia 02/10/2026 (refil + 2 botões).</t>
        </is>
      </c>
    </row>
    <row r="152" s="157">
      <c r="A152" s="86" t="inlineStr">
        <is>
          <t>TOTAL EM ABERTO A RECEBER (detalhe)</t>
        </is>
      </c>
      <c r="D152" s="115">
        <f>SUMIF(E101:E151,"Pendente",D101:D151)</f>
        <v/>
      </c>
    </row>
    <row r="153" s="157">
      <c r="A153" s="202" t="inlineStr">
        <is>
          <t>CONFERÊNCIA COM AS ABAS DOS MESES</t>
        </is>
      </c>
      <c r="B153" s="159" t="n"/>
      <c r="C153" s="159" t="n"/>
      <c r="D153" s="159" t="n"/>
      <c r="E153" s="159" t="n"/>
      <c r="F153" s="159" t="n"/>
      <c r="G153" s="160" t="n"/>
    </row>
    <row r="154" s="157">
      <c r="A154" s="203">
        <f>IF(ROUND(D152-C5,2)=0,"OK — o detalhe acima bate com as vendas marcadas como Aguardando Pagamento nas abas dos meses.","ATENÇÃO: diferença de R$ "&amp;TEXT(ABS(D152-C5),"#,##0.00")&amp;" entre este detalhe e as abas dos meses — alguma venda mudou de status em um lado só.")</f>
        <v/>
      </c>
    </row>
    <row r="155" s="157">
      <c r="A155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156" s="157"/>
    <row r="157" s="157"/>
    <row r="158" s="157"/>
    <row r="159" s="157"/>
    <row r="160" s="157"/>
    <row r="161" s="157"/>
    <row r="162" s="157"/>
    <row r="163" s="157"/>
    <row r="164" s="157"/>
    <row r="165" s="157"/>
    <row r="166" s="157"/>
    <row r="167" s="157"/>
    <row r="168" s="157"/>
    <row r="169" s="157"/>
    <row r="170" s="157"/>
    <row r="171" s="157"/>
    <row r="172" s="157"/>
    <row r="173" s="157"/>
    <row r="174" s="157"/>
    <row r="175" s="157"/>
    <row r="176" s="157"/>
    <row r="177" s="157"/>
    <row r="178" s="157"/>
    <row r="179" s="157"/>
    <row r="180" s="157"/>
    <row r="181" s="157"/>
    <row r="182" s="157"/>
    <row r="183" s="157"/>
    <row r="184" s="157"/>
    <row r="185" s="157"/>
    <row r="186" s="157"/>
    <row r="187" s="157"/>
    <row r="188" s="157"/>
    <row r="189" s="157"/>
    <row r="190" s="157"/>
    <row r="191" s="157"/>
    <row r="192" s="157"/>
    <row r="193" s="157"/>
    <row r="194" s="157"/>
    <row r="195" s="157"/>
    <row r="196" s="157"/>
    <row r="197" s="157"/>
    <row r="198" s="157"/>
    <row r="199" s="157"/>
    <row r="200" s="157"/>
    <row r="201" s="157"/>
    <row r="202" s="157"/>
    <row r="203" s="157"/>
    <row r="204" s="157"/>
  </sheetData>
  <mergeCells count="13">
    <mergeCell ref="A4:B4"/>
    <mergeCell ref="E4:F4"/>
    <mergeCell ref="A1:G1"/>
    <mergeCell ref="A9:G9"/>
    <mergeCell ref="A154:G154"/>
    <mergeCell ref="C5:D6"/>
    <mergeCell ref="A5:B6"/>
    <mergeCell ref="A2:G2"/>
    <mergeCell ref="E5:F6"/>
    <mergeCell ref="A153:G153"/>
    <mergeCell ref="A98:G98"/>
    <mergeCell ref="A99:G99"/>
    <mergeCell ref="C4:D4"/>
  </mergeCells>
  <dataValidations count="2">
    <dataValidation sqref="E11:E92" showDropDown="0" showInputMessage="0" showErrorMessage="0" allowBlank="1" type="list">
      <formula1>"Pendente,Pago,Previsto"</formula1>
    </dataValidation>
    <dataValidation sqref="E101:E151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20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 s="157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 s="157">
      <c r="A16" s="40" t="n">
        <v>46295</v>
      </c>
      <c r="B16" s="34" t="inlineStr">
        <is>
          <t>Knox Produtos Refrigerados (2 bebedouros industriais)</t>
        </is>
      </c>
      <c r="C16" s="34" t="inlineStr">
        <is>
          <t>Fornecedores / Mercadoria</t>
        </is>
      </c>
      <c r="D16" s="35" t="n">
        <v>3272</v>
      </c>
      <c r="E16" s="36" t="inlineStr">
        <is>
          <t>A Devolver</t>
        </is>
      </c>
      <c r="F16" s="40" t="n"/>
      <c r="G16" s="34" t="inlineStr">
        <is>
          <t>Pago pelo Adriano via Pix do Banco do Brasil com dinheiro da reserva — 30/09/2026</t>
        </is>
      </c>
    </row>
    <row r="17" s="157">
      <c r="A17" s="164" t="n"/>
    </row>
    <row r="18" s="157">
      <c r="A18" s="210" t="inlineStr">
        <is>
          <t>Como registrar uma devolução:</t>
        </is>
      </c>
    </row>
    <row r="19" s="157">
      <c r="A19" s="211" t="inlineStr">
        <is>
          <t>1. Trocar "Status" da linha para "Devolvido" e preencher a "Data da Devolução".</t>
        </is>
      </c>
    </row>
    <row r="20" s="157">
      <c r="A20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9:G19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8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para pagar todas as contas E o pró-labore da Edilânia, sem prejuízo. Base: média dos meses já fechados em 2026 (o mês em andamento só entra na média quando terminar).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da loja (média por mês)</t>
        </is>
      </c>
      <c r="B9" s="55">
        <f>'DRE Simplificado'!O23</f>
        <v/>
      </c>
    </row>
    <row r="10">
      <c r="A10" s="130" t="inlineStr">
        <is>
          <t>Pró-labore combinado da Edilânia (por mês)</t>
        </is>
      </c>
      <c r="B10" s="65" t="n">
        <v>4000</v>
      </c>
      <c r="C10" s="131" t="inlineStr">
        <is>
          <t>← valor combinado em 05/10/2026. Se o combinado mudar, troque só aqui — a planilha e o site usam este número.</t>
        </is>
      </c>
    </row>
    <row r="11">
      <c r="A11" s="246" t="inlineStr">
        <is>
          <t>Total a pagar por mês (custos fixos + pró-labore)</t>
        </is>
      </c>
      <c r="B11" s="247">
        <f>B9+B10</f>
        <v/>
      </c>
    </row>
    <row r="12">
      <c r="A12" s="59" t="inlineStr">
        <is>
          <t>PONTO DE EQUILÍBRIO (faturamento mínimo/mês, já pagando o pró-labore)</t>
        </is>
      </c>
      <c r="B12" s="60">
        <f>IF(B8&lt;=0,"",B11/B8)</f>
        <v/>
      </c>
    </row>
    <row r="13">
      <c r="A13" s="52" t="inlineStr">
        <is>
          <t>Sobra média da loja ANTES do pró-labore</t>
        </is>
      </c>
      <c r="B13" s="55">
        <f>'DRE Simplificado'!O24</f>
        <v/>
      </c>
    </row>
    <row r="14">
      <c r="A14" s="246" t="inlineStr">
        <is>
          <t>Sobra média DEPOIS do pró-labore combinado</t>
        </is>
      </c>
      <c r="B14" s="247">
        <f>B13-B10</f>
        <v/>
      </c>
    </row>
    <row r="15" ht="15.75" customHeight="1" s="157"/>
    <row r="16" ht="30" customHeight="1" s="157">
      <c r="A16" s="130" t="inlineStr">
        <is>
          <t>Ticket médio da loja (preencha)</t>
        </is>
      </c>
      <c r="B16" s="65" t="n">
        <v>140</v>
      </c>
      <c r="C16" s="131" t="inlineStr">
        <is>
          <t>← valor médio de uma venda. Serve para converter R$ em nº de vendas.</t>
        </is>
      </c>
    </row>
    <row r="18">
      <c r="A18" s="66" t="inlineStr">
        <is>
          <t>QUANTO PRECISO VENDER PARA...</t>
        </is>
      </c>
    </row>
    <row r="19" ht="30" customHeight="1" s="157">
      <c r="A19" s="51" t="inlineStr">
        <is>
          <t>Objetivo</t>
        </is>
      </c>
      <c r="B19" s="51" t="inlineStr">
        <is>
          <t>Lucro desejado (R$) — além do pró-labore</t>
        </is>
      </c>
      <c r="C19" s="51" t="inlineStr">
        <is>
          <t>Faturamento necessário (R$)</t>
        </is>
      </c>
      <c r="D19" s="51" t="inlineStr">
        <is>
          <t>Nº de vendas no mês</t>
        </is>
      </c>
      <c r="E19" s="51" t="inlineStr">
        <is>
          <t>Vendas por dia útil (26 dias)</t>
        </is>
      </c>
    </row>
    <row r="20">
      <c r="A20" s="52" t="inlineStr">
        <is>
          <t>Pagar tudo e a Edilânia (sem prejuízo)</t>
        </is>
      </c>
      <c r="B20" s="55" t="n">
        <v>0</v>
      </c>
      <c r="C20" s="55">
        <f>IF($B$8&lt;=0,"",($B$11+B20)/$B$8)</f>
        <v/>
      </c>
      <c r="D20" s="56">
        <f>IF(OR($B$8&lt;=0,$B$16=0),"",ROUNDUP(C20/$B$16,0))</f>
        <v/>
      </c>
      <c r="E20" s="56">
        <f>IF(D20="","",ROUND(D20/26,1))</f>
        <v/>
      </c>
    </row>
    <row r="21">
      <c r="A21" s="52" t="inlineStr">
        <is>
          <t>Lucrar R$ 500</t>
        </is>
      </c>
      <c r="B21" s="55" t="n">
        <v>500</v>
      </c>
      <c r="C21" s="55">
        <f>IF($B$8&lt;=0,"",($B$11+B21)/$B$8)</f>
        <v/>
      </c>
      <c r="D21" s="56">
        <f>IF(OR($B$8&lt;=0,$B$16=0),"",ROUNDUP(C21/$B$16,0))</f>
        <v/>
      </c>
      <c r="E21" s="56">
        <f>IF(D21="","",ROUND(D21/26,1))</f>
        <v/>
      </c>
    </row>
    <row r="22">
      <c r="A22" s="52" t="inlineStr">
        <is>
          <t>Lucrar R$ 1.000</t>
        </is>
      </c>
      <c r="B22" s="55" t="n">
        <v>1000</v>
      </c>
      <c r="C22" s="55">
        <f>IF($B$8&lt;=0,"",($B$11+B22)/$B$8)</f>
        <v/>
      </c>
      <c r="D22" s="56">
        <f>IF(OR($B$8&lt;=0,$B$16=0),"",ROUNDUP(C22/$B$16,0))</f>
        <v/>
      </c>
      <c r="E22" s="56">
        <f>IF(D22="","",ROUND(D22/26,1))</f>
        <v/>
      </c>
    </row>
    <row r="23">
      <c r="A23" s="52" t="inlineStr">
        <is>
          <t>Lucrar R$ 2.000</t>
        </is>
      </c>
      <c r="B23" s="55" t="n">
        <v>2000</v>
      </c>
      <c r="C23" s="55">
        <f>IF($B$8&lt;=0,"",($B$11+B23)/$B$8)</f>
        <v/>
      </c>
      <c r="D23" s="56">
        <f>IF(OR($B$8&lt;=0,$B$16=0),"",ROUNDUP(C23/$B$16,0))</f>
        <v/>
      </c>
      <c r="E23" s="56">
        <f>IF(D23="","",ROUND(D23/26,1))</f>
        <v/>
      </c>
    </row>
    <row r="24">
      <c r="A24" s="52" t="inlineStr">
        <is>
          <t>Lucrar R$ 3.000</t>
        </is>
      </c>
      <c r="B24" s="55" t="n">
        <v>3000</v>
      </c>
      <c r="C24" s="55">
        <f>IF($B$8&lt;=0,"",($B$11+B24)/$B$8)</f>
        <v/>
      </c>
      <c r="D24" s="56">
        <f>IF(OR($B$8&lt;=0,$B$16=0),"",ROUNDUP(C24/$B$16,0))</f>
        <v/>
      </c>
      <c r="E24" s="56">
        <f>IF(D24="","",ROUND(D24/26,1))</f>
        <v/>
      </c>
    </row>
    <row r="25">
      <c r="A25" s="52" t="inlineStr">
        <is>
          <t>Lucrar R$ 5.000</t>
        </is>
      </c>
      <c r="B25" s="55" t="n">
        <v>5000</v>
      </c>
      <c r="C25" s="55">
        <f>IF($B$8&lt;=0,"",($B$11+B25)/$B$8)</f>
        <v/>
      </c>
      <c r="D25" s="56">
        <f>IF(OR($B$8&lt;=0,$B$16=0),"",ROUNDUP(C25/$B$16,0))</f>
        <v/>
      </c>
      <c r="E25" s="56">
        <f>IF(D25="","",ROUND(D25/26,1))</f>
        <v/>
      </c>
    </row>
    <row r="27">
      <c r="A27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fixos, o pró-labore e gerar lucro.")</f>
        <v/>
      </c>
    </row>
    <row r="28" ht="30" customHeight="1" s="157">
      <c r="A28" s="248" t="inlineStr">
        <is>
          <t>O pró-labore da Edilânia é tudo o que ela gasta do dinheiro da loja (categoria "Pro Labore Edilânia" nas abas dos meses). Por isso ele entra aqui como uma conta fixa: a loja só está "no zero a zero" quando paga todas as despesas E os R$ combinados com ela.</t>
        </is>
      </c>
    </row>
  </sheetData>
  <mergeCells count="4">
    <mergeCell ref="A28:H28"/>
    <mergeCell ref="A27:H27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dos meses já fechados;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Simplificado'!O23+'Ponto de Equilíbrio'!$B$10)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Simplificado'!O23+'Ponto de Equilíbrio'!$B$10)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Simplificado'!O23+'Ponto de Equilíbrio'!$B$10)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Simplificado'!O23+'Ponto de Equilíbrio'!$B$10)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 + pró-labore combinado da Edilânia.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+ pró-labore combinado da Edilânia</t>
        </is>
      </c>
      <c r="B6" s="57">
        <f>'DRE Simplificado'!O23+'Ponto de Equilíbrio'!$B$10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22728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Pix do BNB para Adriano guardados como reserva (confirmado pela Edilânia em 30/09/2026): R$ 500,00 em 11/09 e R$ 2.000,00 em 25/09. Em 30/09/2026 saíram R$ 3.272,00 da reserva para pagar 2 bebedouros industriais da Knox (a loja deve devolver — ver aba Capital de Giro (BB)). Total guardado: R$ 22.728,00. Em aberto: Pix de R$ 2.000,00 para Adriano em 09/09 — confirmar se já faz parte dos R$ 6.500,00 do mesmo dia.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os custos fixos E o pró-labore da Edilânia.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2">
      <c r="A22" s="54" t="inlineStr">
        <is>
          <t>Pró-labore Edilânia (combinado)</t>
        </is>
      </c>
      <c r="B22" s="57">
        <f>'Ponto de Equilíbrio'!$B$10</f>
        <v/>
      </c>
      <c r="C22" s="57">
        <f>'Ago 2026'!L17</f>
        <v/>
      </c>
      <c r="D22" s="57">
        <f>C22-B22</f>
        <v/>
      </c>
      <c r="E22" s="64">
        <f>IF(B22=0,"",C22/B22)</f>
        <v/>
      </c>
      <c r="F22" s="54">
        <f>IF(B22=0,"",IF(C22&lt;=B22,"✔ Dentro do combinado","Passou "&amp;TEXT(C22-B22,"R$ #,##0.00")))</f>
        <v/>
      </c>
    </row>
    <row r="23">
      <c r="A23" s="59" t="inlineStr">
        <is>
          <t>RESULTADO (Faturamento − Despesas − Pró-labore)</t>
        </is>
      </c>
      <c r="B23" s="60">
        <f>B5-B21-B22</f>
        <v/>
      </c>
      <c r="C23" s="60">
        <f>C5-C21-C22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46023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parcela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SUMIF(H5:H134,K5,G5:G134)</f>
        <v/>
      </c>
      <c r="N5" s="229">
        <f>D135-F135-T5</f>
        <v/>
      </c>
      <c r="P5" s="231">
        <f>L18-L19</f>
        <v/>
      </c>
      <c r="R5" s="230">
        <f>D136</f>
        <v/>
      </c>
      <c r="T5" s="212">
        <f>SUMIF(E5:E134,"Aguardando Pagamento",D5:D134)</f>
        <v/>
      </c>
    </row>
    <row r="6" ht="14.1" customHeight="1" s="157">
      <c r="A6" s="44" t="n">
        <v>46024</v>
      </c>
      <c r="B6" s="45" t="inlineStr">
        <is>
          <t>Tissia Cristina Moncorvo Santos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8769</t>
        </is>
      </c>
      <c r="J6" t="inlineStr">
        <is>
          <t>CLI-0653</t>
        </is>
      </c>
      <c r="K6" s="13" t="inlineStr">
        <is>
          <t>Aluguel</t>
        </is>
      </c>
      <c r="L6" s="14">
        <f>SUMIF(H5:H134,K6,G5:G134)</f>
        <v/>
      </c>
    </row>
    <row r="7" ht="15.75" customHeight="1" s="157">
      <c r="A7" s="17" t="n">
        <v>46024</v>
      </c>
      <c r="B7" s="18" t="inlineStr">
        <is>
          <t>Maria das Dores Jordão Moreira</t>
        </is>
      </c>
      <c r="C7" s="18" t="inlineStr">
        <is>
          <t>Refil Pro Life</t>
        </is>
      </c>
      <c r="D7" s="27" t="n">
        <v>140</v>
      </c>
      <c r="E7" s="18" t="inlineStr">
        <is>
          <t>Pix</t>
        </is>
      </c>
      <c r="F7" s="19" t="n"/>
      <c r="G7" s="19" t="n"/>
      <c r="H7" s="21" t="n"/>
      <c r="I7" s="18" t="inlineStr">
        <is>
          <t>NFC-e 8770</t>
        </is>
      </c>
      <c r="J7" s="18" t="inlineStr">
        <is>
          <t>CLI-0652</t>
        </is>
      </c>
      <c r="K7" s="10" t="inlineStr">
        <is>
          <t>Água, Energia e Internet</t>
        </is>
      </c>
      <c r="L7" s="11">
        <f>SUMIF(H5:H134,K7,G5:G134)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COMBINADO",IF(TODAY()&gt;EOMONTH(DATE(2026,1,1),0),"ABAIXO DO COMBINADO","AINDA PODE GASTAR"))</f>
        <v/>
      </c>
      <c r="T7" s="224" t="inlineStr">
        <is>
          <t>SOBRA FINAL DO MÊS</t>
        </is>
      </c>
    </row>
    <row r="8">
      <c r="A8" s="44" t="n">
        <v>46024</v>
      </c>
      <c r="B8" s="45" t="inlineStr">
        <is>
          <t>RF Supermercado Brasil LTDA</t>
        </is>
      </c>
      <c r="C8" s="45" t="inlineStr">
        <is>
          <t>4x Refil Everest + Refil Pro Life</t>
        </is>
      </c>
      <c r="D8" s="46" t="n">
        <v>700</v>
      </c>
      <c r="E8" s="45" t="n"/>
      <c r="F8" s="47" t="n"/>
      <c r="G8" s="48" t="n"/>
      <c r="H8" s="49" t="n"/>
      <c r="I8" s="45" t="inlineStr">
        <is>
          <t>NF-e 4001 · nota faturada a prazo (forma de recebimento não consta na nota) · venda de 11/12/2025 — pagamento recebido em 02/01/2026</t>
        </is>
      </c>
      <c r="J8" t="inlineStr">
        <is>
          <t>EMP-0261</t>
        </is>
      </c>
      <c r="K8" s="13" t="inlineStr">
        <is>
          <t>Impostos e Taxas</t>
        </is>
      </c>
      <c r="L8" s="14">
        <f>SUMIF(H5:H134,K8,G5:G134)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46024</v>
      </c>
      <c r="B9" s="18" t="inlineStr">
        <is>
          <t>Everest Refrigeracao e Industria</t>
        </is>
      </c>
      <c r="C9" s="18" t="n"/>
      <c r="D9" s="27" t="n"/>
      <c r="E9" s="18" t="n"/>
      <c r="F9" s="19" t="n"/>
      <c r="G9" s="19" t="n">
        <v>597.74</v>
      </c>
      <c r="H9" s="21" t="inlineStr">
        <is>
          <t>Fornecedores / Mercadoria</t>
        </is>
      </c>
      <c r="I9" s="18" t="inlineStr">
        <is>
          <t>NF 358698 de 04/09/2025 · parcela 4/5 (venc. 02/01/2026) · compra total R$ 2.988,70: Purificador Everest Plus Preto + Purificador Everest Star Preto + Purificador Everest Plus Prata + Purificador Everest Fit Preto · Livro Caixa</t>
        </is>
      </c>
      <c r="J9" s="18" t="n"/>
      <c r="K9" s="10" t="inlineStr">
        <is>
          <t>Tarifas Bancárias e Cartão</t>
        </is>
      </c>
      <c r="L9" s="11">
        <f>SUMIF(H5:H134,K9,G5:G134)</f>
        <v/>
      </c>
    </row>
    <row r="10">
      <c r="A10" s="44" t="n">
        <v>46024</v>
      </c>
      <c r="B10" s="45" t="inlineStr">
        <is>
          <t>Filtros Planeta Agua Ind e Com Ltda</t>
        </is>
      </c>
      <c r="C10" s="45" t="n"/>
      <c r="D10" s="46" t="n"/>
      <c r="E10" s="45" t="n"/>
      <c r="F10" s="47" t="n"/>
      <c r="G10" s="48" t="n">
        <v>771.5599999999999</v>
      </c>
      <c r="H10" s="49" t="inlineStr">
        <is>
          <t>Fornecedores / Mercadoria</t>
        </is>
      </c>
      <c r="I10" s="45" t="inlineStr">
        <is>
          <t>NF 123868 de 24/10/2025 · parcela 4/5 (venc. 02/01/2026)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K10" s="13" t="inlineStr">
        <is>
          <t>Transporte e Entregas</t>
        </is>
      </c>
      <c r="L10" s="14">
        <f>SUMIF(H5:H134,K10,G5:G134)</f>
        <v/>
      </c>
    </row>
    <row r="11">
      <c r="A11" s="17" t="n">
        <v>46025</v>
      </c>
      <c r="B11" s="18" t="inlineStr">
        <is>
          <t>Flavia Monyque Muniz Ribeiro</t>
        </is>
      </c>
      <c r="C11" s="18" t="inlineStr">
        <is>
          <t>Purificador Everest Baby Branco</t>
        </is>
      </c>
      <c r="D11" s="27" t="n">
        <v>510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4019</t>
        </is>
      </c>
      <c r="J11" s="18" t="inlineStr">
        <is>
          <t>CLI-0655</t>
        </is>
      </c>
      <c r="K11" s="10" t="inlineStr">
        <is>
          <t>Salários, Comissões e Encargos</t>
        </is>
      </c>
      <c r="L11" s="11">
        <f>SUMIF(H5:H134,K11,G5:G134)</f>
        <v/>
      </c>
    </row>
    <row r="12">
      <c r="A12" s="44" t="n">
        <v>46025</v>
      </c>
      <c r="B12" s="45" t="inlineStr">
        <is>
          <t>Consumidor Final</t>
        </is>
      </c>
      <c r="C12" s="45" t="inlineStr">
        <is>
          <t>Refil Top Color</t>
        </is>
      </c>
      <c r="D12" s="46" t="n">
        <v>100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NFC-e 8771</t>
        </is>
      </c>
      <c r="K12" s="13" t="inlineStr">
        <is>
          <t>Contabilidade</t>
        </is>
      </c>
      <c r="L12" s="14">
        <f>SUMIF(H5:H134,K12,G5:G134)</f>
        <v/>
      </c>
    </row>
    <row r="13">
      <c r="A13" s="17" t="n">
        <v>46027</v>
      </c>
      <c r="B13" s="18" t="inlineStr">
        <is>
          <t>Jackson Macedo de Sales</t>
        </is>
      </c>
      <c r="C13" s="18" t="inlineStr">
        <is>
          <t>Refil IBBL C+3</t>
        </is>
      </c>
      <c r="D13" s="27" t="n">
        <v>95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NFC-e 8772</t>
        </is>
      </c>
      <c r="J13" s="18" t="n"/>
      <c r="K13" s="10" t="inlineStr">
        <is>
          <t>Manutenção e Reparos</t>
        </is>
      </c>
      <c r="L13" s="11">
        <f>SUMIF(H5:H134,K13,G5:G134)</f>
        <v/>
      </c>
    </row>
    <row r="14" ht="15.75" customHeight="1" s="157">
      <c r="A14" s="44" t="n">
        <v>46027</v>
      </c>
      <c r="B14" s="45" t="inlineStr">
        <is>
          <t>Eversoft Ind e Com de Plasticos Ltda</t>
        </is>
      </c>
      <c r="C14" s="45" t="n"/>
      <c r="D14" s="46" t="n"/>
      <c r="E14" s="45" t="n"/>
      <c r="F14" s="47" t="n"/>
      <c r="G14" s="48" t="n">
        <v>980.8099999999999</v>
      </c>
      <c r="H14" s="49" t="inlineStr">
        <is>
          <t>Fornecedores / Mercadoria</t>
        </is>
      </c>
      <c r="I14" s="45" t="inlineStr">
        <is>
          <t>NF 66404 de 08/08/2025 · parcela 5/5 (venc. 05/01/2026) · compra total R$ 4.904,13: 100x Refil Everest + 50x Pré Filtro · Livro Caixa</t>
        </is>
      </c>
      <c r="K14" s="13" t="inlineStr">
        <is>
          <t>Material de Limpeza e Escritório</t>
        </is>
      </c>
      <c r="L14" s="14">
        <f>SUMIF(H5:H134,K14,G5:G134)</f>
        <v/>
      </c>
    </row>
    <row r="15" ht="15.75" customHeight="1" s="157">
      <c r="A15" s="17" t="n">
        <v>46028</v>
      </c>
      <c r="B15" s="18" t="inlineStr">
        <is>
          <t>Tamo Junto Comercial e Solucoes Ltda</t>
        </is>
      </c>
      <c r="C15" s="18" t="inlineStr">
        <is>
          <t>Refil Carbon Tech 5"</t>
        </is>
      </c>
      <c r="D15" s="27" t="n">
        <v>60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8773</t>
        </is>
      </c>
      <c r="J15" s="18" t="n"/>
      <c r="K15" s="10" t="inlineStr">
        <is>
          <t>Estornos de Vendas (Cancelamentos)</t>
        </is>
      </c>
      <c r="L15" s="11">
        <f>SUMIF(H5:H134,K15,G5:G134)</f>
        <v/>
      </c>
    </row>
    <row r="16">
      <c r="A16" s="44" t="n">
        <v>46028</v>
      </c>
      <c r="B16" s="45" t="inlineStr">
        <is>
          <t>Consumidor Final</t>
        </is>
      </c>
      <c r="C16" s="45" t="inlineStr">
        <is>
          <t>Refil IBBL C+5 + Pré Filtro</t>
        </is>
      </c>
      <c r="D16" s="46" t="n">
        <v>170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8774</t>
        </is>
      </c>
      <c r="K16" t="inlineStr">
        <is>
          <t>Outras Despesas</t>
        </is>
      </c>
      <c r="L16" s="11">
        <f>SUMIF(H5:H134,K16,G5:G134)</f>
        <v/>
      </c>
    </row>
    <row r="17" ht="15.75" customHeight="1" s="157">
      <c r="A17" s="17" t="n">
        <v>46028</v>
      </c>
      <c r="B17" s="18" t="inlineStr">
        <is>
          <t>Consumidor Final</t>
        </is>
      </c>
      <c r="C17" s="18" t="inlineStr">
        <is>
          <t>4x Refil PP</t>
        </is>
      </c>
      <c r="D17" s="27" t="n">
        <v>260</v>
      </c>
      <c r="E17" s="18" t="inlineStr">
        <is>
          <t>Crédito Parcelado</t>
        </is>
      </c>
      <c r="F17" s="19" t="n"/>
      <c r="G17" s="19" t="n"/>
      <c r="H17" s="21" t="n"/>
      <c r="I17" s="18" t="inlineStr">
        <is>
          <t>NFC-e 8775</t>
        </is>
      </c>
      <c r="J17" s="18" t="n"/>
      <c r="K17" t="inlineStr">
        <is>
          <t>Pro Labore Edilânia</t>
        </is>
      </c>
      <c r="L17">
        <f>SUMIF(H5:H134,K17,G5:G134)</f>
        <v/>
      </c>
    </row>
    <row r="18" ht="15.75" customHeight="1" s="157">
      <c r="A18" s="44" t="n">
        <v>46028</v>
      </c>
      <c r="B18" s="45" t="inlineStr">
        <is>
          <t>Bomboniere Doce Mania - Veronildo Basilio</t>
        </is>
      </c>
      <c r="C18" s="45" t="inlineStr">
        <is>
          <t>Purificador Everest Fit Prata + Pré Filtro</t>
        </is>
      </c>
      <c r="D18" s="46" t="n">
        <v>1420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4020</t>
        </is>
      </c>
      <c r="J18" t="inlineStr">
        <is>
          <t>EMP-0188</t>
        </is>
      </c>
      <c r="K18" t="inlineStr">
        <is>
          <t>Total</t>
        </is>
      </c>
      <c r="L18">
        <f>SUM(L5:L16)</f>
        <v/>
      </c>
    </row>
    <row r="19">
      <c r="A19" s="17" t="n">
        <v>46028</v>
      </c>
      <c r="B19" s="18" t="inlineStr">
        <is>
          <t>Jacobina Veiculos</t>
        </is>
      </c>
      <c r="C19" s="18" t="n"/>
      <c r="D19" s="27" t="n">
        <v>180</v>
      </c>
      <c r="E19" s="18" t="n"/>
      <c r="F19" s="19" t="n"/>
      <c r="G19" s="19" t="n"/>
      <c r="H19" s="21" t="n"/>
      <c r="I19" s="18" t="inlineStr">
        <is>
          <t>Livro Caixa: Recebimento à vista Gerado pelo sistema (Doc. 8776)</t>
        </is>
      </c>
      <c r="J19" s="18" t="inlineStr">
        <is>
          <t>EMP-0201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(BB)'!A9:A200,"&gt;="&amp;DATE(2026,1,1),'Capital de Giro (BB)'!A9:A200,"&lt;="&amp;DATE(2026,1,31),'Capital de Giro (BB)'!E9:E200,"A Devolver")</f>
        <v/>
      </c>
    </row>
    <row r="20">
      <c r="A20" s="44" t="n">
        <v>46028</v>
      </c>
      <c r="B20" s="45" t="inlineStr">
        <is>
          <t>Jacobina Veiculos</t>
        </is>
      </c>
      <c r="C20" s="45" t="inlineStr">
        <is>
          <t>Refil Everest + Pré Filtro</t>
        </is>
      </c>
      <c r="D20" s="46" t="n">
        <v>190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8777</t>
        </is>
      </c>
      <c r="J20" t="inlineStr">
        <is>
          <t>EMP-0201</t>
        </is>
      </c>
    </row>
    <row r="21">
      <c r="A21" s="17" t="n">
        <v>46028</v>
      </c>
      <c r="B21" s="18" t="inlineStr">
        <is>
          <t>Clinica Odonto Gold</t>
        </is>
      </c>
      <c r="C21" s="18" t="inlineStr">
        <is>
          <t>Refil Everest</t>
        </is>
      </c>
      <c r="D21" s="27" t="n">
        <v>140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NFC-e 8778</t>
        </is>
      </c>
      <c r="J21" s="18" t="inlineStr">
        <is>
          <t>EMP-0194</t>
        </is>
      </c>
    </row>
    <row r="22">
      <c r="A22" s="44" t="n">
        <v>46028</v>
      </c>
      <c r="B22" s="45" t="inlineStr">
        <is>
          <t>Vilas Boas Shopping da Construcao Ltda</t>
        </is>
      </c>
      <c r="C22" s="45" t="inlineStr">
        <is>
          <t>2x Refil Everest</t>
        </is>
      </c>
      <c r="D22" s="46" t="n">
        <v>280</v>
      </c>
      <c r="E22" s="45" t="n"/>
      <c r="F22" s="47" t="n"/>
      <c r="G22" s="48" t="n"/>
      <c r="H22" s="49" t="n"/>
      <c r="I22" s="45" t="inlineStr">
        <is>
          <t>NF-e 4022 · nota faturada a prazo (forma de recebimento não consta na nota)</t>
        </is>
      </c>
    </row>
    <row r="23">
      <c r="A23" s="17" t="n">
        <v>46028</v>
      </c>
      <c r="B23" s="18" t="inlineStr">
        <is>
          <t>Rejane Magalhães Borges Maia</t>
        </is>
      </c>
      <c r="C23" s="18" t="inlineStr">
        <is>
          <t>Refil Everest + Pré Filtro</t>
        </is>
      </c>
      <c r="D23" s="27" t="n">
        <v>190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8779</t>
        </is>
      </c>
      <c r="J23" s="18" t="inlineStr">
        <is>
          <t>CLI-0656</t>
        </is>
      </c>
    </row>
    <row r="24">
      <c r="A24" s="44" t="n">
        <v>46028</v>
      </c>
      <c r="B24" s="45" t="inlineStr">
        <is>
          <t>Buriti veículos, peças e serviços Ltda (Ford)</t>
        </is>
      </c>
      <c r="C24" s="45" t="inlineStr">
        <is>
          <t>Refil Pro Life</t>
        </is>
      </c>
      <c r="D24" s="46" t="n">
        <v>140</v>
      </c>
      <c r="E24" s="45" t="n"/>
      <c r="F24" s="47" t="n"/>
      <c r="G24" s="48" t="n"/>
      <c r="H24" s="49" t="n"/>
      <c r="I24" s="45" t="inlineStr">
        <is>
          <t>NF-e 4005 · nota faturada a prazo (forma de recebimento não consta na nota) · venda de 16/12/2025 — pagamento recebido em 06/01/2026</t>
        </is>
      </c>
      <c r="J24" t="inlineStr">
        <is>
          <t>EMP-0035</t>
        </is>
      </c>
    </row>
    <row r="25">
      <c r="A25" s="17" t="n">
        <v>46028</v>
      </c>
      <c r="B25" s="18" t="inlineStr">
        <is>
          <t>Master Comercial de Veículos Ltda - Loja</t>
        </is>
      </c>
      <c r="C25" s="18" t="inlineStr">
        <is>
          <t>Refil Everest + Refil Pro Life</t>
        </is>
      </c>
      <c r="D25" s="27" t="n">
        <v>280</v>
      </c>
      <c r="E25" s="18" t="n"/>
      <c r="F25" s="19" t="n"/>
      <c r="G25" s="19" t="n"/>
      <c r="H25" s="21" t="n"/>
      <c r="I25" s="18" t="inlineStr">
        <is>
          <t>NF-e 4004 · nota faturada a prazo (forma de recebimento não consta na nota) · venda de 16/12/2025 — pagamento recebido em 06/01/2026</t>
        </is>
      </c>
      <c r="J25" s="18" t="inlineStr">
        <is>
          <t>EMP-0100</t>
        </is>
      </c>
    </row>
    <row r="26">
      <c r="A26" s="44" t="n">
        <v>46028</v>
      </c>
      <c r="B26" s="45" t="inlineStr">
        <is>
          <t>Real Sociedade Portuguesa de Beneficencia 16 de Setembro</t>
        </is>
      </c>
      <c r="C26" s="45" t="inlineStr">
        <is>
          <t>4x Refil Everest + Refil Carbon Tech 5"</t>
        </is>
      </c>
      <c r="D26" s="46" t="n">
        <v>540</v>
      </c>
      <c r="E26" s="45" t="n"/>
      <c r="F26" s="47" t="n"/>
      <c r="G26" s="48" t="n"/>
      <c r="H26" s="49" t="n"/>
      <c r="I26" s="45" t="inlineStr">
        <is>
          <t>NF-e 4021. Recebimento não constava no Livro Caixa; conferido e baixado no DigiSat em 28/09/2026.</t>
        </is>
      </c>
    </row>
    <row r="27">
      <c r="A27" s="17" t="n">
        <v>46028</v>
      </c>
      <c r="B27" s="18" t="inlineStr">
        <is>
          <t>Estorno de recebimento — Jacobina Veiculos Ltda</t>
        </is>
      </c>
      <c r="C27" s="18" t="n"/>
      <c r="D27" s="27" t="n"/>
      <c r="E27" s="18" t="n"/>
      <c r="F27" s="19" t="n"/>
      <c r="G27" s="19" t="n">
        <v>180</v>
      </c>
      <c r="H27" s="21" t="inlineStr">
        <is>
          <t>Estornos de Vendas (Cancelamentos)</t>
        </is>
      </c>
      <c r="I27" s="18" t="inlineStr">
        <is>
          <t>Livro Caixa: Estorno de recebimento do documento: Gerado pelo sistema (Doc. 877)</t>
        </is>
      </c>
      <c r="J27" s="18" t="n"/>
    </row>
    <row r="28">
      <c r="A28" s="44" t="n">
        <v>46029</v>
      </c>
      <c r="B28" s="45" t="inlineStr">
        <is>
          <t>Leal Vilas Boas &amp; Cia Ltda</t>
        </is>
      </c>
      <c r="C28" s="45" t="inlineStr">
        <is>
          <t>Purificador Everest Star Prata + Pré Filtro</t>
        </is>
      </c>
      <c r="D28" s="46" t="n">
        <v>1508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4023</t>
        </is>
      </c>
    </row>
    <row r="29" ht="15.75" customHeight="1" s="157">
      <c r="A29" s="17" t="n">
        <v>46029</v>
      </c>
      <c r="B29" s="18" t="inlineStr">
        <is>
          <t>Consumidor Final</t>
        </is>
      </c>
      <c r="C29" s="18" t="inlineStr">
        <is>
          <t>Conexao Reta Rosca 1/2 Bspt P/Tubo 1/4 Pol Branca</t>
        </is>
      </c>
      <c r="D29" s="27" t="n">
        <v>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8780</t>
        </is>
      </c>
      <c r="J29" s="18" t="n"/>
    </row>
    <row r="30">
      <c r="A30" s="44" t="n">
        <v>46029</v>
      </c>
      <c r="B30" s="45" t="inlineStr">
        <is>
          <t>Jose Augusto Ribeiro Oliveira</t>
        </is>
      </c>
      <c r="C30" s="45" t="inlineStr">
        <is>
          <t>Pré Filtro</t>
        </is>
      </c>
      <c r="D30" s="46" t="n">
        <v>60</v>
      </c>
      <c r="E30" s="45" t="inlineStr">
        <is>
          <t>Crédito Parcelado</t>
        </is>
      </c>
      <c r="F30" s="47" t="n"/>
      <c r="G30" s="48" t="n"/>
      <c r="H30" s="49" t="n"/>
      <c r="I30" s="45" t="inlineStr">
        <is>
          <t>NFC-e 8781</t>
        </is>
      </c>
    </row>
    <row r="31">
      <c r="A31" s="17" t="n">
        <v>46029</v>
      </c>
      <c r="B31" s="18" t="inlineStr">
        <is>
          <t>Consumidor Final</t>
        </is>
      </c>
      <c r="C31" s="18" t="inlineStr">
        <is>
          <t>Mangueira (1 m) + Registro</t>
        </is>
      </c>
      <c r="D31" s="27" t="n">
        <v>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8782</t>
        </is>
      </c>
      <c r="J31" s="18" t="n"/>
    </row>
    <row r="32">
      <c r="A32" s="44" t="n">
        <v>46029</v>
      </c>
      <c r="B32" s="45" t="inlineStr">
        <is>
          <t>Consumidor Final</t>
        </is>
      </c>
      <c r="C32" s="45" t="inlineStr">
        <is>
          <t>Refil Top Color</t>
        </is>
      </c>
      <c r="D32" s="46" t="n">
        <v>95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8783</t>
        </is>
      </c>
    </row>
    <row r="33">
      <c r="A33" s="17" t="n">
        <v>46029</v>
      </c>
      <c r="B33" s="18" t="inlineStr">
        <is>
          <t>Consumidor Final</t>
        </is>
      </c>
      <c r="C33" s="18" t="inlineStr">
        <is>
          <t>Refil FP4</t>
        </is>
      </c>
      <c r="D33" s="27" t="n">
        <v>85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8784</t>
        </is>
      </c>
      <c r="J33" s="18" t="n"/>
    </row>
    <row r="34">
      <c r="A34" s="44" t="n">
        <v>46029</v>
      </c>
      <c r="B34" s="45" t="inlineStr">
        <is>
          <t>Filtros Planeta Agua Ind e Com Ltda</t>
        </is>
      </c>
      <c r="C34" s="45" t="n"/>
      <c r="D34" s="46" t="n"/>
      <c r="E34" s="45" t="n"/>
      <c r="F34" s="47" t="n"/>
      <c r="G34" s="48" t="n">
        <v>513.0700000000001</v>
      </c>
      <c r="H34" s="49" t="inlineStr">
        <is>
          <t>Fornecedores / Mercadoria</t>
        </is>
      </c>
      <c r="I34" s="45" t="inlineStr">
        <is>
          <t>NF 125587 de 10/12/2025 · parcela 1/4 (venc. 07/01/2026)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35">
      <c r="A35" s="17" t="n">
        <v>46029</v>
      </c>
      <c r="B35" s="18" t="inlineStr">
        <is>
          <t>Conta de Energia Loja</t>
        </is>
      </c>
      <c r="C35" s="18" t="n"/>
      <c r="D35" s="27" t="n"/>
      <c r="E35" s="18" t="n"/>
      <c r="F35" s="19" t="n"/>
      <c r="G35" s="19" t="n">
        <v>159.68</v>
      </c>
      <c r="H35" s="21" t="inlineStr">
        <is>
          <t>Água, Energia e Internet</t>
        </is>
      </c>
      <c r="I35" s="18" t="inlineStr">
        <is>
          <t>Livro Caixa: Pagamento parcela CONTA DE ENERGIA LOJA (Doc. 1) · Companhia de Eletricidade do Estado da Bahia Coelba</t>
        </is>
      </c>
      <c r="J35" s="18" t="n"/>
    </row>
    <row r="36">
      <c r="A36" s="44" t="n">
        <v>46030</v>
      </c>
      <c r="B36" s="45" t="inlineStr">
        <is>
          <t>Ana Marcia Rosario de Oliveira</t>
        </is>
      </c>
      <c r="C36" s="45" t="inlineStr">
        <is>
          <t>Purificador Everest Slim Prata</t>
        </is>
      </c>
      <c r="D36" s="46" t="n">
        <v>1448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4024</t>
        </is>
      </c>
    </row>
    <row r="37">
      <c r="A37" s="17" t="n">
        <v>46030</v>
      </c>
      <c r="B37" s="18" t="inlineStr">
        <is>
          <t>Euzete Maria de Oliveira Araujo</t>
        </is>
      </c>
      <c r="C37" s="18" t="inlineStr">
        <is>
          <t>Refil Everest</t>
        </is>
      </c>
      <c r="D37" s="27" t="n">
        <v>140</v>
      </c>
      <c r="E37" s="18" t="inlineStr">
        <is>
          <t>Pix</t>
        </is>
      </c>
      <c r="F37" s="19" t="n"/>
      <c r="G37" s="19" t="n"/>
      <c r="H37" s="21" t="n"/>
      <c r="I37" s="18" t="inlineStr">
        <is>
          <t>NF-e 4025</t>
        </is>
      </c>
      <c r="J37" s="18" t="n"/>
    </row>
    <row r="38">
      <c r="A38" s="44" t="n">
        <v>46030</v>
      </c>
      <c r="B38" s="45" t="inlineStr">
        <is>
          <t>Consumidor Final</t>
        </is>
      </c>
      <c r="C38" s="45" t="inlineStr">
        <is>
          <t>Refil Top Color</t>
        </is>
      </c>
      <c r="D38" s="46" t="n">
        <v>95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8785</t>
        </is>
      </c>
    </row>
    <row r="39" ht="15.75" customHeight="1" s="157">
      <c r="A39" s="17" t="n">
        <v>46030</v>
      </c>
      <c r="B39" s="18" t="inlineStr">
        <is>
          <t>Consumidor Final</t>
        </is>
      </c>
      <c r="C39" s="18" t="inlineStr">
        <is>
          <t>Refil Top Color</t>
        </is>
      </c>
      <c r="D39" s="27" t="n">
        <v>95</v>
      </c>
      <c r="E39" s="18" t="inlineStr">
        <is>
          <t>Dinheiro</t>
        </is>
      </c>
      <c r="F39" s="19" t="n"/>
      <c r="G39" s="19" t="n"/>
      <c r="H39" s="21" t="n"/>
      <c r="I39" s="18" t="inlineStr">
        <is>
          <t>NFC-e 8786</t>
        </is>
      </c>
      <c r="J39" s="18" t="n"/>
    </row>
    <row r="40">
      <c r="A40" s="44" t="n">
        <v>46030</v>
      </c>
      <c r="B40" s="45" t="inlineStr">
        <is>
          <t>Consumidor Final</t>
        </is>
      </c>
      <c r="C40" s="45" t="inlineStr">
        <is>
          <t>Mangueira (1 m)</t>
        </is>
      </c>
      <c r="D40" s="46" t="n">
        <v>10</v>
      </c>
      <c r="E40" s="45" t="inlineStr">
        <is>
          <t>Dinheiro</t>
        </is>
      </c>
      <c r="F40" s="47" t="n"/>
      <c r="G40" s="48" t="n"/>
      <c r="H40" s="49" t="n"/>
      <c r="I40" s="45" t="inlineStr">
        <is>
          <t>NFC-e 8787</t>
        </is>
      </c>
    </row>
    <row r="41">
      <c r="A41" s="17" t="n">
        <v>46030</v>
      </c>
      <c r="B41" s="18" t="inlineStr">
        <is>
          <t>Consumidor Final</t>
        </is>
      </c>
      <c r="C41" s="18" t="inlineStr">
        <is>
          <t>Refil Universal</t>
        </is>
      </c>
      <c r="D41" s="27" t="n">
        <v>30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NFC-e 8788</t>
        </is>
      </c>
      <c r="J41" s="18" t="n"/>
    </row>
    <row r="42" ht="15.75" customHeight="1" s="157">
      <c r="A42" s="44" t="n">
        <v>46030</v>
      </c>
      <c r="B42" s="45" t="inlineStr">
        <is>
          <t>Everest Refrigeracao e Industria</t>
        </is>
      </c>
      <c r="C42" s="45" t="n"/>
      <c r="D42" s="46" t="n"/>
      <c r="E42" s="45" t="n"/>
      <c r="F42" s="47" t="n"/>
      <c r="G42" s="48" t="n">
        <v>781.4</v>
      </c>
      <c r="H42" s="49" t="inlineStr">
        <is>
          <t>Fornecedores / Mercadoria</t>
        </is>
      </c>
      <c r="I42" s="45" t="inlineStr">
        <is>
          <t>NF 361446 de 10/10/2025 · parcela 3/5 (venc. 08/01/2026)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43">
      <c r="A43" s="17" t="n">
        <v>46030</v>
      </c>
      <c r="B43" s="18" t="inlineStr">
        <is>
          <t>Shopee (Torneiras)</t>
        </is>
      </c>
      <c r="C43" s="18" t="n"/>
      <c r="D43" s="27" t="n"/>
      <c r="E43" s="18" t="n"/>
      <c r="F43" s="19" t="n"/>
      <c r="G43" s="19" t="n">
        <v>143.09</v>
      </c>
      <c r="H43" s="21" t="inlineStr">
        <is>
          <t>Tarifas Bancárias e Cartão</t>
        </is>
      </c>
      <c r="I43" s="18" t="inlineStr">
        <is>
          <t>Livro Caixa: Pagamento parcela SHOPEE (TORNEIRAS) (Doc. 1) · Adyen do Brasil Intituicao Pagamento Ltda</t>
        </is>
      </c>
      <c r="J43" s="18" t="n"/>
    </row>
    <row r="44">
      <c r="A44" s="44" t="n">
        <v>46031</v>
      </c>
      <c r="B44" s="45" t="inlineStr">
        <is>
          <t>Consumidor Final</t>
        </is>
      </c>
      <c r="C44" s="45" t="inlineStr">
        <is>
          <t>Refil Universal</t>
        </is>
      </c>
      <c r="D44" s="46" t="n">
        <v>35</v>
      </c>
      <c r="E44" s="45" t="inlineStr">
        <is>
          <t>Débito</t>
        </is>
      </c>
      <c r="F44" s="47" t="n"/>
      <c r="G44" s="48" t="n"/>
      <c r="H44" s="49" t="n"/>
      <c r="I44" s="45" t="inlineStr">
        <is>
          <t>NFC-e 8789</t>
        </is>
      </c>
    </row>
    <row r="45">
      <c r="A45" s="17" t="n">
        <v>46031</v>
      </c>
      <c r="B45" s="18" t="inlineStr">
        <is>
          <t>Consumidor Final</t>
        </is>
      </c>
      <c r="C45" s="18" t="inlineStr">
        <is>
          <t>Refil FP4</t>
        </is>
      </c>
      <c r="D45" s="27" t="n">
        <v>80</v>
      </c>
      <c r="E45" s="18" t="inlineStr">
        <is>
          <t>Pix</t>
        </is>
      </c>
      <c r="F45" s="19" t="n"/>
      <c r="G45" s="19" t="n"/>
      <c r="H45" s="21" t="n"/>
      <c r="I45" s="18" t="inlineStr">
        <is>
          <t>NFC-e 8790</t>
        </is>
      </c>
      <c r="J45" s="18" t="n"/>
    </row>
    <row r="46">
      <c r="A46" s="44" t="n">
        <v>46031</v>
      </c>
      <c r="B46" s="45" t="inlineStr">
        <is>
          <t>Danielma da Silva Bezerra Brasileiro</t>
        </is>
      </c>
      <c r="C46" s="45" t="inlineStr">
        <is>
          <t>Refil Everest</t>
        </is>
      </c>
      <c r="D46" s="46" t="n">
        <v>140</v>
      </c>
      <c r="E46" s="45" t="inlineStr">
        <is>
          <t>Crédito Parcelado</t>
        </is>
      </c>
      <c r="F46" s="47" t="n"/>
      <c r="G46" s="48" t="n"/>
      <c r="H46" s="49" t="n"/>
      <c r="I46" s="45" t="inlineStr">
        <is>
          <t>NFC-e 8791</t>
        </is>
      </c>
    </row>
    <row r="47">
      <c r="A47" s="17" t="n">
        <v>46031</v>
      </c>
      <c r="B47" s="18" t="inlineStr">
        <is>
          <t>Uniao Leste Brasileira da Iasd</t>
        </is>
      </c>
      <c r="C47" s="18" t="n"/>
      <c r="D47" s="27" t="n">
        <v>170</v>
      </c>
      <c r="E47" s="18" t="n"/>
      <c r="F47" s="19" t="n"/>
      <c r="G47" s="19" t="n"/>
      <c r="H47" s="21" t="n"/>
      <c r="I47" s="18" t="inlineStr">
        <is>
          <t>Livro Caixa: Recebimento à vista Gerado pelo sistema. (Doc. 4026)</t>
        </is>
      </c>
      <c r="J47" s="18" t="n"/>
    </row>
    <row r="48" ht="15.75" customHeight="1" s="157">
      <c r="A48" s="44" t="n">
        <v>46031</v>
      </c>
      <c r="B48" s="45" t="inlineStr">
        <is>
          <t>Uniao Leste Brasileira da Iasd</t>
        </is>
      </c>
      <c r="C48" s="45" t="inlineStr">
        <is>
          <t>Refil Everest + Registro</t>
        </is>
      </c>
      <c r="D48" s="46" t="n">
        <v>170</v>
      </c>
      <c r="E48" s="45" t="n"/>
      <c r="F48" s="47" t="n"/>
      <c r="G48" s="48" t="n"/>
      <c r="H48" s="49" t="n"/>
      <c r="I48" s="45" t="inlineStr">
        <is>
          <t>NF-e 4027 · nota faturada a prazo (forma de recebimento não consta na nota)</t>
        </is>
      </c>
    </row>
    <row r="49">
      <c r="A49" s="17" t="n">
        <v>46031</v>
      </c>
      <c r="B49" s="18" t="inlineStr">
        <is>
          <t>Estorno de recebimento — Uniao Leste Brasileira da Iasd</t>
        </is>
      </c>
      <c r="C49" s="18" t="n"/>
      <c r="D49" s="27" t="n"/>
      <c r="E49" s="18" t="n"/>
      <c r="F49" s="19" t="n"/>
      <c r="G49" s="19" t="n">
        <v>170</v>
      </c>
      <c r="H49" s="21" t="inlineStr">
        <is>
          <t>Estornos de Vendas (Cancelamentos)</t>
        </is>
      </c>
      <c r="I49" s="18" t="inlineStr">
        <is>
          <t>Livro Caixa: Estorno de recebimento do documento: Gerado pelo sistema. (Doc. 40)</t>
        </is>
      </c>
      <c r="J49" s="18" t="n"/>
    </row>
    <row r="50">
      <c r="A50" s="44" t="n">
        <v>46032</v>
      </c>
      <c r="B50" s="45" t="inlineStr">
        <is>
          <t>Consumidor Final</t>
        </is>
      </c>
      <c r="C50" s="45" t="inlineStr">
        <is>
          <t>Mangueira (2 m)</t>
        </is>
      </c>
      <c r="D50" s="46" t="n">
        <v>20</v>
      </c>
      <c r="E50" s="45" t="inlineStr">
        <is>
          <t>Crédito Parcelado</t>
        </is>
      </c>
      <c r="F50" s="47" t="n"/>
      <c r="G50" s="48" t="n"/>
      <c r="H50" s="49" t="n"/>
      <c r="I50" s="45" t="inlineStr">
        <is>
          <t>NFC-e 8792</t>
        </is>
      </c>
    </row>
    <row r="51">
      <c r="A51" s="17" t="n">
        <v>46032</v>
      </c>
      <c r="B51" s="18" t="inlineStr">
        <is>
          <t>Consumidor Final</t>
        </is>
      </c>
      <c r="C51" s="18" t="inlineStr">
        <is>
          <t>2x Conexao Reta Rosca 1/2 Bspt P/Tubo 1/4 Pol Branca</t>
        </is>
      </c>
      <c r="D51" s="27" t="n">
        <v>50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8793</t>
        </is>
      </c>
      <c r="J51" s="18" t="n"/>
    </row>
    <row r="52">
      <c r="A52" s="44" t="n">
        <v>46032</v>
      </c>
      <c r="B52" s="45" t="inlineStr">
        <is>
          <t>Consumidor Final</t>
        </is>
      </c>
      <c r="C52" s="45" t="inlineStr">
        <is>
          <t>Mangueira (3 m)</t>
        </is>
      </c>
      <c r="D52" s="46" t="n">
        <v>30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8794</t>
        </is>
      </c>
    </row>
    <row r="53" ht="15.75" customHeight="1" s="157">
      <c r="A53" s="17" t="n">
        <v>46034</v>
      </c>
      <c r="B53" s="18" t="inlineStr">
        <is>
          <t>Ten Solucoes, e Tecnologia Ltda</t>
        </is>
      </c>
      <c r="C53" s="18" t="inlineStr">
        <is>
          <t>Refil Carbon Tech 5" + Refil Plissado</t>
        </is>
      </c>
      <c r="D53" s="27" t="n">
        <v>160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4028</t>
        </is>
      </c>
      <c r="J53" s="18" t="n"/>
    </row>
    <row r="54">
      <c r="A54" s="44" t="n">
        <v>46034</v>
      </c>
      <c r="B54" s="45" t="inlineStr">
        <is>
          <t>Mariua Construcoes Ltda</t>
        </is>
      </c>
      <c r="C54" s="45" t="inlineStr">
        <is>
          <t>Refil Plissado + Refil Carbon Tech 9"</t>
        </is>
      </c>
      <c r="D54" s="46" t="n">
        <v>180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4029</t>
        </is>
      </c>
    </row>
    <row r="55">
      <c r="A55" s="17" t="n">
        <v>46034</v>
      </c>
      <c r="B55" s="18" t="inlineStr">
        <is>
          <t>Everest Refrigeracao e Industria</t>
        </is>
      </c>
      <c r="C55" s="18" t="n"/>
      <c r="D55" s="27" t="n"/>
      <c r="E55" s="18" t="n"/>
      <c r="F55" s="19" t="n"/>
      <c r="G55" s="19" t="n">
        <v>841.0599999999999</v>
      </c>
      <c r="H55" s="21" t="inlineStr">
        <is>
          <t>Fornecedores / Mercadoria</t>
        </is>
      </c>
      <c r="I55" s="18" t="inlineStr">
        <is>
          <t>NF 366264 de 11/12/2025 · parcela 1/5 (venc. 10/01/2026) · compra total R$ 4.205,29: Purificador Everest Slim Branco + Purificador Everest Slim Prata + 2x Purificador Everest Star Branco + Purificador Everest Star Prata + Purificador Everest Plus Prata · Livro Caixa</t>
        </is>
      </c>
      <c r="J55" s="18" t="n"/>
    </row>
    <row r="56">
      <c r="A56" s="44" t="n">
        <v>46034</v>
      </c>
      <c r="B56" s="45" t="inlineStr">
        <is>
          <t>Everest Refrigeracao e Industria</t>
        </is>
      </c>
      <c r="C56" s="45" t="n"/>
      <c r="D56" s="46" t="n"/>
      <c r="E56" s="45" t="n"/>
      <c r="F56" s="47" t="n"/>
      <c r="G56" s="48" t="n">
        <v>577.35</v>
      </c>
      <c r="H56" s="49" t="inlineStr">
        <is>
          <t>Fornecedores / Mercadoria</t>
        </is>
      </c>
      <c r="I56" s="45" t="inlineStr">
        <is>
          <t>NF 357294 de 14/08/2025 · parcela 5/5 (venc. 11/01/2026) · compra total R$ 2.886,75: 2x Purificador Everest Plus Branco + 2x Purificador Everest Slim Branco · Livro Caixa</t>
        </is>
      </c>
    </row>
    <row r="57">
      <c r="A57" s="17" t="n">
        <v>46034</v>
      </c>
      <c r="B57" s="18" t="inlineStr">
        <is>
          <t>Ferias Wiliam 1 Parcela</t>
        </is>
      </c>
      <c r="C57" s="18" t="n"/>
      <c r="D57" s="27" t="n"/>
      <c r="E57" s="18" t="n"/>
      <c r="F57" s="19" t="n"/>
      <c r="G57" s="19" t="n">
        <v>1405</v>
      </c>
      <c r="H57" s="21" t="inlineStr">
        <is>
          <t>Salários, Comissões e Encargos</t>
        </is>
      </c>
      <c r="I57" s="18" t="inlineStr">
        <is>
          <t>Livro Caixa: Pagamento parcela FERIAS WILIAM 1 PARCELA (Doc. 1) · Wiliam Pinto Bispo</t>
        </is>
      </c>
      <c r="J57" s="18" t="n"/>
    </row>
    <row r="58">
      <c r="A58" s="44" t="n">
        <v>46035</v>
      </c>
      <c r="B58" s="45" t="inlineStr">
        <is>
          <t>Consumidor Final</t>
        </is>
      </c>
      <c r="C58" s="45" t="inlineStr">
        <is>
          <t>Mangueira (1 m) + Conexao Reta Rosca 1/2 Bspt P/Tubo 1/4 Pol Branca</t>
        </is>
      </c>
      <c r="D58" s="46" t="n">
        <v>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8795</t>
        </is>
      </c>
    </row>
    <row r="59">
      <c r="A59" s="17" t="n">
        <v>46035</v>
      </c>
      <c r="B59" s="18" t="inlineStr">
        <is>
          <t>Cleber Santos Carvalho</t>
        </is>
      </c>
      <c r="C59" s="18" t="inlineStr">
        <is>
          <t>Refil Everest</t>
        </is>
      </c>
      <c r="D59" s="27" t="n">
        <v>140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8796</t>
        </is>
      </c>
      <c r="J59" s="18" t="n"/>
    </row>
    <row r="60">
      <c r="A60" s="44" t="n">
        <v>46035</v>
      </c>
      <c r="B60" s="45" t="inlineStr">
        <is>
          <t>Consumidor Final</t>
        </is>
      </c>
      <c r="C60" s="45" t="inlineStr">
        <is>
          <t>Refil Everest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8797</t>
        </is>
      </c>
    </row>
    <row r="61">
      <c r="A61" s="17" t="n">
        <v>46035</v>
      </c>
      <c r="B61" s="18" t="inlineStr">
        <is>
          <t>Consumidor Final</t>
        </is>
      </c>
      <c r="C61" s="18" t="inlineStr">
        <is>
          <t>Pré Filtro + Registro</t>
        </is>
      </c>
      <c r="D61" s="27" t="n">
        <v>90</v>
      </c>
      <c r="E61" s="18" t="inlineStr">
        <is>
          <t>Débito</t>
        </is>
      </c>
      <c r="F61" s="19" t="n"/>
      <c r="G61" s="19" t="n"/>
      <c r="H61" s="21" t="n"/>
      <c r="I61" s="18" t="inlineStr">
        <is>
          <t>NFC-e 8798</t>
        </is>
      </c>
      <c r="J61" s="18" t="n"/>
    </row>
    <row r="62">
      <c r="A62" s="44" t="n">
        <v>46035</v>
      </c>
      <c r="B62" s="45" t="inlineStr">
        <is>
          <t>Andradina Mota dos Santos</t>
        </is>
      </c>
      <c r="C62" s="45" t="inlineStr">
        <is>
          <t>Refil Pro Life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NFC-e 8799</t>
        </is>
      </c>
      <c r="J62" t="inlineStr">
        <is>
          <t>CLI-0662</t>
        </is>
      </c>
    </row>
    <row r="63" ht="15.75" customHeight="1" s="157">
      <c r="A63" s="17" t="n">
        <v>46035</v>
      </c>
      <c r="B63" s="18" t="inlineStr">
        <is>
          <t>Maria da Conceição Costa e Silva</t>
        </is>
      </c>
      <c r="C63" s="18" t="inlineStr">
        <is>
          <t>Valvula Reguladora De Pressao Soft</t>
        </is>
      </c>
      <c r="D63" s="27" t="n">
        <v>50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8800</t>
        </is>
      </c>
      <c r="J63" s="18" t="inlineStr">
        <is>
          <t>CLI-0651</t>
        </is>
      </c>
    </row>
    <row r="64">
      <c r="A64" s="44" t="n">
        <v>46035</v>
      </c>
      <c r="B64" s="45" t="inlineStr">
        <is>
          <t>José Tiago Souza</t>
        </is>
      </c>
      <c r="C64" s="45" t="inlineStr">
        <is>
          <t>Refil Pro Life + Pré Filtro</t>
        </is>
      </c>
      <c r="D64" s="46" t="n">
        <v>185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8801</t>
        </is>
      </c>
      <c r="J64" t="inlineStr">
        <is>
          <t>CLI-0661</t>
        </is>
      </c>
    </row>
    <row r="65">
      <c r="A65" s="17" t="n">
        <v>46035</v>
      </c>
      <c r="B65" s="18" t="inlineStr">
        <is>
          <t>Premiere Odontologia Ltda.Me - Ana Carolina</t>
        </is>
      </c>
      <c r="C65" s="18" t="inlineStr">
        <is>
          <t>Refil Everest</t>
        </is>
      </c>
      <c r="D65" s="27" t="n">
        <v>140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8802</t>
        </is>
      </c>
      <c r="J65" s="18" t="n"/>
    </row>
    <row r="66">
      <c r="A66" s="44" t="n">
        <v>46036</v>
      </c>
      <c r="B66" s="45" t="inlineStr">
        <is>
          <t xml:space="preserve">Clinica DentalClin - Igor Santos Silva ME </t>
        </is>
      </c>
      <c r="C66" s="45" t="inlineStr">
        <is>
          <t>Refil Everest</t>
        </is>
      </c>
      <c r="D66" s="46" t="n">
        <v>140</v>
      </c>
      <c r="E66" s="45" t="inlineStr">
        <is>
          <t>Pix</t>
        </is>
      </c>
      <c r="F66" s="47" t="n"/>
      <c r="G66" s="48" t="n"/>
      <c r="H66" s="49" t="n"/>
      <c r="I66" s="45" t="inlineStr">
        <is>
          <t>NFC-e 8803</t>
        </is>
      </c>
      <c r="J66" t="inlineStr">
        <is>
          <t>EMP-0077</t>
        </is>
      </c>
    </row>
    <row r="67">
      <c r="A67" s="17" t="n">
        <v>46036</v>
      </c>
      <c r="B67" s="18" t="inlineStr">
        <is>
          <t>Consumidor Final</t>
        </is>
      </c>
      <c r="C67" s="18" t="inlineStr">
        <is>
          <t>Refil Carbon Tech 9"</t>
        </is>
      </c>
      <c r="D67" s="27" t="n">
        <v>90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8804</t>
        </is>
      </c>
      <c r="J67" s="18" t="n"/>
    </row>
    <row r="68">
      <c r="A68" s="44" t="n">
        <v>46036</v>
      </c>
      <c r="B68" s="45" t="inlineStr">
        <is>
          <t>Consumidor Final</t>
        </is>
      </c>
      <c r="C68" s="45" t="inlineStr">
        <is>
          <t>Refil IBBL C+5</t>
        </is>
      </c>
      <c r="D68" s="46" t="n">
        <v>125</v>
      </c>
      <c r="E68" s="45" t="inlineStr">
        <is>
          <t>Pix</t>
        </is>
      </c>
      <c r="F68" s="47" t="n"/>
      <c r="G68" s="48" t="n"/>
      <c r="H68" s="49" t="n"/>
      <c r="I68" s="45" t="inlineStr">
        <is>
          <t>NFC-e 8805</t>
        </is>
      </c>
    </row>
    <row r="69">
      <c r="A69" s="17" t="n">
        <v>46037</v>
      </c>
      <c r="B69" s="18" t="inlineStr">
        <is>
          <t>PC Jacobina Administradora de Cartões LTDA</t>
        </is>
      </c>
      <c r="C69" s="18" t="inlineStr">
        <is>
          <t>Purificador Everest Star Preto</t>
        </is>
      </c>
      <c r="D69" s="27" t="n">
        <v>1348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4030</t>
        </is>
      </c>
      <c r="J69" s="18" t="inlineStr">
        <is>
          <t>EMP-0244</t>
        </is>
      </c>
    </row>
    <row r="70">
      <c r="A70" s="44" t="n">
        <v>46037</v>
      </c>
      <c r="B70" s="45" t="inlineStr">
        <is>
          <t>Pc Jacobina Administradora de Cartoes Ltda</t>
        </is>
      </c>
      <c r="C70" s="45" t="inlineStr">
        <is>
          <t>Valvula Reguladora De Pressao Soft</t>
        </is>
      </c>
      <c r="D70" s="46" t="n">
        <v>60</v>
      </c>
      <c r="E70" s="45" t="inlineStr">
        <is>
          <t>Crédito Parcelado</t>
        </is>
      </c>
      <c r="F70" s="47" t="n"/>
      <c r="G70" s="48" t="n"/>
      <c r="H70" s="49" t="n"/>
      <c r="I70" s="45" t="inlineStr">
        <is>
          <t>NFC-e 8806</t>
        </is>
      </c>
    </row>
    <row r="71">
      <c r="A71" s="17" t="n">
        <v>46037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8807)</t>
        </is>
      </c>
      <c r="J71" s="18" t="n"/>
    </row>
    <row r="72">
      <c r="A72" s="44" t="n">
        <v>46037</v>
      </c>
      <c r="B72" s="45" t="inlineStr">
        <is>
          <t>Consumidor Final</t>
        </is>
      </c>
      <c r="C72" s="45" t="inlineStr">
        <is>
          <t>Refil PP + Refil Plissado</t>
        </is>
      </c>
      <c r="D72" s="46" t="n">
        <v>135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8808</t>
        </is>
      </c>
    </row>
    <row r="73" ht="15.75" customHeight="1" s="157">
      <c r="A73" s="17" t="n">
        <v>46037</v>
      </c>
      <c r="B73" s="18" t="inlineStr">
        <is>
          <t>Estorno de recebimento — Cliente Consumidor</t>
        </is>
      </c>
      <c r="C73" s="18" t="n"/>
      <c r="D73" s="27" t="n"/>
      <c r="E73" s="18" t="n"/>
      <c r="F73" s="19" t="n"/>
      <c r="G73" s="19" t="n">
        <v>145</v>
      </c>
      <c r="H73" s="21" t="inlineStr">
        <is>
          <t>Estornos de Vendas (Cancelamentos)</t>
        </is>
      </c>
      <c r="I73" s="18" t="inlineStr">
        <is>
          <t>Livro Caixa: Estorno de recebimento do documento: Gerado pelo sistema (Doc. 880)</t>
        </is>
      </c>
      <c r="J73" s="18" t="n"/>
    </row>
    <row r="74">
      <c r="A74" s="44" t="n">
        <v>46038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8809</t>
        </is>
      </c>
    </row>
    <row r="75">
      <c r="A75" s="17" t="n">
        <v>46038</v>
      </c>
      <c r="B75" s="18" t="inlineStr">
        <is>
          <t>Tarcisio Oliveira Lima</t>
        </is>
      </c>
      <c r="C75" s="18" t="n"/>
      <c r="D75" s="27" t="n"/>
      <c r="E75" s="18" t="n"/>
      <c r="F75" s="19" t="n"/>
      <c r="G75" s="19" t="n">
        <v>455.4</v>
      </c>
      <c r="H75" s="21" t="inlineStr">
        <is>
          <t>Contabilidade</t>
        </is>
      </c>
      <c r="I75" s="18" t="inlineStr">
        <is>
          <t>Livro Caixa: Pagamento parcela TARCISIO OLIVEIRA LIMA (Doc. 1) · Contabilidade Tarcisio Oliveira Lima</t>
        </is>
      </c>
      <c r="J75" s="18" t="n"/>
    </row>
    <row r="76">
      <c r="A76" s="44" t="n">
        <v>46038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824.74</v>
      </c>
      <c r="H76" s="49" t="inlineStr">
        <is>
          <t>Fornecedores / Mercadoria</t>
        </is>
      </c>
      <c r="I76" s="45" t="inlineStr">
        <is>
          <t>NF 357493 de 19/08/2025 · parcela 5/5 (venc. 16/01/2026) · compra total R$ 4.123,62: Purificador Everest Star Branco + Purificador Everest Star Prata + Purificador Everest Star Cereja + Purificador Everest Slim Prata + Purificador Everest Fit Branco + Purificador Everest Fit Prata · Livro Caixa</t>
        </is>
      </c>
    </row>
    <row r="77">
      <c r="A77" s="17" t="n">
        <v>46038</v>
      </c>
      <c r="B77" s="18" t="inlineStr">
        <is>
          <t>Filtros Planeta Agua Ind e Com Ltda</t>
        </is>
      </c>
      <c r="C77" s="18" t="n"/>
      <c r="D77" s="27" t="n"/>
      <c r="E77" s="18" t="n"/>
      <c r="F77" s="19" t="n"/>
      <c r="G77" s="19" t="n">
        <v>771.5599999999999</v>
      </c>
      <c r="H77" s="21" t="inlineStr">
        <is>
          <t>Fornecedores / Mercadoria</t>
        </is>
      </c>
      <c r="I77" s="18" t="inlineStr">
        <is>
          <t>NF 123868 de 24/10/2025 · parcela 5/5 (venc. 16/01/2026)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77" s="18" t="n"/>
    </row>
    <row r="78">
      <c r="A78" s="44" t="n">
        <v>46038</v>
      </c>
      <c r="B78" s="45" t="inlineStr">
        <is>
          <t>Jamef</t>
        </is>
      </c>
      <c r="C78" s="45" t="n"/>
      <c r="D78" s="46" t="n"/>
      <c r="E78" s="45" t="n"/>
      <c r="F78" s="47" t="n"/>
      <c r="G78" s="48" t="n">
        <v>358.82</v>
      </c>
      <c r="H78" s="49" t="inlineStr">
        <is>
          <t>Transporte e Entregas</t>
        </is>
      </c>
      <c r="I78" s="45" t="inlineStr">
        <is>
          <t>Livro Caixa: Pagamento parcela JAMEF (Doc. 1) · Jamef Transportes Ltda</t>
        </is>
      </c>
    </row>
    <row r="79" ht="15.75" customHeight="1" s="157">
      <c r="A79" s="17" t="n">
        <v>46041</v>
      </c>
      <c r="B79" s="18" t="inlineStr">
        <is>
          <t>Lucas Santos Pinto de Souza</t>
        </is>
      </c>
      <c r="C79" s="18" t="inlineStr">
        <is>
          <t>Purificador Everest Star Branco</t>
        </is>
      </c>
      <c r="D79" s="27" t="n">
        <v>1398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4031</t>
        </is>
      </c>
      <c r="J79" s="18" t="inlineStr">
        <is>
          <t>CLI-0676</t>
        </is>
      </c>
    </row>
    <row r="80">
      <c r="A80" s="44" t="n">
        <v>46041</v>
      </c>
      <c r="B80" s="45" t="inlineStr">
        <is>
          <t>Ila Cariele  Correia Dantas</t>
        </is>
      </c>
      <c r="C80" s="45" t="inlineStr">
        <is>
          <t>Refil Everest</t>
        </is>
      </c>
      <c r="D80" s="46" t="n">
        <v>140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8810</t>
        </is>
      </c>
    </row>
    <row r="81">
      <c r="A81" s="17" t="n">
        <v>46041</v>
      </c>
      <c r="B81" s="18" t="inlineStr">
        <is>
          <t>Odontoclass Almeida &amp; Gois Ltda</t>
        </is>
      </c>
      <c r="C81" s="18" t="inlineStr">
        <is>
          <t>Refil Everest</t>
        </is>
      </c>
      <c r="D81" s="27" t="n">
        <v>140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8811</t>
        </is>
      </c>
      <c r="J81" s="18" t="n"/>
    </row>
    <row r="82">
      <c r="A82" s="44" t="n">
        <v>46041</v>
      </c>
      <c r="B82" s="45" t="inlineStr">
        <is>
          <t>Suelene Soares Lima</t>
        </is>
      </c>
      <c r="C82" s="45" t="inlineStr">
        <is>
          <t>Refil Everest</t>
        </is>
      </c>
      <c r="D82" s="46" t="n">
        <v>140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NFC-e 8812</t>
        </is>
      </c>
      <c r="J82" t="inlineStr">
        <is>
          <t>CLI-0665</t>
        </is>
      </c>
    </row>
    <row r="83">
      <c r="A83" s="17" t="n">
        <v>46041</v>
      </c>
      <c r="B83" s="18" t="inlineStr">
        <is>
          <t>Eversoft Ind e Com de Plasticos Ltda</t>
        </is>
      </c>
      <c r="C83" s="18" t="n"/>
      <c r="D83" s="27" t="n"/>
      <c r="E83" s="18" t="n"/>
      <c r="F83" s="19" t="n"/>
      <c r="G83" s="19" t="n">
        <v>878.92</v>
      </c>
      <c r="H83" s="21" t="inlineStr">
        <is>
          <t>Fornecedores / Mercadoria</t>
        </is>
      </c>
      <c r="I83" s="18" t="inlineStr">
        <is>
          <t>NF 67435 de 19/09/2025 · parcela 4/5 (venc. 17/01/2026) · compra total R$ 4.394,61: 100x Refil Everest · Livro Caixa</t>
        </is>
      </c>
      <c r="J83" s="18" t="n"/>
    </row>
    <row r="84">
      <c r="A84" s="44" t="n">
        <v>46041</v>
      </c>
      <c r="B84" s="45" t="inlineStr">
        <is>
          <t>Filtros Planeta Agua</t>
        </is>
      </c>
      <c r="C84" s="45" t="n"/>
      <c r="D84" s="46" t="n"/>
      <c r="E84" s="45" t="n"/>
      <c r="F84" s="47" t="n"/>
      <c r="G84" s="48" t="n">
        <v>519.1900000000001</v>
      </c>
      <c r="H84" s="49" t="inlineStr">
        <is>
          <t>Fornecedores / Mercadoria</t>
        </is>
      </c>
      <c r="I84" s="45" t="inlineStr">
        <is>
          <t>Livro Caixa: Pagamento à vista: FILTROS PLANETA AGUA (Doc. 1) · Filtros Planeta Agua Ind e Com Ltda</t>
        </is>
      </c>
    </row>
    <row r="85">
      <c r="A85" s="17" t="n">
        <v>46042</v>
      </c>
      <c r="B85" s="18" t="inlineStr">
        <is>
          <t>Silva &amp; Silva Sociedade de Advogados</t>
        </is>
      </c>
      <c r="C85" s="18" t="inlineStr">
        <is>
          <t>Refil Everest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4032</t>
        </is>
      </c>
      <c r="J85" s="18" t="n"/>
    </row>
    <row r="86">
      <c r="A86" s="44" t="n">
        <v>46042</v>
      </c>
      <c r="B86" s="45" t="inlineStr">
        <is>
          <t>Consumidor Final</t>
        </is>
      </c>
      <c r="C86" s="45" t="inlineStr">
        <is>
          <t>2x Refil Everest + Suporte</t>
        </is>
      </c>
      <c r="D86" s="46" t="n">
        <v>320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8813</t>
        </is>
      </c>
    </row>
    <row r="87">
      <c r="A87" s="17" t="n">
        <v>46042</v>
      </c>
      <c r="B87" s="18" t="inlineStr">
        <is>
          <t>Maria Alencar de Souza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NFC-e 8814</t>
        </is>
      </c>
      <c r="J87" s="18" t="inlineStr">
        <is>
          <t>CLI-0669</t>
        </is>
      </c>
    </row>
    <row r="88">
      <c r="A88" s="44" t="n">
        <v>46042</v>
      </c>
      <c r="B88" s="45" t="inlineStr">
        <is>
          <t>Costa e Sa Advogados</t>
        </is>
      </c>
      <c r="C88" s="45" t="inlineStr">
        <is>
          <t>Refil FPA14</t>
        </is>
      </c>
      <c r="D88" s="46" t="n">
        <v>100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4033</t>
        </is>
      </c>
      <c r="J88" t="inlineStr">
        <is>
          <t>EMP-0316</t>
        </is>
      </c>
    </row>
    <row r="89">
      <c r="A89" s="17" t="n">
        <v>46042</v>
      </c>
      <c r="B89" s="18" t="inlineStr">
        <is>
          <t>Floripes da Silva Cunha</t>
        </is>
      </c>
      <c r="C89" s="18" t="inlineStr">
        <is>
          <t>Refil Everest</t>
        </is>
      </c>
      <c r="D89" s="27" t="n">
        <v>140</v>
      </c>
      <c r="E89" s="18" t="inlineStr">
        <is>
          <t>Débito</t>
        </is>
      </c>
      <c r="F89" s="19" t="n"/>
      <c r="G89" s="19" t="n"/>
      <c r="H89" s="21" t="n"/>
      <c r="I89" s="18" t="inlineStr">
        <is>
          <t>NFC-e 8815</t>
        </is>
      </c>
      <c r="J89" s="18" t="n"/>
    </row>
    <row r="90">
      <c r="A90" s="44" t="n">
        <v>46042</v>
      </c>
      <c r="B90" s="45" t="inlineStr">
        <is>
          <t>J Diesel Motores e Reparos Automotivos Eireli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NF-e 4034</t>
        </is>
      </c>
    </row>
    <row r="91">
      <c r="A91" s="17" t="n">
        <v>46042</v>
      </c>
      <c r="B91" s="18" t="inlineStr">
        <is>
          <t>Arivaldo Pereira Teixeira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8816</t>
        </is>
      </c>
      <c r="J91" s="18" t="n"/>
    </row>
    <row r="92">
      <c r="A92" s="44" t="n">
        <v>46042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800.65</v>
      </c>
      <c r="H92" s="49" t="inlineStr">
        <is>
          <t>Fornecedores / Mercadoria</t>
        </is>
      </c>
      <c r="I92" s="45" t="inlineStr">
        <is>
          <t>NF 362188 de 22/10/2025 · parcela 3/5 (venc. 20/01/2026)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</row>
    <row r="93">
      <c r="A93" s="17" t="n">
        <v>46042</v>
      </c>
      <c r="B93" s="18" t="inlineStr">
        <is>
          <t>Guia do Fgts Digital</t>
        </is>
      </c>
      <c r="C93" s="18" t="n"/>
      <c r="D93" s="27" t="n"/>
      <c r="E93" s="18" t="n"/>
      <c r="F93" s="19" t="n"/>
      <c r="G93" s="19" t="n">
        <v>249.44</v>
      </c>
      <c r="H93" s="21" t="inlineStr">
        <is>
          <t>Impostos e Taxas</t>
        </is>
      </c>
      <c r="I93" s="18" t="inlineStr">
        <is>
          <t>Livro Caixa: Pagamento parcela GUIA DO FGTS DIGITAL (Doc. 1) · Planeta Agua Ltda</t>
        </is>
      </c>
      <c r="J93" s="18" t="n"/>
    </row>
    <row r="94">
      <c r="A94" s="44" t="n">
        <v>46042</v>
      </c>
      <c r="B94" s="45" t="inlineStr">
        <is>
          <t>Documento de Arrecadação de Receitas Fe</t>
        </is>
      </c>
      <c r="C94" s="45" t="n"/>
      <c r="D94" s="46" t="n"/>
      <c r="E94" s="45" t="n"/>
      <c r="F94" s="47" t="n"/>
      <c r="G94" s="48" t="n">
        <v>402.06</v>
      </c>
      <c r="H94" s="49" t="inlineStr">
        <is>
          <t>Impostos e Taxas</t>
        </is>
      </c>
      <c r="I94" s="45" t="inlineStr">
        <is>
          <t>Livro Caixa: Pagamento parcela DOCUMENTO DE ARRECADAÇÃO DE RECEITAS FE · Planeta Agua Ltda</t>
        </is>
      </c>
    </row>
    <row r="95">
      <c r="A95" s="17" t="n">
        <v>46042</v>
      </c>
      <c r="B95" s="18" t="inlineStr">
        <is>
          <t>Simples Nacional</t>
        </is>
      </c>
      <c r="C95" s="18" t="n"/>
      <c r="D95" s="27" t="n"/>
      <c r="E95" s="18" t="n"/>
      <c r="F95" s="19" t="n"/>
      <c r="G95" s="19" t="n">
        <v>1644.44</v>
      </c>
      <c r="H95" s="21" t="inlineStr">
        <is>
          <t>Impostos e Taxas</t>
        </is>
      </c>
      <c r="I95" s="18" t="inlineStr">
        <is>
          <t>Livro Caixa: Pagamento à vista: SIMPLES NACIONAL (Doc. 1) · Planeta Agua Ltda</t>
        </is>
      </c>
      <c r="J95" s="18" t="n"/>
    </row>
    <row r="96">
      <c r="A96" s="44" t="n">
        <v>46043</v>
      </c>
      <c r="B96" s="45" t="inlineStr">
        <is>
          <t>Consumidor Final</t>
        </is>
      </c>
      <c r="C96" s="45" t="inlineStr">
        <is>
          <t>Refil Acquatec</t>
        </is>
      </c>
      <c r="D96" s="46" t="n">
        <v>85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8817</t>
        </is>
      </c>
    </row>
    <row r="97">
      <c r="A97" s="17" t="n">
        <v>46043</v>
      </c>
      <c r="B97" s="18" t="inlineStr">
        <is>
          <t>Vivalda Vieira de Brito</t>
        </is>
      </c>
      <c r="C97" s="18" t="inlineStr">
        <is>
          <t>Refil Everest</t>
        </is>
      </c>
      <c r="D97" s="27" t="n">
        <v>140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8818</t>
        </is>
      </c>
      <c r="J97" s="18" t="inlineStr">
        <is>
          <t>CLI-0668</t>
        </is>
      </c>
    </row>
    <row r="98">
      <c r="A98" s="44" t="n">
        <v>46043</v>
      </c>
      <c r="B98" s="45" t="inlineStr">
        <is>
          <t>Sebastiao Alves da Silva</t>
        </is>
      </c>
      <c r="C98" s="45" t="inlineStr">
        <is>
          <t>Refil Everest + Suporte</t>
        </is>
      </c>
      <c r="D98" s="46" t="n">
        <v>200</v>
      </c>
      <c r="E98" s="45" t="inlineStr">
        <is>
          <t>Crédito Parcelado</t>
        </is>
      </c>
      <c r="F98" s="47" t="n"/>
      <c r="G98" s="48" t="n"/>
      <c r="H98" s="49" t="n"/>
      <c r="I98" s="45" t="inlineStr">
        <is>
          <t>NFC-e 8819</t>
        </is>
      </c>
    </row>
    <row r="99">
      <c r="A99" s="17" t="n">
        <v>46043</v>
      </c>
      <c r="B99" s="18" t="inlineStr">
        <is>
          <t>Bio Imagem Serviço de Diagnostico - Copa</t>
        </is>
      </c>
      <c r="C99" s="18" t="inlineStr">
        <is>
          <t>2x Refil Everest</t>
        </is>
      </c>
      <c r="D99" s="27" t="n">
        <v>280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NF-e 4035</t>
        </is>
      </c>
      <c r="J99" s="18" t="inlineStr">
        <is>
          <t>EMP-0030</t>
        </is>
      </c>
    </row>
    <row r="100" ht="15.75" customHeight="1" s="157">
      <c r="A100" s="44" t="n">
        <v>46043</v>
      </c>
      <c r="B100" s="45" t="inlineStr">
        <is>
          <t>Clinica Odonto X</t>
        </is>
      </c>
      <c r="C100" s="45" t="inlineStr">
        <is>
          <t>Refil Everest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4036</t>
        </is>
      </c>
      <c r="J100" t="inlineStr">
        <is>
          <t>EMP-0306</t>
        </is>
      </c>
    </row>
    <row r="101">
      <c r="A101" s="17" t="n">
        <v>46043</v>
      </c>
      <c r="B101" s="18" t="inlineStr">
        <is>
          <t>Consumidor Final</t>
        </is>
      </c>
      <c r="C101" s="18" t="inlineStr">
        <is>
          <t>Suporte</t>
        </is>
      </c>
      <c r="D101" s="27" t="n">
        <v>40</v>
      </c>
      <c r="E101" s="18" t="inlineStr">
        <is>
          <t>Débito</t>
        </is>
      </c>
      <c r="F101" s="19" t="n"/>
      <c r="G101" s="19" t="n"/>
      <c r="H101" s="21" t="n"/>
      <c r="I101" s="18" t="inlineStr">
        <is>
          <t>NFC-e 8820</t>
        </is>
      </c>
      <c r="J101" s="18" t="n"/>
    </row>
    <row r="102" ht="15.75" customHeight="1" s="157">
      <c r="A102" s="44" t="n">
        <v>46043</v>
      </c>
      <c r="B102" s="45" t="inlineStr">
        <is>
          <t>Consumidor Final</t>
        </is>
      </c>
      <c r="C102" s="45" t="inlineStr">
        <is>
          <t>Mangueira (1 m)</t>
        </is>
      </c>
      <c r="D102" s="46" t="n">
        <v>10</v>
      </c>
      <c r="E102" s="45" t="inlineStr">
        <is>
          <t>Crédito Parcelado</t>
        </is>
      </c>
      <c r="F102" s="47" t="n"/>
      <c r="G102" s="48" t="n"/>
      <c r="H102" s="49" t="n"/>
      <c r="I102" s="45" t="inlineStr">
        <is>
          <t>NFC-e 8821</t>
        </is>
      </c>
    </row>
    <row r="103">
      <c r="A103" s="17" t="n">
        <v>46043</v>
      </c>
      <c r="B103" s="18" t="inlineStr">
        <is>
          <t>Consumidor Final</t>
        </is>
      </c>
      <c r="C103" s="18" t="inlineStr">
        <is>
          <t>Mangueira (1 m)</t>
        </is>
      </c>
      <c r="D103" s="27" t="n">
        <v>10</v>
      </c>
      <c r="E103" s="18" t="inlineStr">
        <is>
          <t>Débito</t>
        </is>
      </c>
      <c r="F103" s="19" t="n"/>
      <c r="G103" s="19" t="n"/>
      <c r="H103" s="21" t="n"/>
      <c r="I103" s="18" t="inlineStr">
        <is>
          <t>NFC-e 8822</t>
        </is>
      </c>
      <c r="J103" s="18" t="n"/>
    </row>
    <row r="104" ht="15.75" customHeight="1" s="157">
      <c r="A104" s="44" t="n">
        <v>46043</v>
      </c>
      <c r="B104" s="45" t="inlineStr">
        <is>
          <t>Banco do Nordeste do Brasil</t>
        </is>
      </c>
      <c r="C104" s="45" t="inlineStr">
        <is>
          <t>Refil Everest + Pré Filtro</t>
        </is>
      </c>
      <c r="D104" s="46" t="n">
        <v>200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4037</t>
        </is>
      </c>
      <c r="J104" t="inlineStr">
        <is>
          <t>EMP-0220</t>
        </is>
      </c>
    </row>
    <row r="105">
      <c r="A105" s="17" t="n">
        <v>46043</v>
      </c>
      <c r="B105" s="18" t="inlineStr">
        <is>
          <t>Filtros Planeta Agua Ind e Com Ltda</t>
        </is>
      </c>
      <c r="C105" s="18" t="n"/>
      <c r="D105" s="27" t="n"/>
      <c r="E105" s="18" t="n"/>
      <c r="F105" s="19" t="n"/>
      <c r="G105" s="19" t="n">
        <v>426.73</v>
      </c>
      <c r="H105" s="21" t="inlineStr">
        <is>
          <t>Fornecedores / Mercadoria</t>
        </is>
      </c>
      <c r="I105" s="18" t="inlineStr">
        <is>
          <t>NF 125587 de 10/12/2025 · parcela 2/4 (venc. 21/01/2026)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105" s="18" t="n"/>
    </row>
    <row r="106">
      <c r="A106" s="44" t="n">
        <v>46043</v>
      </c>
      <c r="B106" s="45" t="inlineStr">
        <is>
          <t>Jamef</t>
        </is>
      </c>
      <c r="C106" s="45" t="n"/>
      <c r="D106" s="46" t="n"/>
      <c r="E106" s="45" t="n"/>
      <c r="F106" s="47" t="n"/>
      <c r="G106" s="48" t="n">
        <v>418.41</v>
      </c>
      <c r="H106" s="49" t="inlineStr">
        <is>
          <t>Transporte e Entregas</t>
        </is>
      </c>
      <c r="I106" s="45" t="inlineStr">
        <is>
          <t>Livro Caixa: Pagamento à vista: JAMEF (Doc. 1) · Jamef Transportes Ltda</t>
        </is>
      </c>
    </row>
    <row r="107">
      <c r="A107" s="17" t="n">
        <v>46044</v>
      </c>
      <c r="B107" s="18" t="inlineStr">
        <is>
          <t>Consumidor Final</t>
        </is>
      </c>
      <c r="C107" s="18" t="inlineStr">
        <is>
          <t>Conexao Reta Rosca 1/2 Bspt P/Tubo 1/4 Pol Branca + Mangueira (1 m)</t>
        </is>
      </c>
      <c r="D107" s="27" t="n">
        <v>35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8823</t>
        </is>
      </c>
      <c r="J107" s="18" t="n"/>
    </row>
    <row r="108">
      <c r="A108" s="44" t="n">
        <v>46044</v>
      </c>
      <c r="B108" s="45" t="inlineStr">
        <is>
          <t>Consumidor Final</t>
        </is>
      </c>
      <c r="C108" s="45" t="inlineStr">
        <is>
          <t>Refil Everest</t>
        </is>
      </c>
      <c r="D108" s="46" t="n">
        <v>135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8824</t>
        </is>
      </c>
    </row>
    <row r="109">
      <c r="A109" s="17" t="n">
        <v>46044</v>
      </c>
      <c r="B109" s="18" t="inlineStr">
        <is>
          <t>Central do Suplemento</t>
        </is>
      </c>
      <c r="C109" s="18" t="inlineStr">
        <is>
          <t>Refil Everest</t>
        </is>
      </c>
      <c r="D109" s="27" t="n">
        <v>140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4038</t>
        </is>
      </c>
      <c r="J109" s="18" t="inlineStr">
        <is>
          <t>EMP-0055</t>
        </is>
      </c>
    </row>
    <row r="110">
      <c r="A110" s="44" t="n">
        <v>46044</v>
      </c>
      <c r="B110" s="45" t="inlineStr">
        <is>
          <t>Consumidor Final</t>
        </is>
      </c>
      <c r="C110" s="45" t="inlineStr">
        <is>
          <t>Suporte</t>
        </is>
      </c>
      <c r="D110" s="46" t="n">
        <v>40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8825</t>
        </is>
      </c>
    </row>
    <row r="111">
      <c r="A111" s="17" t="n">
        <v>46044</v>
      </c>
      <c r="B111" s="18" t="inlineStr">
        <is>
          <t>Centro de Especialidades Odontomedicas Ltda</t>
        </is>
      </c>
      <c r="C111" s="18" t="inlineStr">
        <is>
          <t>2x Refil Everest</t>
        </is>
      </c>
      <c r="D111" s="27" t="n">
        <v>280</v>
      </c>
      <c r="E111" s="18" t="inlineStr">
        <is>
          <t>Aguardando Pagamento</t>
        </is>
      </c>
      <c r="F111" s="19" t="n"/>
      <c r="G111" s="19" t="n"/>
      <c r="H111" s="21" t="n"/>
      <c r="I111" s="18" t="inlineStr">
        <is>
          <t>NF-e 4039 · não recebido (conferido no DigiSat em 28/09/2026) — espelhado em Contas a Receber.</t>
        </is>
      </c>
      <c r="J111" s="18" t="n"/>
    </row>
    <row r="112">
      <c r="A112" s="44" t="n">
        <v>46045</v>
      </c>
      <c r="B112" s="45" t="inlineStr">
        <is>
          <t>Consumidor Final</t>
        </is>
      </c>
      <c r="C112" s="45" t="inlineStr">
        <is>
          <t>48x Refil Everest</t>
        </is>
      </c>
      <c r="D112" s="46" t="n">
        <v>2160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8826</t>
        </is>
      </c>
    </row>
    <row r="113">
      <c r="A113" s="17" t="n">
        <v>46045</v>
      </c>
      <c r="B113" s="18" t="inlineStr">
        <is>
          <t>Int Odontologia - Larissa sena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4040</t>
        </is>
      </c>
      <c r="J113" s="18" t="inlineStr">
        <is>
          <t>EMP-0184</t>
        </is>
      </c>
    </row>
    <row r="114">
      <c r="A114" s="44" t="n">
        <v>46045</v>
      </c>
      <c r="B114" s="45" t="inlineStr">
        <is>
          <t>Consumidor Final</t>
        </is>
      </c>
      <c r="C114" s="45" t="inlineStr">
        <is>
          <t>Refil Top Color</t>
        </is>
      </c>
      <c r="D114" s="46" t="n">
        <v>75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8827</t>
        </is>
      </c>
    </row>
    <row r="115">
      <c r="A115" s="17" t="n">
        <v>46045</v>
      </c>
      <c r="B115" s="18" t="inlineStr">
        <is>
          <t>Consumidor Final</t>
        </is>
      </c>
      <c r="C115" s="18" t="inlineStr">
        <is>
          <t>2x Vela Filtro de Barro</t>
        </is>
      </c>
      <c r="D115" s="27" t="n">
        <v>24</v>
      </c>
      <c r="E115" s="18" t="inlineStr">
        <is>
          <t>Débito</t>
        </is>
      </c>
      <c r="F115" s="19" t="n"/>
      <c r="G115" s="19" t="n"/>
      <c r="H115" s="21" t="n"/>
      <c r="I115" s="18" t="inlineStr">
        <is>
          <t>NFC-e 8828</t>
        </is>
      </c>
      <c r="J115" s="18" t="n"/>
    </row>
    <row r="116">
      <c r="A116" s="44" t="n">
        <v>46046</v>
      </c>
      <c r="B116" s="45" t="inlineStr">
        <is>
          <t>Roberto Carlos de Souza</t>
        </is>
      </c>
      <c r="C116" s="45" t="inlineStr">
        <is>
          <t>Refil Everest + Suporte + Refil PP + Refil Carbon Tech 9"</t>
        </is>
      </c>
      <c r="D116" s="46" t="n">
        <v>313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8829</t>
        </is>
      </c>
    </row>
    <row r="117">
      <c r="A117" s="17" t="n">
        <v>46048</v>
      </c>
      <c r="B117" s="18" t="inlineStr">
        <is>
          <t>Burguer Jacobina Ltda</t>
        </is>
      </c>
      <c r="C117" s="18" t="inlineStr">
        <is>
          <t>Refil Everest</t>
        </is>
      </c>
      <c r="D117" s="27" t="n">
        <v>140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NF-e 4041</t>
        </is>
      </c>
      <c r="J117" s="18" t="n"/>
    </row>
    <row r="118">
      <c r="A118" s="44" t="n">
        <v>46048</v>
      </c>
      <c r="B118" s="45" t="inlineStr">
        <is>
          <t>Icms Antecipação Parcial</t>
        </is>
      </c>
      <c r="C118" s="45" t="n"/>
      <c r="D118" s="46" t="n"/>
      <c r="E118" s="45" t="n"/>
      <c r="F118" s="47" t="n"/>
      <c r="G118" s="48" t="n">
        <v>1122.45</v>
      </c>
      <c r="H118" s="49" t="inlineStr">
        <is>
          <t>Impostos e Taxas</t>
        </is>
      </c>
      <c r="I118" s="45" t="inlineStr">
        <is>
          <t>Livro Caixa: Pagamento parcela ICMS ANTECIPAÇÃO PARCIAL (Doc. 1) · Planeta Agua Ltda</t>
        </is>
      </c>
    </row>
    <row r="119">
      <c r="A119" s="17" t="n">
        <v>46048</v>
      </c>
      <c r="B119" s="18" t="inlineStr">
        <is>
          <t>Eversoft Ind e Com de Plasticos Ltda</t>
        </is>
      </c>
      <c r="C119" s="18" t="n"/>
      <c r="D119" s="27" t="n"/>
      <c r="E119" s="18" t="n"/>
      <c r="F119" s="19" t="n"/>
      <c r="G119" s="19" t="n">
        <v>980.83</v>
      </c>
      <c r="H119" s="21" t="inlineStr">
        <is>
          <t>Fornecedores / Mercadoria</t>
        </is>
      </c>
      <c r="I119" s="18" t="inlineStr">
        <is>
          <t>NF 69107 de 27/11/2025 · parcela 2/5 (venc. 26/01/2026) · compra total R$ 4.904,13: 100x Refil Everest + 50x Pré Filtro · Livro Caixa</t>
        </is>
      </c>
      <c r="J119" s="18" t="n"/>
    </row>
    <row r="120">
      <c r="A120" s="44" t="n">
        <v>46048</v>
      </c>
      <c r="B120" s="45" t="inlineStr">
        <is>
          <t>Ferias Wiliam (Segunda Parcela)</t>
        </is>
      </c>
      <c r="C120" s="45" t="n"/>
      <c r="D120" s="46" t="n"/>
      <c r="E120" s="45" t="n"/>
      <c r="F120" s="47" t="n"/>
      <c r="G120" s="48" t="n">
        <v>1405</v>
      </c>
      <c r="H120" s="49" t="inlineStr">
        <is>
          <t>Salários, Comissões e Encargos</t>
        </is>
      </c>
      <c r="I120" s="45" t="inlineStr">
        <is>
          <t>Livro Caixa: Pagamento parcela FERIAS WILIAM (SEGUNDA PARCELA) (Doc. 1) · Wiliam Pinto Bispo</t>
        </is>
      </c>
    </row>
    <row r="121">
      <c r="A121" s="17" t="n">
        <v>46048</v>
      </c>
      <c r="B121" s="18" t="inlineStr">
        <is>
          <t>Jamef</t>
        </is>
      </c>
      <c r="C121" s="18" t="n"/>
      <c r="D121" s="27" t="n"/>
      <c r="E121" s="18" t="n"/>
      <c r="F121" s="19" t="n"/>
      <c r="G121" s="19" t="n">
        <v>420.82</v>
      </c>
      <c r="H121" s="21" t="inlineStr">
        <is>
          <t>Transporte e Entregas</t>
        </is>
      </c>
      <c r="I121" s="18" t="inlineStr">
        <is>
          <t>Livro Caixa: Pagamento parcela JAMEF (Doc. 1) · Jamef Transportes Ltda</t>
        </is>
      </c>
      <c r="J121" s="18" t="n"/>
    </row>
    <row r="122">
      <c r="A122" s="44" t="n">
        <v>46048</v>
      </c>
      <c r="B122" s="45" t="inlineStr">
        <is>
          <t>Eversoft Ind e Com de Plasticos Ltda</t>
        </is>
      </c>
      <c r="C122" s="45" t="n"/>
      <c r="D122" s="46" t="n"/>
      <c r="E122" s="45" t="n"/>
      <c r="F122" s="47" t="n"/>
      <c r="G122" s="48" t="n">
        <v>878.92</v>
      </c>
      <c r="H122" s="49" t="inlineStr">
        <is>
          <t>Fornecedores / Mercadoria</t>
        </is>
      </c>
      <c r="I122" s="45" t="inlineStr">
        <is>
          <t>NF 69886 de 30/12/2025 · parcela 1/5 (venc. 29/01/2026) · compra total R$ 4.394,61: 100x Refil Everest · Livro Caixa</t>
        </is>
      </c>
    </row>
    <row r="123">
      <c r="A123" s="17" t="n">
        <v>46049</v>
      </c>
      <c r="B123" s="18" t="inlineStr">
        <is>
          <t>Romeu Lopes Tinel</t>
        </is>
      </c>
      <c r="C123" s="18" t="inlineStr">
        <is>
          <t>Refil Everest</t>
        </is>
      </c>
      <c r="D123" s="27" t="n">
        <v>140</v>
      </c>
      <c r="E123" s="18" t="inlineStr">
        <is>
          <t>Débito</t>
        </is>
      </c>
      <c r="F123" s="19" t="n"/>
      <c r="G123" s="19" t="n"/>
      <c r="H123" s="21" t="n"/>
      <c r="I123" s="18" t="inlineStr">
        <is>
          <t>NFC-e 8830</t>
        </is>
      </c>
      <c r="J123" s="18" t="n"/>
    </row>
    <row r="124">
      <c r="A124" s="44" t="n">
        <v>46049</v>
      </c>
      <c r="B124" s="45" t="inlineStr">
        <is>
          <t>Wilson Luis Transportes e Servicos Ltda</t>
        </is>
      </c>
      <c r="C124" s="45" t="inlineStr">
        <is>
          <t>Refil Everest + Refil Plissado</t>
        </is>
      </c>
      <c r="D124" s="46" t="n">
        <v>250</v>
      </c>
      <c r="E124" s="45" t="inlineStr">
        <is>
          <t>Dinheiro</t>
        </is>
      </c>
      <c r="F124" s="47" t="n"/>
      <c r="G124" s="48" t="n"/>
      <c r="H124" s="49" t="n"/>
      <c r="I124" s="45" t="inlineStr">
        <is>
          <t>NF-e 4042</t>
        </is>
      </c>
    </row>
    <row r="125">
      <c r="A125" s="17" t="n">
        <v>46050</v>
      </c>
      <c r="B125" s="18" t="inlineStr">
        <is>
          <t>Tatiana Miranda Siqueira</t>
        </is>
      </c>
      <c r="C125" s="18" t="inlineStr">
        <is>
          <t>Refil Everest</t>
        </is>
      </c>
      <c r="D125" s="27" t="n">
        <v>135</v>
      </c>
      <c r="E125" s="18" t="inlineStr">
        <is>
          <t>Dinheiro</t>
        </is>
      </c>
      <c r="F125" s="19" t="n"/>
      <c r="G125" s="19" t="n"/>
      <c r="H125" s="21" t="n"/>
      <c r="I125" s="18" t="inlineStr">
        <is>
          <t>NF-e 4043</t>
        </is>
      </c>
      <c r="J125" s="18" t="inlineStr">
        <is>
          <t>CLI-0696</t>
        </is>
      </c>
    </row>
    <row r="126">
      <c r="A126" s="44" t="n">
        <v>46050</v>
      </c>
      <c r="B126" s="45" t="inlineStr">
        <is>
          <t>Audioclin Clinca Médica LTDA - Tarcisio Nascimento - Anexo 1 Clínica Médica</t>
        </is>
      </c>
      <c r="C126" s="45" t="inlineStr">
        <is>
          <t>Refil Pro Life + 3x Refil Everest</t>
        </is>
      </c>
      <c r="D126" s="46" t="n">
        <v>560</v>
      </c>
      <c r="E126" s="45" t="n"/>
      <c r="F126" s="47" t="n"/>
      <c r="G126" s="48" t="n"/>
      <c r="H126" s="49" t="n"/>
      <c r="I126" s="45" t="inlineStr">
        <is>
          <t>NF-e 4008 · nota faturada a prazo (forma de recebimento não consta na nota) · venda de 18/12/2025 — pagamento recebido em 28/01/2026</t>
        </is>
      </c>
      <c r="J126" t="inlineStr">
        <is>
          <t>EMP-0138</t>
        </is>
      </c>
    </row>
    <row r="127">
      <c r="A127" s="17" t="n">
        <v>46051</v>
      </c>
      <c r="B127" s="18" t="inlineStr">
        <is>
          <t>Tropical Motos LTDA</t>
        </is>
      </c>
      <c r="C127" s="18" t="inlineStr">
        <is>
          <t>4x Refil Everest + 3x Pré Filtro</t>
        </is>
      </c>
      <c r="D127" s="27" t="n">
        <v>670</v>
      </c>
      <c r="E127" s="18" t="inlineStr">
        <is>
          <t>Dinheiro</t>
        </is>
      </c>
      <c r="F127" s="19" t="n"/>
      <c r="G127" s="19" t="n"/>
      <c r="H127" s="21" t="n"/>
      <c r="I127" s="18" t="inlineStr">
        <is>
          <t>NF-e 4044</t>
        </is>
      </c>
      <c r="J127" s="18" t="inlineStr">
        <is>
          <t>EMP-0296</t>
        </is>
      </c>
    </row>
    <row r="128" ht="15.75" customHeight="1" s="157">
      <c r="A128" s="44" t="n">
        <v>46052</v>
      </c>
      <c r="B128" s="45" t="inlineStr">
        <is>
          <t>Lourival M de Souza</t>
        </is>
      </c>
      <c r="C128" s="45" t="inlineStr">
        <is>
          <t>Refil Plissado + Refil Carbon Tech 9" + Carcaça 9"</t>
        </is>
      </c>
      <c r="D128" s="46" t="n">
        <v>290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4045</t>
        </is>
      </c>
    </row>
    <row r="129">
      <c r="A129" s="17" t="n">
        <v>46052</v>
      </c>
      <c r="B129" s="18" t="inlineStr">
        <is>
          <t>Boticario - RLR Central LTDA - Loane Mesquia</t>
        </is>
      </c>
      <c r="C129" s="18" t="inlineStr">
        <is>
          <t>Refil Everest</t>
        </is>
      </c>
      <c r="D129" s="27" t="n">
        <v>135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4046</t>
        </is>
      </c>
      <c r="J129" s="18" t="inlineStr">
        <is>
          <t>EMP-0034</t>
        </is>
      </c>
    </row>
    <row r="130">
      <c r="A130" s="44" t="n">
        <v>46052</v>
      </c>
      <c r="B130" s="45" t="inlineStr">
        <is>
          <t xml:space="preserve">Instituição Adventista Nordeste Brasileiro </t>
        </is>
      </c>
      <c r="C130" s="45" t="inlineStr">
        <is>
          <t>Refil Multifilter + Refil Plissado + Refil Everest + Pré Filtro</t>
        </is>
      </c>
      <c r="D130" s="46" t="n">
        <v>370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4047</t>
        </is>
      </c>
      <c r="J130" t="inlineStr">
        <is>
          <t>ESC-0016</t>
        </is>
      </c>
    </row>
    <row r="131">
      <c r="A131" s="17" t="n">
        <v>46052</v>
      </c>
      <c r="B131" s="18" t="inlineStr">
        <is>
          <t>Laecio Guilherme da Silva</t>
        </is>
      </c>
      <c r="C131" s="18" t="inlineStr">
        <is>
          <t>Refil Everest</t>
        </is>
      </c>
      <c r="D131" s="27" t="n">
        <v>135</v>
      </c>
      <c r="E131" s="18" t="inlineStr">
        <is>
          <t>Débito</t>
        </is>
      </c>
      <c r="F131" s="19" t="n"/>
      <c r="G131" s="19" t="n"/>
      <c r="H131" s="21" t="n"/>
      <c r="I131" s="18" t="inlineStr">
        <is>
          <t>NFC-e 8831</t>
        </is>
      </c>
      <c r="J131" s="18" t="n"/>
    </row>
    <row r="132">
      <c r="A132" s="44" t="n">
        <v>46052</v>
      </c>
      <c r="B132" s="45" t="inlineStr">
        <is>
          <t>Gildete Pereria de Almeida Oliveira</t>
        </is>
      </c>
      <c r="C132" s="45" t="inlineStr">
        <is>
          <t>2x Refil Everest + Pré Filtro</t>
        </is>
      </c>
      <c r="D132" s="46" t="n">
        <v>80</v>
      </c>
      <c r="E132" s="45" t="n"/>
      <c r="F132" s="47" t="n"/>
      <c r="G132" s="48" t="n"/>
      <c r="H132" s="49" t="n"/>
      <c r="I132" s="45" t="inlineStr">
        <is>
          <t>NFC-e 8695 · venda de 01/12/2025, total R$ 340,00 — parcela 1 · nota faturada a prazo (forma de recebimento não consta na nota)</t>
        </is>
      </c>
      <c r="J132" t="inlineStr">
        <is>
          <t>CLI-0597</t>
        </is>
      </c>
    </row>
    <row r="133">
      <c r="A133" s="17" t="n">
        <v>46053</v>
      </c>
      <c r="B133" s="18" t="inlineStr">
        <is>
          <t>Salario Daniel</t>
        </is>
      </c>
      <c r="C133" s="18" t="n"/>
      <c r="D133" s="27" t="n"/>
      <c r="E133" s="18" t="n"/>
      <c r="F133" s="19" t="n"/>
      <c r="G133" s="19" t="n">
        <v>973.25</v>
      </c>
      <c r="H133" s="21" t="inlineStr">
        <is>
          <t>Salários, Comissões e Encargos</t>
        </is>
      </c>
      <c r="I133" s="18" t="inlineStr">
        <is>
          <t>Livro Caixa: Pagamento parcela SALARIO DANIEL (Doc. 1) · Daniel Barbosa dos Santos</t>
        </is>
      </c>
      <c r="J133" s="18" t="n"/>
    </row>
    <row r="134">
      <c r="A134" s="44" t="n">
        <v>46053</v>
      </c>
      <c r="B134" s="45" t="inlineStr">
        <is>
          <t>Salario Wiliam</t>
        </is>
      </c>
      <c r="C134" s="45" t="n"/>
      <c r="D134" s="46" t="n"/>
      <c r="E134" s="45" t="n"/>
      <c r="F134" s="47" t="n"/>
      <c r="G134" s="48" t="n">
        <v>1469.67</v>
      </c>
      <c r="H134" s="49" t="inlineStr">
        <is>
          <t>Salários, Comissões e Encargos</t>
        </is>
      </c>
      <c r="I134" s="45" t="inlineStr">
        <is>
          <t>Livro Caixa: Pagamento parcela SALARIO WILIAM (Doc. 1) · Wiliam Pinto Bispo</t>
        </is>
      </c>
    </row>
    <row r="135">
      <c r="A135" s="29" t="n"/>
      <c r="B135" s="43" t="inlineStr">
        <is>
          <t>TOTAL DO MÊS</t>
        </is>
      </c>
      <c r="C135" s="160" t="n"/>
      <c r="D135" s="8">
        <f>SUM(D5:D134)</f>
        <v/>
      </c>
      <c r="E135" s="8" t="n"/>
      <c r="F135" s="29">
        <f>SUM(F5:F134)</f>
        <v/>
      </c>
      <c r="G135" s="8">
        <f>SUM(G5:G134)</f>
        <v/>
      </c>
      <c r="H135" s="29" t="n"/>
      <c r="I135" s="29" t="n"/>
    </row>
    <row r="136">
      <c r="A136" s="30" t="n"/>
      <c r="B136" s="133" t="inlineStr">
        <is>
          <t>SALDO DO MÊS (Entradas líquidas − Despesas da loja)</t>
        </is>
      </c>
      <c r="D136" s="132">
        <f>(D135-F135-T5)-(L18-L19)</f>
        <v/>
      </c>
      <c r="F136" s="30" t="n"/>
      <c r="H136" s="30" t="n"/>
      <c r="I136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4" showDropDown="0" showInputMessage="0" showErrorMessage="0" allowBlank="1" type="list">
      <formula1>"Dinheiro,Pix,Débito,Crédito à Vista,Crédito Parcelado,Aguardando Pagamento"</formula1>
    </dataValidation>
    <dataValidation sqref="H5:H13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46054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SUMIF(H5:H148,K5,G5:G148)</f>
        <v/>
      </c>
      <c r="N5" s="229">
        <f>D149-F149-T5</f>
        <v/>
      </c>
      <c r="P5" s="231">
        <f>L18-L19</f>
        <v/>
      </c>
      <c r="R5" s="230">
        <f>D150</f>
        <v/>
      </c>
      <c r="T5" s="212">
        <f>SUMIF(E5:E148,"Aguardando Pagamento",D5:D148)</f>
        <v/>
      </c>
    </row>
    <row r="6" ht="14.1" customHeight="1" s="157">
      <c r="A6" s="44" t="n">
        <v>46055</v>
      </c>
      <c r="B6" s="45" t="inlineStr">
        <is>
          <t>Terezinha Souza Maia</t>
        </is>
      </c>
      <c r="C6" s="45" t="inlineStr">
        <is>
          <t>Refil Everest + Pré Filtro</t>
        </is>
      </c>
      <c r="D6" s="46" t="n">
        <v>190</v>
      </c>
      <c r="E6" s="45" t="inlineStr">
        <is>
          <t>Pix</t>
        </is>
      </c>
      <c r="F6" s="47" t="n"/>
      <c r="G6" s="48" t="n"/>
      <c r="H6" s="49" t="n"/>
      <c r="I6" s="45" t="inlineStr">
        <is>
          <t>NFC-e 8832</t>
        </is>
      </c>
      <c r="J6" t="inlineStr">
        <is>
          <t>CLI-0644</t>
        </is>
      </c>
      <c r="K6" s="13" t="inlineStr">
        <is>
          <t>Aluguel</t>
        </is>
      </c>
      <c r="L6" s="14">
        <f>SUMIF(H5:H148,K6,G5:G148)</f>
        <v/>
      </c>
    </row>
    <row r="7" ht="15.75" customHeight="1" s="157">
      <c r="A7" s="17" t="n">
        <v>46055</v>
      </c>
      <c r="B7" s="18" t="inlineStr">
        <is>
          <t>Roberta Lima dos Santos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8833</t>
        </is>
      </c>
      <c r="J7" s="18" t="n"/>
      <c r="K7" s="10" t="inlineStr">
        <is>
          <t>Água, Energia e Internet</t>
        </is>
      </c>
      <c r="L7" s="11">
        <f>SUMIF(H5:H148,K7,G5:G148)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COMBINADO",IF(TODAY()&gt;EOMONTH(DATE(2026,2,1),0),"ABAIXO DO COMBINADO","AINDA PODE GASTAR"))</f>
        <v/>
      </c>
      <c r="T7" s="224" t="inlineStr">
        <is>
          <t>SOBRA FINAL DO MÊS</t>
        </is>
      </c>
    </row>
    <row r="8">
      <c r="A8" s="44" t="n">
        <v>46055</v>
      </c>
      <c r="B8" s="45" t="inlineStr">
        <is>
          <t>Joselia Sousa Bacelar</t>
        </is>
      </c>
      <c r="C8" s="45" t="inlineStr">
        <is>
          <t>Refil Everest</t>
        </is>
      </c>
      <c r="D8" s="46" t="n">
        <v>135</v>
      </c>
      <c r="E8" s="45" t="inlineStr">
        <is>
          <t>Dinheiro</t>
        </is>
      </c>
      <c r="F8" s="47" t="n"/>
      <c r="G8" s="48" t="n"/>
      <c r="H8" s="49" t="n"/>
      <c r="I8" s="45" t="inlineStr">
        <is>
          <t>NFC-e 8834</t>
        </is>
      </c>
      <c r="J8" t="inlineStr">
        <is>
          <t>CLI-0687</t>
        </is>
      </c>
      <c r="K8" s="13" t="inlineStr">
        <is>
          <t>Impostos e Taxas</t>
        </is>
      </c>
      <c r="L8" s="14">
        <f>SUMIF(H5:H148,K8,G5:G148)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46055</v>
      </c>
      <c r="B9" s="18" t="inlineStr">
        <is>
          <t xml:space="preserve">Edna da Silva Farias 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NFC-e 8835</t>
        </is>
      </c>
      <c r="J9" s="18" t="inlineStr">
        <is>
          <t>CLI-0686</t>
        </is>
      </c>
      <c r="K9" s="10" t="inlineStr">
        <is>
          <t>Tarifas Bancárias e Cartão</t>
        </is>
      </c>
      <c r="L9" s="11">
        <f>SUMIF(H5:H148,K9,G5:G148)</f>
        <v/>
      </c>
    </row>
    <row r="10">
      <c r="A10" s="44" t="n">
        <v>46055</v>
      </c>
      <c r="B10" s="45" t="inlineStr">
        <is>
          <t xml:space="preserve">Farmacia Popular - Cremilda Matos dos Santos </t>
        </is>
      </c>
      <c r="C10" s="45" t="inlineStr">
        <is>
          <t>Refil Everest + Pré Filtro</t>
        </is>
      </c>
      <c r="D10" s="46" t="n">
        <v>180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8836</t>
        </is>
      </c>
      <c r="J10" t="inlineStr">
        <is>
          <t>EMP-0147</t>
        </is>
      </c>
      <c r="K10" s="13" t="inlineStr">
        <is>
          <t>Transporte e Entregas</t>
        </is>
      </c>
      <c r="L10" s="14">
        <f>SUMIF(H5:H148,K10,G5:G148)</f>
        <v/>
      </c>
    </row>
    <row r="11">
      <c r="A11" s="17" t="n">
        <v>46055</v>
      </c>
      <c r="B11" s="18" t="inlineStr">
        <is>
          <t>Vanete Nunes Franco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8837</t>
        </is>
      </c>
      <c r="J11" s="18" t="n"/>
      <c r="K11" s="10" t="inlineStr">
        <is>
          <t>Salários, Comissões e Encargos</t>
        </is>
      </c>
      <c r="L11" s="11">
        <f>SUMIF(H5:H148,K11,G5:G148)</f>
        <v/>
      </c>
    </row>
    <row r="12">
      <c r="A12" s="44" t="n">
        <v>46055</v>
      </c>
      <c r="B12" s="45" t="inlineStr">
        <is>
          <t>Catuaba Materiais de Construção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4048</t>
        </is>
      </c>
      <c r="J12" t="inlineStr">
        <is>
          <t>EMP-0051</t>
        </is>
      </c>
      <c r="K12" s="13" t="inlineStr">
        <is>
          <t>Contabilidade</t>
        </is>
      </c>
      <c r="L12" s="14">
        <f>SUMIF(H5:H148,K12,G5:G148)</f>
        <v/>
      </c>
    </row>
    <row r="13">
      <c r="A13" s="17" t="n">
        <v>46055</v>
      </c>
      <c r="B13" s="18" t="inlineStr">
        <is>
          <t>L Silva dos Santos - Leliane Silva</t>
        </is>
      </c>
      <c r="C13" s="18" t="inlineStr">
        <is>
          <t>Refil Everest</t>
        </is>
      </c>
      <c r="D13" s="27" t="n">
        <v>135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4049</t>
        </is>
      </c>
      <c r="J13" s="18" t="n"/>
      <c r="K13" s="10" t="inlineStr">
        <is>
          <t>Manutenção e Reparos</t>
        </is>
      </c>
      <c r="L13" s="11">
        <f>SUMIF(H5:H148,K13,G5:G148)</f>
        <v/>
      </c>
    </row>
    <row r="14" ht="15.75" customHeight="1" s="157">
      <c r="A14" s="44" t="n">
        <v>46055</v>
      </c>
      <c r="B14" s="45" t="inlineStr">
        <is>
          <t>Cleidiomar Moreira Gonzaga</t>
        </is>
      </c>
      <c r="C14" s="45" t="inlineStr">
        <is>
          <t>Refil Everest</t>
        </is>
      </c>
      <c r="D14" s="46" t="n">
        <v>140</v>
      </c>
      <c r="E14" s="45" t="inlineStr">
        <is>
          <t>Crédito Parcelado</t>
        </is>
      </c>
      <c r="F14" s="47" t="n"/>
      <c r="G14" s="48" t="n"/>
      <c r="H14" s="49" t="n"/>
      <c r="I14" s="45" t="inlineStr">
        <is>
          <t>NFC-e 8838</t>
        </is>
      </c>
      <c r="K14" s="13" t="inlineStr">
        <is>
          <t>Material de Limpeza e Escritório</t>
        </is>
      </c>
      <c r="L14" s="14">
        <f>SUMIF(H5:H148,K14,G5:G148)</f>
        <v/>
      </c>
    </row>
    <row r="15" ht="15.75" customHeight="1" s="157">
      <c r="A15" s="17" t="n">
        <v>46055</v>
      </c>
      <c r="B15" s="18" t="inlineStr">
        <is>
          <t>Consumidor Final</t>
        </is>
      </c>
      <c r="C15" s="18" t="inlineStr">
        <is>
          <t>Refil Everest + Registro</t>
        </is>
      </c>
      <c r="D15" s="27" t="n">
        <v>175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8839</t>
        </is>
      </c>
      <c r="J15" s="18" t="n"/>
      <c r="K15" s="10" t="inlineStr">
        <is>
          <t>Estornos de Vendas (Cancelamentos)</t>
        </is>
      </c>
      <c r="L15" s="11">
        <f>SUMIF(H5:H148,K15,G5:G148)</f>
        <v/>
      </c>
    </row>
    <row r="16">
      <c r="A16" s="44" t="n">
        <v>46055</v>
      </c>
      <c r="B16" s="45" t="inlineStr">
        <is>
          <t>Amanda Caroline Vieria Bispo - Clinica Sorriso Lindo</t>
        </is>
      </c>
      <c r="C16" s="45" t="inlineStr">
        <is>
          <t>Termostato</t>
        </is>
      </c>
      <c r="D16" s="46" t="n">
        <v>170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8840</t>
        </is>
      </c>
      <c r="K16" t="inlineStr">
        <is>
          <t>Outras Despesas</t>
        </is>
      </c>
      <c r="L16" s="11">
        <f>SUMIF(H5:H148,K16,G5:G148)</f>
        <v/>
      </c>
    </row>
    <row r="17" ht="15.75" customHeight="1" s="157">
      <c r="A17" s="17" t="n">
        <v>46055</v>
      </c>
      <c r="B17" s="18" t="inlineStr">
        <is>
          <t>Instituto Psicopedagogico Maria Rita Eireli</t>
        </is>
      </c>
      <c r="C17" s="18" t="inlineStr">
        <is>
          <t>Refil Everest</t>
        </is>
      </c>
      <c r="D17" s="27" t="n">
        <v>160</v>
      </c>
      <c r="E17" s="18" t="inlineStr">
        <is>
          <t>Pix</t>
        </is>
      </c>
      <c r="F17" s="19" t="n"/>
      <c r="G17" s="19" t="n"/>
      <c r="H17" s="21" t="n"/>
      <c r="I17" s="18" t="inlineStr">
        <is>
          <t>NF-e 4050</t>
        </is>
      </c>
      <c r="J17" s="18" t="n"/>
      <c r="K17" t="inlineStr">
        <is>
          <t>Pro Labore Edilânia</t>
        </is>
      </c>
      <c r="L17">
        <f>SUMIF(H5:H148,K17,G5:G148)</f>
        <v/>
      </c>
    </row>
    <row r="18" ht="15.75" customHeight="1" s="157">
      <c r="A18" s="44" t="n">
        <v>46055</v>
      </c>
      <c r="B18" s="45" t="inlineStr">
        <is>
          <t>Maria Carolina Gomes Vasconcelos Ltda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4051</t>
        </is>
      </c>
      <c r="K18" t="inlineStr">
        <is>
          <t>Total</t>
        </is>
      </c>
      <c r="L18">
        <f>SUM(L5:L16)</f>
        <v/>
      </c>
    </row>
    <row r="19">
      <c r="A19" s="17" t="n">
        <v>46055</v>
      </c>
      <c r="B19" s="18" t="inlineStr">
        <is>
          <t>Tiago Rodrigo de Araujo Valgueiro</t>
        </is>
      </c>
      <c r="C19" s="18" t="inlineStr">
        <is>
          <t>Refil Everest</t>
        </is>
      </c>
      <c r="D19" s="27" t="n">
        <v>140</v>
      </c>
      <c r="E19" s="18" t="inlineStr">
        <is>
          <t>Pix</t>
        </is>
      </c>
      <c r="F19" s="19" t="n"/>
      <c r="G19" s="19" t="n"/>
      <c r="H19" s="21" t="n"/>
      <c r="I19" s="18" t="inlineStr">
        <is>
          <t>NFC-e 8841</t>
        </is>
      </c>
      <c r="J19" s="18" t="inlineStr">
        <is>
          <t>CLI-0681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(BB)'!A9:A200,"&gt;="&amp;DATE(2026,2,1),'Capital de Giro (BB)'!A9:A200,"&lt;="&amp;DATE(2026,2,28),'Capital de Giro (BB)'!E9:E200,"A Devolver")</f>
        <v/>
      </c>
    </row>
    <row r="20">
      <c r="A20" s="44" t="n">
        <v>46055</v>
      </c>
      <c r="B20" s="45" t="inlineStr">
        <is>
          <t>Arlindo Galdino dos Santos Junior - Floricelia Carvalho</t>
        </is>
      </c>
      <c r="C20" s="45" t="inlineStr">
        <is>
          <t>Refil Everest</t>
        </is>
      </c>
      <c r="D20" s="46" t="n">
        <v>140</v>
      </c>
      <c r="E20" s="45" t="inlineStr">
        <is>
          <t>Crédito Parcelado</t>
        </is>
      </c>
      <c r="F20" s="47" t="n"/>
      <c r="G20" s="48" t="n"/>
      <c r="H20" s="49" t="n"/>
      <c r="I20" s="45" t="inlineStr">
        <is>
          <t>NFC-e 8842</t>
        </is>
      </c>
    </row>
    <row r="21">
      <c r="A21" s="17" t="n">
        <v>46055</v>
      </c>
      <c r="B21" s="18" t="inlineStr">
        <is>
          <t>Fagner Palmeiras Gomes</t>
        </is>
      </c>
      <c r="C21" s="18" t="inlineStr">
        <is>
          <t>Purificador Everest Slim Branco</t>
        </is>
      </c>
      <c r="D21" s="27" t="n">
        <v>1398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NF-e 4052</t>
        </is>
      </c>
      <c r="J21" s="18" t="n"/>
    </row>
    <row r="22">
      <c r="A22" s="44" t="n">
        <v>46055</v>
      </c>
      <c r="B22" s="45" t="inlineStr">
        <is>
          <t>Alex Assis Ferreira Franco</t>
        </is>
      </c>
      <c r="C22" s="45" t="inlineStr">
        <is>
          <t>Refil Everest + Pré Filtro</t>
        </is>
      </c>
      <c r="D22" s="46" t="n">
        <v>180</v>
      </c>
      <c r="E22" s="45" t="inlineStr">
        <is>
          <t>Dinheiro</t>
        </is>
      </c>
      <c r="F22" s="47" t="n"/>
      <c r="G22" s="48" t="n"/>
      <c r="H22" s="49" t="n"/>
      <c r="I22" s="45" t="inlineStr">
        <is>
          <t>NFC-e 8843</t>
        </is>
      </c>
      <c r="J22" t="inlineStr">
        <is>
          <t>CLI-0361</t>
        </is>
      </c>
    </row>
    <row r="23">
      <c r="A23" s="17" t="n">
        <v>46055</v>
      </c>
      <c r="B23" s="18" t="inlineStr">
        <is>
          <t>Consumidor Final</t>
        </is>
      </c>
      <c r="C23" s="18" t="inlineStr">
        <is>
          <t>Refil Prolux</t>
        </is>
      </c>
      <c r="D23" s="27" t="n">
        <v>100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8844</t>
        </is>
      </c>
      <c r="J23" s="18" t="n"/>
    </row>
    <row r="24">
      <c r="A24" s="44" t="n">
        <v>46055</v>
      </c>
      <c r="B24" s="45" t="inlineStr">
        <is>
          <t>Colegio Aquarela LTDA</t>
        </is>
      </c>
      <c r="C24" s="45" t="inlineStr">
        <is>
          <t>Refil Carbon Tech 9" + Refil Plissado</t>
        </is>
      </c>
      <c r="D24" s="46" t="n">
        <v>180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NF-e 4053</t>
        </is>
      </c>
      <c r="J24" t="inlineStr">
        <is>
          <t>ESC-0017</t>
        </is>
      </c>
    </row>
    <row r="25">
      <c r="A25" s="17" t="n">
        <v>46055</v>
      </c>
      <c r="B25" s="18" t="inlineStr">
        <is>
          <t>Adriana Mota da Silva</t>
        </is>
      </c>
      <c r="C25" s="18" t="inlineStr">
        <is>
          <t>Refil Everest</t>
        </is>
      </c>
      <c r="D25" s="27" t="n">
        <v>140</v>
      </c>
      <c r="E25" s="18" t="inlineStr">
        <is>
          <t>Débito</t>
        </is>
      </c>
      <c r="F25" s="19" t="n"/>
      <c r="G25" s="19" t="n"/>
      <c r="H25" s="21" t="n"/>
      <c r="I25" s="18" t="inlineStr">
        <is>
          <t>NFC-e 8845</t>
        </is>
      </c>
      <c r="J25" s="18" t="n"/>
    </row>
    <row r="26">
      <c r="A26" s="44" t="n">
        <v>46055</v>
      </c>
      <c r="B26" s="45" t="inlineStr">
        <is>
          <t>Neide Fagundes - Laercio Guilherme</t>
        </is>
      </c>
      <c r="C26" s="45" t="inlineStr">
        <is>
          <t>Refil Everest</t>
        </is>
      </c>
      <c r="D26" s="46" t="n">
        <v>140</v>
      </c>
      <c r="E26" s="45" t="inlineStr">
        <is>
          <t>Débito</t>
        </is>
      </c>
      <c r="F26" s="47" t="n"/>
      <c r="G26" s="48" t="n"/>
      <c r="H26" s="49" t="n"/>
      <c r="I26" s="45" t="inlineStr">
        <is>
          <t>NFC-e 8846</t>
        </is>
      </c>
    </row>
    <row r="27">
      <c r="A27" s="17" t="n">
        <v>46055</v>
      </c>
      <c r="B27" s="18" t="inlineStr">
        <is>
          <t>Rivanildo Amorin Lagos - Cladenir Amorin</t>
        </is>
      </c>
      <c r="C27" s="18" t="inlineStr">
        <is>
          <t>Refil Everest + Pré Filtro</t>
        </is>
      </c>
      <c r="D27" s="27" t="n">
        <v>190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8847</t>
        </is>
      </c>
      <c r="J27" s="18" t="inlineStr">
        <is>
          <t>CLI-0691</t>
        </is>
      </c>
    </row>
    <row r="28">
      <c r="A28" s="44" t="n">
        <v>46055</v>
      </c>
      <c r="B28" s="45" t="inlineStr">
        <is>
          <t>Consumidor Final</t>
        </is>
      </c>
      <c r="C28" s="45" t="inlineStr">
        <is>
          <t>Conexao Reta Rosca 1/2 Bspt P/Tubo 1/4 Pol Branca</t>
        </is>
      </c>
      <c r="D28" s="46" t="n">
        <v>20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8848</t>
        </is>
      </c>
    </row>
    <row r="29" ht="15.75" customHeight="1" s="157">
      <c r="A29" s="17" t="n">
        <v>46055</v>
      </c>
      <c r="B29" s="18" t="inlineStr">
        <is>
          <t>Consumidor Final</t>
        </is>
      </c>
      <c r="C29" s="18" t="inlineStr">
        <is>
          <t>Refil PP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8849</t>
        </is>
      </c>
      <c r="J29" s="18" t="n"/>
    </row>
    <row r="30">
      <c r="A30" s="44" t="n">
        <v>46056</v>
      </c>
      <c r="B30" s="45" t="inlineStr">
        <is>
          <t>Consumidor Final</t>
        </is>
      </c>
      <c r="C30" s="45" t="inlineStr">
        <is>
          <t>Refil Pro Life + Pré Filtro</t>
        </is>
      </c>
      <c r="D30" s="46" t="n">
        <v>200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8850</t>
        </is>
      </c>
    </row>
    <row r="31">
      <c r="A31" s="17" t="n">
        <v>46056</v>
      </c>
      <c r="B31" s="18" t="inlineStr">
        <is>
          <t>Consumidor Final</t>
        </is>
      </c>
      <c r="C31" s="18" t="n"/>
      <c r="D31" s="27" t="n">
        <v>30</v>
      </c>
      <c r="E31" s="18" t="n"/>
      <c r="F31" s="19" t="n"/>
      <c r="G31" s="19" t="n"/>
      <c r="H31" s="21" t="n"/>
      <c r="I31" s="18" t="inlineStr">
        <is>
          <t>Livro Caixa: Recebimento à vista Gerado pelo sistema (Doc. 8851)</t>
        </is>
      </c>
      <c r="J31" s="18" t="n"/>
    </row>
    <row r="32">
      <c r="A32" s="44" t="n">
        <v>46056</v>
      </c>
      <c r="B32" s="45" t="inlineStr">
        <is>
          <t>Consumidor Final</t>
        </is>
      </c>
      <c r="C32" s="45" t="inlineStr">
        <is>
          <t>Mangueira (6 m)</t>
        </is>
      </c>
      <c r="D32" s="46" t="n">
        <v>30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8852</t>
        </is>
      </c>
    </row>
    <row r="33">
      <c r="A33" s="17" t="n">
        <v>46056</v>
      </c>
      <c r="B33" s="18" t="inlineStr">
        <is>
          <t>Consumidor Final</t>
        </is>
      </c>
      <c r="C33" s="18" t="inlineStr">
        <is>
          <t>Mangueira (1 m)</t>
        </is>
      </c>
      <c r="D33" s="27" t="n">
        <v>10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NFC-e 8853</t>
        </is>
      </c>
      <c r="J33" s="18" t="n"/>
    </row>
    <row r="34">
      <c r="A34" s="44" t="n">
        <v>46056</v>
      </c>
      <c r="B34" s="45" t="inlineStr">
        <is>
          <t>Consumidor Final</t>
        </is>
      </c>
      <c r="C34" s="45" t="inlineStr">
        <is>
          <t>Refil Carbon Tech</t>
        </is>
      </c>
      <c r="D34" s="46" t="n">
        <v>65</v>
      </c>
      <c r="E34" s="45" t="inlineStr">
        <is>
          <t>Pix</t>
        </is>
      </c>
      <c r="F34" s="47" t="n"/>
      <c r="G34" s="48" t="n"/>
      <c r="H34" s="49" t="n"/>
      <c r="I34" s="45" t="inlineStr">
        <is>
          <t>NFC-e 8854</t>
        </is>
      </c>
    </row>
    <row r="35">
      <c r="A35" s="17" t="n">
        <v>46056</v>
      </c>
      <c r="B35" s="18" t="inlineStr">
        <is>
          <t>Renata Campos Tavares Gomes Nunes - Cepi Pediatria</t>
        </is>
      </c>
      <c r="C35" s="18" t="inlineStr">
        <is>
          <t>Refil Everest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4055</t>
        </is>
      </c>
      <c r="J35" s="18" t="n"/>
    </row>
    <row r="36">
      <c r="A36" s="44" t="n">
        <v>46056</v>
      </c>
      <c r="B36" s="45" t="inlineStr">
        <is>
          <t>Consumidor Final</t>
        </is>
      </c>
      <c r="C36" s="45" t="inlineStr">
        <is>
          <t>Refil FPA16</t>
        </is>
      </c>
      <c r="D36" s="46" t="n">
        <v>90</v>
      </c>
      <c r="E36" s="45" t="inlineStr">
        <is>
          <t>Pix</t>
        </is>
      </c>
      <c r="F36" s="47" t="n"/>
      <c r="G36" s="48" t="n"/>
      <c r="H36" s="49" t="n"/>
      <c r="I36" s="45" t="inlineStr">
        <is>
          <t>NFC-e 8855</t>
        </is>
      </c>
    </row>
    <row r="37">
      <c r="A37" s="17" t="n">
        <v>46056</v>
      </c>
      <c r="B37" s="18" t="inlineStr">
        <is>
          <t>Estorno de recebimento — Cliente Consumidor</t>
        </is>
      </c>
      <c r="C37" s="18" t="n"/>
      <c r="D37" s="27" t="n"/>
      <c r="E37" s="18" t="n"/>
      <c r="F37" s="19" t="n"/>
      <c r="G37" s="19" t="n">
        <v>30</v>
      </c>
      <c r="H37" s="21" t="inlineStr">
        <is>
          <t>Estornos de Vendas (Cancelamentos)</t>
        </is>
      </c>
      <c r="I37" s="18" t="inlineStr">
        <is>
          <t>Livro Caixa: Estorno de recebimento do documento: Gerado pelo sistema (Doc. 885)</t>
        </is>
      </c>
      <c r="J37" s="18" t="n"/>
    </row>
    <row r="38">
      <c r="A38" s="44" t="n">
        <v>46056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597.74</v>
      </c>
      <c r="H38" s="49" t="inlineStr">
        <is>
          <t>Fornecedores / Mercadoria</t>
        </is>
      </c>
      <c r="I38" s="45" t="inlineStr">
        <is>
          <t>NF 358698 de 04/09/2025 · parcela 5/5 (venc. 01/02/2026) · compra total R$ 2.988,70: Purificador Everest Plus Preto + Purificador Everest Star Preto + Purificador Everest Plus Prata + Purificador Everest Fit Preto · Livro Caixa</t>
        </is>
      </c>
    </row>
    <row r="39" ht="15.75" customHeight="1" s="157">
      <c r="A39" s="17" t="n">
        <v>46056</v>
      </c>
      <c r="B39" s="18" t="inlineStr">
        <is>
          <t>Embasa Adriano</t>
        </is>
      </c>
      <c r="C39" s="18" t="n"/>
      <c r="D39" s="27" t="n"/>
      <c r="E39" s="18" t="n"/>
      <c r="F39" s="19" t="n"/>
      <c r="G39" s="19" t="n">
        <v>74.27</v>
      </c>
      <c r="H39" s="21" t="inlineStr">
        <is>
          <t>Pro Labore Edilânia</t>
        </is>
      </c>
      <c r="I39" s="18" t="inlineStr">
        <is>
          <t>Livro Caixa: Pagamento à vista: EMBASA ADRIANO (Doc. 2) · Adriano Silva Fontes</t>
        </is>
      </c>
      <c r="J39" s="18" t="n"/>
    </row>
    <row r="40">
      <c r="A40" s="44" t="n">
        <v>46056</v>
      </c>
      <c r="B40" s="45" t="inlineStr">
        <is>
          <t>Coelba Adriano</t>
        </is>
      </c>
      <c r="C40" s="45" t="n"/>
      <c r="D40" s="46" t="n"/>
      <c r="E40" s="45" t="n"/>
      <c r="F40" s="47" t="n"/>
      <c r="G40" s="48" t="n">
        <v>435.39</v>
      </c>
      <c r="H40" s="49" t="inlineStr">
        <is>
          <t>Pro Labore Edilânia</t>
        </is>
      </c>
      <c r="I40" s="45" t="inlineStr">
        <is>
          <t>Livro Caixa: Pagamento à vista: COELBA ADRIANO (Doc. 1) · Adriano Silva Fontes</t>
        </is>
      </c>
    </row>
    <row r="41">
      <c r="A41" s="17" t="n">
        <v>46056</v>
      </c>
      <c r="B41" s="18" t="inlineStr">
        <is>
          <t>Filtros Planeta Agua Ind e Com Ltda</t>
        </is>
      </c>
      <c r="C41" s="18" t="n"/>
      <c r="D41" s="27" t="n"/>
      <c r="E41" s="18" t="n"/>
      <c r="F41" s="19" t="n"/>
      <c r="G41" s="19" t="n">
        <v>426.73</v>
      </c>
      <c r="H41" s="21" t="inlineStr">
        <is>
          <t>Fornecedores / Mercadoria</t>
        </is>
      </c>
      <c r="I41" s="18" t="inlineStr">
        <is>
          <t>NF 125587 de 10/12/2025 · parcela 3/4 (venc. 04/02/2026)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41" s="18" t="n"/>
    </row>
    <row r="42" ht="15.75" customHeight="1" s="157">
      <c r="A42" s="44" t="n">
        <v>46056</v>
      </c>
      <c r="B42" s="45" t="inlineStr">
        <is>
          <t>Coelba Loja</t>
        </is>
      </c>
      <c r="C42" s="45" t="n"/>
      <c r="D42" s="46" t="n"/>
      <c r="E42" s="45" t="n"/>
      <c r="F42" s="47" t="n"/>
      <c r="G42" s="48" t="n">
        <v>145.99</v>
      </c>
      <c r="H42" s="49" t="inlineStr">
        <is>
          <t>Água, Energia e Internet</t>
        </is>
      </c>
      <c r="I42" s="45" t="inlineStr">
        <is>
          <t>Livro Caixa: Pagamento parcela COELBA LOJA (Doc. 1) · Companhia de Eletricidade do Estado da Bahia Coelba</t>
        </is>
      </c>
    </row>
    <row r="43">
      <c r="A43" s="17" t="n">
        <v>46057</v>
      </c>
      <c r="B43" s="18" t="inlineStr">
        <is>
          <t>Salão do Reino Congregação Oeste</t>
        </is>
      </c>
      <c r="C43" s="18" t="inlineStr">
        <is>
          <t>Refil Everest</t>
        </is>
      </c>
      <c r="D43" s="27" t="n">
        <v>90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4056</t>
        </is>
      </c>
      <c r="J43" s="18" t="inlineStr">
        <is>
          <t>EMP-0270</t>
        </is>
      </c>
    </row>
    <row r="44">
      <c r="A44" s="44" t="n">
        <v>46057</v>
      </c>
      <c r="B44" s="45" t="inlineStr">
        <is>
          <t>Tarcisio Fialho Cesar Cardoso</t>
        </is>
      </c>
      <c r="C44" s="45" t="inlineStr">
        <is>
          <t>Refil Pro Life</t>
        </is>
      </c>
      <c r="D44" s="46" t="n">
        <v>130</v>
      </c>
      <c r="E44" s="45" t="n"/>
      <c r="F44" s="47" t="n"/>
      <c r="G44" s="48" t="n"/>
      <c r="H44" s="49" t="n"/>
      <c r="I44" s="45" t="inlineStr">
        <is>
          <t>NFC-e 8856 · nota faturada a prazo (forma de recebimento não consta na nota)</t>
        </is>
      </c>
      <c r="J44" t="inlineStr">
        <is>
          <t>CLI-0643</t>
        </is>
      </c>
    </row>
    <row r="45">
      <c r="A45" s="17" t="n">
        <v>46057</v>
      </c>
      <c r="B45" s="18" t="inlineStr">
        <is>
          <t>Igreja Evangelica Assembleia de Deus</t>
        </is>
      </c>
      <c r="C45" s="18" t="inlineStr">
        <is>
          <t>Refil Multifilter + Refil Plissado</t>
        </is>
      </c>
      <c r="D45" s="27" t="n">
        <v>180</v>
      </c>
      <c r="E45" s="18" t="n"/>
      <c r="F45" s="19" t="n"/>
      <c r="G45" s="19" t="n"/>
      <c r="H45" s="21" t="n"/>
      <c r="I45" s="18" t="inlineStr">
        <is>
          <t>NF-e 4057 · nota faturada a prazo (forma de recebimento não consta na nota)</t>
        </is>
      </c>
      <c r="J45" s="18" t="inlineStr">
        <is>
          <t>EMP-0176</t>
        </is>
      </c>
    </row>
    <row r="46">
      <c r="A46" s="44" t="n">
        <v>46057</v>
      </c>
      <c r="B46" s="45" t="inlineStr">
        <is>
          <t>Consumidor Final</t>
        </is>
      </c>
      <c r="C46" s="45" t="inlineStr">
        <is>
          <t>Refil Carbon Tech 9"</t>
        </is>
      </c>
      <c r="D46" s="46" t="n">
        <v>80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8857</t>
        </is>
      </c>
    </row>
    <row r="47">
      <c r="A47" s="17" t="n">
        <v>46057</v>
      </c>
      <c r="B47" s="18" t="inlineStr">
        <is>
          <t>Consumidor Final</t>
        </is>
      </c>
      <c r="C47" s="18" t="inlineStr">
        <is>
          <t>Refil Everest</t>
        </is>
      </c>
      <c r="D47" s="27" t="n">
        <v>140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8858</t>
        </is>
      </c>
      <c r="J47" s="18" t="n"/>
    </row>
    <row r="48" ht="15.75" customHeight="1" s="157">
      <c r="A48" s="44" t="n">
        <v>46058</v>
      </c>
      <c r="B48" s="45" t="inlineStr">
        <is>
          <t>Tatiana Miranda Siqueira</t>
        </is>
      </c>
      <c r="C48" s="45" t="inlineStr">
        <is>
          <t>Refil Everest + Pré Filtro</t>
        </is>
      </c>
      <c r="D48" s="46" t="n">
        <v>190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8859</t>
        </is>
      </c>
      <c r="J48" t="inlineStr">
        <is>
          <t>CLI-0696</t>
        </is>
      </c>
    </row>
    <row r="49">
      <c r="A49" s="17" t="n">
        <v>46058</v>
      </c>
      <c r="B49" s="18" t="inlineStr">
        <is>
          <t>Consumidor Final</t>
        </is>
      </c>
      <c r="C49" s="18" t="inlineStr">
        <is>
          <t>Refil Plissado</t>
        </is>
      </c>
      <c r="D49" s="27" t="n">
        <v>100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8860</t>
        </is>
      </c>
      <c r="J49" s="18" t="n"/>
    </row>
    <row r="50">
      <c r="A50" s="44" t="n">
        <v>46058</v>
      </c>
      <c r="B50" s="45" t="inlineStr">
        <is>
          <t>Vitali jacobina Ltda</t>
        </is>
      </c>
      <c r="C50" s="45" t="inlineStr">
        <is>
          <t>Refil Everest</t>
        </is>
      </c>
      <c r="D50" s="46" t="n">
        <v>140</v>
      </c>
      <c r="E50" s="45" t="n"/>
      <c r="F50" s="47" t="n"/>
      <c r="G50" s="48" t="n"/>
      <c r="H50" s="49" t="n"/>
      <c r="I50" s="45" t="inlineStr">
        <is>
          <t>NF-e 4058 · nota faturada a prazo (forma de recebimento não consta na nota) · venda de 04/02/2026 — pagamento recebido em 05/02/2026</t>
        </is>
      </c>
      <c r="J50" t="inlineStr">
        <is>
          <t>EMP-0305</t>
        </is>
      </c>
    </row>
    <row r="51">
      <c r="A51" s="17" t="n">
        <v>46058</v>
      </c>
      <c r="B51" s="18" t="inlineStr">
        <is>
          <t>Payaya Loja de Conveniencias e Auto Pecas Ltda</t>
        </is>
      </c>
      <c r="C51" s="18" t="inlineStr">
        <is>
          <t>Purificador Everest Slim Preto + 2x Purificador Everest Baby Preto</t>
        </is>
      </c>
      <c r="D51" s="27" t="n">
        <v>2470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4059</t>
        </is>
      </c>
      <c r="J51" s="18" t="n"/>
    </row>
    <row r="52">
      <c r="A52" s="44" t="n">
        <v>46058</v>
      </c>
      <c r="B52" s="45" t="inlineStr">
        <is>
          <t>Ieda Bahia de Andrade - Tarcisio Bahia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8861</t>
        </is>
      </c>
      <c r="J52" t="inlineStr">
        <is>
          <t>CLI-0697</t>
        </is>
      </c>
    </row>
    <row r="53" ht="15.75" customHeight="1" s="157">
      <c r="A53" s="17" t="n">
        <v>46058</v>
      </c>
      <c r="B53" s="18" t="inlineStr">
        <is>
          <t>Pedro Wesley Passos Alves</t>
        </is>
      </c>
      <c r="C53" s="18" t="inlineStr">
        <is>
          <t>Purificador Everest Plus Prata</t>
        </is>
      </c>
      <c r="D53" s="27" t="n">
        <v>1501.56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4060</t>
        </is>
      </c>
      <c r="J53" s="18" t="inlineStr">
        <is>
          <t>CLI-0316</t>
        </is>
      </c>
    </row>
    <row r="54">
      <c r="A54" s="44" t="n">
        <v>46059</v>
      </c>
      <c r="B54" s="45" t="inlineStr">
        <is>
          <t>Maria Nilzete Santos Carvalho - Florisvaldo Alves Carvalho</t>
        </is>
      </c>
      <c r="C54" s="45" t="inlineStr">
        <is>
          <t>Refil Everest</t>
        </is>
      </c>
      <c r="D54" s="46" t="n">
        <v>140</v>
      </c>
      <c r="E54" s="45" t="inlineStr">
        <is>
          <t>Crédito Parcelado</t>
        </is>
      </c>
      <c r="F54" s="47" t="n"/>
      <c r="G54" s="48" t="n"/>
      <c r="H54" s="49" t="n"/>
      <c r="I54" s="45" t="inlineStr">
        <is>
          <t>NFC-e 8862</t>
        </is>
      </c>
    </row>
    <row r="55">
      <c r="A55" s="17" t="n">
        <v>46059</v>
      </c>
      <c r="B55" s="18" t="inlineStr">
        <is>
          <t xml:space="preserve">Matheus Guimarães Oliveira 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8863</t>
        </is>
      </c>
      <c r="J55" s="18" t="inlineStr">
        <is>
          <t>CLI-0700</t>
        </is>
      </c>
    </row>
    <row r="56">
      <c r="A56" s="44" t="n">
        <v>46059</v>
      </c>
      <c r="B56" s="45" t="inlineStr">
        <is>
          <t>Consumidor Final</t>
        </is>
      </c>
      <c r="C56" s="45" t="inlineStr">
        <is>
          <t>Refil Everest</t>
        </is>
      </c>
      <c r="D56" s="46" t="n">
        <v>140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8864</t>
        </is>
      </c>
    </row>
    <row r="57">
      <c r="A57" s="17" t="n">
        <v>46059</v>
      </c>
      <c r="B57" s="18" t="inlineStr">
        <is>
          <t>Creuza Miranda Freire - Crisleide</t>
        </is>
      </c>
      <c r="C57" s="18" t="inlineStr">
        <is>
          <t>Refil Pro Life</t>
        </is>
      </c>
      <c r="D57" s="27" t="n">
        <v>140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NFC-e 8865</t>
        </is>
      </c>
      <c r="J57" s="18" t="inlineStr">
        <is>
          <t>CLI-0701</t>
        </is>
      </c>
    </row>
    <row r="58">
      <c r="A58" s="44" t="n">
        <v>46060</v>
      </c>
      <c r="B58" s="45" t="inlineStr">
        <is>
          <t>Consumidor Final</t>
        </is>
      </c>
      <c r="C58" s="45" t="inlineStr">
        <is>
          <t>Refil Top Color</t>
        </is>
      </c>
      <c r="D58" s="46" t="n">
        <v>80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8866</t>
        </is>
      </c>
    </row>
    <row r="59">
      <c r="A59" s="17" t="n">
        <v>46060</v>
      </c>
      <c r="B59" s="18" t="inlineStr">
        <is>
          <t>Consumidor Final</t>
        </is>
      </c>
      <c r="C59" s="18" t="inlineStr">
        <is>
          <t>Refil Universal</t>
        </is>
      </c>
      <c r="D59" s="27" t="n">
        <v>35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8867</t>
        </is>
      </c>
      <c r="J59" s="18" t="n"/>
    </row>
    <row r="60">
      <c r="A60" s="44" t="n">
        <v>46060</v>
      </c>
      <c r="B60" s="45" t="inlineStr">
        <is>
          <t>Consumidor Final</t>
        </is>
      </c>
      <c r="C60" s="45" t="inlineStr">
        <is>
          <t>Suporte</t>
        </is>
      </c>
      <c r="D60" s="46" t="n">
        <v>40</v>
      </c>
      <c r="E60" s="45" t="inlineStr">
        <is>
          <t>Dinheiro</t>
        </is>
      </c>
      <c r="F60" s="47" t="n"/>
      <c r="G60" s="48" t="n"/>
      <c r="H60" s="49" t="n"/>
      <c r="I60" s="45" t="inlineStr">
        <is>
          <t>NFC-e 8868</t>
        </is>
      </c>
    </row>
    <row r="61">
      <c r="A61" s="17" t="n">
        <v>46060</v>
      </c>
      <c r="B61" s="18" t="inlineStr">
        <is>
          <t>Consumidor Final</t>
        </is>
      </c>
      <c r="C61" s="18" t="inlineStr">
        <is>
          <t>Refil Pro Life</t>
        </is>
      </c>
      <c r="D61" s="27" t="n">
        <v>140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NFC-e 8869</t>
        </is>
      </c>
      <c r="J61" s="18" t="n"/>
    </row>
    <row r="62">
      <c r="A62" s="44" t="n">
        <v>46062</v>
      </c>
      <c r="B62" s="45" t="inlineStr">
        <is>
          <t>Consumidor Final</t>
        </is>
      </c>
      <c r="C62" s="45" t="n"/>
      <c r="D62" s="46" t="n">
        <v>135</v>
      </c>
      <c r="E62" s="45" t="n"/>
      <c r="F62" s="47" t="n"/>
      <c r="G62" s="48" t="n"/>
      <c r="H62" s="49" t="n"/>
      <c r="I62" s="45" t="inlineStr">
        <is>
          <t>Livro Caixa: Recebimento à vista Gerado pelo sistema (Doc. 8870)</t>
        </is>
      </c>
    </row>
    <row r="63" ht="15.75" customHeight="1" s="157">
      <c r="A63" s="17" t="n">
        <v>46062</v>
      </c>
      <c r="B63" s="18" t="inlineStr">
        <is>
          <t>Luiz Carlos Rodrigues da Silva - Maria Lucia</t>
        </is>
      </c>
      <c r="C63" s="18" t="inlineStr">
        <is>
          <t>Refil Pro Life</t>
        </is>
      </c>
      <c r="D63" s="27" t="n">
        <v>135</v>
      </c>
      <c r="E63" s="18" t="inlineStr">
        <is>
          <t>Débito</t>
        </is>
      </c>
      <c r="F63" s="19" t="n"/>
      <c r="G63" s="19" t="n"/>
      <c r="H63" s="21" t="n"/>
      <c r="I63" s="18" t="inlineStr">
        <is>
          <t>NFC-e 8871</t>
        </is>
      </c>
      <c r="J63" s="18" t="n"/>
    </row>
    <row r="64">
      <c r="A64" s="44" t="n">
        <v>46062</v>
      </c>
      <c r="B64" s="45" t="inlineStr">
        <is>
          <t>Helena Cruz</t>
        </is>
      </c>
      <c r="C64" s="45" t="inlineStr">
        <is>
          <t>Refil Everest</t>
        </is>
      </c>
      <c r="D64" s="46" t="n">
        <v>130</v>
      </c>
      <c r="E64" s="45" t="inlineStr">
        <is>
          <t>Dinheiro</t>
        </is>
      </c>
      <c r="F64" s="47" t="n"/>
      <c r="G64" s="48" t="n"/>
      <c r="H64" s="49" t="n"/>
      <c r="I64" s="45" t="inlineStr">
        <is>
          <t>NFC-e 8872</t>
        </is>
      </c>
      <c r="J64" t="inlineStr">
        <is>
          <t>CLI-0704</t>
        </is>
      </c>
    </row>
    <row r="65">
      <c r="A65" s="17" t="n">
        <v>46062</v>
      </c>
      <c r="B65" s="18" t="inlineStr">
        <is>
          <t>Marsilia Marmores e Granitos Erelli</t>
        </is>
      </c>
      <c r="C65" s="18" t="inlineStr">
        <is>
          <t>Refil Pro Life</t>
        </is>
      </c>
      <c r="D65" s="27" t="n">
        <v>140</v>
      </c>
      <c r="E65" s="18" t="n"/>
      <c r="F65" s="19" t="n"/>
      <c r="G65" s="19" t="n"/>
      <c r="H65" s="21" t="n"/>
      <c r="I65" s="18" t="inlineStr">
        <is>
          <t>NF-e 4063 · nota faturada a prazo (forma de recebimento não consta na nota)</t>
        </is>
      </c>
      <c r="J65" s="18" t="inlineStr">
        <is>
          <t>EMP-0216</t>
        </is>
      </c>
    </row>
    <row r="66">
      <c r="A66" s="44" t="n">
        <v>46062</v>
      </c>
      <c r="B66" s="45" t="inlineStr">
        <is>
          <t>Estorno de recebimento — Cielo S. A.</t>
        </is>
      </c>
      <c r="C66" s="45" t="n"/>
      <c r="D66" s="46" t="n"/>
      <c r="E66" s="45" t="n"/>
      <c r="F66" s="47" t="n"/>
      <c r="G66" s="48" t="n">
        <v>135</v>
      </c>
      <c r="H66" s="49" t="inlineStr">
        <is>
          <t>Estornos de Vendas (Cancelamentos)</t>
        </is>
      </c>
      <c r="I66" s="45" t="inlineStr">
        <is>
          <t>Livro Caixa: Estorno de recebimento do documento: Gerado pelo sistema (Doc. 887)</t>
        </is>
      </c>
    </row>
    <row r="67">
      <c r="A67" s="17" t="n">
        <v>46063</v>
      </c>
      <c r="B67" s="18" t="inlineStr">
        <is>
          <t>Temistocles de Carvalho Andrade</t>
        </is>
      </c>
      <c r="C67" s="18" t="inlineStr">
        <is>
          <t>Refil Everest</t>
        </is>
      </c>
      <c r="D67" s="27" t="n">
        <v>140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8873</t>
        </is>
      </c>
      <c r="J67" s="18" t="inlineStr">
        <is>
          <t>CLI-0679</t>
        </is>
      </c>
    </row>
    <row r="68">
      <c r="A68" s="44" t="n">
        <v>46063</v>
      </c>
      <c r="B68" s="45" t="inlineStr">
        <is>
          <t>Papelaria Castro - Itamar Castro Ribeiro LTDA</t>
        </is>
      </c>
      <c r="C68" s="45" t="inlineStr">
        <is>
          <t>Refil Pro Life + Pré Filtro</t>
        </is>
      </c>
      <c r="D68" s="46" t="n">
        <v>185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4064</t>
        </is>
      </c>
      <c r="J68" t="inlineStr">
        <is>
          <t>EMP-0243</t>
        </is>
      </c>
    </row>
    <row r="69">
      <c r="A69" s="17" t="n">
        <v>46063</v>
      </c>
      <c r="B69" s="18" t="inlineStr">
        <is>
          <t>Maria Conceição Carvalho Mesquita</t>
        </is>
      </c>
      <c r="C69" s="18" t="n"/>
      <c r="D69" s="27" t="n">
        <v>135</v>
      </c>
      <c r="E69" s="18" t="n"/>
      <c r="F69" s="19" t="n"/>
      <c r="G69" s="19" t="n"/>
      <c r="H69" s="21" t="n"/>
      <c r="I69" s="18" t="inlineStr">
        <is>
          <t>Livro Caixa: Recebimento à vista Gerado pelo sistema (Doc. 8874)</t>
        </is>
      </c>
      <c r="J69" s="18" t="inlineStr">
        <is>
          <t>CLI-0702</t>
        </is>
      </c>
    </row>
    <row r="70">
      <c r="A70" s="44" t="n">
        <v>46063</v>
      </c>
      <c r="B70" s="45" t="inlineStr">
        <is>
          <t>Ronaldo Ferreira dos Anjos - Maria Lucia</t>
        </is>
      </c>
      <c r="C70" s="45" t="inlineStr">
        <is>
          <t>Refil Everest</t>
        </is>
      </c>
      <c r="D70" s="46" t="n">
        <v>135</v>
      </c>
      <c r="E70" s="45" t="inlineStr">
        <is>
          <t>Pix</t>
        </is>
      </c>
      <c r="F70" s="47" t="n"/>
      <c r="G70" s="48" t="n"/>
      <c r="H70" s="49" t="n"/>
      <c r="I70" s="45" t="inlineStr">
        <is>
          <t>NFC-e 8875</t>
        </is>
      </c>
    </row>
    <row r="71">
      <c r="A71" s="17" t="n">
        <v>46063</v>
      </c>
      <c r="B71" s="18" t="inlineStr">
        <is>
          <t>Consumidor Final</t>
        </is>
      </c>
      <c r="C71" s="18" t="inlineStr">
        <is>
          <t>Registro + Mangueira (1 m)</t>
        </is>
      </c>
      <c r="D71" s="27" t="n">
        <v>40</v>
      </c>
      <c r="E71" s="18" t="inlineStr">
        <is>
          <t>Crédito Parcelado</t>
        </is>
      </c>
      <c r="F71" s="19" t="n"/>
      <c r="G71" s="19" t="n"/>
      <c r="H71" s="21" t="n"/>
      <c r="I71" s="18" t="inlineStr">
        <is>
          <t>NFC-e 8876</t>
        </is>
      </c>
      <c r="J71" s="18" t="n"/>
    </row>
    <row r="72">
      <c r="A72" s="44" t="n">
        <v>46063</v>
      </c>
      <c r="B72" s="45" t="inlineStr">
        <is>
          <t>Kaline Pinto Marques - Stenio Carlos Ribeiro</t>
        </is>
      </c>
      <c r="C72" s="45" t="inlineStr">
        <is>
          <t>Refil Everest + Pré Filtro</t>
        </is>
      </c>
      <c r="D72" s="46" t="n">
        <v>200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8877</t>
        </is>
      </c>
    </row>
    <row r="73" ht="15.75" customHeight="1" s="157">
      <c r="A73" s="17" t="n">
        <v>46063</v>
      </c>
      <c r="B73" s="18" t="inlineStr">
        <is>
          <t>Maria José Azevedo de Almeida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8878</t>
        </is>
      </c>
      <c r="J73" s="18" t="inlineStr">
        <is>
          <t>CLI-0706</t>
        </is>
      </c>
    </row>
    <row r="74">
      <c r="A74" s="44" t="n">
        <v>46063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8879</t>
        </is>
      </c>
    </row>
    <row r="75">
      <c r="A75" s="17" t="n">
        <v>46063</v>
      </c>
      <c r="B75" s="18" t="inlineStr">
        <is>
          <t>Maria Conceição Carvalho Mesquita</t>
        </is>
      </c>
      <c r="C75" s="18" t="inlineStr">
        <is>
          <t>Refil Everest + Refil Pro Life</t>
        </is>
      </c>
      <c r="D75" s="27" t="n">
        <v>270</v>
      </c>
      <c r="E75" s="18" t="inlineStr">
        <is>
          <t>Pix</t>
        </is>
      </c>
      <c r="F75" s="19" t="n"/>
      <c r="G75" s="19" t="n"/>
      <c r="H75" s="21" t="n"/>
      <c r="I75" s="18" t="inlineStr">
        <is>
          <t>NFC-e 8880</t>
        </is>
      </c>
      <c r="J75" s="18" t="inlineStr">
        <is>
          <t>CLI-0702</t>
        </is>
      </c>
    </row>
    <row r="76">
      <c r="A76" s="44" t="n">
        <v>46063</v>
      </c>
      <c r="B76" s="45" t="inlineStr">
        <is>
          <t>L A Laboratorio de Analises Matos Ltda</t>
        </is>
      </c>
      <c r="C76" s="45" t="inlineStr">
        <is>
          <t>Refil Everest</t>
        </is>
      </c>
      <c r="D76" s="46" t="n">
        <v>140</v>
      </c>
      <c r="E76" s="45" t="n"/>
      <c r="F76" s="47" t="n"/>
      <c r="G76" s="48" t="n"/>
      <c r="H76" s="49" t="n"/>
      <c r="I76" s="45" t="inlineStr">
        <is>
          <t>NF-e 4065. Recebimento não constava no Livro Caixa; conferido e baixado no DigiSat em 28/09/2026.</t>
        </is>
      </c>
    </row>
    <row r="77">
      <c r="A77" s="17" t="n">
        <v>46063</v>
      </c>
      <c r="B77" s="18" t="inlineStr">
        <is>
          <t>Estorno de recebimento — Maria Conceicao Carvalho Mesquita Maia - Loane Mesquita</t>
        </is>
      </c>
      <c r="C77" s="18" t="n"/>
      <c r="D77" s="27" t="n"/>
      <c r="E77" s="18" t="n"/>
      <c r="F77" s="19" t="n"/>
      <c r="G77" s="19" t="n">
        <v>135</v>
      </c>
      <c r="H77" s="21" t="inlineStr">
        <is>
          <t>Estornos de Vendas (Cancelamentos)</t>
        </is>
      </c>
      <c r="I77" s="18" t="inlineStr">
        <is>
          <t>Livro Caixa: Estorno de recebimento do documento: Gerado pelo sistema (Doc. 887)</t>
        </is>
      </c>
      <c r="J77" s="18" t="n"/>
    </row>
    <row r="78">
      <c r="A78" s="44" t="n">
        <v>46064</v>
      </c>
      <c r="B78" s="45" t="inlineStr">
        <is>
          <t>Camioneiro Auto Pecas Eireli Epp</t>
        </is>
      </c>
      <c r="C78" s="45" t="inlineStr">
        <is>
          <t>Refil Everest + Pré Filtro</t>
        </is>
      </c>
      <c r="D78" s="46" t="n">
        <v>190</v>
      </c>
      <c r="E78" s="45" t="inlineStr">
        <is>
          <t>Pix</t>
        </is>
      </c>
      <c r="F78" s="47" t="n"/>
      <c r="G78" s="48" t="n"/>
      <c r="H78" s="49" t="n"/>
      <c r="I78" s="45" t="inlineStr">
        <is>
          <t>NF-e 4066</t>
        </is>
      </c>
    </row>
    <row r="79" ht="15.75" customHeight="1" s="157">
      <c r="A79" s="17" t="n">
        <v>46064</v>
      </c>
      <c r="B79" s="18" t="inlineStr">
        <is>
          <t>Valeria Menezes Almeida</t>
        </is>
      </c>
      <c r="C79" s="18" t="inlineStr">
        <is>
          <t>Refil Everest</t>
        </is>
      </c>
      <c r="D79" s="27" t="n">
        <v>140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8881</t>
        </is>
      </c>
      <c r="J79" s="18" t="n"/>
    </row>
    <row r="80">
      <c r="A80" s="44" t="n">
        <v>46064</v>
      </c>
      <c r="B80" s="45" t="inlineStr">
        <is>
          <t>Maiara Nascimento Grassi Sangalo - Marcus Antonio</t>
        </is>
      </c>
      <c r="C80" s="45" t="inlineStr">
        <is>
          <t>Refil Everest + Pré Filtro + Refil Pro Life</t>
        </is>
      </c>
      <c r="D80" s="46" t="n">
        <v>340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8882</t>
        </is>
      </c>
      <c r="J80" t="inlineStr">
        <is>
          <t>CLI-0711</t>
        </is>
      </c>
    </row>
    <row r="81">
      <c r="A81" s="17" t="n">
        <v>46064</v>
      </c>
      <c r="B81" s="18" t="inlineStr">
        <is>
          <t>Consumidor Final</t>
        </is>
      </c>
      <c r="C81" s="18" t="inlineStr">
        <is>
          <t>Mangueira (2 m)</t>
        </is>
      </c>
      <c r="D81" s="27" t="n">
        <v>20</v>
      </c>
      <c r="E81" s="18" t="inlineStr">
        <is>
          <t>Débito</t>
        </is>
      </c>
      <c r="F81" s="19" t="n"/>
      <c r="G81" s="19" t="n"/>
      <c r="H81" s="21" t="n"/>
      <c r="I81" s="18" t="inlineStr">
        <is>
          <t>NFC-e 8883</t>
        </is>
      </c>
      <c r="J81" s="18" t="n"/>
    </row>
    <row r="82">
      <c r="A82" s="44" t="n">
        <v>46064</v>
      </c>
      <c r="B82" s="45" t="inlineStr">
        <is>
          <t>Real Calçados</t>
        </is>
      </c>
      <c r="C82" s="45" t="inlineStr">
        <is>
          <t>2x Refil Everest + Refil Pro Life + 2x Pré Filtro</t>
        </is>
      </c>
      <c r="D82" s="46" t="n">
        <v>500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NF-e 4067</t>
        </is>
      </c>
      <c r="J82" t="inlineStr">
        <is>
          <t>EMP-0255</t>
        </is>
      </c>
    </row>
    <row r="83">
      <c r="A83" s="17" t="n">
        <v>46064</v>
      </c>
      <c r="B83" s="18" t="inlineStr">
        <is>
          <t>Jordana Alves de Lima Ribeiro</t>
        </is>
      </c>
      <c r="C83" s="18" t="inlineStr">
        <is>
          <t>Refil Everest</t>
        </is>
      </c>
      <c r="D83" s="27" t="n">
        <v>140</v>
      </c>
      <c r="E83" s="18" t="inlineStr">
        <is>
          <t>Crédito Parcelado</t>
        </is>
      </c>
      <c r="F83" s="19" t="n"/>
      <c r="G83" s="19" t="n"/>
      <c r="H83" s="21" t="n"/>
      <c r="I83" s="18" t="inlineStr">
        <is>
          <t>NFC-e 8884</t>
        </is>
      </c>
      <c r="J83" s="18" t="n"/>
    </row>
    <row r="84">
      <c r="A84" s="44" t="n">
        <v>46065</v>
      </c>
      <c r="B84" s="45" t="inlineStr">
        <is>
          <t>Patricia Lima Franco Barbosa</t>
        </is>
      </c>
      <c r="C84" s="45" t="inlineStr">
        <is>
          <t>Purificador Everest Fit Prata</t>
        </is>
      </c>
      <c r="D84" s="46" t="n">
        <v>1448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4069</t>
        </is>
      </c>
      <c r="J84" t="inlineStr">
        <is>
          <t>CLI-0715</t>
        </is>
      </c>
    </row>
    <row r="85">
      <c r="A85" s="17" t="n">
        <v>46065</v>
      </c>
      <c r="B85" s="18" t="inlineStr">
        <is>
          <t>Rosiane Ferreira Lima / Aldo</t>
        </is>
      </c>
      <c r="C85" s="18" t="inlineStr">
        <is>
          <t>Refil Pro Life</t>
        </is>
      </c>
      <c r="D85" s="27" t="n">
        <v>135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8885</t>
        </is>
      </c>
      <c r="J85" s="18" t="inlineStr">
        <is>
          <t>CLI-0713</t>
        </is>
      </c>
    </row>
    <row r="86">
      <c r="A86" s="44" t="n">
        <v>46065</v>
      </c>
      <c r="B86" s="45" t="inlineStr">
        <is>
          <t>Nubia Dantas Silva - Vinicius Silva</t>
        </is>
      </c>
      <c r="C86" s="45" t="inlineStr">
        <is>
          <t>Refil Pro Life + Pré Filtro</t>
        </is>
      </c>
      <c r="D86" s="46" t="n">
        <v>200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8886</t>
        </is>
      </c>
    </row>
    <row r="87">
      <c r="A87" s="17" t="n">
        <v>46066</v>
      </c>
      <c r="B87" s="18" t="inlineStr">
        <is>
          <t>Lucelio Pereira do Nascimento</t>
        </is>
      </c>
      <c r="C87" s="18" t="inlineStr">
        <is>
          <t>Refil Everest</t>
        </is>
      </c>
      <c r="D87" s="27" t="n">
        <v>130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8887</t>
        </is>
      </c>
      <c r="J87" s="18" t="inlineStr">
        <is>
          <t>CLI-0335</t>
        </is>
      </c>
    </row>
    <row r="88">
      <c r="A88" s="44" t="n">
        <v>46066</v>
      </c>
      <c r="B88" s="45" t="inlineStr">
        <is>
          <t>Carneiro Ultra Drogaria LTDA - Filial 02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4070</t>
        </is>
      </c>
      <c r="J88" t="inlineStr">
        <is>
          <t>EMP-0044</t>
        </is>
      </c>
    </row>
    <row r="89">
      <c r="A89" s="17" t="n">
        <v>46066</v>
      </c>
      <c r="B89" s="18" t="inlineStr">
        <is>
          <t>Atacadão das Confecções e Utilidades LTDA</t>
        </is>
      </c>
      <c r="C89" s="18" t="inlineStr">
        <is>
          <t>Refil Everest</t>
        </is>
      </c>
      <c r="D89" s="27" t="n">
        <v>140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4071</t>
        </is>
      </c>
      <c r="J89" s="18" t="inlineStr">
        <is>
          <t>EMP-0018</t>
        </is>
      </c>
    </row>
    <row r="90">
      <c r="A90" s="44" t="n">
        <v>46066</v>
      </c>
      <c r="B90" s="45" t="inlineStr">
        <is>
          <t>Elisete Pereira da Silva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NFC-e 8888</t>
        </is>
      </c>
      <c r="J90" t="inlineStr">
        <is>
          <t>CLI-0716</t>
        </is>
      </c>
    </row>
    <row r="91">
      <c r="A91" s="17" t="n">
        <v>46066</v>
      </c>
      <c r="B91" s="18" t="inlineStr">
        <is>
          <t>Tesla Imagem Medicina Diagnostica Ltda</t>
        </is>
      </c>
      <c r="C91" s="18" t="inlineStr">
        <is>
          <t>3x Refil Everest + 2x Pré Filtro</t>
        </is>
      </c>
      <c r="D91" s="27" t="n">
        <v>540</v>
      </c>
      <c r="E91" s="18" t="n"/>
      <c r="F91" s="19" t="n"/>
      <c r="G91" s="19" t="n"/>
      <c r="H91" s="21" t="n"/>
      <c r="I91" s="18" t="inlineStr">
        <is>
          <t>NF-e 4062 · nota faturada a prazo (forma de recebimento não consta na nota) · venda de 09/02/2026 — pagamento recebido em 13/02/2026</t>
        </is>
      </c>
      <c r="J91" s="18" t="inlineStr">
        <is>
          <t>EMP-0289</t>
        </is>
      </c>
    </row>
    <row r="92">
      <c r="A92" s="44" t="n">
        <v>46066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781.4</v>
      </c>
      <c r="H92" s="49" t="inlineStr">
        <is>
          <t>Fornecedores / Mercadoria</t>
        </is>
      </c>
      <c r="I92" s="45" t="inlineStr">
        <is>
          <t>NF 361446 de 10/10/2025 · parcela 4/5 (venc. 07/02/2026)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93">
      <c r="A93" s="17" t="n">
        <v>46066</v>
      </c>
      <c r="B93" s="18" t="inlineStr">
        <is>
          <t>Everest Refrigeracao e Industria</t>
        </is>
      </c>
      <c r="C93" s="18" t="n"/>
      <c r="D93" s="27" t="n"/>
      <c r="E93" s="18" t="n"/>
      <c r="F93" s="19" t="n"/>
      <c r="G93" s="19" t="n">
        <v>810.99</v>
      </c>
      <c r="H93" s="21" t="inlineStr">
        <is>
          <t>Fornecedores / Mercadoria</t>
        </is>
      </c>
      <c r="I93" s="18" t="inlineStr">
        <is>
          <t>NF 368012 de 08/01/2026 · parcela 1/5 (venc. 07/02/2026) · compra total R$ 4.054,97: Purificador Everest Fit Branco + 2x Purificador Everest Slim Branco + Purificador Everest Slim Preto + 2x Purificador Everest Star Branco · Livro Caixa</t>
        </is>
      </c>
      <c r="J93" s="18" t="n"/>
    </row>
    <row r="94">
      <c r="A94" s="44" t="n">
        <v>46066</v>
      </c>
      <c r="B94" s="45" t="inlineStr">
        <is>
          <t>Everest Refrigeracao e Industria</t>
        </is>
      </c>
      <c r="C94" s="45" t="n"/>
      <c r="D94" s="46" t="n"/>
      <c r="E94" s="45" t="n"/>
      <c r="F94" s="47" t="n"/>
      <c r="G94" s="48" t="n">
        <v>841.0599999999999</v>
      </c>
      <c r="H94" s="49" t="inlineStr">
        <is>
          <t>Fornecedores / Mercadoria</t>
        </is>
      </c>
      <c r="I94" s="45" t="inlineStr">
        <is>
          <t>NF 366264 de 11/12/2025 · parcela 2/5 (venc. 09/02/2026) · compra total R$ 4.205,29: Purificador Everest Slim Branco + Purificador Everest Slim Prata + 2x Purificador Everest Star Branco + Purificador Everest Star Prata + Purificador Everest Plus Prata · Livro Caixa</t>
        </is>
      </c>
    </row>
    <row r="95">
      <c r="A95" s="17" t="n">
        <v>46066</v>
      </c>
      <c r="B95" s="18" t="inlineStr">
        <is>
          <t>Jamef</t>
        </is>
      </c>
      <c r="C95" s="18" t="n"/>
      <c r="D95" s="27" t="n"/>
      <c r="E95" s="18" t="n"/>
      <c r="F95" s="19" t="n"/>
      <c r="G95" s="19" t="n">
        <v>477.32</v>
      </c>
      <c r="H95" s="21" t="inlineStr">
        <is>
          <t>Transporte e Entregas</t>
        </is>
      </c>
      <c r="I95" s="18" t="inlineStr">
        <is>
          <t>Livro Caixa: Pagamento parcela JAMEF (Doc. 1) · Jamef Transportes Ltda</t>
        </is>
      </c>
      <c r="J95" s="18" t="n"/>
    </row>
    <row r="96">
      <c r="A96" s="44" t="n">
        <v>46066</v>
      </c>
      <c r="B96" s="45" t="inlineStr">
        <is>
          <t>Everest Refrigeracao e Industria</t>
        </is>
      </c>
      <c r="C96" s="45" t="n"/>
      <c r="D96" s="46" t="n"/>
      <c r="E96" s="45" t="n"/>
      <c r="F96" s="47" t="n"/>
      <c r="G96" s="48" t="n">
        <v>865.5</v>
      </c>
      <c r="H96" s="49" t="inlineStr">
        <is>
          <t>Fornecedores / Mercadoria</t>
        </is>
      </c>
      <c r="I96" s="45" t="inlineStr">
        <is>
          <t>NF 368529 de 14/01/2026 · parcela 1/5 (venc. 13/02/2026)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97">
      <c r="A97" s="17" t="n">
        <v>46067</v>
      </c>
      <c r="B97" s="18" t="inlineStr">
        <is>
          <t>Neide Ferreira de Jesus</t>
        </is>
      </c>
      <c r="C97" s="18" t="inlineStr">
        <is>
          <t>Refil Everest</t>
        </is>
      </c>
      <c r="D97" s="27" t="n">
        <v>140</v>
      </c>
      <c r="E97" s="18" t="inlineStr">
        <is>
          <t>Pix</t>
        </is>
      </c>
      <c r="F97" s="19" t="n"/>
      <c r="G97" s="19" t="n"/>
      <c r="H97" s="21" t="n"/>
      <c r="I97" s="18" t="inlineStr">
        <is>
          <t>NFC-e 8889</t>
        </is>
      </c>
      <c r="J97" s="18" t="inlineStr">
        <is>
          <t>CLI-0717</t>
        </is>
      </c>
    </row>
    <row r="98">
      <c r="A98" s="44" t="n">
        <v>46067</v>
      </c>
      <c r="B98" s="45" t="inlineStr">
        <is>
          <t>Consumidor Final</t>
        </is>
      </c>
      <c r="C98" s="45" t="inlineStr">
        <is>
          <t>2x Refil FPA14</t>
        </is>
      </c>
      <c r="D98" s="46" t="n">
        <v>175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8890</t>
        </is>
      </c>
    </row>
    <row r="99">
      <c r="A99" s="17" t="n">
        <v>46067</v>
      </c>
      <c r="B99" s="18" t="inlineStr">
        <is>
          <t>Consumidor Final</t>
        </is>
      </c>
      <c r="C99" s="18" t="inlineStr">
        <is>
          <t>Carcaça 9" + Refil Carbon Tech 5"</t>
        </is>
      </c>
      <c r="D99" s="27" t="n">
        <v>150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NFC-e 8891</t>
        </is>
      </c>
      <c r="J99" s="18" t="n"/>
    </row>
    <row r="100" ht="15.75" customHeight="1" s="157">
      <c r="A100" s="44" t="n">
        <v>46067</v>
      </c>
      <c r="B100" s="45" t="inlineStr">
        <is>
          <t>Consumidor Final</t>
        </is>
      </c>
      <c r="C100" s="45" t="inlineStr">
        <is>
          <t>Conexao Em T Rosca De 1/2 Com Engate Rapido Reto 1/4 X 1/4</t>
        </is>
      </c>
      <c r="D100" s="46" t="n">
        <v>37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8892</t>
        </is>
      </c>
    </row>
    <row r="101">
      <c r="A101" s="17" t="n">
        <v>46067</v>
      </c>
      <c r="B101" s="18" t="inlineStr">
        <is>
          <t>Godoval Matos Lacerda / Maria da Conceicao</t>
        </is>
      </c>
      <c r="C101" s="18" t="inlineStr">
        <is>
          <t>Refil Everest + Pré Filtro</t>
        </is>
      </c>
      <c r="D101" s="27" t="n">
        <v>180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8893</t>
        </is>
      </c>
      <c r="J101" s="18" t="n"/>
    </row>
    <row r="102" ht="15.75" customHeight="1" s="157">
      <c r="A102" s="44" t="n">
        <v>46071</v>
      </c>
      <c r="B102" s="45" t="inlineStr">
        <is>
          <t>Ligia Miranda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8894</t>
        </is>
      </c>
      <c r="J102" t="inlineStr">
        <is>
          <t>CLI-0720</t>
        </is>
      </c>
    </row>
    <row r="103">
      <c r="A103" s="17" t="n">
        <v>46071</v>
      </c>
      <c r="B103" s="18" t="inlineStr">
        <is>
          <t>Consumidor Final</t>
        </is>
      </c>
      <c r="C103" s="18" t="inlineStr">
        <is>
          <t>Refil Pro Life</t>
        </is>
      </c>
      <c r="D103" s="27" t="n">
        <v>130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NFC-e 8895</t>
        </is>
      </c>
      <c r="J103" s="18" t="n"/>
    </row>
    <row r="104" ht="15.75" customHeight="1" s="157">
      <c r="A104" s="44" t="n">
        <v>46071</v>
      </c>
      <c r="B104" s="45" t="inlineStr">
        <is>
          <t>Cristiane Oliveira Soares</t>
        </is>
      </c>
      <c r="C104" s="45" t="inlineStr">
        <is>
          <t>Refil Pro Life</t>
        </is>
      </c>
      <c r="D104" s="46" t="n">
        <v>140</v>
      </c>
      <c r="E104" s="45" t="inlineStr">
        <is>
          <t>Crédito Parcelado</t>
        </is>
      </c>
      <c r="F104" s="47" t="n"/>
      <c r="G104" s="48" t="n"/>
      <c r="H104" s="49" t="n"/>
      <c r="I104" s="45" t="inlineStr">
        <is>
          <t>NFC-e 8896</t>
        </is>
      </c>
    </row>
    <row r="105">
      <c r="A105" s="17" t="n">
        <v>46071</v>
      </c>
      <c r="B105" s="18" t="inlineStr">
        <is>
          <t>Aldo Henrique do Nascimento Freitas</t>
        </is>
      </c>
      <c r="C105" s="18" t="inlineStr">
        <is>
          <t>Refil Pro Life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NFC-e 8897</t>
        </is>
      </c>
      <c r="J105" s="18" t="n"/>
    </row>
    <row r="106">
      <c r="A106" s="44" t="n">
        <v>46071</v>
      </c>
      <c r="B106" s="45" t="inlineStr">
        <is>
          <t>Silvaneide Teixeira Gama Fontes</t>
        </is>
      </c>
      <c r="C106" s="45" t="inlineStr">
        <is>
          <t>Suporte</t>
        </is>
      </c>
      <c r="D106" s="46" t="n">
        <v>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8898</t>
        </is>
      </c>
    </row>
    <row r="107">
      <c r="A107" s="17" t="n">
        <v>46071</v>
      </c>
      <c r="B107" s="18" t="inlineStr">
        <is>
          <t>Tarcisio Oliveira Lima</t>
        </is>
      </c>
      <c r="C107" s="18" t="n"/>
      <c r="D107" s="27" t="n"/>
      <c r="E107" s="18" t="n"/>
      <c r="F107" s="19" t="n"/>
      <c r="G107" s="19" t="n">
        <v>486.32</v>
      </c>
      <c r="H107" s="21" t="inlineStr">
        <is>
          <t>Contabilidade</t>
        </is>
      </c>
      <c r="I107" s="18" t="inlineStr">
        <is>
          <t>Livro Caixa: Pagamento parcela TARCISIO OLIVEIRA LIMA (Doc. 1) · Tarcisio Oliveira Lima</t>
        </is>
      </c>
      <c r="J107" s="18" t="n"/>
    </row>
    <row r="108">
      <c r="A108" s="44" t="n">
        <v>46071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878.9299999999999</v>
      </c>
      <c r="H108" s="49" t="inlineStr">
        <is>
          <t>Fornecedores / Mercadoria</t>
        </is>
      </c>
      <c r="I108" s="45" t="inlineStr">
        <is>
          <t>NF 67435 de 19/09/2025 · parcela 5/5 (venc. 16/02/2026) · compra total R$ 4.394,61: 100x Refil Everest · Livro Caixa</t>
        </is>
      </c>
    </row>
    <row r="109">
      <c r="A109" s="17" t="n">
        <v>46071</v>
      </c>
      <c r="B109" s="18" t="inlineStr">
        <is>
          <t>Filtros Planeta Agua Ind e Com Ltda</t>
        </is>
      </c>
      <c r="C109" s="18" t="n"/>
      <c r="D109" s="27" t="n"/>
      <c r="E109" s="18" t="n"/>
      <c r="F109" s="19" t="n"/>
      <c r="G109" s="19" t="n">
        <v>508.43</v>
      </c>
      <c r="H109" s="21" t="inlineStr">
        <is>
          <t>Fornecedores / Mercadoria</t>
        </is>
      </c>
      <c r="I109" s="18" t="inlineStr">
        <is>
          <t>NF 126565 de 20/01/2026 · parcela 1/4 (venc. 17/02/2026) · compra total R$ 1.771,04 (IPI R$ 87,54): 65x Refil Pro Life · Livro Caixa</t>
        </is>
      </c>
      <c r="J109" s="18" t="n"/>
    </row>
    <row r="110">
      <c r="A110" s="44" t="n">
        <v>46071</v>
      </c>
      <c r="B110" s="45" t="inlineStr">
        <is>
          <t>Filtros Planeta Agua Ind e Com Ltda</t>
        </is>
      </c>
      <c r="C110" s="45" t="n"/>
      <c r="D110" s="46" t="n"/>
      <c r="E110" s="45" t="n"/>
      <c r="F110" s="47" t="n"/>
      <c r="G110" s="48" t="n">
        <v>426.73</v>
      </c>
      <c r="H110" s="49" t="inlineStr">
        <is>
          <t>Fornecedores / Mercadoria</t>
        </is>
      </c>
      <c r="I110" s="45" t="inlineStr">
        <is>
          <t>NF 125587 de 10/12/2025 · parcela 4/4 (venc. 18/02/2026)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111">
      <c r="A111" s="17" t="n">
        <v>46071</v>
      </c>
      <c r="B111" s="18" t="inlineStr">
        <is>
          <t>Everest Refrigeracao e Industria</t>
        </is>
      </c>
      <c r="C111" s="18" t="n"/>
      <c r="D111" s="27" t="n"/>
      <c r="E111" s="18" t="n"/>
      <c r="F111" s="19" t="n"/>
      <c r="G111" s="19" t="n">
        <v>800.65</v>
      </c>
      <c r="H111" s="21" t="inlineStr">
        <is>
          <t>Fornecedores / Mercadoria</t>
        </is>
      </c>
      <c r="I111" s="18" t="inlineStr">
        <is>
          <t>NF 362188 de 22/10/2025 · parcela 4/5 (venc. 19/02/2026)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111" s="18" t="n"/>
    </row>
    <row r="112">
      <c r="A112" s="44" t="n">
        <v>46072</v>
      </c>
      <c r="B112" s="45" t="inlineStr">
        <is>
          <t>Consumidor Final</t>
        </is>
      </c>
      <c r="C112" s="45" t="inlineStr">
        <is>
          <t>Refil FPA16</t>
        </is>
      </c>
      <c r="D112" s="46" t="n">
        <v>90</v>
      </c>
      <c r="E112" s="45" t="inlineStr">
        <is>
          <t>Débito</t>
        </is>
      </c>
      <c r="F112" s="47" t="n"/>
      <c r="G112" s="48" t="n"/>
      <c r="H112" s="49" t="n"/>
      <c r="I112" s="45" t="inlineStr">
        <is>
          <t>NFC-e 8899</t>
        </is>
      </c>
    </row>
    <row r="113">
      <c r="A113" s="17" t="n">
        <v>46072</v>
      </c>
      <c r="B113" s="18" t="inlineStr">
        <is>
          <t>Roberio Antonio Bonfim da Silva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NFC-e 8900</t>
        </is>
      </c>
      <c r="J113" s="18" t="inlineStr">
        <is>
          <t>CLI-0723</t>
        </is>
      </c>
    </row>
    <row r="114">
      <c r="A114" s="44" t="n">
        <v>46073</v>
      </c>
      <c r="B114" s="45" t="inlineStr">
        <is>
          <t>Suziana de Oliveira</t>
        </is>
      </c>
      <c r="C114" s="45" t="inlineStr">
        <is>
          <t>Refil Everest</t>
        </is>
      </c>
      <c r="D114" s="46" t="n">
        <v>140</v>
      </c>
      <c r="E114" s="45" t="inlineStr">
        <is>
          <t>Crédito Parcelado</t>
        </is>
      </c>
      <c r="F114" s="47" t="n"/>
      <c r="G114" s="48" t="n"/>
      <c r="H114" s="49" t="n"/>
      <c r="I114" s="45" t="inlineStr">
        <is>
          <t>NFC-e 8901</t>
        </is>
      </c>
    </row>
    <row r="115">
      <c r="A115" s="17" t="n">
        <v>46073</v>
      </c>
      <c r="B115" s="18" t="inlineStr">
        <is>
          <t>Vanuzia Maria dos Santos</t>
        </is>
      </c>
      <c r="C115" s="18" t="inlineStr">
        <is>
          <t>Purificador Everest Fit Preto</t>
        </is>
      </c>
      <c r="D115" s="27" t="n">
        <v>1448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NF-e 4076</t>
        </is>
      </c>
      <c r="J115" s="18" t="n"/>
    </row>
    <row r="116">
      <c r="A116" s="44" t="n">
        <v>46073</v>
      </c>
      <c r="B116" s="45" t="inlineStr">
        <is>
          <t>Consumidor Final</t>
        </is>
      </c>
      <c r="C116" s="45" t="inlineStr">
        <is>
          <t>Refil E3 Compacto</t>
        </is>
      </c>
      <c r="D116" s="46" t="n">
        <v>75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8902</t>
        </is>
      </c>
    </row>
    <row r="117">
      <c r="A117" s="17" t="n">
        <v>46073</v>
      </c>
      <c r="B117" s="18" t="inlineStr">
        <is>
          <t>Igreja Messianica Mundial do Brasil</t>
        </is>
      </c>
      <c r="C117" s="18" t="inlineStr">
        <is>
          <t>Mangueira (1 m)</t>
        </is>
      </c>
      <c r="D117" s="27" t="n">
        <v>30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4075 · não recebido (conferido no DigiSat em 28/09/2026) — espelhado em Contas a Receber.</t>
        </is>
      </c>
      <c r="J117" s="18" t="inlineStr">
        <is>
          <t>EMP-0177</t>
        </is>
      </c>
    </row>
    <row r="118">
      <c r="A118" s="44" t="n">
        <v>46073</v>
      </c>
      <c r="B118" s="45" t="inlineStr">
        <is>
          <t>Receitas Federais</t>
        </is>
      </c>
      <c r="C118" s="45" t="n"/>
      <c r="D118" s="46" t="n"/>
      <c r="E118" s="45" t="n"/>
      <c r="F118" s="47" t="n"/>
      <c r="G118" s="48" t="n">
        <v>478.17</v>
      </c>
      <c r="H118" s="49" t="inlineStr">
        <is>
          <t>Impostos e Taxas</t>
        </is>
      </c>
      <c r="I118" s="45" t="inlineStr">
        <is>
          <t>Livro Caixa: Pagamento parcela RECEITAS FEDERAIS (Doc. 1) · Planeta Agua Ltda</t>
        </is>
      </c>
    </row>
    <row r="119">
      <c r="A119" s="17" t="n">
        <v>46073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309.78</v>
      </c>
      <c r="H119" s="21" t="inlineStr">
        <is>
          <t>Impostos e Taxas</t>
        </is>
      </c>
      <c r="I119" s="18" t="inlineStr">
        <is>
          <t>Livro Caixa: Pagamento parcela GUIA DO FGTS DIGITAL (Doc. 1) · Planeta Agua Ltda</t>
        </is>
      </c>
      <c r="J119" s="18" t="n"/>
    </row>
    <row r="120">
      <c r="A120" s="44" t="n">
        <v>46073</v>
      </c>
      <c r="B120" s="45" t="inlineStr">
        <is>
          <t>Documento de Arrecadação do Simples Na</t>
        </is>
      </c>
      <c r="C120" s="45" t="n"/>
      <c r="D120" s="46" t="n"/>
      <c r="E120" s="45" t="n"/>
      <c r="F120" s="47" t="n"/>
      <c r="G120" s="48" t="n">
        <v>1219.79</v>
      </c>
      <c r="H120" s="49" t="inlineStr">
        <is>
          <t>Impostos e Taxas</t>
        </is>
      </c>
      <c r="I120" s="45" t="inlineStr">
        <is>
          <t>Livro Caixa: Pagamento parcela DOCUMENTO DE ARRECADAÇÃO DO SIMPLES NA · Planeta Agua Ltda</t>
        </is>
      </c>
    </row>
    <row r="121">
      <c r="A121" s="17" t="n">
        <v>46076</v>
      </c>
      <c r="B121" s="18" t="inlineStr">
        <is>
          <t>Ualasse Santos Cruz</t>
        </is>
      </c>
      <c r="C121" s="18" t="inlineStr">
        <is>
          <t>Refil Everest</t>
        </is>
      </c>
      <c r="D121" s="27" t="n">
        <v>140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NFC-e 8903</t>
        </is>
      </c>
      <c r="J121" s="18" t="inlineStr">
        <is>
          <t>CLI-0726</t>
        </is>
      </c>
    </row>
    <row r="122">
      <c r="A122" s="44" t="n">
        <v>46076</v>
      </c>
      <c r="B122" s="45" t="inlineStr">
        <is>
          <t>Thaise Teixeira Rocha da Silva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NFC-e 8904</t>
        </is>
      </c>
      <c r="J122" t="inlineStr">
        <is>
          <t>CLI-0727</t>
        </is>
      </c>
    </row>
    <row r="123">
      <c r="A123" s="17" t="n">
        <v>46076</v>
      </c>
      <c r="B123" s="18" t="inlineStr">
        <is>
          <t>Mariana Santos Cunha Moraes</t>
        </is>
      </c>
      <c r="C123" s="18" t="inlineStr">
        <is>
          <t>Purificador Everest Baby Preto</t>
        </is>
      </c>
      <c r="D123" s="27" t="n">
        <v>510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NF-e 4077</t>
        </is>
      </c>
      <c r="J123" s="18" t="inlineStr">
        <is>
          <t>CLI-0728</t>
        </is>
      </c>
    </row>
    <row r="124">
      <c r="A124" s="44" t="n">
        <v>46076</v>
      </c>
      <c r="B124" s="45" t="inlineStr">
        <is>
          <t>Juliane Rosa de Oliveira</t>
        </is>
      </c>
      <c r="C124" s="45" t="inlineStr">
        <is>
          <t>Refil Everest</t>
        </is>
      </c>
      <c r="D124" s="46" t="n">
        <v>140</v>
      </c>
      <c r="E124" s="45" t="inlineStr">
        <is>
          <t>Crédito Parcelado</t>
        </is>
      </c>
      <c r="F124" s="47" t="n"/>
      <c r="G124" s="48" t="n"/>
      <c r="H124" s="49" t="n"/>
      <c r="I124" s="45" t="inlineStr">
        <is>
          <t>NFC-e 8905</t>
        </is>
      </c>
    </row>
    <row r="125">
      <c r="A125" s="17" t="n">
        <v>46076</v>
      </c>
      <c r="B125" s="18" t="inlineStr">
        <is>
          <t>Clinica Medica Jayme D Almeida Cruz Ltda</t>
        </is>
      </c>
      <c r="C125" s="18" t="inlineStr">
        <is>
          <t>Refil Everest</t>
        </is>
      </c>
      <c r="D125" s="27" t="n">
        <v>140</v>
      </c>
      <c r="E125" s="18" t="n"/>
      <c r="F125" s="19" t="n"/>
      <c r="G125" s="19" t="n"/>
      <c r="H125" s="21" t="n"/>
      <c r="I125" s="18" t="inlineStr">
        <is>
          <t>NF-e 4078. Recebimento não constava no Livro Caixa; conferido e baixado no DigiSat em 28/09/2026.</t>
        </is>
      </c>
      <c r="J125" s="18" t="n"/>
    </row>
    <row r="126">
      <c r="A126" s="44" t="n">
        <v>46077</v>
      </c>
      <c r="B126" s="45" t="inlineStr">
        <is>
          <t>Angelice Moreira Brasileiro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NFC-e 8906</t>
        </is>
      </c>
      <c r="J126" t="inlineStr">
        <is>
          <t>CLI-0729</t>
        </is>
      </c>
    </row>
    <row r="127">
      <c r="A127" s="17" t="n">
        <v>46077</v>
      </c>
      <c r="B127" s="18" t="inlineStr">
        <is>
          <t>Francis Roges Lauxen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4079</t>
        </is>
      </c>
      <c r="J127" s="18" t="inlineStr">
        <is>
          <t>CLI-0730</t>
        </is>
      </c>
    </row>
    <row r="128" ht="15.75" customHeight="1" s="157">
      <c r="A128" s="44" t="n">
        <v>46077</v>
      </c>
      <c r="B128" s="45" t="inlineStr">
        <is>
          <t>Thaise Teixeira Rocha da Silva</t>
        </is>
      </c>
      <c r="C128" s="45" t="inlineStr">
        <is>
          <t>Purificador Everest Plus Branco</t>
        </is>
      </c>
      <c r="D128" s="46" t="n">
        <v>1498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4080</t>
        </is>
      </c>
      <c r="J128" t="inlineStr">
        <is>
          <t>CLI-0727</t>
        </is>
      </c>
    </row>
    <row r="129">
      <c r="A129" s="17" t="n">
        <v>46077</v>
      </c>
      <c r="B129" s="18" t="inlineStr">
        <is>
          <t>Consumidor Final</t>
        </is>
      </c>
      <c r="C129" s="18" t="inlineStr">
        <is>
          <t>2x Vela Filtro de Barro</t>
        </is>
      </c>
      <c r="D129" s="27" t="n">
        <v>24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NFC-e 8907</t>
        </is>
      </c>
      <c r="J129" s="18" t="n"/>
    </row>
    <row r="130">
      <c r="A130" s="44" t="n">
        <v>46078</v>
      </c>
      <c r="B130" s="45" t="inlineStr">
        <is>
          <t>Vanessa Silva do Carmo Ltd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4081</t>
        </is>
      </c>
    </row>
    <row r="131">
      <c r="A131" s="17" t="n">
        <v>46078</v>
      </c>
      <c r="B131" s="18" t="inlineStr">
        <is>
          <t>Supreme Odontologia - MS Odonto</t>
        </is>
      </c>
      <c r="C131" s="18" t="inlineStr">
        <is>
          <t>Refil Pro Life</t>
        </is>
      </c>
      <c r="D131" s="27" t="n">
        <v>140</v>
      </c>
      <c r="E131" s="18" t="n"/>
      <c r="F131" s="19" t="n"/>
      <c r="G131" s="19" t="n"/>
      <c r="H131" s="21" t="n"/>
      <c r="I131" s="18" t="inlineStr">
        <is>
          <t>NF-e 4082 · nota faturada a prazo (forma de recebimento não consta na nota)</t>
        </is>
      </c>
      <c r="J131" s="18" t="inlineStr">
        <is>
          <t>EMP-0287</t>
        </is>
      </c>
    </row>
    <row r="132">
      <c r="A132" s="44" t="n">
        <v>46079</v>
      </c>
      <c r="B132" s="45" t="inlineStr">
        <is>
          <t>Consumidor Final</t>
        </is>
      </c>
      <c r="C132" s="45" t="inlineStr">
        <is>
          <t>Refil Everest</t>
        </is>
      </c>
      <c r="D132" s="46" t="n">
        <v>140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8908</t>
        </is>
      </c>
    </row>
    <row r="133">
      <c r="A133" s="17" t="n">
        <v>46079</v>
      </c>
      <c r="B133" s="18" t="inlineStr">
        <is>
          <t>Maria Cleide de Oliveira</t>
        </is>
      </c>
      <c r="C133" s="18" t="inlineStr">
        <is>
          <t>Refil Pro Life</t>
        </is>
      </c>
      <c r="D133" s="27" t="n">
        <v>130</v>
      </c>
      <c r="E133" s="18" t="inlineStr">
        <is>
          <t>Dinheiro</t>
        </is>
      </c>
      <c r="F133" s="19" t="n"/>
      <c r="G133" s="19" t="n"/>
      <c r="H133" s="21" t="n"/>
      <c r="I133" s="18" t="inlineStr">
        <is>
          <t>NF-e 4083</t>
        </is>
      </c>
      <c r="J133" s="18" t="n"/>
    </row>
    <row r="134">
      <c r="A134" s="44" t="n">
        <v>46079</v>
      </c>
      <c r="B134" s="45" t="inlineStr">
        <is>
          <t>Maria Conceicao Dias da Silva</t>
        </is>
      </c>
      <c r="C134" s="45" t="inlineStr">
        <is>
          <t>Refil Everest</t>
        </is>
      </c>
      <c r="D134" s="46" t="n">
        <v>140</v>
      </c>
      <c r="E134" s="45" t="inlineStr">
        <is>
          <t>Crédito Parcelado</t>
        </is>
      </c>
      <c r="F134" s="47" t="n"/>
      <c r="G134" s="48" t="n"/>
      <c r="H134" s="49" t="n"/>
      <c r="I134" s="45" t="inlineStr">
        <is>
          <t>NFC-e 8909</t>
        </is>
      </c>
    </row>
    <row r="135">
      <c r="A135" s="17" t="n">
        <v>46080</v>
      </c>
      <c r="B135" s="18" t="inlineStr">
        <is>
          <t>Arsenio Pereira Teixeira</t>
        </is>
      </c>
      <c r="C135" s="18" t="inlineStr">
        <is>
          <t>Refil Pro Life</t>
        </is>
      </c>
      <c r="D135" s="27" t="n">
        <v>140</v>
      </c>
      <c r="E135" s="18" t="inlineStr">
        <is>
          <t>Dinheiro</t>
        </is>
      </c>
      <c r="F135" s="19" t="n"/>
      <c r="G135" s="19" t="n"/>
      <c r="H135" s="21" t="n"/>
      <c r="I135" s="18" t="inlineStr">
        <is>
          <t>NFC-e 8910</t>
        </is>
      </c>
      <c r="J135" s="18" t="inlineStr">
        <is>
          <t>CLI-0733</t>
        </is>
      </c>
    </row>
    <row r="136">
      <c r="A136" s="44" t="n">
        <v>46080</v>
      </c>
      <c r="B136" s="45" t="inlineStr">
        <is>
          <t>Renilde Teixeira</t>
        </is>
      </c>
      <c r="C136" s="45" t="inlineStr">
        <is>
          <t>Refil Everest</t>
        </is>
      </c>
      <c r="D136" s="46" t="n">
        <v>130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NFC-e 8911</t>
        </is>
      </c>
      <c r="J136" t="inlineStr">
        <is>
          <t>CLI-0734</t>
        </is>
      </c>
    </row>
    <row r="137">
      <c r="A137" s="17" t="n">
        <v>46080</v>
      </c>
      <c r="B137" s="18" t="inlineStr">
        <is>
          <t>Sertão Produtos Naturais Ltda</t>
        </is>
      </c>
      <c r="C137" s="18" t="inlineStr">
        <is>
          <t>Refil Everest</t>
        </is>
      </c>
      <c r="D137" s="27" t="n">
        <v>130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NF-e 4084</t>
        </is>
      </c>
      <c r="J137" s="18" t="inlineStr">
        <is>
          <t>EMP-0274</t>
        </is>
      </c>
    </row>
    <row r="138">
      <c r="A138" s="44" t="n">
        <v>46080</v>
      </c>
      <c r="B138" s="45" t="inlineStr">
        <is>
          <t>DrillGeo Geologia e Sondagens</t>
        </is>
      </c>
      <c r="C138" s="45" t="inlineStr">
        <is>
          <t>2x Refil Carbon Tech 9" + 2x Refil Plissado</t>
        </is>
      </c>
      <c r="D138" s="46" t="n">
        <v>360</v>
      </c>
      <c r="E138" s="45" t="n"/>
      <c r="F138" s="47" t="n"/>
      <c r="G138" s="48" t="n"/>
      <c r="H138" s="49" t="n"/>
      <c r="I138" s="45" t="inlineStr">
        <is>
          <t>NF-e 4072 · nota faturada a prazo (forma de recebimento não consta na nota) · venda de 18/02/2026 — pagamento recebido em 27/02/2026</t>
        </is>
      </c>
      <c r="J138" t="inlineStr">
        <is>
          <t>EMP-0125</t>
        </is>
      </c>
    </row>
    <row r="139">
      <c r="A139" s="17" t="n">
        <v>46080</v>
      </c>
      <c r="B139" s="18" t="inlineStr">
        <is>
          <t>Eversoft Ind e Com de Plasticos Ltda</t>
        </is>
      </c>
      <c r="C139" s="18" t="n"/>
      <c r="D139" s="27" t="n"/>
      <c r="E139" s="18" t="n"/>
      <c r="F139" s="19" t="n"/>
      <c r="G139" s="19" t="n">
        <v>878.92</v>
      </c>
      <c r="H139" s="21" t="inlineStr">
        <is>
          <t>Fornecedores / Mercadoria</t>
        </is>
      </c>
      <c r="I139" s="18" t="inlineStr">
        <is>
          <t>NF 68349 de 24/10/2025 · parcela 4/5 (venc. 21/02/2026) · compra total R$ 4.394,61: 100x Refil Everest · Livro Caixa</t>
        </is>
      </c>
      <c r="J139" s="18" t="n"/>
    </row>
    <row r="140">
      <c r="A140" s="44" t="n">
        <v>46080</v>
      </c>
      <c r="B140" s="45" t="inlineStr">
        <is>
          <t>Everest Refrigeracao e Industria</t>
        </is>
      </c>
      <c r="C140" s="45" t="n"/>
      <c r="D140" s="46" t="n"/>
      <c r="E140" s="45" t="n"/>
      <c r="F140" s="47" t="n"/>
      <c r="G140" s="48" t="n">
        <v>546.78</v>
      </c>
      <c r="H140" s="49" t="inlineStr">
        <is>
          <t>Fornecedores / Mercadoria</t>
        </is>
      </c>
      <c r="I140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141">
      <c r="A141" s="17" t="n">
        <v>46080</v>
      </c>
      <c r="B141" s="18" t="inlineStr">
        <is>
          <t>Eversoft Ind e Com de Plasticos Ltda</t>
        </is>
      </c>
      <c r="C141" s="18" t="n"/>
      <c r="D141" s="27" t="n"/>
      <c r="E141" s="18" t="n"/>
      <c r="F141" s="19" t="n"/>
      <c r="G141" s="19" t="n">
        <v>541.37</v>
      </c>
      <c r="H141" s="21" t="inlineStr">
        <is>
          <t>Fornecedores / Mercadoria</t>
        </is>
      </c>
      <c r="I141" s="18" t="inlineStr">
        <is>
          <t>NF 70444 de 23/01/2026 · parcela 1/5 (venc. 22/02/2026) · compra total R$ 2.706,83: 50x Refil Everest + 50x Pré Filtro · Livro Caixa</t>
        </is>
      </c>
      <c r="J141" s="18" t="n"/>
    </row>
    <row r="142">
      <c r="A142" s="44" t="n">
        <v>46080</v>
      </c>
      <c r="B142" s="45" t="inlineStr">
        <is>
          <t>Eversoft Ind e Com de Plasticos Ltda</t>
        </is>
      </c>
      <c r="C142" s="45" t="n"/>
      <c r="D142" s="46" t="n"/>
      <c r="E142" s="45" t="n"/>
      <c r="F142" s="47" t="n"/>
      <c r="G142" s="48" t="n">
        <v>980.83</v>
      </c>
      <c r="H142" s="49" t="inlineStr">
        <is>
          <t>Fornecedores / Mercadoria</t>
        </is>
      </c>
      <c r="I142" s="45" t="inlineStr">
        <is>
          <t>NF 69107 de 27/11/2025 · parcela 3/5 (venc. 25/02/2026) · compra total R$ 4.904,13: 100x Refil Everest + 50x Pré Filtro · Livro Caixa</t>
        </is>
      </c>
    </row>
    <row r="143">
      <c r="A143" s="17" t="n">
        <v>46080</v>
      </c>
      <c r="B143" s="18" t="inlineStr">
        <is>
          <t>Icms Antecipação Parcial</t>
        </is>
      </c>
      <c r="C143" s="18" t="n"/>
      <c r="D143" s="27" t="n"/>
      <c r="E143" s="18" t="n"/>
      <c r="F143" s="19" t="n"/>
      <c r="G143" s="19" t="n">
        <v>1808.35</v>
      </c>
      <c r="H143" s="21" t="inlineStr">
        <is>
          <t>Impostos e Taxas</t>
        </is>
      </c>
      <c r="I143" s="18" t="inlineStr">
        <is>
          <t>Livro Caixa: Pagamento parcela ICMS ANTECIPAÇÃO PARCIAL (Doc. 1) · Planeta Agua Ltda</t>
        </is>
      </c>
      <c r="J143" s="18" t="n"/>
    </row>
    <row r="144">
      <c r="A144" s="44" t="n">
        <v>46080</v>
      </c>
      <c r="B144" s="45" t="inlineStr">
        <is>
          <t>Everest Refrigeracao e Industria</t>
        </is>
      </c>
      <c r="C144" s="45" t="n"/>
      <c r="D144" s="46" t="n"/>
      <c r="E144" s="45" t="n"/>
      <c r="F144" s="47" t="n"/>
      <c r="G144" s="48" t="n">
        <v>1279.66</v>
      </c>
      <c r="H144" s="49" t="inlineStr">
        <is>
          <t>Fornecedores / Mercadoria</t>
        </is>
      </c>
      <c r="I144" s="45" t="inlineStr">
        <is>
          <t>NF 369793 de 28/01/2026 · parcela 1/3 (venc. 27/02/2026) · compra total R$ 3.838,20: Purificador Everest Star Branco + Purificador Everest Fit Preto + Purificador Everest Plus Preto + 8x Purificador Everest Baby Branco + 4x Purificador Everest Baby Preto · Livro Caixa</t>
        </is>
      </c>
    </row>
    <row r="145">
      <c r="A145" s="17" t="n">
        <v>46081</v>
      </c>
      <c r="B145" s="18" t="inlineStr">
        <is>
          <t>Mallan Araujo Neris</t>
        </is>
      </c>
      <c r="C145" s="18" t="inlineStr">
        <is>
          <t>Refil Everest + Pré Filtro + Mangueira (1 m)</t>
        </is>
      </c>
      <c r="D145" s="27" t="n">
        <v>212</v>
      </c>
      <c r="E145" s="18" t="inlineStr">
        <is>
          <t>Crédito Parcelado</t>
        </is>
      </c>
      <c r="F145" s="19" t="n"/>
      <c r="G145" s="19" t="n"/>
      <c r="H145" s="21" t="n"/>
      <c r="I145" s="18" t="inlineStr">
        <is>
          <t>NFC-e 8912</t>
        </is>
      </c>
      <c r="J145" s="18" t="n"/>
    </row>
    <row r="146">
      <c r="A146" s="44" t="n">
        <v>46081</v>
      </c>
      <c r="B146" s="45" t="inlineStr">
        <is>
          <t>Tais Santana Odontologia Ltda</t>
        </is>
      </c>
      <c r="C146" s="45" t="inlineStr">
        <is>
          <t>Refil Everest</t>
        </is>
      </c>
      <c r="D146" s="46" t="n">
        <v>140</v>
      </c>
      <c r="E146" s="45" t="n"/>
      <c r="F146" s="47" t="n"/>
      <c r="G146" s="48" t="n"/>
      <c r="H146" s="49" t="n"/>
      <c r="I146" s="45" t="inlineStr">
        <is>
          <t>NF-e 4068 · nota faturada a prazo (forma de recebimento não consta na nota) · venda de 11/02/2026 — pagamento recebido em 28/02/2026</t>
        </is>
      </c>
    </row>
    <row r="147">
      <c r="A147" s="17" t="n">
        <v>46081</v>
      </c>
      <c r="B147" s="18" t="inlineStr">
        <is>
          <t>Salario Wiliam</t>
        </is>
      </c>
      <c r="C147" s="18" t="n"/>
      <c r="D147" s="27" t="n"/>
      <c r="E147" s="18" t="n"/>
      <c r="F147" s="19" t="n"/>
      <c r="G147" s="19" t="n">
        <v>1571.32</v>
      </c>
      <c r="H147" s="21" t="inlineStr">
        <is>
          <t>Salários, Comissões e Encargos</t>
        </is>
      </c>
      <c r="I147" s="18" t="inlineStr">
        <is>
          <t>Livro Caixa: Pagamento parcela SALARIO WILIAM (Doc. 1) · Wiliam Pinto Bispo</t>
        </is>
      </c>
      <c r="J147" s="18" t="n"/>
    </row>
    <row r="148">
      <c r="A148" s="44" t="n">
        <v>46081</v>
      </c>
      <c r="B148" s="45" t="inlineStr">
        <is>
          <t>Salario Daniel</t>
        </is>
      </c>
      <c r="C148" s="45" t="n"/>
      <c r="D148" s="46" t="n"/>
      <c r="E148" s="45" t="n"/>
      <c r="F148" s="47" t="n"/>
      <c r="G148" s="48" t="n">
        <v>1517</v>
      </c>
      <c r="H148" s="49" t="inlineStr">
        <is>
          <t>Salários, Comissões e Encargos</t>
        </is>
      </c>
      <c r="I148" s="45" t="inlineStr">
        <is>
          <t>Livro Caixa: Pagamento à vista: SALARIO DANIEL (Doc. 1) · Daniel Barbosa dos Santos</t>
        </is>
      </c>
    </row>
    <row r="149" ht="15.75" customHeight="1" s="157">
      <c r="A149" s="29" t="n"/>
      <c r="B149" s="43" t="inlineStr">
        <is>
          <t>TOTAL DO MÊS</t>
        </is>
      </c>
      <c r="C149" s="160" t="n"/>
      <c r="D149" s="8">
        <f>SUM(D5:D148)</f>
        <v/>
      </c>
      <c r="E149" s="8" t="n"/>
      <c r="F149" s="29">
        <f>SUM(F5:F148)</f>
        <v/>
      </c>
      <c r="G149" s="8">
        <f>SUM(G5:G148)</f>
        <v/>
      </c>
      <c r="H149" s="29" t="n"/>
      <c r="I149" s="29" t="n"/>
    </row>
    <row r="150">
      <c r="A150" s="30" t="n"/>
      <c r="B150" s="133" t="inlineStr">
        <is>
          <t>SALDO DO MÊS (Entradas líquidas − Despesas da loja)</t>
        </is>
      </c>
      <c r="D150" s="132">
        <f>(D149-F149-T5)-(L18-L19)</f>
        <v/>
      </c>
      <c r="F150" s="30" t="n"/>
      <c r="H150" s="30" t="n"/>
      <c r="I150" s="30" t="n"/>
    </row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48" showDropDown="0" showInputMessage="0" showErrorMessage="0" allowBlank="1" type="list">
      <formula1>"Dinheiro,Pix,Débito,Crédito à Vista,Crédito Parcelado,Aguardando Pagamento"</formula1>
    </dataValidation>
    <dataValidation sqref="H5:H148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46082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SUMIF(H5:H126,K5,G5:G126)</f>
        <v/>
      </c>
      <c r="N5" s="229">
        <f>D127-F127-T5</f>
        <v/>
      </c>
      <c r="P5" s="231">
        <f>L18-L19</f>
        <v/>
      </c>
      <c r="R5" s="230">
        <f>D128</f>
        <v/>
      </c>
      <c r="T5" s="212">
        <f>SUMIF(E5:E126,"Aguardando Pagamento",D5:D126)</f>
        <v/>
      </c>
    </row>
    <row r="6" ht="14.1" customHeight="1" s="157">
      <c r="A6" s="44" t="n">
        <v>46083</v>
      </c>
      <c r="B6" s="45" t="inlineStr">
        <is>
          <t>Consumidor Final</t>
        </is>
      </c>
      <c r="C6" s="45" t="inlineStr">
        <is>
          <t>Mangueira (1 m)</t>
        </is>
      </c>
      <c r="D6" s="46" t="n">
        <v>10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8913</t>
        </is>
      </c>
      <c r="K6" s="13" t="inlineStr">
        <is>
          <t>Aluguel</t>
        </is>
      </c>
      <c r="L6" s="14">
        <f>SUMIF(H5:H126,K6,G5:G126)</f>
        <v/>
      </c>
    </row>
    <row r="7" ht="15.75" customHeight="1" s="157">
      <c r="A7" s="17" t="n">
        <v>46083</v>
      </c>
      <c r="B7" s="18" t="inlineStr">
        <is>
          <t>Consumidor Final</t>
        </is>
      </c>
      <c r="C7" s="18" t="inlineStr">
        <is>
          <t>Mangueira (1 m)</t>
        </is>
      </c>
      <c r="D7" s="27" t="n">
        <v>7</v>
      </c>
      <c r="E7" s="18" t="inlineStr">
        <is>
          <t>Pix</t>
        </is>
      </c>
      <c r="F7" s="19" t="n"/>
      <c r="G7" s="19" t="n"/>
      <c r="H7" s="21" t="n"/>
      <c r="I7" s="18" t="inlineStr">
        <is>
          <t>NFC-e 8914</t>
        </is>
      </c>
      <c r="J7" s="18" t="n"/>
      <c r="K7" s="10" t="inlineStr">
        <is>
          <t>Água, Energia e Internet</t>
        </is>
      </c>
      <c r="L7" s="11">
        <f>SUMIF(H5:H126,K7,G5:G126)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COMBINADO",IF(TODAY()&gt;EOMONTH(DATE(2026,3,1),0),"ABAIXO DO COMBINADO","AINDA PODE GASTAR"))</f>
        <v/>
      </c>
      <c r="T7" s="224" t="inlineStr">
        <is>
          <t>SOBRA FINAL DO MÊS</t>
        </is>
      </c>
    </row>
    <row r="8">
      <c r="A8" s="44" t="n">
        <v>46084</v>
      </c>
      <c r="B8" s="45" t="inlineStr">
        <is>
          <t>Lucas Souza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4093</t>
        </is>
      </c>
      <c r="J8" t="inlineStr">
        <is>
          <t>CLI-0494</t>
        </is>
      </c>
      <c r="K8" s="13" t="inlineStr">
        <is>
          <t>Impostos e Taxas</t>
        </is>
      </c>
      <c r="L8" s="14">
        <f>SUMIF(H5:H126,K8,G5:G126)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46085</v>
      </c>
      <c r="B9" s="18" t="inlineStr">
        <is>
          <t>Lidia Maria Cardoso Silva</t>
        </is>
      </c>
      <c r="C9" s="18" t="inlineStr">
        <is>
          <t>Purificador Everest Slim Branco</t>
        </is>
      </c>
      <c r="D9" s="27" t="n">
        <v>1200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4094</t>
        </is>
      </c>
      <c r="J9" s="18" t="inlineStr">
        <is>
          <t>CLI-0740</t>
        </is>
      </c>
      <c r="K9" s="10" t="inlineStr">
        <is>
          <t>Tarifas Bancárias e Cartão</t>
        </is>
      </c>
      <c r="L9" s="11">
        <f>SUMIF(H5:H126,K9,G5:G126)</f>
        <v/>
      </c>
    </row>
    <row r="10">
      <c r="A10" s="44" t="n">
        <v>46085</v>
      </c>
      <c r="B10" s="45" t="inlineStr">
        <is>
          <t>Consumidor Final</t>
        </is>
      </c>
      <c r="C10" s="45" t="inlineStr">
        <is>
          <t>Refil BAG</t>
        </is>
      </c>
      <c r="D10" s="46" t="n">
        <v>50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8915</t>
        </is>
      </c>
      <c r="K10" s="13" t="inlineStr">
        <is>
          <t>Transporte e Entregas</t>
        </is>
      </c>
      <c r="L10" s="14">
        <f>SUMIF(H5:H126,K10,G5:G126)</f>
        <v/>
      </c>
    </row>
    <row r="11">
      <c r="A11" s="17" t="n">
        <v>46085</v>
      </c>
      <c r="B11" s="18" t="inlineStr">
        <is>
          <t>Jackson Macedo de Sales</t>
        </is>
      </c>
      <c r="C11" s="18" t="inlineStr">
        <is>
          <t>Refil Carbon Tech 9"</t>
        </is>
      </c>
      <c r="D11" s="27" t="n">
        <v>60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4095</t>
        </is>
      </c>
      <c r="J11" s="18" t="n"/>
      <c r="K11" s="10" t="inlineStr">
        <is>
          <t>Salários, Comissões e Encargos</t>
        </is>
      </c>
      <c r="L11" s="11">
        <f>SUMIF(H5:H126,K11,G5:G126)</f>
        <v/>
      </c>
    </row>
    <row r="12">
      <c r="A12" s="44" t="n">
        <v>46085</v>
      </c>
      <c r="B12" s="45" t="inlineStr">
        <is>
          <t>Juliana Monteiro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8916</t>
        </is>
      </c>
      <c r="J12" t="inlineStr">
        <is>
          <t>CLI-0737</t>
        </is>
      </c>
      <c r="K12" s="13" t="inlineStr">
        <is>
          <t>Contabilidade</t>
        </is>
      </c>
      <c r="L12" s="14">
        <f>SUMIF(H5:H126,K12,G5:G126)</f>
        <v/>
      </c>
    </row>
    <row r="13">
      <c r="A13" s="17" t="n">
        <v>46085</v>
      </c>
      <c r="B13" s="18" t="inlineStr">
        <is>
          <t>Banco do Nordeste do Brasil</t>
        </is>
      </c>
      <c r="C13" s="18" t="inlineStr">
        <is>
          <t>Refil Everest + Pré Filtro</t>
        </is>
      </c>
      <c r="D13" s="27" t="n">
        <v>200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NF-e 4097</t>
        </is>
      </c>
      <c r="J13" s="18" t="inlineStr">
        <is>
          <t>EMP-0220</t>
        </is>
      </c>
      <c r="K13" s="10" t="inlineStr">
        <is>
          <t>Manutenção e Reparos</t>
        </is>
      </c>
      <c r="L13" s="11">
        <f>SUMIF(H5:H126,K13,G5:G126)</f>
        <v/>
      </c>
    </row>
    <row r="14" ht="15.75" customHeight="1" s="157">
      <c r="A14" s="44" t="n">
        <v>46085</v>
      </c>
      <c r="B14" s="45" t="inlineStr">
        <is>
          <t>Centro de Cultura Anglo Americano de Jacobina LTDA - CCAA</t>
        </is>
      </c>
      <c r="C14" s="45" t="inlineStr">
        <is>
          <t>Refil Pro Life</t>
        </is>
      </c>
      <c r="D14" s="46" t="n">
        <v>120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4098</t>
        </is>
      </c>
      <c r="J14" t="inlineStr">
        <is>
          <t>EMP-0057</t>
        </is>
      </c>
      <c r="K14" s="13" t="inlineStr">
        <is>
          <t>Material de Limpeza e Escritório</t>
        </is>
      </c>
      <c r="L14" s="14">
        <f>SUMIF(H5:H126,K14,G5:G126)</f>
        <v/>
      </c>
    </row>
    <row r="15" ht="15.75" customHeight="1" s="157">
      <c r="A15" s="17" t="n">
        <v>46085</v>
      </c>
      <c r="B15" s="18" t="inlineStr">
        <is>
          <t>Banco do Nordeste do Brasil</t>
        </is>
      </c>
      <c r="C15" s="18" t="n"/>
      <c r="D15" s="27" t="n"/>
      <c r="E15" s="18" t="n"/>
      <c r="F15" s="19" t="n"/>
      <c r="G15" s="19" t="n">
        <v>200</v>
      </c>
      <c r="H15" s="21" t="inlineStr">
        <is>
          <t>Outras Despesas</t>
        </is>
      </c>
      <c r="I15" s="18" t="inlineStr">
        <is>
          <t>Livro Caixa: Pagamento à vista: Gerado pelo sistema. (Doc. 4096)</t>
        </is>
      </c>
      <c r="J15" s="18" t="n"/>
      <c r="K15" s="10" t="inlineStr">
        <is>
          <t>Estornos de Vendas (Cancelamentos)</t>
        </is>
      </c>
      <c r="L15" s="11">
        <f>SUMIF(H5:H126,K15,G5:G126)</f>
        <v/>
      </c>
    </row>
    <row r="16">
      <c r="A16" s="44" t="n">
        <v>46086</v>
      </c>
      <c r="B16" s="45" t="inlineStr">
        <is>
          <t>Eduardo da Cruz Cardoso Gomes</t>
        </is>
      </c>
      <c r="C16" s="45" t="inlineStr">
        <is>
          <t>Refil Everest</t>
        </is>
      </c>
      <c r="D16" s="46" t="n">
        <v>140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8917</t>
        </is>
      </c>
      <c r="K16" t="inlineStr">
        <is>
          <t>Outras Despesas</t>
        </is>
      </c>
      <c r="L16" s="11">
        <f>SUMIF(H5:H126,K16,G5:G126)</f>
        <v/>
      </c>
    </row>
    <row r="17" ht="15.75" customHeight="1" s="157">
      <c r="A17" s="17" t="n">
        <v>46087</v>
      </c>
      <c r="B17" s="18" t="inlineStr">
        <is>
          <t>Jacira do Carmo de Oliveira</t>
        </is>
      </c>
      <c r="C17" s="18" t="inlineStr">
        <is>
          <t>Purificador Everest Baby Preto</t>
        </is>
      </c>
      <c r="D17" s="27" t="n">
        <v>478</v>
      </c>
      <c r="E17" s="18" t="inlineStr">
        <is>
          <t>Dinheiro</t>
        </is>
      </c>
      <c r="F17" s="19" t="n"/>
      <c r="G17" s="19" t="n"/>
      <c r="H17" s="21" t="n"/>
      <c r="I17" s="18" t="inlineStr">
        <is>
          <t>NF-e 4099</t>
        </is>
      </c>
      <c r="J17" s="18" t="inlineStr">
        <is>
          <t>CLI-0742</t>
        </is>
      </c>
      <c r="K17" t="inlineStr">
        <is>
          <t>Pro Labore Edilânia</t>
        </is>
      </c>
      <c r="L17">
        <f>SUMIF(H5:H126,K17,G5:G126)</f>
        <v/>
      </c>
    </row>
    <row r="18" ht="15.75" customHeight="1" s="157">
      <c r="A18" s="44" t="n">
        <v>46088</v>
      </c>
      <c r="B18" s="45" t="inlineStr">
        <is>
          <t>Danilo Pereira Santos (Oficina)</t>
        </is>
      </c>
      <c r="C18" s="45" t="inlineStr">
        <is>
          <t>Purificador Everest Slim Prata</t>
        </is>
      </c>
      <c r="D18" s="46" t="n">
        <v>1348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4101</t>
        </is>
      </c>
      <c r="J18" t="inlineStr">
        <is>
          <t>CLI-0507</t>
        </is>
      </c>
      <c r="K18" t="inlineStr">
        <is>
          <t>Total</t>
        </is>
      </c>
      <c r="L18">
        <f>SUM(L5:L16)</f>
        <v/>
      </c>
    </row>
    <row r="19">
      <c r="A19" s="17" t="n">
        <v>46088</v>
      </c>
      <c r="B19" s="18" t="inlineStr">
        <is>
          <t>Eva Lages Matos de Freitas</t>
        </is>
      </c>
      <c r="C19" s="18" t="inlineStr">
        <is>
          <t>Refil Everest</t>
        </is>
      </c>
      <c r="D19" s="27" t="n">
        <v>70</v>
      </c>
      <c r="E19" s="18" t="n"/>
      <c r="F19" s="19" t="n"/>
      <c r="G19" s="19" t="n"/>
      <c r="H19" s="21" t="n"/>
      <c r="I19" s="18" t="inlineStr">
        <is>
          <t>NFC-e 8918 · venda de 07/03/2026, total R$ 140,00 — parcela 1 · nota faturada a prazo (forma de recebimento não consta na nota)</t>
        </is>
      </c>
      <c r="J19" s="18" t="inlineStr">
        <is>
          <t>CLI-0741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(BB)'!A9:A200,"&gt;="&amp;DATE(2026,3,1),'Capital de Giro (BB)'!A9:A200,"&lt;="&amp;DATE(2026,3,31),'Capital de Giro (BB)'!E9:E200,"A Devolver")</f>
        <v/>
      </c>
    </row>
    <row r="20">
      <c r="A20" s="44" t="n">
        <v>46090</v>
      </c>
      <c r="B20" s="45" t="inlineStr">
        <is>
          <t>Paulo Vitor Biulchi dos Santos</t>
        </is>
      </c>
      <c r="C20" s="45" t="inlineStr">
        <is>
          <t>Refil Everest</t>
        </is>
      </c>
      <c r="D20" s="46" t="n">
        <v>140</v>
      </c>
      <c r="E20" s="45" t="inlineStr">
        <is>
          <t>Pix</t>
        </is>
      </c>
      <c r="F20" s="47" t="n"/>
      <c r="G20" s="48" t="n"/>
      <c r="H20" s="49" t="n"/>
      <c r="I20" s="45" t="inlineStr">
        <is>
          <t>NFC-e 8919</t>
        </is>
      </c>
      <c r="J20" t="inlineStr">
        <is>
          <t>CLI-0747</t>
        </is>
      </c>
    </row>
    <row r="21">
      <c r="A21" s="17" t="n">
        <v>46090</v>
      </c>
      <c r="B21" s="18" t="inlineStr">
        <is>
          <t xml:space="preserve">Carmen Steffens - Lucia Maria Oliveira Silva Dias EPP </t>
        </is>
      </c>
      <c r="C21" s="18" t="inlineStr">
        <is>
          <t>Refil Pro Life</t>
        </is>
      </c>
      <c r="D21" s="27" t="n">
        <v>140</v>
      </c>
      <c r="E21" s="18" t="n"/>
      <c r="F21" s="19" t="n"/>
      <c r="G21" s="19" t="n"/>
      <c r="H21" s="21" t="n"/>
      <c r="I21" s="18" t="inlineStr">
        <is>
          <t>NF-e 4100 · nota faturada a prazo (forma de recebimento não consta na nota) · venda de 06/03/2026 — pagamento recebido em 09/03/2026</t>
        </is>
      </c>
      <c r="J21" s="18" t="inlineStr">
        <is>
          <t>EMP-0039</t>
        </is>
      </c>
    </row>
    <row r="22">
      <c r="A22" s="44" t="n">
        <v>46090</v>
      </c>
      <c r="B22" s="45" t="inlineStr">
        <is>
          <t>Adilson Brasileiro dos Santos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inlineStr">
        <is>
          <t>NFC-e 8920</t>
        </is>
      </c>
      <c r="J22" t="inlineStr">
        <is>
          <t>CLI-0746</t>
        </is>
      </c>
    </row>
    <row r="23">
      <c r="A23" s="17" t="n">
        <v>46090</v>
      </c>
      <c r="B23" s="18" t="inlineStr">
        <is>
          <t>Consumidor Final</t>
        </is>
      </c>
      <c r="C23" s="18" t="inlineStr">
        <is>
          <t>Refil Carbon Tech 9"</t>
        </is>
      </c>
      <c r="D23" s="27" t="n">
        <v>80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NFC-e 8921</t>
        </is>
      </c>
      <c r="J23" s="18" t="n"/>
    </row>
    <row r="24">
      <c r="A24" s="44" t="n">
        <v>46090</v>
      </c>
      <c r="B24" s="45" t="inlineStr">
        <is>
          <t>Eric Rodrigo Lopes Ribeiro</t>
        </is>
      </c>
      <c r="C24" s="45" t="inlineStr">
        <is>
          <t>Refil Pro Life + Pré Filtro</t>
        </is>
      </c>
      <c r="D24" s="46" t="n">
        <v>200</v>
      </c>
      <c r="E24" s="45" t="inlineStr">
        <is>
          <t>Crédito Parcelado</t>
        </is>
      </c>
      <c r="F24" s="47" t="n"/>
      <c r="G24" s="48" t="n"/>
      <c r="H24" s="49" t="n"/>
      <c r="I24" s="45" t="inlineStr">
        <is>
          <t>NFC-e 8922</t>
        </is>
      </c>
    </row>
    <row r="25">
      <c r="A25" s="17" t="n">
        <v>46090</v>
      </c>
      <c r="B25" s="18" t="inlineStr">
        <is>
          <t>Consumidor Final</t>
        </is>
      </c>
      <c r="C25" s="18" t="inlineStr">
        <is>
          <t>Mangueira (2 m)</t>
        </is>
      </c>
      <c r="D25" s="27" t="n">
        <v>18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8923</t>
        </is>
      </c>
      <c r="J25" s="18" t="n"/>
    </row>
    <row r="26">
      <c r="A26" s="44" t="n">
        <v>46090</v>
      </c>
      <c r="B26" s="45" t="inlineStr">
        <is>
          <t>Serviço Nacional de Apredizagem Comercial - Senac</t>
        </is>
      </c>
      <c r="C26" s="45" t="inlineStr">
        <is>
          <t>Refil Everest</t>
        </is>
      </c>
      <c r="D26" s="46" t="n">
        <v>140</v>
      </c>
      <c r="E26" s="45" t="n"/>
      <c r="F26" s="47" t="n"/>
      <c r="G26" s="48" t="n"/>
      <c r="H26" s="49" t="n"/>
      <c r="I26" s="45" t="inlineStr">
        <is>
          <t>NF-e 4061 · nota faturada a prazo (forma de recebimento não consta na nota) · venda de 06/02/2026 — pagamento recebido em 09/03/2026</t>
        </is>
      </c>
      <c r="J26" t="inlineStr">
        <is>
          <t>EMP-0276</t>
        </is>
      </c>
    </row>
    <row r="27">
      <c r="A27" s="17" t="n">
        <v>46090</v>
      </c>
      <c r="B27" s="18" t="inlineStr">
        <is>
          <t>DrillGeo Geologia e Sondagens</t>
        </is>
      </c>
      <c r="C27" s="18" t="inlineStr">
        <is>
          <t>Refil Carbon Tech 9" + Refil Plissado</t>
        </is>
      </c>
      <c r="D27" s="27" t="n">
        <v>180</v>
      </c>
      <c r="E27" s="18" t="n"/>
      <c r="F27" s="19" t="n"/>
      <c r="G27" s="19" t="n"/>
      <c r="H27" s="21" t="n"/>
      <c r="I27" s="18" t="inlineStr">
        <is>
          <t>NF-e 4073 · nota faturada a prazo (forma de recebimento não consta na nota) · venda de 18/02/2026 — pagamento recebido em 09/03/2026</t>
        </is>
      </c>
      <c r="J27" s="18" t="inlineStr">
        <is>
          <t>EMP-0125</t>
        </is>
      </c>
    </row>
    <row r="28">
      <c r="A28" s="44" t="n">
        <v>46091</v>
      </c>
      <c r="B28" s="45" t="inlineStr">
        <is>
          <t>Leticia Santos Silva</t>
        </is>
      </c>
      <c r="C28" s="45" t="inlineStr">
        <is>
          <t>Refil Pro Life</t>
        </is>
      </c>
      <c r="D28" s="46" t="n">
        <v>140</v>
      </c>
      <c r="E28" s="45" t="inlineStr">
        <is>
          <t>Crédito Parcelado</t>
        </is>
      </c>
      <c r="F28" s="47" t="n"/>
      <c r="G28" s="48" t="n"/>
      <c r="H28" s="49" t="n"/>
      <c r="I28" s="45" t="inlineStr">
        <is>
          <t>NFC-e 8924</t>
        </is>
      </c>
    </row>
    <row r="29" ht="15.75" customHeight="1" s="157">
      <c r="A29" s="17" t="n">
        <v>46091</v>
      </c>
      <c r="B29" s="18" t="inlineStr">
        <is>
          <t>Ronaldo Nascimento Santos</t>
        </is>
      </c>
      <c r="C29" s="18" t="inlineStr">
        <is>
          <t>Refil Pro Life</t>
        </is>
      </c>
      <c r="D29" s="27" t="n">
        <v>140</v>
      </c>
      <c r="E29" s="18" t="inlineStr">
        <is>
          <t>Crédito Parcelado</t>
        </is>
      </c>
      <c r="F29" s="19" t="n"/>
      <c r="G29" s="19" t="n"/>
      <c r="H29" s="21" t="n"/>
      <c r="I29" s="18" t="inlineStr">
        <is>
          <t>NFC-e 8925</t>
        </is>
      </c>
      <c r="J29" s="18" t="n"/>
    </row>
    <row r="30">
      <c r="A30" s="44" t="n">
        <v>46091</v>
      </c>
      <c r="B30" s="45" t="inlineStr">
        <is>
          <t>Centro Medico Boa Saude</t>
        </is>
      </c>
      <c r="C30" s="45" t="inlineStr">
        <is>
          <t>Refil Everest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NF-e 4102</t>
        </is>
      </c>
      <c r="J30" t="inlineStr">
        <is>
          <t>EMP-0061</t>
        </is>
      </c>
    </row>
    <row r="31">
      <c r="A31" s="17" t="n">
        <v>46091</v>
      </c>
      <c r="B31" s="18" t="inlineStr">
        <is>
          <t>DFLL Serviços Medicos Ltda - ImCardio - Instituto Materno Cardiologico</t>
        </is>
      </c>
      <c r="C31" s="18" t="inlineStr">
        <is>
          <t>2x Refil Everest + 2x Pré Filtro</t>
        </is>
      </c>
      <c r="D31" s="27" t="n">
        <v>380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4103</t>
        </is>
      </c>
      <c r="J31" s="18" t="inlineStr">
        <is>
          <t>EMP-0116</t>
        </is>
      </c>
    </row>
    <row r="32">
      <c r="A32" s="44" t="n">
        <v>46092</v>
      </c>
      <c r="B32" s="45" t="inlineStr">
        <is>
          <t>Emperi Odontologia</t>
        </is>
      </c>
      <c r="C32" s="45" t="inlineStr">
        <is>
          <t>2x Refil Everest</t>
        </is>
      </c>
      <c r="D32" s="46" t="n">
        <v>280</v>
      </c>
      <c r="E32" s="45" t="inlineStr">
        <is>
          <t>Dinheiro</t>
        </is>
      </c>
      <c r="F32" s="47" t="n"/>
      <c r="G32" s="48" t="n"/>
      <c r="H32" s="49" t="n"/>
      <c r="I32" s="45" t="inlineStr">
        <is>
          <t>NF-e 4104</t>
        </is>
      </c>
      <c r="J32" t="inlineStr">
        <is>
          <t>EMP-0134</t>
        </is>
      </c>
    </row>
    <row r="33">
      <c r="A33" s="17" t="n">
        <v>46092</v>
      </c>
      <c r="B33" s="18" t="inlineStr">
        <is>
          <t>Uillian Tarçio Lopes Brito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8926</t>
        </is>
      </c>
      <c r="J33" s="18" t="inlineStr">
        <is>
          <t>CLI-0752</t>
        </is>
      </c>
    </row>
    <row r="34">
      <c r="A34" s="44" t="n">
        <v>46093</v>
      </c>
      <c r="B34" s="45" t="inlineStr">
        <is>
          <t>Consumidor Final</t>
        </is>
      </c>
      <c r="C34" s="45" t="inlineStr">
        <is>
          <t>Refil Carbon Tech 9"</t>
        </is>
      </c>
      <c r="D34" s="46" t="n">
        <v>60</v>
      </c>
      <c r="E34" s="45" t="inlineStr">
        <is>
          <t>Dinheiro</t>
        </is>
      </c>
      <c r="F34" s="47" t="n"/>
      <c r="G34" s="48" t="n"/>
      <c r="H34" s="49" t="n"/>
      <c r="I34" s="45" t="inlineStr">
        <is>
          <t>NFC-e 8927</t>
        </is>
      </c>
    </row>
    <row r="35">
      <c r="A35" s="17" t="n">
        <v>46093</v>
      </c>
      <c r="B35" s="18" t="inlineStr">
        <is>
          <t>Consumidor Final</t>
        </is>
      </c>
      <c r="C35" s="18" t="inlineStr">
        <is>
          <t>Refil Carbon Tech 9"</t>
        </is>
      </c>
      <c r="D35" s="27" t="n">
        <v>85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8928</t>
        </is>
      </c>
      <c r="J35" s="18" t="n"/>
    </row>
    <row r="36">
      <c r="A36" s="44" t="n">
        <v>46093</v>
      </c>
      <c r="B36" s="45" t="inlineStr">
        <is>
          <t>Consumidor Final</t>
        </is>
      </c>
      <c r="C36" s="45" t="inlineStr">
        <is>
          <t>2x Vela Filtro de Barro</t>
        </is>
      </c>
      <c r="D36" s="46" t="n">
        <v>24</v>
      </c>
      <c r="E36" s="45" t="inlineStr">
        <is>
          <t>Débito</t>
        </is>
      </c>
      <c r="F36" s="47" t="n"/>
      <c r="G36" s="48" t="n"/>
      <c r="H36" s="49" t="n"/>
      <c r="I36" s="45" t="inlineStr">
        <is>
          <t>NFC-e 8929</t>
        </is>
      </c>
    </row>
    <row r="37">
      <c r="A37" s="17" t="n">
        <v>46093</v>
      </c>
      <c r="B37" s="18" t="inlineStr">
        <is>
          <t>Consumidor Final</t>
        </is>
      </c>
      <c r="C37" s="18" t="inlineStr">
        <is>
          <t>Refil CP500 BR</t>
        </is>
      </c>
      <c r="D37" s="27" t="n">
        <v>90</v>
      </c>
      <c r="E37" s="18" t="inlineStr">
        <is>
          <t>Débito</t>
        </is>
      </c>
      <c r="F37" s="19" t="n"/>
      <c r="G37" s="19" t="n"/>
      <c r="H37" s="21" t="n"/>
      <c r="I37" s="18" t="inlineStr">
        <is>
          <t>NFC-e 8930</t>
        </is>
      </c>
      <c r="J37" s="18" t="n"/>
    </row>
    <row r="38">
      <c r="A38" s="44" t="n">
        <v>46093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781.39</v>
      </c>
      <c r="H38" s="49" t="inlineStr">
        <is>
          <t>Fornecedores / Mercadoria</t>
        </is>
      </c>
      <c r="I38" s="45" t="inlineStr">
        <is>
          <t>NF 361446 de 10/10/2025 · parcela 5/5 (venc. 09/03/2026)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39" ht="15.75" customHeight="1" s="157">
      <c r="A39" s="17" t="n">
        <v>46093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810.99</v>
      </c>
      <c r="H39" s="21" t="inlineStr">
        <is>
          <t>Fornecedores / Mercadoria</t>
        </is>
      </c>
      <c r="I39" s="18" t="inlineStr">
        <is>
          <t>NF 368012 de 08/01/2026 · parcela 2/5 (venc. 09/03/2026) · compra total R$ 4.054,97: Purificador Everest Fit Branco + 2x Purificador Everest Slim Branco + Purificador Everest Slim Preto + 2x Purificador Everest Star Branco · Livro Caixa</t>
        </is>
      </c>
      <c r="J39" s="18" t="n"/>
    </row>
    <row r="40">
      <c r="A40" s="44" t="n">
        <v>46093</v>
      </c>
      <c r="B40" s="45" t="inlineStr">
        <is>
          <t>Everest Refrigeracao e Industria</t>
        </is>
      </c>
      <c r="C40" s="45" t="n"/>
      <c r="D40" s="46" t="n"/>
      <c r="E40" s="45" t="n"/>
      <c r="F40" s="47" t="n"/>
      <c r="G40" s="48" t="n">
        <v>841.0599999999999</v>
      </c>
      <c r="H40" s="49" t="inlineStr">
        <is>
          <t>Fornecedores / Mercadoria</t>
        </is>
      </c>
      <c r="I40" s="45" t="inlineStr">
        <is>
          <t>NF 366264 de 11/12/2025 · parcela 3/5 (venc. 11/03/2026) · compra total R$ 4.205,29: Purificador Everest Slim Branco + Purificador Everest Slim Prata + 2x Purificador Everest Star Branco + Purificador Everest Star Prata + Purificador Everest Plus Prata · Livro Caixa</t>
        </is>
      </c>
    </row>
    <row r="41">
      <c r="A41" s="17" t="n">
        <v>46093</v>
      </c>
      <c r="B41" s="18" t="inlineStr">
        <is>
          <t>Jamef</t>
        </is>
      </c>
      <c r="C41" s="18" t="n"/>
      <c r="D41" s="27" t="n"/>
      <c r="E41" s="18" t="n"/>
      <c r="F41" s="19" t="n"/>
      <c r="G41" s="19" t="n">
        <v>708.72</v>
      </c>
      <c r="H41" s="21" t="inlineStr">
        <is>
          <t>Transporte e Entregas</t>
        </is>
      </c>
      <c r="I41" s="18" t="inlineStr">
        <is>
          <t>Livro Caixa: Pagamento parcela JAMEF (Doc. 1) · Jamef Transportes Ltda</t>
        </is>
      </c>
      <c r="J41" s="18" t="n"/>
    </row>
    <row r="42" ht="15.75" customHeight="1" s="157">
      <c r="A42" s="44" t="n">
        <v>46093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1/3 (venc. 12/03/2026)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46093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139.92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46094</v>
      </c>
      <c r="B44" s="45" t="inlineStr">
        <is>
          <t>Jamille Oliveira Sousa Santos - Paulo Orlando</t>
        </is>
      </c>
      <c r="C44" s="45" t="inlineStr">
        <is>
          <t>Refil Everest</t>
        </is>
      </c>
      <c r="D44" s="46" t="n">
        <v>145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8931</t>
        </is>
      </c>
    </row>
    <row r="45">
      <c r="A45" s="17" t="n">
        <v>46094</v>
      </c>
      <c r="B45" s="18" t="inlineStr">
        <is>
          <t>Carneiro Ultra Drogaria LTDA - Filial 01</t>
        </is>
      </c>
      <c r="C45" s="18" t="inlineStr">
        <is>
          <t>Refil Everest + Pré Filtro</t>
        </is>
      </c>
      <c r="D45" s="27" t="n">
        <v>200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NF-e 4106</t>
        </is>
      </c>
      <c r="J45" s="18" t="inlineStr">
        <is>
          <t>EMP-0043</t>
        </is>
      </c>
    </row>
    <row r="46">
      <c r="A46" s="44" t="n">
        <v>46095</v>
      </c>
      <c r="B46" s="45" t="inlineStr">
        <is>
          <t>Jairo Cesar Moro</t>
        </is>
      </c>
      <c r="C46" s="45" t="inlineStr">
        <is>
          <t>Purificador Everest Star Branco</t>
        </is>
      </c>
      <c r="D46" s="46" t="n">
        <v>1398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4107</t>
        </is>
      </c>
      <c r="J46" t="inlineStr">
        <is>
          <t>CLI-0755</t>
        </is>
      </c>
    </row>
    <row r="47">
      <c r="A47" s="17" t="n">
        <v>46095</v>
      </c>
      <c r="B47" s="18" t="inlineStr">
        <is>
          <t>RF Supermercado Brasil LTDA</t>
        </is>
      </c>
      <c r="C47" s="18" t="inlineStr">
        <is>
          <t>Refil E3 + 2x Refil Everest</t>
        </is>
      </c>
      <c r="D47" s="27" t="n">
        <v>370</v>
      </c>
      <c r="E47" s="18" t="n"/>
      <c r="F47" s="19" t="n"/>
      <c r="G47" s="19" t="n"/>
      <c r="H47" s="21" t="n"/>
      <c r="I47" s="18" t="inlineStr">
        <is>
          <t>NF-e 4085 · nota faturada a prazo (forma de recebimento não consta na nota) · venda de 27/02/2026 — pagamento recebido em 14/03/2026</t>
        </is>
      </c>
      <c r="J47" s="18" t="inlineStr">
        <is>
          <t>EMP-0261</t>
        </is>
      </c>
    </row>
    <row r="48" ht="15.75" customHeight="1" s="157">
      <c r="A48" s="44" t="n">
        <v>46095</v>
      </c>
      <c r="B48" s="45" t="inlineStr">
        <is>
          <t>RF Supermercado Brasil LTDA</t>
        </is>
      </c>
      <c r="C48" s="45" t="inlineStr">
        <is>
          <t>3x Refil Everest</t>
        </is>
      </c>
      <c r="D48" s="46" t="n">
        <v>420</v>
      </c>
      <c r="E48" s="45" t="n"/>
      <c r="F48" s="47" t="n"/>
      <c r="G48" s="48" t="n"/>
      <c r="H48" s="49" t="n"/>
      <c r="I48" s="45" t="inlineStr">
        <is>
          <t>NF-e 4086 · nota faturada a prazo (forma de recebimento não consta na nota) · venda de 27/02/2026 — pagamento recebido em 14/03/2026</t>
        </is>
      </c>
      <c r="J48" t="inlineStr">
        <is>
          <t>EMP-0261</t>
        </is>
      </c>
    </row>
    <row r="49">
      <c r="A49" s="17" t="n">
        <v>46097</v>
      </c>
      <c r="B49" s="18" t="inlineStr">
        <is>
          <t>L.C. Servicos e Transporte Ltda</t>
        </is>
      </c>
      <c r="C49" s="18" t="inlineStr">
        <is>
          <t>Bebedouro industrial 25L</t>
        </is>
      </c>
      <c r="D49" s="27" t="n">
        <v>2500</v>
      </c>
      <c r="E49" s="18" t="inlineStr">
        <is>
          <t>Pix</t>
        </is>
      </c>
      <c r="F49" s="19" t="n"/>
      <c r="G49" s="19" t="n"/>
      <c r="H49" s="21" t="n"/>
      <c r="I49" s="18" t="inlineStr">
        <is>
          <t>NF-e 4108</t>
        </is>
      </c>
      <c r="J49" s="18" t="n"/>
    </row>
    <row r="50">
      <c r="A50" s="44" t="n">
        <v>46097</v>
      </c>
      <c r="B50" s="45" t="inlineStr">
        <is>
          <t>Consumidor Final</t>
        </is>
      </c>
      <c r="C50" s="45" t="inlineStr">
        <is>
          <t>Refil Plissado + Refil FP4</t>
        </is>
      </c>
      <c r="D50" s="46" t="n">
        <v>165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8932</t>
        </is>
      </c>
    </row>
    <row r="51">
      <c r="A51" s="17" t="n">
        <v>46098</v>
      </c>
      <c r="B51" s="18" t="inlineStr">
        <is>
          <t>Jacy Lima da Silva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NFC-e 8933</t>
        </is>
      </c>
      <c r="J51" s="18" t="inlineStr">
        <is>
          <t>CLI-0756</t>
        </is>
      </c>
    </row>
    <row r="52">
      <c r="A52" s="44" t="n">
        <v>46098</v>
      </c>
      <c r="B52" s="45" t="inlineStr">
        <is>
          <t>Sara Andreia Barros de Souza Santana - Escola Educare</t>
        </is>
      </c>
      <c r="C52" s="45" t="inlineStr">
        <is>
          <t>Refil Everest</t>
        </is>
      </c>
      <c r="D52" s="46" t="n">
        <v>135</v>
      </c>
      <c r="E52" s="45" t="inlineStr">
        <is>
          <t>Pix</t>
        </is>
      </c>
      <c r="F52" s="47" t="n"/>
      <c r="G52" s="48" t="n"/>
      <c r="H52" s="49" t="n"/>
      <c r="I52" s="45" t="inlineStr">
        <is>
          <t>NF-e 4109</t>
        </is>
      </c>
      <c r="J52" t="inlineStr">
        <is>
          <t>EMP-0272</t>
        </is>
      </c>
    </row>
    <row r="53" ht="15.75" customHeight="1" s="157">
      <c r="A53" s="17" t="n">
        <v>46098</v>
      </c>
      <c r="B53" s="18" t="inlineStr">
        <is>
          <t>Consumidor Final</t>
        </is>
      </c>
      <c r="C53" s="18" t="inlineStr">
        <is>
          <t>Refil Everest + Mangueira (1 m)</t>
        </is>
      </c>
      <c r="D53" s="27" t="n">
        <v>150</v>
      </c>
      <c r="E53" s="18" t="inlineStr">
        <is>
          <t>Pix</t>
        </is>
      </c>
      <c r="F53" s="19" t="n"/>
      <c r="G53" s="19" t="n"/>
      <c r="H53" s="21" t="n"/>
      <c r="I53" s="18" t="inlineStr">
        <is>
          <t>NFC-e 8934</t>
        </is>
      </c>
      <c r="J53" s="18" t="n"/>
    </row>
    <row r="54">
      <c r="A54" s="44" t="n">
        <v>46098</v>
      </c>
      <c r="B54" s="45" t="inlineStr">
        <is>
          <t>Consumidor Final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8935</t>
        </is>
      </c>
    </row>
    <row r="55">
      <c r="A55" s="17" t="n">
        <v>46098</v>
      </c>
      <c r="B55" s="18" t="inlineStr">
        <is>
          <t>Moab Lima Rios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8936</t>
        </is>
      </c>
      <c r="J55" s="18" t="inlineStr">
        <is>
          <t>OUT-0066</t>
        </is>
      </c>
    </row>
    <row r="56">
      <c r="A56" s="44" t="n">
        <v>46098</v>
      </c>
      <c r="B56" s="45" t="inlineStr">
        <is>
          <t>Consumidor Final</t>
        </is>
      </c>
      <c r="C56" s="45" t="inlineStr">
        <is>
          <t>Mangueira (1 m)</t>
        </is>
      </c>
      <c r="D56" s="46" t="n">
        <v>10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8937</t>
        </is>
      </c>
    </row>
    <row r="57">
      <c r="A57" s="17" t="n">
        <v>46098</v>
      </c>
      <c r="B57" s="18" t="inlineStr">
        <is>
          <t>Consumidor Final</t>
        </is>
      </c>
      <c r="C57" s="18" t="inlineStr">
        <is>
          <t>Refil FPA14</t>
        </is>
      </c>
      <c r="D57" s="27" t="n">
        <v>95</v>
      </c>
      <c r="E57" s="18" t="inlineStr">
        <is>
          <t>Crédito Parcelado</t>
        </is>
      </c>
      <c r="F57" s="19" t="n"/>
      <c r="G57" s="19" t="n"/>
      <c r="H57" s="21" t="n"/>
      <c r="I57" s="18" t="inlineStr">
        <is>
          <t>NFC-e 8938</t>
        </is>
      </c>
      <c r="J57" s="18" t="n"/>
    </row>
    <row r="58">
      <c r="A58" s="44" t="n">
        <v>46098</v>
      </c>
      <c r="B58" s="45" t="inlineStr">
        <is>
          <t>Farmacia Dois de Julho - José Tiago Souza</t>
        </is>
      </c>
      <c r="C58" s="45" t="inlineStr">
        <is>
          <t>Refil Everest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8939</t>
        </is>
      </c>
      <c r="J58" t="inlineStr">
        <is>
          <t>EMP-0144</t>
        </is>
      </c>
    </row>
    <row r="59">
      <c r="A59" s="17" t="n">
        <v>46098</v>
      </c>
      <c r="B59" s="18" t="inlineStr">
        <is>
          <t>Sandra Maria Vieira Moreira Araújo</t>
        </is>
      </c>
      <c r="C59" s="18" t="inlineStr">
        <is>
          <t>Purificador Everest Fit Prata</t>
        </is>
      </c>
      <c r="D59" s="27" t="n">
        <v>1300</v>
      </c>
      <c r="E59" s="18" t="inlineStr">
        <is>
          <t>Pix</t>
        </is>
      </c>
      <c r="F59" s="19" t="n"/>
      <c r="G59" s="19" t="n"/>
      <c r="H59" s="21" t="n"/>
      <c r="I59" s="18" t="inlineStr">
        <is>
          <t>NF-e 4110</t>
        </is>
      </c>
      <c r="J59" s="18" t="inlineStr">
        <is>
          <t>CLI-0758</t>
        </is>
      </c>
    </row>
    <row r="60">
      <c r="A60" s="44" t="n">
        <v>46099</v>
      </c>
      <c r="B60" s="45" t="inlineStr">
        <is>
          <t>Aspec Sociedade Paraibana de Educacao e Cultura Ltda</t>
        </is>
      </c>
      <c r="C60" s="45" t="inlineStr">
        <is>
          <t>24x Refil IBBL C+3</t>
        </is>
      </c>
      <c r="D60" s="46" t="n">
        <v>3000</v>
      </c>
      <c r="E60" s="45" t="n"/>
      <c r="F60" s="47" t="n"/>
      <c r="G60" s="48" t="n"/>
      <c r="H60" s="49" t="n"/>
      <c r="I60" s="45" t="inlineStr">
        <is>
          <t>NF-e 4089 · nota faturada a prazo (forma de recebimento não consta na nota) · venda de 27/02/2026 — pagamento recebido em 18/03/2026</t>
        </is>
      </c>
    </row>
    <row r="61">
      <c r="A61" s="17" t="n">
        <v>46099</v>
      </c>
      <c r="B61" s="18" t="inlineStr">
        <is>
          <t>Regina Cleia Cavalcant Ribeiro - Matheus Ribeiro</t>
        </is>
      </c>
      <c r="C61" s="18" t="inlineStr">
        <is>
          <t>Refil Everest + Pré Filtro + Mangueira (1 m)</t>
        </is>
      </c>
      <c r="D61" s="27" t="n">
        <v>210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8940</t>
        </is>
      </c>
      <c r="J61" s="18" t="n"/>
    </row>
    <row r="62">
      <c r="A62" s="44" t="n">
        <v>46099</v>
      </c>
      <c r="B62" s="45" t="inlineStr">
        <is>
          <t>Consumidor Final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NFC-e 8941</t>
        </is>
      </c>
    </row>
    <row r="63" ht="15.75" customHeight="1" s="157">
      <c r="A63" s="17" t="n">
        <v>46099</v>
      </c>
      <c r="B63" s="18" t="inlineStr">
        <is>
          <t>Valnice Jacobina Ribeiro Oliveira</t>
        </is>
      </c>
      <c r="C63" s="18" t="inlineStr">
        <is>
          <t>Refil Everest</t>
        </is>
      </c>
      <c r="D63" s="27" t="n">
        <v>140</v>
      </c>
      <c r="E63" s="18" t="inlineStr">
        <is>
          <t>Crédito Parcelado</t>
        </is>
      </c>
      <c r="F63" s="19" t="n"/>
      <c r="G63" s="19" t="n"/>
      <c r="H63" s="21" t="n"/>
      <c r="I63" s="18" t="inlineStr">
        <is>
          <t>NFC-e 8942</t>
        </is>
      </c>
      <c r="J63" s="18" t="n"/>
    </row>
    <row r="64">
      <c r="A64" s="44" t="n">
        <v>46099</v>
      </c>
      <c r="B64" s="45" t="inlineStr">
        <is>
          <t>Consumidor Final</t>
        </is>
      </c>
      <c r="C64" s="45" t="inlineStr">
        <is>
          <t>Refil FP4</t>
        </is>
      </c>
      <c r="D64" s="46" t="n">
        <v>80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8943</t>
        </is>
      </c>
    </row>
    <row r="65">
      <c r="A65" s="17" t="n">
        <v>46099</v>
      </c>
      <c r="B65" s="18" t="inlineStr">
        <is>
          <t>Consumidor Final</t>
        </is>
      </c>
      <c r="C65" s="18" t="inlineStr">
        <is>
          <t>Bico Rio</t>
        </is>
      </c>
      <c r="D65" s="27" t="n">
        <v>25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8944</t>
        </is>
      </c>
      <c r="J65" s="18" t="n"/>
    </row>
    <row r="66">
      <c r="A66" s="44" t="n">
        <v>46100</v>
      </c>
      <c r="B66" s="45" t="inlineStr">
        <is>
          <t>Consumidor Final</t>
        </is>
      </c>
      <c r="C66" s="45" t="inlineStr">
        <is>
          <t>Refil Top Color</t>
        </is>
      </c>
      <c r="D66" s="46" t="n">
        <v>95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8945</t>
        </is>
      </c>
    </row>
    <row r="67">
      <c r="A67" s="17" t="n">
        <v>46100</v>
      </c>
      <c r="B67" s="18" t="inlineStr">
        <is>
          <t>Consumidor Final</t>
        </is>
      </c>
      <c r="C67" s="18" t="inlineStr">
        <is>
          <t>Refil Acquatec</t>
        </is>
      </c>
      <c r="D67" s="27" t="n">
        <v>85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8946</t>
        </is>
      </c>
      <c r="J67" s="18" t="n"/>
    </row>
    <row r="68">
      <c r="A68" s="44" t="n">
        <v>46100</v>
      </c>
      <c r="B68" s="45" t="inlineStr">
        <is>
          <t>Newnet Consultoria e Informatica Ltda</t>
        </is>
      </c>
      <c r="C68" s="45" t="inlineStr">
        <is>
          <t>Refil Acquatec</t>
        </is>
      </c>
      <c r="D68" s="46" t="n">
        <v>90</v>
      </c>
      <c r="E68" s="45" t="n"/>
      <c r="F68" s="47" t="n"/>
      <c r="G68" s="48" t="n"/>
      <c r="H68" s="49" t="n"/>
      <c r="I68" s="45" t="inlineStr">
        <is>
          <t>NF-e 4111. Recebimento não constava no Livro Caixa; conferido e baixado no DigiSat em 28/09/2026.</t>
        </is>
      </c>
    </row>
    <row r="69">
      <c r="A69" s="17" t="n">
        <v>46101</v>
      </c>
      <c r="B69" s="18" t="inlineStr">
        <is>
          <t xml:space="preserve">Igreja Adventista Jacobina </t>
        </is>
      </c>
      <c r="C69" s="18" t="inlineStr">
        <is>
          <t>Refil Everest</t>
        </is>
      </c>
      <c r="D69" s="27" t="n">
        <v>140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4112</t>
        </is>
      </c>
      <c r="J69" s="18" t="inlineStr">
        <is>
          <t>EMP-0020</t>
        </is>
      </c>
    </row>
    <row r="70">
      <c r="A70" s="44" t="n">
        <v>46101</v>
      </c>
      <c r="B70" s="45" t="inlineStr">
        <is>
          <t>Ordem dos Advogados do Brasil Subsecao Jacobina Ba</t>
        </is>
      </c>
      <c r="C70" s="45" t="inlineStr">
        <is>
          <t>2x Refil Pro Life</t>
        </is>
      </c>
      <c r="D70" s="46" t="n">
        <v>280</v>
      </c>
      <c r="E70" s="45" t="n"/>
      <c r="F70" s="47" t="n"/>
      <c r="G70" s="48" t="n"/>
      <c r="H70" s="49" t="n"/>
      <c r="I70" s="45" t="inlineStr">
        <is>
          <t>NF-e 4105 · nota faturada a prazo (forma de recebimento não consta na nota) · venda de 12/03/2026 — pagamento recebido em 20/03/2026</t>
        </is>
      </c>
    </row>
    <row r="71">
      <c r="A71" s="17" t="n">
        <v>46101</v>
      </c>
      <c r="B71" s="18" t="inlineStr">
        <is>
          <t>David Dantas Martins Mendes</t>
        </is>
      </c>
      <c r="C71" s="18" t="inlineStr">
        <is>
          <t>Refil Everest</t>
        </is>
      </c>
      <c r="D71" s="27" t="n">
        <v>140</v>
      </c>
      <c r="E71" s="18" t="inlineStr">
        <is>
          <t>Pix</t>
        </is>
      </c>
      <c r="F71" s="19" t="n"/>
      <c r="G71" s="19" t="n"/>
      <c r="H71" s="21" t="n"/>
      <c r="I71" s="18" t="inlineStr">
        <is>
          <t>NF-e 4113</t>
        </is>
      </c>
      <c r="J71" s="18" t="n"/>
    </row>
    <row r="72">
      <c r="A72" s="44" t="n">
        <v>46101</v>
      </c>
      <c r="B72" s="45" t="inlineStr">
        <is>
          <t>Caio Cesar Souza Santos - Js Material de Construcao</t>
        </is>
      </c>
      <c r="C72" s="45" t="inlineStr">
        <is>
          <t>Refil Everest</t>
        </is>
      </c>
      <c r="D72" s="46" t="n">
        <v>140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8947</t>
        </is>
      </c>
    </row>
    <row r="73" ht="15.75" customHeight="1" s="157">
      <c r="A73" s="17" t="n">
        <v>46101</v>
      </c>
      <c r="B73" s="18" t="inlineStr">
        <is>
          <t>George Martins Silva</t>
        </is>
      </c>
      <c r="C73" s="18" t="inlineStr">
        <is>
          <t>Refil Everest + Pré Filtro</t>
        </is>
      </c>
      <c r="D73" s="27" t="n">
        <v>200</v>
      </c>
      <c r="E73" s="18" t="inlineStr">
        <is>
          <t>Pix</t>
        </is>
      </c>
      <c r="F73" s="19" t="n"/>
      <c r="G73" s="19" t="n"/>
      <c r="H73" s="21" t="n"/>
      <c r="I73" s="18" t="inlineStr">
        <is>
          <t>NFC-e 8948</t>
        </is>
      </c>
      <c r="J73" s="18" t="inlineStr">
        <is>
          <t>CLI-0763</t>
        </is>
      </c>
    </row>
    <row r="74">
      <c r="A74" s="44" t="n">
        <v>46101</v>
      </c>
      <c r="B74" s="45" t="inlineStr">
        <is>
          <t>Darline de Oliveira Almeida Liro</t>
        </is>
      </c>
      <c r="C74" s="45" t="inlineStr">
        <is>
          <t>Refil Everest</t>
        </is>
      </c>
      <c r="D74" s="46" t="n">
        <v>130</v>
      </c>
      <c r="E74" s="45" t="inlineStr">
        <is>
          <t>Pix</t>
        </is>
      </c>
      <c r="F74" s="47" t="n"/>
      <c r="G74" s="48" t="n"/>
      <c r="H74" s="49" t="n"/>
      <c r="I74" s="45" t="inlineStr">
        <is>
          <t>NFC-e 8949</t>
        </is>
      </c>
      <c r="J74" t="inlineStr">
        <is>
          <t>CLI-0765</t>
        </is>
      </c>
    </row>
    <row r="75">
      <c r="A75" s="17" t="n">
        <v>46101</v>
      </c>
      <c r="B75" s="18" t="inlineStr">
        <is>
          <t>Patios Nordeste Jacobina Spe Ltda</t>
        </is>
      </c>
      <c r="C75" s="18" t="inlineStr">
        <is>
          <t>Refil Top Color</t>
        </is>
      </c>
      <c r="D75" s="27" t="n">
        <v>95</v>
      </c>
      <c r="E75" s="18" t="inlineStr">
        <is>
          <t>Dinheiro</t>
        </is>
      </c>
      <c r="F75" s="19" t="n"/>
      <c r="G75" s="19" t="n"/>
      <c r="H75" s="21" t="n"/>
      <c r="I75" s="18" t="inlineStr">
        <is>
          <t>NF-e 4114</t>
        </is>
      </c>
      <c r="J75" s="18" t="n"/>
    </row>
    <row r="76">
      <c r="A76" s="44" t="n">
        <v>46101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865.5</v>
      </c>
      <c r="H76" s="49" t="inlineStr">
        <is>
          <t>Fornecedores / Mercadoria</t>
        </is>
      </c>
      <c r="I76" s="45" t="inlineStr">
        <is>
          <t>NF 368529 de 14/01/2026 · parcela 2/5 (venc. 15/03/2026)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77">
      <c r="A77" s="17" t="n">
        <v>46101</v>
      </c>
      <c r="B77" s="18" t="inlineStr">
        <is>
          <t>Tarcisio Oliveira Lima</t>
        </is>
      </c>
      <c r="C77" s="18" t="n"/>
      <c r="D77" s="27" t="n"/>
      <c r="E77" s="18" t="n"/>
      <c r="F77" s="19" t="n"/>
      <c r="G77" s="19" t="n">
        <v>486.32</v>
      </c>
      <c r="H77" s="21" t="inlineStr">
        <is>
          <t>Contabilidade</t>
        </is>
      </c>
      <c r="I77" s="18" t="inlineStr">
        <is>
          <t>Livro Caixa: Pagamento parcela TARCISIO OLIVEIRA LIMA (Doc. 1) · Tarcisio Oliveira Lima</t>
        </is>
      </c>
      <c r="J77" s="18" t="n"/>
    </row>
    <row r="78">
      <c r="A78" s="44" t="n">
        <v>46101</v>
      </c>
      <c r="B78" s="45" t="inlineStr">
        <is>
          <t>Filtros Planeta Agua Ind e Com Ltda</t>
        </is>
      </c>
      <c r="C78" s="45" t="n"/>
      <c r="D78" s="46" t="n"/>
      <c r="E78" s="45" t="n"/>
      <c r="F78" s="47" t="n"/>
      <c r="G78" s="48" t="n">
        <v>420.87</v>
      </c>
      <c r="H78" s="49" t="inlineStr">
        <is>
          <t>Fornecedores / Mercadoria</t>
        </is>
      </c>
      <c r="I78" s="45" t="inlineStr">
        <is>
          <t>NF 126565 de 20/01/2026 · parcela 3/4 (venc. 17/03/2026) · compra total R$ 1.771,04 (IPI R$ 87,54): 65x Refil Pro Life · Livro Caixa</t>
        </is>
      </c>
    </row>
    <row r="79" ht="15.75" customHeight="1" s="157">
      <c r="A79" s="17" t="n">
        <v>46101</v>
      </c>
      <c r="B79" s="18" t="inlineStr">
        <is>
          <t>Fgts</t>
        </is>
      </c>
      <c r="C79" s="18" t="n"/>
      <c r="D79" s="27" t="n"/>
      <c r="E79" s="18" t="n"/>
      <c r="F79" s="19" t="n"/>
      <c r="G79" s="19" t="n">
        <v>267.2</v>
      </c>
      <c r="H79" s="21" t="inlineStr">
        <is>
          <t>Impostos e Taxas</t>
        </is>
      </c>
      <c r="I79" s="18" t="inlineStr">
        <is>
          <t>Livro Caixa: Pagamento parcela FGTS (Doc. 1) · Planeta Agua Ltda</t>
        </is>
      </c>
      <c r="J79" s="18" t="n"/>
    </row>
    <row r="80">
      <c r="A80" s="44" t="n">
        <v>46101</v>
      </c>
      <c r="B80" s="45" t="inlineStr">
        <is>
          <t>Receitas Federais</t>
        </is>
      </c>
      <c r="C80" s="45" t="n"/>
      <c r="D80" s="46" t="n"/>
      <c r="E80" s="45" t="n"/>
      <c r="F80" s="47" t="n"/>
      <c r="G80" s="48" t="n">
        <v>430.27</v>
      </c>
      <c r="H80" s="49" t="inlineStr">
        <is>
          <t>Impostos e Taxas</t>
        </is>
      </c>
      <c r="I80" s="45" t="inlineStr">
        <is>
          <t>Livro Caixa: Pagamento parcela RECEITAS FEDERAIS (Doc. 2) · Planeta Agua Ltda</t>
        </is>
      </c>
    </row>
    <row r="81">
      <c r="A81" s="17" t="n">
        <v>46101</v>
      </c>
      <c r="B81" s="18" t="inlineStr">
        <is>
          <t>Simples Nacional</t>
        </is>
      </c>
      <c r="C81" s="18" t="n"/>
      <c r="D81" s="27" t="n"/>
      <c r="E81" s="18" t="n"/>
      <c r="F81" s="19" t="n"/>
      <c r="G81" s="19" t="n">
        <v>1829.8</v>
      </c>
      <c r="H81" s="21" t="inlineStr">
        <is>
          <t>Impostos e Taxas</t>
        </is>
      </c>
      <c r="I81" s="18" t="inlineStr">
        <is>
          <t>Livro Caixa: Pagamento parcela SIMPLES NACIONAL (Doc. 1) · Planeta Agua Ltda</t>
        </is>
      </c>
      <c r="J81" s="18" t="n"/>
    </row>
    <row r="82">
      <c r="A82" s="44" t="n">
        <v>46102</v>
      </c>
      <c r="B82" s="45" t="inlineStr">
        <is>
          <t>Socec - Sociedade Capibaribe de Educacao e Cultura S/A</t>
        </is>
      </c>
      <c r="C82" s="45" t="inlineStr">
        <is>
          <t>8x Refil IBBL C+3</t>
        </is>
      </c>
      <c r="D82" s="46" t="n">
        <v>1040</v>
      </c>
      <c r="E82" s="45" t="inlineStr">
        <is>
          <t>Pix</t>
        </is>
      </c>
      <c r="F82" s="47" t="n"/>
      <c r="G82" s="48" t="n"/>
      <c r="H82" s="49" t="n"/>
      <c r="I82" s="45" t="inlineStr">
        <is>
          <t>NF-e 4088 · Grupo Ânima — venda de 27/02/2026, Nota Paga no portal V360 em 21/03/2026. Recebimento não constava no Livro Caixa; baixa dada no DigiSat em 28/09/2026.</t>
        </is>
      </c>
    </row>
    <row r="83">
      <c r="A83" s="17" t="n">
        <v>46104</v>
      </c>
      <c r="B83" s="18" t="inlineStr">
        <is>
          <t>Maria do Carmo Mendes</t>
        </is>
      </c>
      <c r="C83" s="18" t="inlineStr">
        <is>
          <t>Refil Everest</t>
        </is>
      </c>
      <c r="D83" s="27" t="n">
        <v>130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NFC-e 8950</t>
        </is>
      </c>
      <c r="J83" s="18" t="inlineStr">
        <is>
          <t>OUT-0061</t>
        </is>
      </c>
    </row>
    <row r="84">
      <c r="A84" s="44" t="n">
        <v>46104</v>
      </c>
      <c r="B84" s="45" t="inlineStr">
        <is>
          <t>Central do Suplemento</t>
        </is>
      </c>
      <c r="C84" s="45" t="inlineStr">
        <is>
          <t>Refil Everest</t>
        </is>
      </c>
      <c r="D84" s="46" t="n">
        <v>140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4116</t>
        </is>
      </c>
      <c r="J84" t="inlineStr">
        <is>
          <t>EMP-0055</t>
        </is>
      </c>
    </row>
    <row r="85">
      <c r="A85" s="17" t="n">
        <v>46104</v>
      </c>
      <c r="B85" s="18" t="inlineStr">
        <is>
          <t>Antonio Cesar Freitas Souza</t>
        </is>
      </c>
      <c r="C85" s="18" t="inlineStr">
        <is>
          <t>Refil Pro Life</t>
        </is>
      </c>
      <c r="D85" s="27" t="n">
        <v>140</v>
      </c>
      <c r="E85" s="18" t="inlineStr">
        <is>
          <t>Crédito Parcelado</t>
        </is>
      </c>
      <c r="F85" s="19" t="n"/>
      <c r="G85" s="19" t="n"/>
      <c r="H85" s="21" t="n"/>
      <c r="I85" s="18" t="inlineStr">
        <is>
          <t>NFC-e 8951</t>
        </is>
      </c>
      <c r="J85" s="18" t="n"/>
    </row>
    <row r="86">
      <c r="A86" s="44" t="n">
        <v>46104</v>
      </c>
      <c r="B86" s="45" t="inlineStr">
        <is>
          <t>Consumidor Final</t>
        </is>
      </c>
      <c r="C86" s="45" t="inlineStr">
        <is>
          <t>2x Refil Acquatec</t>
        </is>
      </c>
      <c r="D86" s="46" t="n">
        <v>190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8952</t>
        </is>
      </c>
    </row>
    <row r="87">
      <c r="A87" s="17" t="n">
        <v>46104</v>
      </c>
      <c r="B87" s="18" t="inlineStr">
        <is>
          <t>Centro de Estudos Calmonense</t>
        </is>
      </c>
      <c r="C87" s="18" t="inlineStr">
        <is>
          <t>Refil CP500 BR</t>
        </is>
      </c>
      <c r="D87" s="27" t="n">
        <v>90</v>
      </c>
      <c r="E87" s="18" t="inlineStr">
        <is>
          <t>Pix</t>
        </is>
      </c>
      <c r="F87" s="19" t="n"/>
      <c r="G87" s="19" t="n"/>
      <c r="H87" s="21" t="n"/>
      <c r="I87" s="18" t="inlineStr">
        <is>
          <t>NF-e 4117</t>
        </is>
      </c>
      <c r="J87" s="18" t="inlineStr">
        <is>
          <t>OUT-0011</t>
        </is>
      </c>
    </row>
    <row r="88">
      <c r="A88" s="44" t="n">
        <v>46104</v>
      </c>
      <c r="B88" s="45" t="inlineStr">
        <is>
          <t>Jose Alfredo de Oliveira Alkim - Maiara de Souza</t>
        </is>
      </c>
      <c r="C88" s="45" t="inlineStr">
        <is>
          <t>Refil Everest + Pré Filtro</t>
        </is>
      </c>
      <c r="D88" s="46" t="n">
        <v>200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8953</t>
        </is>
      </c>
    </row>
    <row r="89">
      <c r="A89" s="17" t="n">
        <v>46106</v>
      </c>
      <c r="B89" s="18" t="inlineStr">
        <is>
          <t>Jose Luciano Vieira Costa</t>
        </is>
      </c>
      <c r="C89" s="18" t="inlineStr">
        <is>
          <t>2x Refil Everest</t>
        </is>
      </c>
      <c r="D89" s="27" t="n">
        <v>280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4119</t>
        </is>
      </c>
      <c r="J89" s="18" t="n"/>
    </row>
    <row r="90">
      <c r="A90" s="44" t="n">
        <v>46106</v>
      </c>
      <c r="B90" s="45" t="inlineStr">
        <is>
          <t>Centro Medico de Jacobina LTDA - Clinica Santa Barbara</t>
        </is>
      </c>
      <c r="C90" s="45" t="inlineStr">
        <is>
          <t>3x Refil Everest</t>
        </is>
      </c>
      <c r="D90" s="46" t="n">
        <v>420</v>
      </c>
      <c r="E90" s="45" t="n"/>
      <c r="F90" s="47" t="n"/>
      <c r="G90" s="48" t="n"/>
      <c r="H90" s="49" t="n"/>
      <c r="I90" s="45" t="inlineStr">
        <is>
          <t>NF-e 4120 · nota faturada a prazo (forma de recebimento não consta na nota)</t>
        </is>
      </c>
      <c r="J90" t="inlineStr">
        <is>
          <t>EMP-0063</t>
        </is>
      </c>
    </row>
    <row r="91">
      <c r="A91" s="17" t="n">
        <v>46106</v>
      </c>
      <c r="B91" s="18" t="inlineStr">
        <is>
          <t>Metrica Construção Ltda</t>
        </is>
      </c>
      <c r="C91" s="18" t="inlineStr">
        <is>
          <t>Refil Everest + Mangueira (2 m)</t>
        </is>
      </c>
      <c r="D91" s="27" t="n">
        <v>160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4121</t>
        </is>
      </c>
      <c r="J91" s="18" t="inlineStr">
        <is>
          <t>EMP-0221</t>
        </is>
      </c>
    </row>
    <row r="92">
      <c r="A92" s="44" t="n">
        <v>46106</v>
      </c>
      <c r="B92" s="45" t="inlineStr">
        <is>
          <t>Consumidor Final</t>
        </is>
      </c>
      <c r="C92" s="45" t="inlineStr">
        <is>
          <t>Refil Universal</t>
        </is>
      </c>
      <c r="D92" s="46" t="n">
        <v>30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NFC-e 8954</t>
        </is>
      </c>
    </row>
    <row r="93">
      <c r="A93" s="17" t="n">
        <v>46106</v>
      </c>
      <c r="B93" s="18" t="inlineStr">
        <is>
          <t>Consumidor Final</t>
        </is>
      </c>
      <c r="C93" s="18" t="inlineStr">
        <is>
          <t>Refil Universal</t>
        </is>
      </c>
      <c r="D93" s="27" t="n">
        <v>26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8955</t>
        </is>
      </c>
      <c r="J93" s="18" t="n"/>
    </row>
    <row r="94">
      <c r="A94" s="44" t="n">
        <v>46106</v>
      </c>
      <c r="B94" s="45" t="inlineStr">
        <is>
          <t>Vera Lucia Gomes Sampaio (Igreja Quadrangular)</t>
        </is>
      </c>
      <c r="C94" s="45" t="inlineStr">
        <is>
          <t>Purificador Everest Plus Branco</t>
        </is>
      </c>
      <c r="D94" s="46" t="n">
        <v>1500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4122</t>
        </is>
      </c>
      <c r="J94" t="inlineStr">
        <is>
          <t>CLI-0520</t>
        </is>
      </c>
    </row>
    <row r="95">
      <c r="A95" s="17" t="n">
        <v>46106</v>
      </c>
      <c r="B95" s="18" t="inlineStr">
        <is>
          <t>Climo Clínica Médica Oftalmológica  Ldta - Aloisio Sales</t>
        </is>
      </c>
      <c r="C95" s="18" t="inlineStr">
        <is>
          <t>Purificador Everest Star Branco</t>
        </is>
      </c>
      <c r="D95" s="27" t="n">
        <v>1298</v>
      </c>
      <c r="E95" s="18" t="n"/>
      <c r="F95" s="19" t="n"/>
      <c r="G95" s="19" t="n"/>
      <c r="H95" s="21" t="n"/>
      <c r="I95" s="18" t="inlineStr">
        <is>
          <t>NF-e 4118 · nota faturada a prazo (forma de recebimento não consta na nota) · venda de 24/03/2026 — pagamento recebido em 25/03/2026</t>
        </is>
      </c>
      <c r="J95" s="18" t="inlineStr">
        <is>
          <t>EMP-0067</t>
        </is>
      </c>
    </row>
    <row r="96">
      <c r="A96" s="44" t="n">
        <v>46107</v>
      </c>
      <c r="B96" s="45" t="inlineStr">
        <is>
          <t>R. M. Laboratorio Ltda.</t>
        </is>
      </c>
      <c r="C96" s="45" t="inlineStr">
        <is>
          <t>Refil Everest + Pré Filtro</t>
        </is>
      </c>
      <c r="D96" s="46" t="n">
        <v>200</v>
      </c>
      <c r="E96" s="45" t="n"/>
      <c r="F96" s="47" t="n"/>
      <c r="G96" s="48" t="n"/>
      <c r="H96" s="49" t="n"/>
      <c r="I96" s="45" t="inlineStr">
        <is>
          <t>NF-e 4123 · nota faturada a prazo (forma de recebimento não consta na nota) · venda de 25/03/2026 — pagamento recebido em 26/03/2026</t>
        </is>
      </c>
    </row>
    <row r="97">
      <c r="A97" s="17" t="n">
        <v>46107</v>
      </c>
      <c r="B97" s="18" t="inlineStr">
        <is>
          <t>Paulo Diogenes de Oliveira Eireli</t>
        </is>
      </c>
      <c r="C97" s="18" t="inlineStr">
        <is>
          <t>Refil Everest</t>
        </is>
      </c>
      <c r="D97" s="27" t="n">
        <v>135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4124</t>
        </is>
      </c>
      <c r="J97" s="18" t="n"/>
    </row>
    <row r="98">
      <c r="A98" s="44" t="n">
        <v>46107</v>
      </c>
      <c r="B98" s="45" t="inlineStr">
        <is>
          <t>Ages Educação Ltda - Irecê</t>
        </is>
      </c>
      <c r="C98" s="45" t="inlineStr">
        <is>
          <t>2x Pré Filtro IBBL + 2x Refil IBBL C+3</t>
        </is>
      </c>
      <c r="D98" s="46" t="n">
        <v>580</v>
      </c>
      <c r="E98" s="45" t="n"/>
      <c r="F98" s="47" t="n"/>
      <c r="G98" s="48" t="n"/>
      <c r="H98" s="49" t="n"/>
      <c r="I98" s="45" t="inlineStr">
        <is>
          <t>NF-e 4125 · nota faturada a prazo (forma de recebimento não consta na nota)</t>
        </is>
      </c>
      <c r="J98" t="inlineStr">
        <is>
          <t>ESC-0005</t>
        </is>
      </c>
    </row>
    <row r="99">
      <c r="A99" s="17" t="n">
        <v>46107</v>
      </c>
      <c r="B99" s="18" t="inlineStr">
        <is>
          <t>Everest Refrigeracao e Industria</t>
        </is>
      </c>
      <c r="C99" s="18" t="n"/>
      <c r="D99" s="27" t="n"/>
      <c r="E99" s="18" t="n"/>
      <c r="F99" s="19" t="n"/>
      <c r="G99" s="19" t="n">
        <v>800.64</v>
      </c>
      <c r="H99" s="21" t="inlineStr">
        <is>
          <t>Fornecedores / Mercadoria</t>
        </is>
      </c>
      <c r="I99" s="18" t="inlineStr">
        <is>
          <t>NF 362188 de 22/10/2025 · parcela 5/5 (venc. 21/03/2026)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99" s="18" t="n"/>
    </row>
    <row r="100" ht="15.75" customHeight="1" s="157">
      <c r="A100" s="44" t="n">
        <v>46107</v>
      </c>
      <c r="B100" s="45" t="inlineStr">
        <is>
          <t>Eversoft Ind e Com de Plasticos Ltda</t>
        </is>
      </c>
      <c r="C100" s="45" t="n"/>
      <c r="D100" s="46" t="n"/>
      <c r="E100" s="45" t="n"/>
      <c r="F100" s="47" t="n"/>
      <c r="G100" s="48" t="n">
        <v>878.9299999999999</v>
      </c>
      <c r="H100" s="49" t="inlineStr">
        <is>
          <t>Fornecedores / Mercadoria</t>
        </is>
      </c>
      <c r="I100" s="45" t="inlineStr">
        <is>
          <t>NF 68349 de 24/10/2025 · parcela 5/5 (venc. 23/03/2026) · compra total R$ 4.394,61: 100x Refil Everest · Livro Caixa</t>
        </is>
      </c>
    </row>
    <row r="101">
      <c r="A101" s="17" t="n">
        <v>46107</v>
      </c>
      <c r="B101" s="18" t="inlineStr">
        <is>
          <t>Eversoft Ind e Com de Plasticos Ltda</t>
        </is>
      </c>
      <c r="C101" s="18" t="n"/>
      <c r="D101" s="27" t="n"/>
      <c r="E101" s="18" t="n"/>
      <c r="F101" s="19" t="n"/>
      <c r="G101" s="19" t="n">
        <v>541.37</v>
      </c>
      <c r="H101" s="21" t="inlineStr">
        <is>
          <t>Fornecedores / Mercadoria</t>
        </is>
      </c>
      <c r="I101" s="18" t="inlineStr">
        <is>
          <t>NF 70444 de 23/01/2026 · parcela 2/5 (venc. 24/03/2026) · compra total R$ 2.706,83: 50x Refil Everest + 50x Pré Filtro · Livro Caixa</t>
        </is>
      </c>
      <c r="J101" s="18" t="n"/>
    </row>
    <row r="102" ht="15.75" customHeight="1" s="157">
      <c r="A102" s="44" t="n">
        <v>46107</v>
      </c>
      <c r="B102" s="45" t="inlineStr">
        <is>
          <t>Eversoft Ind e Com de Plasticos Ltda</t>
        </is>
      </c>
      <c r="C102" s="45" t="n"/>
      <c r="D102" s="46" t="n"/>
      <c r="E102" s="45" t="n"/>
      <c r="F102" s="47" t="n"/>
      <c r="G102" s="48" t="n">
        <v>878.92</v>
      </c>
      <c r="H102" s="49" t="inlineStr">
        <is>
          <t>Fornecedores / Mercadoria</t>
        </is>
      </c>
      <c r="I102" s="45" t="inlineStr">
        <is>
          <t>NF 71084 de 23/02/2026 · parcela 1/5 (venc. 25/03/2026) · compra total R$ 4.394,61: 100x Refil Everest · Livro Caixa</t>
        </is>
      </c>
    </row>
    <row r="103">
      <c r="A103" s="17" t="n">
        <v>46107</v>
      </c>
      <c r="B103" s="18" t="inlineStr">
        <is>
          <t>Icms - Antecipação Parcial</t>
        </is>
      </c>
      <c r="C103" s="18" t="n"/>
      <c r="D103" s="27" t="n"/>
      <c r="E103" s="18" t="n"/>
      <c r="F103" s="19" t="n"/>
      <c r="G103" s="19" t="n">
        <v>1291.02</v>
      </c>
      <c r="H103" s="21" t="inlineStr">
        <is>
          <t>Impostos e Taxas</t>
        </is>
      </c>
      <c r="I103" s="18" t="inlineStr">
        <is>
          <t>Livro Caixa: Pagamento parcela ICMS - ANTECIPAÇÃO PARCIAL (Doc. 1) · Planeta Agua Ltda</t>
        </is>
      </c>
      <c r="J103" s="18" t="n"/>
    </row>
    <row r="104" ht="15.75" customHeight="1" s="157">
      <c r="A104" s="44" t="n">
        <v>46107</v>
      </c>
      <c r="B104" s="45" t="inlineStr">
        <is>
          <t>Jamef</t>
        </is>
      </c>
      <c r="C104" s="45" t="n"/>
      <c r="D104" s="46" t="n"/>
      <c r="E104" s="45" t="n"/>
      <c r="F104" s="47" t="n"/>
      <c r="G104" s="48" t="n">
        <v>452.14</v>
      </c>
      <c r="H104" s="49" t="inlineStr">
        <is>
          <t>Transporte e Entregas</t>
        </is>
      </c>
      <c r="I104" s="45" t="inlineStr">
        <is>
          <t>Livro Caixa: Pagamento parcela JAMEF (Doc. 1) · Jamef Transportes Ltda</t>
        </is>
      </c>
    </row>
    <row r="105">
      <c r="A105" s="17" t="n">
        <v>46107</v>
      </c>
      <c r="B105" s="18" t="inlineStr">
        <is>
          <t>Everest Refrigeracao e Industria</t>
        </is>
      </c>
      <c r="C105" s="18" t="n"/>
      <c r="D105" s="27" t="n"/>
      <c r="E105" s="18" t="n"/>
      <c r="F105" s="19" t="n"/>
      <c r="G105" s="19" t="n">
        <v>676.59</v>
      </c>
      <c r="H105" s="21" t="inlineStr">
        <is>
          <t>Fornecedores / Mercadoria</t>
        </is>
      </c>
      <c r="I105" s="18" t="inlineStr">
        <is>
          <t>NF 371358 de 24/02/2026 · parcela 1/5 (venc. 26/03/2026) · compra total R$ 3.382,95: 2x Purificador Everest Star Branco + Purificador Everest Slim Branco + Purificador Everest Fit Branco + Purificador Everest Fit Prata · Livro Caixa</t>
        </is>
      </c>
      <c r="J105" s="18" t="n"/>
    </row>
    <row r="106">
      <c r="A106" s="44" t="n">
        <v>46108</v>
      </c>
      <c r="B106" s="45" t="inlineStr">
        <is>
          <t>Consumidor Final</t>
        </is>
      </c>
      <c r="C106" s="45" t="inlineStr">
        <is>
          <t>2x Vela Filtro de Barro</t>
        </is>
      </c>
      <c r="D106" s="46" t="n">
        <v>20</v>
      </c>
      <c r="E106" s="45" t="inlineStr">
        <is>
          <t>Débito</t>
        </is>
      </c>
      <c r="F106" s="47" t="n"/>
      <c r="G106" s="48" t="n"/>
      <c r="H106" s="49" t="n"/>
      <c r="I106" s="45" t="inlineStr">
        <is>
          <t>NFC-e 8956</t>
        </is>
      </c>
    </row>
    <row r="107">
      <c r="A107" s="17" t="n">
        <v>46108</v>
      </c>
      <c r="B107" s="18" t="inlineStr">
        <is>
          <t>Eversoft Ind e Com de Plasticos Ltda</t>
        </is>
      </c>
      <c r="C107" s="18" t="n"/>
      <c r="D107" s="27" t="n"/>
      <c r="E107" s="18" t="n"/>
      <c r="F107" s="19" t="n"/>
      <c r="G107" s="19" t="n">
        <v>980.83</v>
      </c>
      <c r="H107" s="21" t="inlineStr">
        <is>
          <t>Fornecedores / Mercadoria</t>
        </is>
      </c>
      <c r="I107" s="18" t="inlineStr">
        <is>
          <t>NF 69107 de 27/11/2025 · parcela 4/5 (venc. 27/03/2026) · compra total R$ 4.904,13: 100x Refil Everest + 50x Pré Filtro · Livro Caixa</t>
        </is>
      </c>
      <c r="J107" s="18" t="n"/>
    </row>
    <row r="108">
      <c r="A108" s="44" t="n">
        <v>46109</v>
      </c>
      <c r="B108" s="45" t="inlineStr">
        <is>
          <t>Samille Fiscina Lima Lordello - Tiago (cartório)</t>
        </is>
      </c>
      <c r="C108" s="45" t="inlineStr">
        <is>
          <t>Refil Everest</t>
        </is>
      </c>
      <c r="D108" s="46" t="n">
        <v>140</v>
      </c>
      <c r="E108" s="45" t="inlineStr">
        <is>
          <t>Pix</t>
        </is>
      </c>
      <c r="F108" s="47" t="n"/>
      <c r="G108" s="48" t="n"/>
      <c r="H108" s="49" t="n"/>
      <c r="I108" s="45" t="inlineStr">
        <is>
          <t>NF-e 4128</t>
        </is>
      </c>
      <c r="J108" t="inlineStr">
        <is>
          <t>CLI-0508</t>
        </is>
      </c>
    </row>
    <row r="109">
      <c r="A109" s="17" t="n">
        <v>46109</v>
      </c>
      <c r="B109" s="18" t="inlineStr">
        <is>
          <t>Lucimara Oliveira Silva Neves</t>
        </is>
      </c>
      <c r="C109" s="18" t="inlineStr">
        <is>
          <t>Purificador Everest Slim Preto</t>
        </is>
      </c>
      <c r="D109" s="27" t="n">
        <v>1448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4129</t>
        </is>
      </c>
      <c r="J109" s="18" t="inlineStr">
        <is>
          <t>CLI-0769</t>
        </is>
      </c>
    </row>
    <row r="110">
      <c r="A110" s="44" t="n">
        <v>46109</v>
      </c>
      <c r="B110" s="45" t="inlineStr">
        <is>
          <t>Ages Empreendimentos Educacionais Ltda</t>
        </is>
      </c>
      <c r="C110" s="45" t="inlineStr">
        <is>
          <t>14x Refil IBBL C+3</t>
        </is>
      </c>
      <c r="D110" s="46" t="n">
        <v>2040</v>
      </c>
      <c r="E110" s="45" t="inlineStr">
        <is>
          <t>Pix</t>
        </is>
      </c>
      <c r="F110" s="47" t="n"/>
      <c r="G110" s="48" t="n"/>
      <c r="H110" s="49" t="n"/>
      <c r="I110" s="45" t="inlineStr">
        <is>
          <t>NF-e 4087 · Grupo Ânima — venda de 27/02/2026, Nota Paga no portal V360 em 28/03/2026. Recebimento não constava no Livro Caixa; baixa dada no DigiSat em 28/09/2026.</t>
        </is>
      </c>
    </row>
    <row r="111">
      <c r="A111" s="17" t="n">
        <v>46111</v>
      </c>
      <c r="B111" s="18" t="inlineStr">
        <is>
          <t>Paulo Eric de Sousa de Jacobina</t>
        </is>
      </c>
      <c r="C111" s="18" t="inlineStr">
        <is>
          <t>Refil Everest</t>
        </is>
      </c>
      <c r="D111" s="27" t="n">
        <v>140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4132</t>
        </is>
      </c>
      <c r="J111" s="18" t="n"/>
    </row>
    <row r="112">
      <c r="A112" s="44" t="n">
        <v>46111</v>
      </c>
      <c r="B112" s="45" t="inlineStr">
        <is>
          <t>Central do Suplemento</t>
        </is>
      </c>
      <c r="C112" s="45" t="inlineStr">
        <is>
          <t>Pré Filtro</t>
        </is>
      </c>
      <c r="D112" s="46" t="n">
        <v>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4133</t>
        </is>
      </c>
      <c r="J112" t="inlineStr">
        <is>
          <t>EMP-0055</t>
        </is>
      </c>
    </row>
    <row r="113">
      <c r="A113" s="17" t="n">
        <v>46111</v>
      </c>
      <c r="B113" s="18" t="inlineStr">
        <is>
          <t>Cmc- Centro Medico Cardiovascular Ltda</t>
        </is>
      </c>
      <c r="C113" s="18" t="inlineStr">
        <is>
          <t>2x Refil Everest</t>
        </is>
      </c>
      <c r="D113" s="27" t="n">
        <v>260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4134</t>
        </is>
      </c>
      <c r="J113" s="18" t="n"/>
    </row>
    <row r="114">
      <c r="A114" s="44" t="n">
        <v>46111</v>
      </c>
      <c r="B114" s="45" t="inlineStr">
        <is>
          <t>Helena Nilva de Carvalho Moura</t>
        </is>
      </c>
      <c r="C114" s="45" t="inlineStr">
        <is>
          <t>Refil Everest</t>
        </is>
      </c>
      <c r="D114" s="46" t="n">
        <v>135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8957</t>
        </is>
      </c>
      <c r="J114" t="inlineStr">
        <is>
          <t>CLI-0768</t>
        </is>
      </c>
    </row>
    <row r="115">
      <c r="A115" s="17" t="n">
        <v>46111</v>
      </c>
      <c r="B115" s="18" t="inlineStr">
        <is>
          <t>Igreja Batista Filadelfia</t>
        </is>
      </c>
      <c r="C115" s="18" t="inlineStr">
        <is>
          <t>3x Refil Everest + 2x Pré Filtro</t>
        </is>
      </c>
      <c r="D115" s="27" t="n">
        <v>540</v>
      </c>
      <c r="E115" s="18" t="n"/>
      <c r="F115" s="19" t="n"/>
      <c r="G115" s="19" t="n"/>
      <c r="H115" s="21" t="n"/>
      <c r="I115" s="18" t="inlineStr">
        <is>
          <t>NF-e 4130. Recebimento não constava no Livro Caixa; conferido e baixado no DigiSat em 28/09/2026.</t>
        </is>
      </c>
      <c r="J115" s="18" t="n"/>
    </row>
    <row r="116">
      <c r="A116" s="44" t="n">
        <v>46111</v>
      </c>
      <c r="B116" s="45" t="inlineStr">
        <is>
          <t>Transportadora e Locadora de Veiculos Mcr Ltda</t>
        </is>
      </c>
      <c r="C116" s="45" t="inlineStr">
        <is>
          <t>2x Refil Everest</t>
        </is>
      </c>
      <c r="D116" s="46" t="n">
        <v>280</v>
      </c>
      <c r="E116" s="45" t="n"/>
      <c r="F116" s="47" t="n"/>
      <c r="G116" s="48" t="n"/>
      <c r="H116" s="49" t="n"/>
      <c r="I116" s="45" t="inlineStr">
        <is>
          <t>NF-e 4131. Recebimento não constava no Livro Caixa; conferido e baixado no DigiSat em 28/09/2026.</t>
        </is>
      </c>
    </row>
    <row r="117">
      <c r="A117" s="17" t="n">
        <v>46111</v>
      </c>
      <c r="B117" s="18" t="inlineStr">
        <is>
          <t>Everest Refrigeracao e Industria</t>
        </is>
      </c>
      <c r="C117" s="18" t="n"/>
      <c r="D117" s="27" t="n"/>
      <c r="E117" s="18" t="n"/>
      <c r="F117" s="19" t="n"/>
      <c r="G117" s="19" t="n">
        <v>1279.27</v>
      </c>
      <c r="H117" s="21" t="inlineStr">
        <is>
          <t>Fornecedores / Mercadoria</t>
        </is>
      </c>
      <c r="I117" s="18" t="inlineStr">
        <is>
          <t>NF 369793 de 28/01/2026 · parcela 2/3 (venc. 29/03/2026) · compra total R$ 3.838,20: Purificador Everest Star Branco + Purificador Everest Fit Preto + Purificador Everest Plus Preto + 8x Purificador Everest Baby Branco + 4x Purificador Everest Baby Preto · Livro Caixa</t>
        </is>
      </c>
      <c r="J117" s="18" t="n"/>
    </row>
    <row r="118">
      <c r="A118" s="44" t="n">
        <v>46111</v>
      </c>
      <c r="B118" s="45" t="inlineStr">
        <is>
          <t>Eversoft Ind e Com de Plasticos Ltda</t>
        </is>
      </c>
      <c r="C118" s="45" t="n"/>
      <c r="D118" s="46" t="n"/>
      <c r="E118" s="45" t="n"/>
      <c r="F118" s="47" t="n"/>
      <c r="G118" s="48" t="n">
        <v>878.92</v>
      </c>
      <c r="H118" s="49" t="inlineStr">
        <is>
          <t>Fornecedores / Mercadoria</t>
        </is>
      </c>
      <c r="I118" s="45" t="inlineStr">
        <is>
          <t>NF 69886 de 30/12/2025 · parcela 3/5 (venc. 30/03/2026) · compra total R$ 4.394,61: 100x Refil Everest · Livro Caixa</t>
        </is>
      </c>
    </row>
    <row r="119">
      <c r="A119" s="17" t="n">
        <v>46112</v>
      </c>
      <c r="B119" s="18" t="inlineStr">
        <is>
          <t>Consumidor Final</t>
        </is>
      </c>
      <c r="C119" s="18" t="inlineStr">
        <is>
          <t>Refil IBBL C+3</t>
        </is>
      </c>
      <c r="D119" s="27" t="n">
        <v>100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NFC-e 8958</t>
        </is>
      </c>
      <c r="J119" s="18" t="n"/>
    </row>
    <row r="120">
      <c r="A120" s="44" t="n">
        <v>46112</v>
      </c>
      <c r="B120" s="45" t="inlineStr">
        <is>
          <t>Jacqueline Costa de Barros Cezar &amp; Cia Ltda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4135</t>
        </is>
      </c>
    </row>
    <row r="121">
      <c r="A121" s="17" t="n">
        <v>46112</v>
      </c>
      <c r="B121" s="18" t="inlineStr">
        <is>
          <t>Dom - Nucleo de Terapias Integradas</t>
        </is>
      </c>
      <c r="C121" s="18" t="inlineStr">
        <is>
          <t>3x Refil Everest</t>
        </is>
      </c>
      <c r="D121" s="27" t="n">
        <v>420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NF-e 4136</t>
        </is>
      </c>
      <c r="J121" s="18" t="n"/>
    </row>
    <row r="122">
      <c r="A122" s="44" t="n">
        <v>46112</v>
      </c>
      <c r="B122" s="45" t="inlineStr">
        <is>
          <t>Consumidor Final</t>
        </is>
      </c>
      <c r="C122" s="45" t="inlineStr">
        <is>
          <t>Refil Everest + Mangueira (1 m)</t>
        </is>
      </c>
      <c r="D122" s="46" t="n">
        <v>150</v>
      </c>
      <c r="E122" s="45" t="inlineStr">
        <is>
          <t>Crédito Parcelado</t>
        </is>
      </c>
      <c r="F122" s="47" t="n"/>
      <c r="G122" s="48" t="n"/>
      <c r="H122" s="49" t="n"/>
      <c r="I122" s="45" t="inlineStr">
        <is>
          <t>NFC-e 8959</t>
        </is>
      </c>
    </row>
    <row r="123">
      <c r="A123" s="17" t="n">
        <v>46112</v>
      </c>
      <c r="B123" s="18" t="inlineStr">
        <is>
          <t>Filtros Planeta Agua Ind e Com Ltda</t>
        </is>
      </c>
      <c r="C123" s="18" t="n"/>
      <c r="D123" s="27" t="n"/>
      <c r="E123" s="18" t="n"/>
      <c r="F123" s="19" t="n"/>
      <c r="G123" s="19" t="n">
        <v>420.87</v>
      </c>
      <c r="H123" s="21" t="inlineStr">
        <is>
          <t>Fornecedores / Mercadoria</t>
        </is>
      </c>
      <c r="I123" s="18" t="inlineStr">
        <is>
          <t>NF 126565 de 20/01/2026 · parcela 4/4 (venc. 31/03/2026) · compra total R$ 1.771,04 (IPI R$ 87,54): 65x Refil Pro Life · Livro Caixa</t>
        </is>
      </c>
      <c r="J123" s="18" t="n"/>
    </row>
    <row r="124">
      <c r="A124" s="44" t="n">
        <v>46112</v>
      </c>
      <c r="B124" s="45" t="inlineStr">
        <is>
          <t>Prefeitura Municipal de Jacobina</t>
        </is>
      </c>
      <c r="C124" s="45" t="n"/>
      <c r="D124" s="46" t="n"/>
      <c r="E124" s="45" t="n"/>
      <c r="F124" s="47" t="n"/>
      <c r="G124" s="48" t="n">
        <v>226.78</v>
      </c>
      <c r="H124" s="49" t="inlineStr">
        <is>
          <t>Impostos e Taxas</t>
        </is>
      </c>
      <c r="I124" s="45" t="inlineStr">
        <is>
          <t>Livro Caixa: Pagamento parcela PREFEITURA MUNICIPAL DE JACOBINA (Doc. 1) · Municipio de Jacobina</t>
        </is>
      </c>
    </row>
    <row r="125">
      <c r="A125" s="17" t="n">
        <v>46112</v>
      </c>
      <c r="B125" s="18" t="inlineStr">
        <is>
          <t>Salario Wiliam</t>
        </is>
      </c>
      <c r="C125" s="18" t="n"/>
      <c r="D125" s="27" t="n"/>
      <c r="E125" s="18" t="n"/>
      <c r="F125" s="19" t="n"/>
      <c r="G125" s="19" t="n">
        <v>1571.32</v>
      </c>
      <c r="H125" s="21" t="inlineStr">
        <is>
          <t>Salários, Comissões e Encargos</t>
        </is>
      </c>
      <c r="I125" s="18" t="inlineStr">
        <is>
          <t>Livro Caixa: Pagamento à vista: SALARIO WILIAM (Doc. 1) · Wiliam Pinto Bispo</t>
        </is>
      </c>
      <c r="J125" s="18" t="n"/>
    </row>
    <row r="126">
      <c r="A126" s="44" t="n">
        <v>46112</v>
      </c>
      <c r="B126" s="45" t="inlineStr">
        <is>
          <t>Salario Daniel</t>
        </is>
      </c>
      <c r="C126" s="45" t="n"/>
      <c r="D126" s="46" t="n"/>
      <c r="E126" s="45" t="n"/>
      <c r="F126" s="47" t="n"/>
      <c r="G126" s="48" t="n">
        <v>807.7</v>
      </c>
      <c r="H126" s="49" t="inlineStr">
        <is>
          <t>Salários, Comissões e Encargos</t>
        </is>
      </c>
      <c r="I126" s="45" t="inlineStr">
        <is>
          <t>Livro Caixa: Pagamento à vista: SALARIO DANIEL (Doc. 1) · Daniel Barbosa dos Santos</t>
        </is>
      </c>
    </row>
    <row r="127">
      <c r="A127" s="29" t="n"/>
      <c r="B127" s="43" t="inlineStr">
        <is>
          <t>TOTAL DO MÊS</t>
        </is>
      </c>
      <c r="C127" s="160" t="n"/>
      <c r="D127" s="8">
        <f>SUM(D5:D126)</f>
        <v/>
      </c>
      <c r="E127" s="8" t="n"/>
      <c r="F127" s="29">
        <f>SUM(F5:F126)</f>
        <v/>
      </c>
      <c r="G127" s="8">
        <f>SUM(G5:G126)</f>
        <v/>
      </c>
      <c r="H127" s="29" t="n"/>
      <c r="I127" s="29" t="n"/>
    </row>
    <row r="128" ht="15.75" customHeight="1" s="157">
      <c r="A128" s="30" t="n"/>
      <c r="B128" s="133" t="inlineStr">
        <is>
          <t>SALDO DO MÊS (Entradas líquidas − Despesas da loja)</t>
        </is>
      </c>
      <c r="D128" s="132">
        <f>(D127-F127-T5)-(L18-L19)</f>
        <v/>
      </c>
      <c r="F128" s="30" t="n"/>
      <c r="H128" s="30" t="n"/>
      <c r="I128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6" showDropDown="0" showInputMessage="0" showErrorMessage="0" allowBlank="1" type="list">
      <formula1>"Dinheiro,Pix,Débito,Crédito à Vista,Crédito Parcelado,Aguardando Pagamento"</formula1>
    </dataValidation>
    <dataValidation sqref="H5:H126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46113</v>
      </c>
      <c r="B5" s="18" t="inlineStr">
        <is>
          <t>Tatiana Miranda Siqueira</t>
        </is>
      </c>
      <c r="C5" s="18" t="inlineStr">
        <is>
          <t>Refil Everest + Mangueira (1 m)</t>
        </is>
      </c>
      <c r="D5" s="27" t="n">
        <v>150</v>
      </c>
      <c r="E5" s="18" t="inlineStr">
        <is>
          <t>Pix</t>
        </is>
      </c>
      <c r="F5" s="19" t="n"/>
      <c r="G5" s="19" t="n"/>
      <c r="H5" s="21" t="n"/>
      <c r="I5" s="18" t="inlineStr">
        <is>
          <t>NF-e 4138</t>
        </is>
      </c>
      <c r="J5" s="18" t="inlineStr">
        <is>
          <t>CLI-0696</t>
        </is>
      </c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46113</v>
      </c>
      <c r="B6" s="45" t="inlineStr">
        <is>
          <t>Consumidor Final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8960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46113</v>
      </c>
      <c r="B7" s="18" t="inlineStr">
        <is>
          <t>Rui Robson Ferreira Andrade - Maria lucia</t>
        </is>
      </c>
      <c r="C7" s="18" t="inlineStr">
        <is>
          <t>Purificador Everest Fit Branco</t>
        </is>
      </c>
      <c r="D7" s="27" t="n">
        <v>1348</v>
      </c>
      <c r="E7" s="18" t="inlineStr">
        <is>
          <t>Dinheiro</t>
        </is>
      </c>
      <c r="F7" s="19" t="n"/>
      <c r="G7" s="19" t="n"/>
      <c r="H7" s="21" t="n"/>
      <c r="I7" s="18" t="inlineStr">
        <is>
          <t>NF-e 4139</t>
        </is>
      </c>
      <c r="J7" s="18" t="inlineStr">
        <is>
          <t>CLI-0754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COMBINADO",IF(TODAY()&gt;EOMONTH(DATE(2026,4,1),0),"ABAIXO DO COMBINADO","AINDA PODE GASTAR"))</f>
        <v/>
      </c>
      <c r="T7" s="224" t="inlineStr">
        <is>
          <t>SOBRA FINAL DO MÊS</t>
        </is>
      </c>
    </row>
    <row r="8">
      <c r="A8" s="44" t="n">
        <v>46113</v>
      </c>
      <c r="B8" s="45" t="inlineStr">
        <is>
          <t>Embasa Adriano</t>
        </is>
      </c>
      <c r="C8" s="45" t="n"/>
      <c r="D8" s="46" t="n"/>
      <c r="E8" s="45" t="n"/>
      <c r="F8" s="47" t="n"/>
      <c r="G8" s="48" t="n">
        <v>51.61</v>
      </c>
      <c r="H8" s="49" t="inlineStr">
        <is>
          <t>Pro Labore Edilânia</t>
        </is>
      </c>
      <c r="I8" s="45" t="inlineStr">
        <is>
          <t>Livro Caixa: Pagamento parcela EMBASA ADRIANO (Doc. 1) · Empresa Baiana de Aguas e Saneamento Sa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46113</v>
      </c>
      <c r="B9" s="18" t="inlineStr">
        <is>
          <t>Aluguel Vitoria Maria</t>
        </is>
      </c>
      <c r="C9" s="18" t="n"/>
      <c r="D9" s="27" t="n"/>
      <c r="E9" s="18" t="n"/>
      <c r="F9" s="19" t="n"/>
      <c r="G9" s="19" t="n">
        <v>870</v>
      </c>
      <c r="H9" s="21" t="inlineStr">
        <is>
          <t>Aluguel</t>
        </is>
      </c>
      <c r="I9" s="18" t="inlineStr">
        <is>
          <t>Livro Caixa: Pagamento à vista: ALUGUEL VITORIA MARIA (Doc. 1) · Vitoria Maria F Santos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46114</v>
      </c>
      <c r="B10" s="45" t="inlineStr">
        <is>
          <t>Consumidor Final</t>
        </is>
      </c>
      <c r="C10" s="45" t="inlineStr">
        <is>
          <t>Registro + Mangueira (1 m)</t>
        </is>
      </c>
      <c r="D10" s="46" t="n">
        <v>40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8961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46114</v>
      </c>
      <c r="B11" s="18" t="inlineStr">
        <is>
          <t>Consumidor Final</t>
        </is>
      </c>
      <c r="C11" s="18" t="inlineStr">
        <is>
          <t>Refil Acquatec + Refil Universal</t>
        </is>
      </c>
      <c r="D11" s="27" t="n">
        <v>125</v>
      </c>
      <c r="E11" s="18" t="inlineStr">
        <is>
          <t>Débito</t>
        </is>
      </c>
      <c r="F11" s="19" t="n"/>
      <c r="G11" s="19" t="n"/>
      <c r="H11" s="21" t="n"/>
      <c r="I11" s="18" t="inlineStr">
        <is>
          <t>NFC-e 8962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46114</v>
      </c>
      <c r="B12" s="45" t="inlineStr">
        <is>
          <t>Climo Clínica Médica Oftalmológica  Ldta - Aloisio Sales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4141</t>
        </is>
      </c>
      <c r="J12" t="inlineStr">
        <is>
          <t>EMP-0067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46115</v>
      </c>
      <c r="B13" s="18" t="inlineStr">
        <is>
          <t>Apec - Sociedade Potiguar de Educacao e Cultura Ltda</t>
        </is>
      </c>
      <c r="C13" s="18" t="inlineStr">
        <is>
          <t>2x Refil IBBL C+3 + Pré Filtro IBBL</t>
        </is>
      </c>
      <c r="D13" s="27" t="n">
        <v>440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4091 · Grupo Ânima — venda de 02/03/2026, Nota Paga no portal V360 em 03/04/2026.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46116</v>
      </c>
      <c r="B14" s="45" t="inlineStr">
        <is>
          <t>Apec - Sociedade Potiguar de Educacao e Cultura Ltda</t>
        </is>
      </c>
      <c r="C14" s="45" t="inlineStr">
        <is>
          <t>3x Pré Filtro IBBL + 3x Refil IBBL C+3</t>
        </is>
      </c>
      <c r="D14" s="46" t="n">
        <v>870</v>
      </c>
      <c r="E14" s="45" t="inlineStr">
        <is>
          <t>Pix</t>
        </is>
      </c>
      <c r="F14" s="47" t="n"/>
      <c r="G14" s="48" t="n"/>
      <c r="H14" s="49" t="n"/>
      <c r="I14" s="45" t="inlineStr">
        <is>
          <t>NF-e 4092 · Grupo Ânima — venda de 02/03/2026, Nota Paga no portal V360 em 04/04/2026. Recebimento não constava no Livro Caixa; baixa dada no DigiSat em 28/09/2026.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46118</v>
      </c>
      <c r="B15" s="18" t="inlineStr">
        <is>
          <t>Consumidor Final</t>
        </is>
      </c>
      <c r="C15" s="18" t="inlineStr">
        <is>
          <t>Refil Everest + Pré Filtro</t>
        </is>
      </c>
      <c r="D15" s="27" t="n">
        <v>150</v>
      </c>
      <c r="E15" s="18" t="inlineStr">
        <is>
          <t>Crédito Parcelado</t>
        </is>
      </c>
      <c r="F15" s="19" t="n"/>
      <c r="G15" s="19" t="n"/>
      <c r="H15" s="21" t="n"/>
      <c r="I15" s="18" t="inlineStr">
        <is>
          <t>NFC-e 8963</t>
        </is>
      </c>
      <c r="J15" s="18" t="n"/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46118</v>
      </c>
      <c r="B16" s="45" t="inlineStr">
        <is>
          <t>Consumidor Final</t>
        </is>
      </c>
      <c r="C16" s="45" t="inlineStr">
        <is>
          <t>Refil Everest</t>
        </is>
      </c>
      <c r="D16" s="46" t="n">
        <v>140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8964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46118</v>
      </c>
      <c r="B17" s="18" t="inlineStr">
        <is>
          <t>Jucileide Texeira Gama Costa</t>
        </is>
      </c>
      <c r="C17" s="18" t="inlineStr">
        <is>
          <t>Refil Everest</t>
        </is>
      </c>
      <c r="D17" s="27" t="n">
        <v>140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8965</t>
        </is>
      </c>
      <c r="J17" s="18" t="inlineStr">
        <is>
          <t>CLI-0774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46118</v>
      </c>
      <c r="B18" s="45" t="inlineStr">
        <is>
          <t>Maria Margareth Almeida Santos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4142</t>
        </is>
      </c>
      <c r="J18" t="inlineStr">
        <is>
          <t>CLI-0776</t>
        </is>
      </c>
      <c r="K18" t="inlineStr">
        <is>
          <t>Total</t>
        </is>
      </c>
      <c r="L18">
        <f>SUM(L5:L16)</f>
        <v/>
      </c>
    </row>
    <row r="19">
      <c r="A19" s="17" t="n">
        <v>46118</v>
      </c>
      <c r="B19" s="18" t="inlineStr">
        <is>
          <t>Carneiro e Silva Ltda - Farmacia Santo Antonio</t>
        </is>
      </c>
      <c r="C19" s="18" t="inlineStr">
        <is>
          <t>Refil Everest</t>
        </is>
      </c>
      <c r="D19" s="27" t="n">
        <v>130</v>
      </c>
      <c r="E19" s="18" t="inlineStr">
        <is>
          <t>Dinheiro</t>
        </is>
      </c>
      <c r="F19" s="19" t="n"/>
      <c r="G19" s="19" t="n"/>
      <c r="H19" s="21" t="n"/>
      <c r="I19" s="18" t="inlineStr">
        <is>
          <t>NF-e 4143</t>
        </is>
      </c>
      <c r="J19" s="18" t="inlineStr">
        <is>
          <t>EMP-0040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(BB)'!A9:A200,"&gt;="&amp;DATE(2026,4,1),'Capital de Giro (BB)'!A9:A200,"&lt;="&amp;DATE(2026,4,30),'Capital de Giro (BB)'!E9:E200,"A Devolver")</f>
        <v/>
      </c>
    </row>
    <row r="20">
      <c r="A20" s="44" t="n">
        <v>46118</v>
      </c>
      <c r="B20" s="45" t="inlineStr">
        <is>
          <t>Mariano Paulo Farias</t>
        </is>
      </c>
      <c r="C20" s="45" t="inlineStr">
        <is>
          <t>Refil Everest + Mangueira (1 m)</t>
        </is>
      </c>
      <c r="D20" s="46" t="n">
        <v>140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8966</t>
        </is>
      </c>
      <c r="J20" t="inlineStr">
        <is>
          <t>CLI-0778</t>
        </is>
      </c>
    </row>
    <row r="21">
      <c r="A21" s="17" t="n">
        <v>46118</v>
      </c>
      <c r="B21" s="18" t="inlineStr">
        <is>
          <t>Maria Margareth Almeida Santos</t>
        </is>
      </c>
      <c r="C21" s="18" t="inlineStr">
        <is>
          <t>Refil Pro Life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8967</t>
        </is>
      </c>
      <c r="J21" s="18" t="n"/>
    </row>
    <row r="22">
      <c r="A22" s="44" t="n">
        <v>46118</v>
      </c>
      <c r="B22" s="45" t="inlineStr">
        <is>
          <t>Socec - Sociedade Capibaribe de Educacao e Cultura Ltda</t>
        </is>
      </c>
      <c r="C22" s="45" t="inlineStr">
        <is>
          <t>20x Refil IBBL C+3</t>
        </is>
      </c>
      <c r="D22" s="46" t="n">
        <v>2600</v>
      </c>
      <c r="E22" s="45" t="inlineStr">
        <is>
          <t>Pix</t>
        </is>
      </c>
      <c r="F22" s="47" t="n"/>
      <c r="G22" s="48" t="n"/>
      <c r="H22" s="49" t="n"/>
      <c r="I22" s="45" t="inlineStr">
        <is>
          <t>NF-e 4090 · Grupo Ânima — venda de 02/03/2026, Nota Paga no portal V360 em 06/04/2026. Recebimento não constava no Livro Caixa; baixa dada no DigiSat em 28/09/2026.</t>
        </is>
      </c>
    </row>
    <row r="23">
      <c r="A23" s="17" t="n">
        <v>46119</v>
      </c>
      <c r="B23" s="18" t="inlineStr">
        <is>
          <t>Consumidor Final</t>
        </is>
      </c>
      <c r="C23" s="18" t="inlineStr">
        <is>
          <t>4x Refil Plissado + 2x Carcaça 9" + Suporte Metal Duplo Fit</t>
        </is>
      </c>
      <c r="D23" s="27" t="n">
        <v>630</v>
      </c>
      <c r="E23" s="18" t="inlineStr">
        <is>
          <t>Crédito Parcelado</t>
        </is>
      </c>
      <c r="F23" s="19" t="n"/>
      <c r="G23" s="19" t="n"/>
      <c r="H23" s="21" t="n"/>
      <c r="I23" s="18" t="inlineStr">
        <is>
          <t>NFC-e 8968</t>
        </is>
      </c>
      <c r="J23" s="18" t="n"/>
    </row>
    <row r="24">
      <c r="A24" s="44" t="n">
        <v>46119</v>
      </c>
      <c r="B24" s="45" t="inlineStr">
        <is>
          <t>Margarida Mesquita</t>
        </is>
      </c>
      <c r="C24" s="45" t="inlineStr">
        <is>
          <t>Refil Pro Life</t>
        </is>
      </c>
      <c r="D24" s="46" t="n">
        <v>140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NFC-e 8969</t>
        </is>
      </c>
      <c r="J24" t="inlineStr">
        <is>
          <t>CLI-0777</t>
        </is>
      </c>
    </row>
    <row r="25">
      <c r="A25" s="17" t="n">
        <v>46119</v>
      </c>
      <c r="B25" s="18" t="inlineStr">
        <is>
          <t>Valdeci Souza Silva</t>
        </is>
      </c>
      <c r="C25" s="18" t="inlineStr">
        <is>
          <t>Refil Pro Life</t>
        </is>
      </c>
      <c r="D25" s="27" t="n">
        <v>70</v>
      </c>
      <c r="E25" s="18" t="n"/>
      <c r="F25" s="19" t="n"/>
      <c r="G25" s="19" t="n"/>
      <c r="H25" s="21" t="n"/>
      <c r="I25" s="18" t="inlineStr">
        <is>
          <t>NFC-e 8970 · venda de 07/04/2026, total R$ 140,00 — parcela 1 · nota faturada a prazo (forma de recebimento não consta na nota)</t>
        </is>
      </c>
      <c r="J25" s="18" t="inlineStr">
        <is>
          <t>CLI-0779</t>
        </is>
      </c>
    </row>
    <row r="26">
      <c r="A26" s="44" t="n">
        <v>46119</v>
      </c>
      <c r="B26" s="45" t="inlineStr">
        <is>
          <t>Cor e Fest</t>
        </is>
      </c>
      <c r="C26" s="45" t="inlineStr">
        <is>
          <t>Refil Everest + Pré Filtro</t>
        </is>
      </c>
      <c r="D26" s="46" t="n">
        <v>200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NF-e 4145</t>
        </is>
      </c>
      <c r="J26" t="inlineStr">
        <is>
          <t>EMP-0109</t>
        </is>
      </c>
    </row>
    <row r="27">
      <c r="A27" s="17" t="n">
        <v>46119</v>
      </c>
      <c r="B27" s="18" t="inlineStr">
        <is>
          <t>Unilatus Servico Educacional Ltda Me</t>
        </is>
      </c>
      <c r="C27" s="18" t="inlineStr">
        <is>
          <t>Refil Pro Life + Pré Filtro + Suporte</t>
        </is>
      </c>
      <c r="D27" s="27" t="n">
        <v>240</v>
      </c>
      <c r="E27" s="18" t="n"/>
      <c r="F27" s="19" t="n"/>
      <c r="G27" s="19" t="n"/>
      <c r="H27" s="21" t="n"/>
      <c r="I27" s="18" t="inlineStr">
        <is>
          <t>NF-e 4144. Recebimento não constava no Livro Caixa; conferido e baixado no DigiSat em 28/09/2026.</t>
        </is>
      </c>
      <c r="J27" s="18" t="n"/>
    </row>
    <row r="28">
      <c r="A28" s="44" t="n">
        <v>46120</v>
      </c>
      <c r="B28" s="45" t="inlineStr">
        <is>
          <t>Iristela Miranda Paiva</t>
        </is>
      </c>
      <c r="C28" s="45" t="inlineStr">
        <is>
          <t>Purificador Everest Fit Preto</t>
        </is>
      </c>
      <c r="D28" s="46" t="n">
        <v>1448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4146</t>
        </is>
      </c>
      <c r="J28" t="inlineStr">
        <is>
          <t>CLI-0780</t>
        </is>
      </c>
    </row>
    <row r="29" ht="15.75" customHeight="1" s="157">
      <c r="A29" s="17" t="n">
        <v>46120</v>
      </c>
      <c r="B29" s="18" t="inlineStr">
        <is>
          <t>Frutos de Goiás - Rivael Sousa Santos</t>
        </is>
      </c>
      <c r="C29" s="18" t="inlineStr">
        <is>
          <t>2x Refil Everest + Pré Filtro</t>
        </is>
      </c>
      <c r="D29" s="27" t="n">
        <v>320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8971</t>
        </is>
      </c>
      <c r="J29" s="18" t="inlineStr">
        <is>
          <t>EMP-0312</t>
        </is>
      </c>
    </row>
    <row r="30">
      <c r="A30" s="44" t="n">
        <v>46120</v>
      </c>
      <c r="B30" s="45" t="inlineStr">
        <is>
          <t>Maria Conceição</t>
        </is>
      </c>
      <c r="C30" s="45" t="inlineStr">
        <is>
          <t>Refil Pro Life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8972</t>
        </is>
      </c>
      <c r="J30" t="inlineStr">
        <is>
          <t>CLI-0297</t>
        </is>
      </c>
    </row>
    <row r="31">
      <c r="A31" s="17" t="n">
        <v>46121</v>
      </c>
      <c r="B31" s="18" t="inlineStr">
        <is>
          <t>Itan Souza Nascimento</t>
        </is>
      </c>
      <c r="C31" s="18" t="inlineStr">
        <is>
          <t>Refil Everest</t>
        </is>
      </c>
      <c r="D31" s="27" t="n">
        <v>140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8973</t>
        </is>
      </c>
      <c r="J31" s="18" t="inlineStr">
        <is>
          <t>CLI-0781</t>
        </is>
      </c>
    </row>
    <row r="32">
      <c r="A32" s="44" t="n">
        <v>46121</v>
      </c>
      <c r="B32" s="45" t="inlineStr">
        <is>
          <t>Consumidor Final</t>
        </is>
      </c>
      <c r="C32" s="45" t="inlineStr">
        <is>
          <t>Refil PP</t>
        </is>
      </c>
      <c r="D32" s="46" t="n">
        <v>65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8974</t>
        </is>
      </c>
    </row>
    <row r="33">
      <c r="A33" s="17" t="n">
        <v>46121</v>
      </c>
      <c r="B33" s="18" t="inlineStr">
        <is>
          <t>Consumidor Final</t>
        </is>
      </c>
      <c r="C33" s="18" t="inlineStr">
        <is>
          <t>Vela Filtro de Barro</t>
        </is>
      </c>
      <c r="D33" s="27" t="n">
        <v>12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8975</t>
        </is>
      </c>
      <c r="J33" s="18" t="n"/>
    </row>
    <row r="34">
      <c r="A34" s="44" t="n">
        <v>46121</v>
      </c>
      <c r="B34" s="45" t="inlineStr">
        <is>
          <t>Consumidor Final</t>
        </is>
      </c>
      <c r="C34" s="45" t="inlineStr">
        <is>
          <t>Mangueira (2 m)</t>
        </is>
      </c>
      <c r="D34" s="46" t="n">
        <v>20</v>
      </c>
      <c r="E34" s="45" t="inlineStr">
        <is>
          <t>Débito</t>
        </is>
      </c>
      <c r="F34" s="47" t="n"/>
      <c r="G34" s="48" t="n"/>
      <c r="H34" s="49" t="n"/>
      <c r="I34" s="45" t="inlineStr">
        <is>
          <t>NFC-e 8976</t>
        </is>
      </c>
    </row>
    <row r="35">
      <c r="A35" s="17" t="n">
        <v>46122</v>
      </c>
      <c r="B35" s="18" t="inlineStr">
        <is>
          <t>Consumidor Final</t>
        </is>
      </c>
      <c r="C35" s="18" t="inlineStr">
        <is>
          <t>Refil Pro Life</t>
        </is>
      </c>
      <c r="D35" s="27" t="n">
        <v>140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NFC-e 8977</t>
        </is>
      </c>
      <c r="J35" s="18" t="n"/>
    </row>
    <row r="36">
      <c r="A36" s="44" t="n">
        <v>46122</v>
      </c>
      <c r="B36" s="45" t="inlineStr">
        <is>
          <t>Consumidor Final</t>
        </is>
      </c>
      <c r="C36" s="45" t="inlineStr">
        <is>
          <t>Vela Filtro de Barro</t>
        </is>
      </c>
      <c r="D36" s="46" t="n">
        <v>10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8978</t>
        </is>
      </c>
    </row>
    <row r="37">
      <c r="A37" s="17" t="n">
        <v>46123</v>
      </c>
      <c r="B37" s="18" t="inlineStr">
        <is>
          <t>Jaqueline Carneiro - Agripina</t>
        </is>
      </c>
      <c r="C37" s="18" t="inlineStr">
        <is>
          <t>Refil Everest + Bico Rio</t>
        </is>
      </c>
      <c r="D37" s="27" t="n">
        <v>170</v>
      </c>
      <c r="E37" s="18" t="inlineStr">
        <is>
          <t>Pix</t>
        </is>
      </c>
      <c r="F37" s="19" t="n"/>
      <c r="G37" s="19" t="n"/>
      <c r="H37" s="21" t="n"/>
      <c r="I37" s="18" t="inlineStr">
        <is>
          <t>NFC-e 8979</t>
        </is>
      </c>
      <c r="J37" s="18" t="inlineStr">
        <is>
          <t>CLI-0782</t>
        </is>
      </c>
    </row>
    <row r="38">
      <c r="A38" s="44" t="n">
        <v>46125</v>
      </c>
      <c r="B38" s="45" t="inlineStr">
        <is>
          <t>Joseni Menezes Almeida</t>
        </is>
      </c>
      <c r="C38" s="45" t="inlineStr">
        <is>
          <t>Refil Everest</t>
        </is>
      </c>
      <c r="D38" s="46" t="n">
        <v>140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8980</t>
        </is>
      </c>
    </row>
    <row r="39" ht="15.75" customHeight="1" s="157">
      <c r="A39" s="17" t="n">
        <v>46125</v>
      </c>
      <c r="B39" s="18" t="inlineStr">
        <is>
          <t>Adailton Sampaio Avelino</t>
        </is>
      </c>
      <c r="C39" s="18" t="inlineStr">
        <is>
          <t>Refil Pro Life</t>
        </is>
      </c>
      <c r="D39" s="27" t="n">
        <v>140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8981</t>
        </is>
      </c>
      <c r="J39" s="18" t="inlineStr">
        <is>
          <t>CLI-0787</t>
        </is>
      </c>
    </row>
    <row r="40">
      <c r="A40" s="44" t="n">
        <v>46125</v>
      </c>
      <c r="B40" s="45" t="inlineStr">
        <is>
          <t>Empresa Sertaneja de Hoteis Ltda - Hotel Serra do Ouro</t>
        </is>
      </c>
      <c r="C40" s="45" t="inlineStr">
        <is>
          <t>Refil Everest + Mangueira (5 m)</t>
        </is>
      </c>
      <c r="D40" s="46" t="n">
        <v>195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4148</t>
        </is>
      </c>
      <c r="J40" t="inlineStr">
        <is>
          <t>EMP-0136</t>
        </is>
      </c>
    </row>
    <row r="41">
      <c r="A41" s="17" t="n">
        <v>46125</v>
      </c>
      <c r="B41" s="18" t="inlineStr">
        <is>
          <t>Jco Industria de Cosmeticos Ltda</t>
        </is>
      </c>
      <c r="C41" s="18" t="inlineStr">
        <is>
          <t>Purificador Everest Plus Branco</t>
        </is>
      </c>
      <c r="D41" s="27" t="n">
        <v>1498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4149</t>
        </is>
      </c>
      <c r="J41" s="18" t="n"/>
    </row>
    <row r="42" ht="15.75" customHeight="1" s="157">
      <c r="A42" s="44" t="n">
        <v>46125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2/3 (venc. 13/04/2026)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46126</v>
      </c>
      <c r="B43" s="18" t="inlineStr">
        <is>
          <t>Vania Menezes de Almeida</t>
        </is>
      </c>
      <c r="C43" s="18" t="inlineStr">
        <is>
          <t>Refil Pro Life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8982</t>
        </is>
      </c>
      <c r="J43" s="18" t="n"/>
    </row>
    <row r="44">
      <c r="A44" s="44" t="n">
        <v>46126</v>
      </c>
      <c r="B44" s="45" t="inlineStr">
        <is>
          <t>Ana Rosa Pereira de Oliveira</t>
        </is>
      </c>
      <c r="C44" s="45" t="inlineStr">
        <is>
          <t>Refil Pro Life</t>
        </is>
      </c>
      <c r="D44" s="46" t="n">
        <v>210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8983</t>
        </is>
      </c>
    </row>
    <row r="45">
      <c r="A45" s="17" t="n">
        <v>46126</v>
      </c>
      <c r="B45" s="18" t="inlineStr">
        <is>
          <t>Rosa Meire Pinto Miranda</t>
        </is>
      </c>
      <c r="C45" s="18" t="inlineStr">
        <is>
          <t>Refil Everest</t>
        </is>
      </c>
      <c r="D45" s="27" t="n">
        <v>140</v>
      </c>
      <c r="E45" s="18" t="inlineStr">
        <is>
          <t>Débito</t>
        </is>
      </c>
      <c r="F45" s="19" t="n"/>
      <c r="G45" s="19" t="n"/>
      <c r="H45" s="21" t="n"/>
      <c r="I45" s="18" t="inlineStr">
        <is>
          <t>NFC-e 8984</t>
        </is>
      </c>
      <c r="J45" s="18" t="n"/>
    </row>
    <row r="46">
      <c r="A46" s="44" t="n">
        <v>46126</v>
      </c>
      <c r="B46" s="45" t="inlineStr">
        <is>
          <t>Francisco Assis Menezes Oliveira</t>
        </is>
      </c>
      <c r="C46" s="45" t="inlineStr">
        <is>
          <t>Refil Everest</t>
        </is>
      </c>
      <c r="D46" s="46" t="n">
        <v>140</v>
      </c>
      <c r="E46" s="45" t="inlineStr">
        <is>
          <t>Débito</t>
        </is>
      </c>
      <c r="F46" s="47" t="n"/>
      <c r="G46" s="48" t="n"/>
      <c r="H46" s="49" t="n"/>
      <c r="I46" s="45" t="inlineStr">
        <is>
          <t>NFC-e 8985</t>
        </is>
      </c>
    </row>
    <row r="47">
      <c r="A47" s="17" t="n">
        <v>46126</v>
      </c>
      <c r="B47" s="18" t="inlineStr">
        <is>
          <t>Consumidor Final</t>
        </is>
      </c>
      <c r="C47" s="18" t="inlineStr">
        <is>
          <t>Refil Carbon Tech 9"</t>
        </is>
      </c>
      <c r="D47" s="27" t="n">
        <v>80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8986</t>
        </is>
      </c>
      <c r="J47" s="18" t="n"/>
    </row>
    <row r="48" ht="15.75" customHeight="1" s="157">
      <c r="A48" s="44" t="n">
        <v>46126</v>
      </c>
      <c r="B48" s="45" t="inlineStr">
        <is>
          <t>Mais Fono Terapias Ltda</t>
        </is>
      </c>
      <c r="C48" s="45" t="inlineStr">
        <is>
          <t>Refil Acquatec + Refil Everest</t>
        </is>
      </c>
      <c r="D48" s="46" t="n">
        <v>230</v>
      </c>
      <c r="E48" s="45" t="n"/>
      <c r="F48" s="47" t="n"/>
      <c r="G48" s="48" t="n"/>
      <c r="H48" s="49" t="n"/>
      <c r="I48" s="45" t="inlineStr">
        <is>
          <t>NF-e 4150. Recebimento não constava no Livro Caixa; conferido e baixado no DigiSat em 28/09/2026.</t>
        </is>
      </c>
      <c r="J48" t="inlineStr">
        <is>
          <t>EMP-0212</t>
        </is>
      </c>
    </row>
    <row r="49">
      <c r="A49" s="17" t="n">
        <v>46127</v>
      </c>
      <c r="B49" s="18" t="inlineStr">
        <is>
          <t>RF Supermercado Brasil LTDA</t>
        </is>
      </c>
      <c r="C49" s="18" t="inlineStr">
        <is>
          <t>3x Refil Pro Life</t>
        </is>
      </c>
      <c r="D49" s="27" t="n">
        <v>420</v>
      </c>
      <c r="E49" s="18" t="n"/>
      <c r="F49" s="19" t="n"/>
      <c r="G49" s="19" t="n"/>
      <c r="H49" s="21" t="n"/>
      <c r="I49" s="18" t="inlineStr">
        <is>
          <t>NF-e 4074 · nota faturada a prazo (forma de recebimento não consta na nota) · venda de 19/02/2026 — pagamento recebido em 15/04/2026</t>
        </is>
      </c>
      <c r="J49" s="18" t="inlineStr">
        <is>
          <t>EMP-0261</t>
        </is>
      </c>
    </row>
    <row r="50">
      <c r="A50" s="44" t="n">
        <v>46127</v>
      </c>
      <c r="B50" s="45" t="inlineStr">
        <is>
          <t>Meu Dente Clinica Odontologica Ltda</t>
        </is>
      </c>
      <c r="C50" s="45" t="n"/>
      <c r="D50" s="46" t="n">
        <v>420</v>
      </c>
      <c r="E50" s="45" t="n"/>
      <c r="F50" s="47" t="n"/>
      <c r="G50" s="48" t="n"/>
      <c r="H50" s="49" t="n"/>
      <c r="I50" s="45" t="inlineStr">
        <is>
          <t>Livro Caixa: Recebimento à vista Gerado pelo sistema. (Doc. 4152)</t>
        </is>
      </c>
    </row>
    <row r="51">
      <c r="A51" s="17" t="n">
        <v>46127</v>
      </c>
      <c r="B51" s="18" t="inlineStr">
        <is>
          <t xml:space="preserve">Consultorio Odontologico Cleber Dourado 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4153</t>
        </is>
      </c>
      <c r="J51" s="18" t="inlineStr">
        <is>
          <t>EMP-0101</t>
        </is>
      </c>
    </row>
    <row r="52">
      <c r="A52" s="44" t="n">
        <v>46127</v>
      </c>
      <c r="B52" s="45" t="inlineStr">
        <is>
          <t>Edelzuita Lima Ferreira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8987</t>
        </is>
      </c>
      <c r="J52" t="inlineStr">
        <is>
          <t>CLI-0789</t>
        </is>
      </c>
    </row>
    <row r="53" ht="15.75" customHeight="1" s="157">
      <c r="A53" s="17" t="n">
        <v>46127</v>
      </c>
      <c r="B53" s="18" t="inlineStr">
        <is>
          <t>Semeco Serviços Medicos e Consultoria LTDA  - Sergio</t>
        </is>
      </c>
      <c r="C53" s="18" t="inlineStr">
        <is>
          <t>Refil Pro Life</t>
        </is>
      </c>
      <c r="D53" s="27" t="n">
        <v>140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4154</t>
        </is>
      </c>
      <c r="J53" s="18" t="inlineStr">
        <is>
          <t>EMP-0273</t>
        </is>
      </c>
    </row>
    <row r="54">
      <c r="A54" s="44" t="n">
        <v>46127</v>
      </c>
      <c r="B54" s="45" t="inlineStr">
        <is>
          <t>Clinica Medica Odonto Fis - Lar Protegido</t>
        </is>
      </c>
      <c r="C54" s="45" t="inlineStr">
        <is>
          <t>3x Refil Everest</t>
        </is>
      </c>
      <c r="D54" s="46" t="n">
        <v>399.99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4155</t>
        </is>
      </c>
    </row>
    <row r="55">
      <c r="A55" s="17" t="n">
        <v>46127</v>
      </c>
      <c r="B55" s="18" t="inlineStr">
        <is>
          <t>Samira Leal Vilas Boas</t>
        </is>
      </c>
      <c r="C55" s="18" t="inlineStr">
        <is>
          <t>Refil Everest</t>
        </is>
      </c>
      <c r="D55" s="27" t="n">
        <v>140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8988</t>
        </is>
      </c>
      <c r="J55" s="18" t="inlineStr">
        <is>
          <t>CLI-0791</t>
        </is>
      </c>
    </row>
    <row r="56">
      <c r="A56" s="44" t="n">
        <v>46127</v>
      </c>
      <c r="B56" s="45" t="inlineStr">
        <is>
          <t>Tarcisio Oliveira Lima</t>
        </is>
      </c>
      <c r="C56" s="45" t="n"/>
      <c r="D56" s="46" t="n"/>
      <c r="E56" s="45" t="n"/>
      <c r="F56" s="47" t="n"/>
      <c r="G56" s="48" t="n">
        <v>486.32</v>
      </c>
      <c r="H56" s="49" t="inlineStr">
        <is>
          <t>Contabilidade</t>
        </is>
      </c>
      <c r="I56" s="45" t="inlineStr">
        <is>
          <t>Livro Caixa: Pagamento parcela TARCISIO OLIVEIRA LIMA (Doc. 1) · Tarcisio Oliveira Lima</t>
        </is>
      </c>
    </row>
    <row r="57">
      <c r="A57" s="17" t="n">
        <v>46127</v>
      </c>
      <c r="B57" s="18" t="inlineStr">
        <is>
          <t>Jamef</t>
        </is>
      </c>
      <c r="C57" s="18" t="n"/>
      <c r="D57" s="27" t="n"/>
      <c r="E57" s="18" t="n"/>
      <c r="F57" s="19" t="n"/>
      <c r="G57" s="19" t="n">
        <v>403.56</v>
      </c>
      <c r="H57" s="21" t="inlineStr">
        <is>
          <t>Transporte e Entregas</t>
        </is>
      </c>
      <c r="I57" s="18" t="inlineStr">
        <is>
          <t>Livro Caixa: Pagamento parcela JAMEF (Doc. 1) · Jamef Transportes Ltda</t>
        </is>
      </c>
      <c r="J57" s="18" t="n"/>
    </row>
    <row r="58">
      <c r="A58" s="44" t="n">
        <v>46127</v>
      </c>
      <c r="B58" s="45" t="inlineStr">
        <is>
          <t>Everest Refrigeracao e Industria</t>
        </is>
      </c>
      <c r="C58" s="45" t="n"/>
      <c r="D58" s="46" t="n"/>
      <c r="E58" s="45" t="n"/>
      <c r="F58" s="47" t="n"/>
      <c r="G58" s="48" t="n">
        <v>883.1</v>
      </c>
      <c r="H58" s="49" t="inlineStr">
        <is>
          <t>Fornecedores / Mercadoria</t>
        </is>
      </c>
      <c r="I58" s="45" t="inlineStr">
        <is>
          <t>NF 368529 de 14/01/2026 · parcela 3/5 (venc. 14/04/2026)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59">
      <c r="A59" s="17" t="n">
        <v>46128</v>
      </c>
      <c r="B59" s="18" t="inlineStr">
        <is>
          <t>Meu Dente Clinica Odontologica Ltda</t>
        </is>
      </c>
      <c r="C59" s="18" t="inlineStr">
        <is>
          <t>2x Refil Everest</t>
        </is>
      </c>
      <c r="D59" s="27" t="n">
        <v>280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NF-e 4156</t>
        </is>
      </c>
      <c r="J59" s="18" t="n"/>
    </row>
    <row r="60">
      <c r="A60" s="44" t="n">
        <v>46128</v>
      </c>
      <c r="B60" s="45" t="inlineStr">
        <is>
          <t>Eugenia Maria Almeida dos Santos</t>
        </is>
      </c>
      <c r="C60" s="45" t="inlineStr">
        <is>
          <t>Refil Pro Life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8989</t>
        </is>
      </c>
    </row>
    <row r="61">
      <c r="A61" s="17" t="n">
        <v>46128</v>
      </c>
      <c r="B61" s="18" t="inlineStr">
        <is>
          <t>Ieda Rego de Matos</t>
        </is>
      </c>
      <c r="C61" s="18" t="inlineStr">
        <is>
          <t>Refil Pro Life + Mangueira (1 m)</t>
        </is>
      </c>
      <c r="D61" s="27" t="n">
        <v>150</v>
      </c>
      <c r="E61" s="18" t="inlineStr">
        <is>
          <t>Pix</t>
        </is>
      </c>
      <c r="F61" s="19" t="n"/>
      <c r="G61" s="19" t="n"/>
      <c r="H61" s="21" t="n"/>
      <c r="I61" s="18" t="inlineStr">
        <is>
          <t>NFC-e 8990</t>
        </is>
      </c>
      <c r="J61" s="18" t="inlineStr">
        <is>
          <t>CLI-0793</t>
        </is>
      </c>
    </row>
    <row r="62">
      <c r="A62" s="44" t="n">
        <v>46128</v>
      </c>
      <c r="B62" s="45" t="inlineStr">
        <is>
          <t>Int Odontologia - Larissa sena</t>
        </is>
      </c>
      <c r="C62" s="45" t="inlineStr">
        <is>
          <t>Refil FPA14</t>
        </is>
      </c>
      <c r="D62" s="46" t="n">
        <v>110</v>
      </c>
      <c r="E62" s="45" t="inlineStr">
        <is>
          <t>Pix</t>
        </is>
      </c>
      <c r="F62" s="47" t="n"/>
      <c r="G62" s="48" t="n"/>
      <c r="H62" s="49" t="n"/>
      <c r="I62" s="45" t="inlineStr">
        <is>
          <t>NF-e 4157</t>
        </is>
      </c>
      <c r="J62" t="inlineStr">
        <is>
          <t>EMP-0184</t>
        </is>
      </c>
    </row>
    <row r="63" ht="15.75" customHeight="1" s="157">
      <c r="A63" s="17" t="n">
        <v>46128</v>
      </c>
      <c r="B63" s="18" t="inlineStr">
        <is>
          <t>Samira Leal Vilas Boas</t>
        </is>
      </c>
      <c r="C63" s="18" t="inlineStr">
        <is>
          <t>Refil Everest</t>
        </is>
      </c>
      <c r="D63" s="27" t="n">
        <v>130</v>
      </c>
      <c r="E63" s="18" t="inlineStr">
        <is>
          <t>Pix</t>
        </is>
      </c>
      <c r="F63" s="19" t="n"/>
      <c r="G63" s="19" t="n"/>
      <c r="H63" s="21" t="n"/>
      <c r="I63" s="18" t="inlineStr">
        <is>
          <t>NFC-e 8991</t>
        </is>
      </c>
      <c r="J63" s="18" t="inlineStr">
        <is>
          <t>CLI-0791</t>
        </is>
      </c>
    </row>
    <row r="64">
      <c r="A64" s="44" t="n">
        <v>46128</v>
      </c>
      <c r="B64" s="45" t="inlineStr">
        <is>
          <t>Maria Jose Carneiro Oliveira Lima</t>
        </is>
      </c>
      <c r="C64" s="45" t="inlineStr">
        <is>
          <t>Refil Pro Life</t>
        </is>
      </c>
      <c r="D64" s="46" t="n">
        <v>140</v>
      </c>
      <c r="E64" s="45" t="inlineStr">
        <is>
          <t>Crédito Parcelado</t>
        </is>
      </c>
      <c r="F64" s="47" t="n"/>
      <c r="G64" s="48" t="n"/>
      <c r="H64" s="49" t="n"/>
      <c r="I64" s="45" t="inlineStr">
        <is>
          <t>NFC-e 8992</t>
        </is>
      </c>
    </row>
    <row r="65">
      <c r="A65" s="17" t="n">
        <v>46128</v>
      </c>
      <c r="B65" s="18" t="inlineStr">
        <is>
          <t>Cristiane Goncalves de Oliveira</t>
        </is>
      </c>
      <c r="C65" s="18" t="inlineStr">
        <is>
          <t>Refil Everest</t>
        </is>
      </c>
      <c r="D65" s="27" t="n">
        <v>140</v>
      </c>
      <c r="E65" s="18" t="inlineStr">
        <is>
          <t>Crédito Parcelado</t>
        </is>
      </c>
      <c r="F65" s="19" t="n"/>
      <c r="G65" s="19" t="n"/>
      <c r="H65" s="21" t="n"/>
      <c r="I65" s="18" t="inlineStr">
        <is>
          <t>NFC-e 8993</t>
        </is>
      </c>
      <c r="J65" s="18" t="n"/>
    </row>
    <row r="66">
      <c r="A66" s="44" t="n">
        <v>46128</v>
      </c>
      <c r="B66" s="45" t="inlineStr">
        <is>
          <t>Consumidor Final</t>
        </is>
      </c>
      <c r="C66" s="45" t="inlineStr">
        <is>
          <t>Refil Universal</t>
        </is>
      </c>
      <c r="D66" s="46" t="n">
        <v>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NFC-e 8994</t>
        </is>
      </c>
    </row>
    <row r="67">
      <c r="A67" s="17" t="n">
        <v>46128</v>
      </c>
      <c r="B67" s="18" t="inlineStr">
        <is>
          <t>Jorge Samuel Mendes Moraes</t>
        </is>
      </c>
      <c r="C67" s="18" t="inlineStr">
        <is>
          <t>Refil Everest + Pré Filtro</t>
        </is>
      </c>
      <c r="D67" s="27" t="n">
        <v>200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8995</t>
        </is>
      </c>
      <c r="J67" s="18" t="inlineStr">
        <is>
          <t>CLI-0391</t>
        </is>
      </c>
    </row>
    <row r="68">
      <c r="A68" s="44" t="n">
        <v>46128</v>
      </c>
      <c r="B68" s="45" t="inlineStr">
        <is>
          <t>Consumidor Final</t>
        </is>
      </c>
      <c r="C68" s="45" t="inlineStr">
        <is>
          <t>Refil Top Color</t>
        </is>
      </c>
      <c r="D68" s="46" t="n">
        <v>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NFC-e 8996</t>
        </is>
      </c>
    </row>
    <row r="69">
      <c r="A69" s="17" t="n">
        <v>46128</v>
      </c>
      <c r="B69" s="18" t="inlineStr">
        <is>
          <t>Consumidor Final</t>
        </is>
      </c>
      <c r="C69" s="18" t="inlineStr">
        <is>
          <t>Registro</t>
        </is>
      </c>
      <c r="D69" s="27" t="n">
        <v>65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8997</t>
        </is>
      </c>
      <c r="J69" s="18" t="n"/>
    </row>
    <row r="70">
      <c r="A70" s="44" t="n">
        <v>46128</v>
      </c>
      <c r="B70" s="45" t="inlineStr">
        <is>
          <t>Tropical Motos LTDA</t>
        </is>
      </c>
      <c r="C70" s="45" t="inlineStr">
        <is>
          <t>Refil Everest</t>
        </is>
      </c>
      <c r="D70" s="46" t="n">
        <v>140</v>
      </c>
      <c r="E70" s="45" t="n"/>
      <c r="F70" s="47" t="n"/>
      <c r="G70" s="48" t="n"/>
      <c r="H70" s="49" t="n"/>
      <c r="I70" s="45" t="inlineStr">
        <is>
          <t>NF-e 4140 · nota faturada a prazo (forma de recebimento não consta na nota) · venda de 02/04/2026 — pagamento recebido em 16/04/2026</t>
        </is>
      </c>
      <c r="J70" t="inlineStr">
        <is>
          <t>EMP-0296</t>
        </is>
      </c>
    </row>
    <row r="71">
      <c r="A71" s="17" t="n">
        <v>46128</v>
      </c>
      <c r="B71" s="18" t="inlineStr">
        <is>
          <t>Estorno de recebimento — Meu Dente Clinica Odontologica Ltda</t>
        </is>
      </c>
      <c r="C71" s="18" t="n"/>
      <c r="D71" s="27" t="n"/>
      <c r="E71" s="18" t="n"/>
      <c r="F71" s="19" t="n"/>
      <c r="G71" s="19" t="n">
        <v>420</v>
      </c>
      <c r="H71" s="21" t="inlineStr">
        <is>
          <t>Estornos de Vendas (Cancelamentos)</t>
        </is>
      </c>
      <c r="I71" s="18" t="inlineStr">
        <is>
          <t>Livro Caixa: Estorno de recebimento do documento: Gerado pelo sistema. (Doc. 41)</t>
        </is>
      </c>
      <c r="J71" s="18" t="n"/>
    </row>
    <row r="72">
      <c r="A72" s="44" t="n">
        <v>46129</v>
      </c>
      <c r="B72" s="45" t="inlineStr">
        <is>
          <t>Wagner Oliveira Menezes - Ketina</t>
        </is>
      </c>
      <c r="C72" s="45" t="inlineStr">
        <is>
          <t>Refil Everest + Registro + Mangueira (3 m)</t>
        </is>
      </c>
      <c r="D72" s="46" t="n">
        <v>190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8998</t>
        </is>
      </c>
      <c r="J72" t="inlineStr">
        <is>
          <t>CLI-0659</t>
        </is>
      </c>
    </row>
    <row r="73" ht="15.75" customHeight="1" s="157">
      <c r="A73" s="17" t="n">
        <v>46129</v>
      </c>
      <c r="B73" s="18" t="inlineStr">
        <is>
          <t>Consumidor Final</t>
        </is>
      </c>
      <c r="C73" s="18" t="inlineStr">
        <is>
          <t>Conexao Reta Rosca 1/2 Bspt P/Tubo 1/4 Pol Branca + Mangueira (1 m)</t>
        </is>
      </c>
      <c r="D73" s="27" t="n">
        <v>35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8999</t>
        </is>
      </c>
      <c r="J73" s="18" t="n"/>
    </row>
    <row r="74">
      <c r="A74" s="44" t="n">
        <v>46129</v>
      </c>
      <c r="B74" s="45" t="inlineStr">
        <is>
          <t>Consumidor Final</t>
        </is>
      </c>
      <c r="C74" s="45" t="inlineStr">
        <is>
          <t>Refil Plissado</t>
        </is>
      </c>
      <c r="D74" s="46" t="n">
        <v>70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9000</t>
        </is>
      </c>
    </row>
    <row r="75">
      <c r="A75" s="17" t="n">
        <v>46129</v>
      </c>
      <c r="B75" s="18" t="inlineStr">
        <is>
          <t>Juliana Ferreira Queiroz e Cia Ltda</t>
        </is>
      </c>
      <c r="C75" s="18" t="inlineStr">
        <is>
          <t>Refil Everest + Mangueira (10 m)</t>
        </is>
      </c>
      <c r="D75" s="27" t="n">
        <v>240</v>
      </c>
      <c r="E75" s="18" t="n"/>
      <c r="F75" s="19" t="n"/>
      <c r="G75" s="19" t="n"/>
      <c r="H75" s="21" t="n"/>
      <c r="I75" s="18" t="inlineStr">
        <is>
          <t>NF-e 4160. Recebimento não constava no Livro Caixa; conferido e baixado no DigiSat em 28/09/2026.</t>
        </is>
      </c>
      <c r="J75" s="18" t="n"/>
    </row>
    <row r="76">
      <c r="A76" s="44" t="n">
        <v>46130</v>
      </c>
      <c r="B76" s="45" t="inlineStr">
        <is>
          <t>Consumidor Final</t>
        </is>
      </c>
      <c r="C76" s="45" t="inlineStr">
        <is>
          <t>Refil Everest</t>
        </is>
      </c>
      <c r="D76" s="46" t="n">
        <v>140</v>
      </c>
      <c r="E76" s="45" t="inlineStr">
        <is>
          <t>Crédito Parcelado</t>
        </is>
      </c>
      <c r="F76" s="47" t="n"/>
      <c r="G76" s="48" t="n"/>
      <c r="H76" s="49" t="n"/>
      <c r="I76" s="45" t="inlineStr">
        <is>
          <t>NFC-e 9001</t>
        </is>
      </c>
    </row>
    <row r="77">
      <c r="A77" s="17" t="n">
        <v>46130</v>
      </c>
      <c r="B77" s="18" t="inlineStr">
        <is>
          <t>Quiteria Nunes de Souza</t>
        </is>
      </c>
      <c r="C77" s="18" t="inlineStr">
        <is>
          <t>Purificador Everest Star Branco</t>
        </is>
      </c>
      <c r="D77" s="27" t="n">
        <v>1348</v>
      </c>
      <c r="E77" s="18" t="inlineStr">
        <is>
          <t>Dinheiro</t>
        </is>
      </c>
      <c r="F77" s="19" t="n"/>
      <c r="G77" s="19" t="n"/>
      <c r="H77" s="21" t="n"/>
      <c r="I77" s="18" t="inlineStr">
        <is>
          <t>NF-e 4161</t>
        </is>
      </c>
      <c r="J77" s="18" t="inlineStr">
        <is>
          <t>CLI-0795</t>
        </is>
      </c>
    </row>
    <row r="78">
      <c r="A78" s="44" t="n">
        <v>46130</v>
      </c>
      <c r="B78" s="45" t="inlineStr">
        <is>
          <t>Quiteria Nunes de Souza</t>
        </is>
      </c>
      <c r="C78" s="45" t="inlineStr">
        <is>
          <t>Refil FP1/FP2/FP5/FP8</t>
        </is>
      </c>
      <c r="D78" s="46" t="n">
        <v>90</v>
      </c>
      <c r="E78" s="45" t="inlineStr">
        <is>
          <t>Débito</t>
        </is>
      </c>
      <c r="F78" s="47" t="n"/>
      <c r="G78" s="48" t="n"/>
      <c r="H78" s="49" t="n"/>
      <c r="I78" s="45" t="inlineStr">
        <is>
          <t>NFC-e 9002</t>
        </is>
      </c>
    </row>
    <row r="79" ht="15.75" customHeight="1" s="157">
      <c r="A79" s="17" t="n">
        <v>46132</v>
      </c>
      <c r="B79" s="18" t="inlineStr">
        <is>
          <t>Consumidor Final</t>
        </is>
      </c>
      <c r="C79" s="18" t="inlineStr">
        <is>
          <t>2x Refil Plissado + 2x Carcaça 9"</t>
        </is>
      </c>
      <c r="D79" s="27" t="n">
        <v>400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9003</t>
        </is>
      </c>
      <c r="J79" s="18" t="n"/>
    </row>
    <row r="80">
      <c r="A80" s="44" t="n">
        <v>46132</v>
      </c>
      <c r="B80" s="45" t="inlineStr">
        <is>
          <t>Rafael Mesquita Victoria</t>
        </is>
      </c>
      <c r="C80" s="45" t="inlineStr">
        <is>
          <t>Purificador Everest Plus Prata</t>
        </is>
      </c>
      <c r="D80" s="46" t="n">
        <v>1448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4162</t>
        </is>
      </c>
    </row>
    <row r="81">
      <c r="A81" s="17" t="n">
        <v>46132</v>
      </c>
      <c r="B81" s="18" t="inlineStr">
        <is>
          <t>RF Supermercado Brasil LTDA</t>
        </is>
      </c>
      <c r="C81" s="18" t="inlineStr">
        <is>
          <t>Refil Pro Life</t>
        </is>
      </c>
      <c r="D81" s="27" t="n">
        <v>140</v>
      </c>
      <c r="E81" s="18" t="n"/>
      <c r="F81" s="19" t="n"/>
      <c r="G81" s="19" t="n"/>
      <c r="H81" s="21" t="n"/>
      <c r="I81" s="18" t="inlineStr">
        <is>
          <t>NF-e 4151 · nota faturada a prazo (forma de recebimento não consta na nota) · venda de 14/04/2026 — pagamento recebido em 20/04/2026</t>
        </is>
      </c>
      <c r="J81" s="18" t="inlineStr">
        <is>
          <t>EMP-0261</t>
        </is>
      </c>
    </row>
    <row r="82">
      <c r="A82" s="44" t="n">
        <v>46132</v>
      </c>
      <c r="B82" s="45" t="inlineStr">
        <is>
          <t>Gdf Guia do Fgts Digital</t>
        </is>
      </c>
      <c r="C82" s="45" t="n"/>
      <c r="D82" s="46" t="n"/>
      <c r="E82" s="45" t="n"/>
      <c r="F82" s="47" t="n"/>
      <c r="G82" s="48" t="n">
        <v>149.12</v>
      </c>
      <c r="H82" s="49" t="inlineStr">
        <is>
          <t>Impostos e Taxas</t>
        </is>
      </c>
      <c r="I82" s="45" t="inlineStr">
        <is>
          <t>Livro Caixa: Pagamento parcela GDF GUIA DO FGTS DIGITAL (Doc. 1) · Planeta Agua Ltda</t>
        </is>
      </c>
    </row>
    <row r="83">
      <c r="A83" s="17" t="n">
        <v>46132</v>
      </c>
      <c r="B83" s="18" t="inlineStr">
        <is>
          <t>Documento de Arrecadação de Receitas Fe</t>
        </is>
      </c>
      <c r="C83" s="18" t="n"/>
      <c r="D83" s="27" t="n"/>
      <c r="E83" s="18" t="n"/>
      <c r="F83" s="19" t="n"/>
      <c r="G83" s="19" t="n">
        <v>319.29</v>
      </c>
      <c r="H83" s="21" t="inlineStr">
        <is>
          <t>Impostos e Taxas</t>
        </is>
      </c>
      <c r="I83" s="18" t="inlineStr">
        <is>
          <t>Livro Caixa: Pagamento parcela DOCUMENTO DE ARRECADAÇÃO DE RECEITAS FE · Planeta Agua Ltda</t>
        </is>
      </c>
      <c r="J83" s="18" t="n"/>
    </row>
    <row r="84">
      <c r="A84" s="44" t="n">
        <v>46132</v>
      </c>
      <c r="B84" s="45" t="inlineStr">
        <is>
          <t>Filtros Planeta Agua Ind e Com Ltda</t>
        </is>
      </c>
      <c r="C84" s="45" t="n"/>
      <c r="D84" s="46" t="n"/>
      <c r="E84" s="45" t="n"/>
      <c r="F84" s="47" t="n"/>
      <c r="G84" s="48" t="n">
        <v>600.64</v>
      </c>
      <c r="H84" s="49" t="inlineStr">
        <is>
          <t>Fornecedores / Mercadoria</t>
        </is>
      </c>
      <c r="I84" s="45" t="inlineStr">
        <is>
          <t>NF 128882 de 23/03/2026 · parcela 1/4 (venc. 20/04/2026)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85">
      <c r="A85" s="17" t="n">
        <v>46132</v>
      </c>
      <c r="B85" s="18" t="inlineStr">
        <is>
          <t>Simples Nacional</t>
        </is>
      </c>
      <c r="C85" s="18" t="n"/>
      <c r="D85" s="27" t="n"/>
      <c r="E85" s="18" t="n"/>
      <c r="F85" s="19" t="n"/>
      <c r="G85" s="19" t="n">
        <v>1858.96</v>
      </c>
      <c r="H85" s="21" t="inlineStr">
        <is>
          <t>Impostos e Taxas</t>
        </is>
      </c>
      <c r="I85" s="18" t="inlineStr">
        <is>
          <t>Livro Caixa: Pagamento parcela SIMPLES NACIONAL (Doc. 1) · Planeta Agua Ltda</t>
        </is>
      </c>
      <c r="J85" s="18" t="n"/>
    </row>
    <row r="86">
      <c r="A86" s="44" t="n">
        <v>46132</v>
      </c>
      <c r="B86" s="45" t="inlineStr">
        <is>
          <t>Eversoft Ind e Com de Plasticos Ltda</t>
        </is>
      </c>
      <c r="C86" s="45" t="n"/>
      <c r="D86" s="46" t="n"/>
      <c r="E86" s="45" t="n"/>
      <c r="F86" s="47" t="n"/>
      <c r="G86" s="48" t="n">
        <v>541.37</v>
      </c>
      <c r="H86" s="49" t="inlineStr">
        <is>
          <t>Fornecedores / Mercadoria</t>
        </is>
      </c>
      <c r="I86" s="45" t="inlineStr">
        <is>
          <t>NF 70444 de 23/01/2026 · parcela 3/5 (venc. 23/04/2026) · compra total R$ 2.706,83: 50x Refil Everest + 50x Pré Filtro · Livro Caixa</t>
        </is>
      </c>
    </row>
    <row r="87">
      <c r="A87" s="17" t="n">
        <v>46132</v>
      </c>
      <c r="B87" s="18" t="inlineStr">
        <is>
          <t>Eversoft Ind e Com de Plasticos Ltda</t>
        </is>
      </c>
      <c r="C87" s="18" t="n"/>
      <c r="D87" s="27" t="n"/>
      <c r="E87" s="18" t="n"/>
      <c r="F87" s="19" t="n"/>
      <c r="G87" s="19" t="n">
        <v>878.92</v>
      </c>
      <c r="H87" s="21" t="inlineStr">
        <is>
          <t>Fornecedores / Mercadoria</t>
        </is>
      </c>
      <c r="I87" s="18" t="inlineStr">
        <is>
          <t>NF 71084 de 23/02/2026 · parcela 2/5 (venc. 24/04/2026) · compra total R$ 4.394,61: 100x Refil Everest · Livro Caixa</t>
        </is>
      </c>
      <c r="J87" s="18" t="n"/>
    </row>
    <row r="88">
      <c r="A88" s="44" t="n">
        <v>46134</v>
      </c>
      <c r="B88" s="45" t="inlineStr">
        <is>
          <t>Valdice Fontes da Silva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NFC-e 9004</t>
        </is>
      </c>
      <c r="J88" t="inlineStr">
        <is>
          <t>CLI-0798</t>
        </is>
      </c>
    </row>
    <row r="89">
      <c r="A89" s="17" t="n">
        <v>46134</v>
      </c>
      <c r="B89" s="18" t="inlineStr">
        <is>
          <t>Consumidor Final</t>
        </is>
      </c>
      <c r="C89" s="18" t="inlineStr">
        <is>
          <t>Conexao Em T Rosca De 1/2 Com Engate Rapido Reto 1/4 X 1/4</t>
        </is>
      </c>
      <c r="D89" s="27" t="n">
        <v>37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9005</t>
        </is>
      </c>
      <c r="J89" s="18" t="n"/>
    </row>
    <row r="90">
      <c r="A90" s="44" t="n">
        <v>46134</v>
      </c>
      <c r="B90" s="45" t="inlineStr">
        <is>
          <t>Consumidor Final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9006</t>
        </is>
      </c>
    </row>
    <row r="91">
      <c r="A91" s="17" t="n">
        <v>46135</v>
      </c>
      <c r="B91" s="18" t="inlineStr">
        <is>
          <t>Lapec Lab - Laboratorio de Analises e Pesquisas Clinicas Ltd</t>
        </is>
      </c>
      <c r="C91" s="18" t="inlineStr">
        <is>
          <t>Refil Everest</t>
        </is>
      </c>
      <c r="D91" s="27" t="n">
        <v>120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4165</t>
        </is>
      </c>
      <c r="J91" s="18" t="n"/>
    </row>
    <row r="92">
      <c r="A92" s="44" t="n">
        <v>46135</v>
      </c>
      <c r="B92" s="45" t="inlineStr">
        <is>
          <t>Instituto Irmãs do Divino Espirito Santo - Silvana Goncalves</t>
        </is>
      </c>
      <c r="C92" s="45" t="inlineStr">
        <is>
          <t>Refil Everest</t>
        </is>
      </c>
      <c r="D92" s="46" t="n">
        <v>140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NF-e 4166</t>
        </is>
      </c>
      <c r="J92" t="inlineStr">
        <is>
          <t>EMP-0181</t>
        </is>
      </c>
    </row>
    <row r="93">
      <c r="A93" s="17" t="n">
        <v>46135</v>
      </c>
      <c r="B93" s="18" t="inlineStr">
        <is>
          <t>Jacobina Material de Limpeza Eireli</t>
        </is>
      </c>
      <c r="C93" s="18" t="inlineStr">
        <is>
          <t>Refil Everest</t>
        </is>
      </c>
      <c r="D93" s="27" t="n">
        <v>140</v>
      </c>
      <c r="E93" s="18" t="inlineStr">
        <is>
          <t>Dinheiro</t>
        </is>
      </c>
      <c r="F93" s="19" t="n"/>
      <c r="G93" s="19" t="n"/>
      <c r="H93" s="21" t="n"/>
      <c r="I93" s="18" t="inlineStr">
        <is>
          <t>NF-e 4167</t>
        </is>
      </c>
      <c r="J93" s="18" t="n"/>
    </row>
    <row r="94">
      <c r="A94" s="44" t="n">
        <v>46135</v>
      </c>
      <c r="B94" s="45" t="inlineStr">
        <is>
          <t>Cooperativa de Credito Sicoob Sertao Ltda.</t>
        </is>
      </c>
      <c r="C94" s="45" t="inlineStr">
        <is>
          <t>Refil Everest</t>
        </is>
      </c>
      <c r="D94" s="46" t="n">
        <v>140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4168</t>
        </is>
      </c>
    </row>
    <row r="95">
      <c r="A95" s="17" t="n">
        <v>46135</v>
      </c>
      <c r="B95" s="18" t="inlineStr">
        <is>
          <t>Sociedade Educacional de Jacobina Ltda</t>
        </is>
      </c>
      <c r="C95" s="18" t="inlineStr">
        <is>
          <t>2x Refil Carbon Tech 5"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4169</t>
        </is>
      </c>
      <c r="J95" s="18" t="n"/>
    </row>
    <row r="96">
      <c r="A96" s="44" t="n">
        <v>46135</v>
      </c>
      <c r="B96" s="45" t="inlineStr">
        <is>
          <t>Ediane Guimarães de Souza - Raimundo</t>
        </is>
      </c>
      <c r="C96" s="45" t="inlineStr">
        <is>
          <t>Refil Everest + Pré Filtro</t>
        </is>
      </c>
      <c r="D96" s="46" t="n">
        <v>190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9007</t>
        </is>
      </c>
      <c r="J96" t="inlineStr">
        <is>
          <t>CLI-0796</t>
        </is>
      </c>
    </row>
    <row r="97">
      <c r="A97" s="17" t="n">
        <v>46135</v>
      </c>
      <c r="B97" s="18" t="inlineStr">
        <is>
          <t>Claudiane Pereira Carvalho Oliveira</t>
        </is>
      </c>
      <c r="C97" s="18" t="inlineStr">
        <is>
          <t>Purificador Everest Slim Branco</t>
        </is>
      </c>
      <c r="D97" s="27" t="n">
        <v>1298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4171</t>
        </is>
      </c>
      <c r="J97" s="18" t="inlineStr">
        <is>
          <t>OUT-0014</t>
        </is>
      </c>
    </row>
    <row r="98">
      <c r="A98" s="44" t="n">
        <v>46135</v>
      </c>
      <c r="B98" s="45" t="inlineStr">
        <is>
          <t>Consumidor Final</t>
        </is>
      </c>
      <c r="C98" s="45" t="inlineStr">
        <is>
          <t>Refil Lacqua + Pré Filtro</t>
        </is>
      </c>
      <c r="D98" s="46" t="n">
        <v>160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9008</t>
        </is>
      </c>
    </row>
    <row r="99">
      <c r="A99" s="17" t="n">
        <v>46135</v>
      </c>
      <c r="B99" s="18" t="inlineStr">
        <is>
          <t>Ana Cristina da Silva Teixeira</t>
        </is>
      </c>
      <c r="C99" s="18" t="inlineStr">
        <is>
          <t>2x Refil Everest + Pré Filtro</t>
        </is>
      </c>
      <c r="D99" s="27" t="n">
        <v>340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9009</t>
        </is>
      </c>
      <c r="J99" s="18" t="inlineStr">
        <is>
          <t>CLI-0799</t>
        </is>
      </c>
    </row>
    <row r="100" ht="15.75" customHeight="1" s="157">
      <c r="A100" s="44" t="n">
        <v>46136</v>
      </c>
      <c r="B100" s="45" t="inlineStr">
        <is>
          <t>Reginaldo Santos da Silva</t>
        </is>
      </c>
      <c r="C100" s="45" t="inlineStr">
        <is>
          <t>Refil Pro Life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4172</t>
        </is>
      </c>
      <c r="J100" t="inlineStr">
        <is>
          <t>CLI-0067</t>
        </is>
      </c>
    </row>
    <row r="101">
      <c r="A101" s="17" t="n">
        <v>46136</v>
      </c>
      <c r="B101" s="18" t="inlineStr">
        <is>
          <t>Consumidor Final</t>
        </is>
      </c>
      <c r="C101" s="18" t="inlineStr">
        <is>
          <t>Conexao Reta Rosca 1/2 Bspt P/Tubo 1/4 Pol Branca</t>
        </is>
      </c>
      <c r="D101" s="27" t="n">
        <v>25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9010</t>
        </is>
      </c>
      <c r="J101" s="18" t="n"/>
    </row>
    <row r="102" ht="15.75" customHeight="1" s="157">
      <c r="A102" s="44" t="n">
        <v>46136</v>
      </c>
      <c r="B102" s="45" t="inlineStr">
        <is>
          <t>Consumidor Final</t>
        </is>
      </c>
      <c r="C102" s="45" t="inlineStr">
        <is>
          <t>Mangueira (3 m) + Registro</t>
        </is>
      </c>
      <c r="D102" s="46" t="n">
        <v>50</v>
      </c>
      <c r="E102" s="45" t="inlineStr">
        <is>
          <t>Dinheiro</t>
        </is>
      </c>
      <c r="F102" s="47" t="n"/>
      <c r="G102" s="48" t="n"/>
      <c r="H102" s="49" t="n"/>
      <c r="I102" s="45" t="inlineStr">
        <is>
          <t>NFC-e 9011</t>
        </is>
      </c>
    </row>
    <row r="103">
      <c r="A103" s="17" t="n">
        <v>46136</v>
      </c>
      <c r="B103" s="18" t="inlineStr">
        <is>
          <t>Super Jacobina Distribuidora de Gas</t>
        </is>
      </c>
      <c r="C103" s="18" t="inlineStr">
        <is>
          <t>Refil Top Color + Refil Plissado</t>
        </is>
      </c>
      <c r="D103" s="27" t="n">
        <v>170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4173</t>
        </is>
      </c>
      <c r="J103" s="18" t="n"/>
    </row>
    <row r="104" ht="15.75" customHeight="1" s="157">
      <c r="A104" s="44" t="n">
        <v>46136</v>
      </c>
      <c r="B104" s="45" t="inlineStr">
        <is>
          <t>Ages Educacao Ltda</t>
        </is>
      </c>
      <c r="C104" s="45" t="inlineStr">
        <is>
          <t>2x Carvao Ativado Mineral Po Puro Embalagem 1Kg + 4x Refil IBBL C+3 + 3x Pré Filtro IBBL</t>
        </is>
      </c>
      <c r="D104" s="46" t="n">
        <v>1120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NF-e 4115 · Grupo Ânima — venda de 20/03/2026, Nota Paga no portal V360 em 24/04/2026. Recebimento não constava no Livro Caixa; baixa dada no DigiSat em 28/09/2026.</t>
        </is>
      </c>
    </row>
    <row r="105">
      <c r="A105" s="17" t="n">
        <v>46137</v>
      </c>
      <c r="B105" s="18" t="inlineStr">
        <is>
          <t>Maricelia Santana Silva</t>
        </is>
      </c>
      <c r="C105" s="18" t="inlineStr">
        <is>
          <t>Refil Pro Life</t>
        </is>
      </c>
      <c r="D105" s="27" t="n">
        <v>100</v>
      </c>
      <c r="E105" s="18" t="n"/>
      <c r="F105" s="19" t="n"/>
      <c r="G105" s="19" t="n"/>
      <c r="H105" s="21" t="n"/>
      <c r="I105" s="18" t="inlineStr">
        <is>
          <t>NFC-e 9012 · venda de 25/04/2026, total R$ 130,00 — parcela 1 · nota faturada a prazo (forma de recebimento não consta na nota)</t>
        </is>
      </c>
      <c r="J105" s="18" t="inlineStr">
        <is>
          <t>CLI-0802</t>
        </is>
      </c>
    </row>
    <row r="106">
      <c r="A106" s="44" t="n">
        <v>46137</v>
      </c>
      <c r="B106" s="45" t="inlineStr">
        <is>
          <t>Consumidor Final</t>
        </is>
      </c>
      <c r="C106" s="45" t="inlineStr">
        <is>
          <t>Refil Everest</t>
        </is>
      </c>
      <c r="D106" s="46" t="n">
        <v>140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9013</t>
        </is>
      </c>
    </row>
    <row r="107">
      <c r="A107" s="17" t="n">
        <v>46137</v>
      </c>
      <c r="B107" s="18" t="inlineStr">
        <is>
          <t>Nivia Lima Sampaio</t>
        </is>
      </c>
      <c r="C107" s="18" t="inlineStr">
        <is>
          <t>Refil Everest</t>
        </is>
      </c>
      <c r="D107" s="27" t="n">
        <v>140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9014</t>
        </is>
      </c>
      <c r="J107" s="18" t="n"/>
    </row>
    <row r="108">
      <c r="A108" s="44" t="n">
        <v>46137</v>
      </c>
      <c r="B108" s="45" t="inlineStr">
        <is>
          <t>Consumidor Final</t>
        </is>
      </c>
      <c r="C108" s="45" t="inlineStr">
        <is>
          <t>Mangueira (3 m)</t>
        </is>
      </c>
      <c r="D108" s="46" t="n">
        <v>30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9015</t>
        </is>
      </c>
    </row>
    <row r="109">
      <c r="A109" s="17" t="n">
        <v>46137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2/5 (venc. 25/04/2026)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46137</v>
      </c>
      <c r="B110" s="45" t="inlineStr">
        <is>
          <t>Dae</t>
        </is>
      </c>
      <c r="C110" s="45" t="n"/>
      <c r="D110" s="46" t="n"/>
      <c r="E110" s="45" t="n"/>
      <c r="F110" s="47" t="n"/>
      <c r="G110" s="48" t="n">
        <v>860.72</v>
      </c>
      <c r="H110" s="49" t="inlineStr">
        <is>
          <t>Impostos e Taxas</t>
        </is>
      </c>
      <c r="I110" s="45" t="inlineStr">
        <is>
          <t>Livro Caixa: Pagamento parcela DAE (Doc. 1) · Planeta Agua Ltda</t>
        </is>
      </c>
    </row>
    <row r="111">
      <c r="A111" s="17" t="n">
        <v>46139</v>
      </c>
      <c r="B111" s="18" t="inlineStr">
        <is>
          <t>Chapada Ouro Serviços Ldta - Motel Privilege</t>
        </is>
      </c>
      <c r="C111" s="18" t="inlineStr">
        <is>
          <t>Refil Pro Life + Mangueira (2 m)</t>
        </is>
      </c>
      <c r="D111" s="27" t="n">
        <v>160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4174</t>
        </is>
      </c>
      <c r="J111" s="18" t="inlineStr">
        <is>
          <t>EMP-0066</t>
        </is>
      </c>
    </row>
    <row r="112">
      <c r="A112" s="44" t="n">
        <v>46139</v>
      </c>
      <c r="B112" s="45" t="inlineStr">
        <is>
          <t>Consumidor Final</t>
        </is>
      </c>
      <c r="C112" s="45" t="inlineStr">
        <is>
          <t>Refil Everest</t>
        </is>
      </c>
      <c r="D112" s="46" t="n">
        <v>140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9016</t>
        </is>
      </c>
    </row>
    <row r="113">
      <c r="A113" s="17" t="n">
        <v>46139</v>
      </c>
      <c r="B113" s="18" t="inlineStr">
        <is>
          <t>Rasga Preco Comercio de Confeccoes e Eletrodomesticos Ltda</t>
        </is>
      </c>
      <c r="C113" s="18" t="inlineStr">
        <is>
          <t>Refil Everest + Pré Filtro</t>
        </is>
      </c>
      <c r="D113" s="27" t="n">
        <v>200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4175</t>
        </is>
      </c>
      <c r="J113" s="18" t="n"/>
    </row>
    <row r="114">
      <c r="A114" s="44" t="n">
        <v>46139</v>
      </c>
      <c r="B114" s="45" t="inlineStr">
        <is>
          <t>Eversoft Ind e Com de Plasticos Ltda</t>
        </is>
      </c>
      <c r="C114" s="45" t="n"/>
      <c r="D114" s="46" t="n"/>
      <c r="E114" s="45" t="n"/>
      <c r="F114" s="47" t="n"/>
      <c r="G114" s="48" t="n">
        <v>980.8099999999999</v>
      </c>
      <c r="H114" s="49" t="inlineStr">
        <is>
          <t>Fornecedores / Mercadoria</t>
        </is>
      </c>
      <c r="I114" s="45" t="inlineStr">
        <is>
          <t>NF 69107 de 27/11/2025 · parcela 5/5 (venc. 26/04/2026) · compra total R$ 4.904,13: 100x Refil Everest + 50x Pré Filtro · Livro Caixa</t>
        </is>
      </c>
    </row>
    <row r="115">
      <c r="A115" s="17" t="n">
        <v>46140</v>
      </c>
      <c r="B115" s="18" t="inlineStr">
        <is>
          <t>Consumidor Final</t>
        </is>
      </c>
      <c r="C115" s="18" t="inlineStr">
        <is>
          <t>Refil Carbon Tech 9"</t>
        </is>
      </c>
      <c r="D115" s="27" t="n">
        <v>85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NFC-e 9019</t>
        </is>
      </c>
      <c r="J115" s="18" t="n"/>
    </row>
    <row r="116">
      <c r="A116" s="44" t="n">
        <v>46140</v>
      </c>
      <c r="B116" s="45" t="inlineStr">
        <is>
          <t>Consumidor Final</t>
        </is>
      </c>
      <c r="C116" s="45" t="inlineStr">
        <is>
          <t>Refil Universal</t>
        </is>
      </c>
      <c r="D116" s="46" t="n">
        <v>30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9020</t>
        </is>
      </c>
    </row>
    <row r="117">
      <c r="A117" s="17" t="n">
        <v>46140</v>
      </c>
      <c r="B117" s="18" t="inlineStr">
        <is>
          <t xml:space="preserve">Restaurante Bonzão Bode - Aloisio Queiroz </t>
        </is>
      </c>
      <c r="C117" s="18" t="inlineStr">
        <is>
          <t>Refil Pro Life + Refil Universal</t>
        </is>
      </c>
      <c r="D117" s="27" t="n">
        <v>150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NF-e 4176</t>
        </is>
      </c>
      <c r="J117" s="18" t="inlineStr">
        <is>
          <t>EMP-0258</t>
        </is>
      </c>
    </row>
    <row r="118">
      <c r="A118" s="44" t="n">
        <v>46141</v>
      </c>
      <c r="B118" s="45" t="inlineStr">
        <is>
          <t>Tulio Santos Abrantes Siva</t>
        </is>
      </c>
      <c r="C118" s="45" t="inlineStr">
        <is>
          <t>Purificador Everest Baby Branco</t>
        </is>
      </c>
      <c r="D118" s="46" t="n">
        <v>510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NF-e 4177</t>
        </is>
      </c>
      <c r="J118" t="inlineStr">
        <is>
          <t>CLI-0807</t>
        </is>
      </c>
    </row>
    <row r="119">
      <c r="A119" s="17" t="n">
        <v>46141</v>
      </c>
      <c r="B119" s="18" t="inlineStr">
        <is>
          <t>Ieda Mendes de Carvalho Brito - Sergio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NF-e 4179</t>
        </is>
      </c>
      <c r="J119" s="18" t="inlineStr">
        <is>
          <t>CLI-0804</t>
        </is>
      </c>
    </row>
    <row r="120">
      <c r="A120" s="44" t="n">
        <v>46141</v>
      </c>
      <c r="B120" s="45" t="inlineStr">
        <is>
          <t>Laudelina Ribeiro Costa</t>
        </is>
      </c>
      <c r="C120" s="45" t="inlineStr">
        <is>
          <t>Refil Everest + Mangueira (2 m)</t>
        </is>
      </c>
      <c r="D120" s="46" t="n">
        <v>160</v>
      </c>
      <c r="E120" s="45" t="inlineStr">
        <is>
          <t>Crédito Parcelado</t>
        </is>
      </c>
      <c r="F120" s="47" t="n"/>
      <c r="G120" s="48" t="n"/>
      <c r="H120" s="49" t="n"/>
      <c r="I120" s="45" t="inlineStr">
        <is>
          <t>NFC-e 9021</t>
        </is>
      </c>
    </row>
    <row r="121">
      <c r="A121" s="17" t="n">
        <v>46141</v>
      </c>
      <c r="B121" s="18" t="inlineStr">
        <is>
          <t>Consumidor Final</t>
        </is>
      </c>
      <c r="C121" s="18" t="inlineStr">
        <is>
          <t>Mangueira (2 m)</t>
        </is>
      </c>
      <c r="D121" s="27" t="n">
        <v>15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NFC-e 9022</t>
        </is>
      </c>
      <c r="J121" s="18" t="n"/>
    </row>
    <row r="122">
      <c r="A122" s="44" t="n">
        <v>46141</v>
      </c>
      <c r="B122" s="45" t="inlineStr">
        <is>
          <t>Maria da Conceição Oliveira Mota</t>
        </is>
      </c>
      <c r="C122" s="45" t="inlineStr">
        <is>
          <t>Refil Everest</t>
        </is>
      </c>
      <c r="D122" s="46" t="n">
        <v>135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NFC-e 9023</t>
        </is>
      </c>
      <c r="J122" t="inlineStr">
        <is>
          <t>CLI-0806</t>
        </is>
      </c>
    </row>
    <row r="123">
      <c r="A123" s="17" t="n">
        <v>46141</v>
      </c>
      <c r="B123" s="18" t="inlineStr">
        <is>
          <t>Everest Refrigeracao e Industria</t>
        </is>
      </c>
      <c r="C123" s="18" t="n"/>
      <c r="D123" s="27" t="n"/>
      <c r="E123" s="18" t="n"/>
      <c r="F123" s="19" t="n"/>
      <c r="G123" s="19" t="n">
        <v>1305</v>
      </c>
      <c r="H123" s="21" t="inlineStr">
        <is>
          <t>Fornecedores / Mercadoria</t>
        </is>
      </c>
      <c r="I123" s="18" t="inlineStr">
        <is>
          <t>NF 369793 de 28/01/2026 · parcela 3/3 (venc. 28/04/2026) · compra total R$ 3.838,20: Purificador Everest Star Branco + Purificador Everest Fit Preto + Purificador Everest Plus Preto + 8x Purificador Everest Baby Branco + 4x Purificador Everest Baby Preto · Livro Caixa</t>
        </is>
      </c>
      <c r="J123" s="18" t="n"/>
    </row>
    <row r="124">
      <c r="A124" s="44" t="n">
        <v>46141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610.35</v>
      </c>
      <c r="H124" s="49" t="inlineStr">
        <is>
          <t>Fornecedores / Mercadoria</t>
        </is>
      </c>
      <c r="I124" s="45" t="inlineStr">
        <is>
          <t>NF 129257 de 31/03/2026 · parcela 1/4 (venc. 28/04/2026) · compra total R$ 2.123,99 (IPI R$ 104,98): 5x Refil Fp4 + 10x Refil Carbon Tech 5 Pol + 10x Refil Carbon Tech 9.3/4 Pol + 36x Refil Pre-E3 · Livro Caixa</t>
        </is>
      </c>
    </row>
    <row r="125">
      <c r="A125" s="17" t="n">
        <v>46141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</v>
      </c>
      <c r="H125" s="21" t="inlineStr">
        <is>
          <t>Fornecedores / Mercadoria</t>
        </is>
      </c>
      <c r="I125" s="18" t="inlineStr">
        <is>
          <t>NF 69886 de 30/12/2025 · parcela 4/5 (venc. 29/04/2026) · compra total R$ 4.394,61: 100x Refil Everest · Livro Caixa</t>
        </is>
      </c>
      <c r="J125" s="18" t="n"/>
    </row>
    <row r="126">
      <c r="A126" s="44" t="n">
        <v>46142</v>
      </c>
      <c r="B126" s="45" t="inlineStr">
        <is>
          <t>Tamires Oliveira Silva Santos / Redmicson Sousa</t>
        </is>
      </c>
      <c r="C126" s="45" t="inlineStr">
        <is>
          <t>Refil Everest</t>
        </is>
      </c>
      <c r="D126" s="46" t="n">
        <v>140</v>
      </c>
      <c r="E126" s="45" t="inlineStr">
        <is>
          <t>Pix</t>
        </is>
      </c>
      <c r="F126" s="47" t="n"/>
      <c r="G126" s="48" t="n"/>
      <c r="H126" s="49" t="n"/>
      <c r="I126" s="45" t="inlineStr">
        <is>
          <t>NFC-e 9024</t>
        </is>
      </c>
      <c r="J126" t="inlineStr">
        <is>
          <t>CLI-0570</t>
        </is>
      </c>
    </row>
    <row r="127">
      <c r="A127" s="17" t="n">
        <v>46142</v>
      </c>
      <c r="B127" s="18" t="inlineStr">
        <is>
          <t>Henrique Valois Ramos de Moura</t>
        </is>
      </c>
      <c r="C127" s="18" t="inlineStr">
        <is>
          <t>Refil Everest + Pré Filtro</t>
        </is>
      </c>
      <c r="D127" s="27" t="n">
        <v>200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NFC-e 9025</t>
        </is>
      </c>
      <c r="J127" s="18" t="inlineStr">
        <is>
          <t>CLI-0569</t>
        </is>
      </c>
    </row>
    <row r="128" ht="15.75" customHeight="1" s="157">
      <c r="A128" s="44" t="n">
        <v>46142</v>
      </c>
      <c r="B128" s="45" t="inlineStr">
        <is>
          <t>Consumidor Final</t>
        </is>
      </c>
      <c r="C128" s="45" t="inlineStr">
        <is>
          <t>Refil Top Color</t>
        </is>
      </c>
      <c r="D128" s="46" t="n">
        <v>75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NFC-e 9026</t>
        </is>
      </c>
    </row>
    <row r="129">
      <c r="A129" s="17" t="n">
        <v>46142</v>
      </c>
      <c r="B129" s="18" t="inlineStr">
        <is>
          <t>Cesg - Centro de Educacao Superior de Guanambi S/A</t>
        </is>
      </c>
      <c r="C129" s="18" t="inlineStr">
        <is>
          <t>6x Pré Filtro IBBL + 11x Refil IBBL C+3</t>
        </is>
      </c>
      <c r="D129" s="27" t="n">
        <v>2320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NF-e 4126 · Grupo Ânima — venda de 26/03/2026, Nota Paga no portal V360 em 30/04/2026. Recebimento não constava no Livro Caixa; baixa dada no DigiSat em 28/09/2026.</t>
        </is>
      </c>
      <c r="J129" s="18" t="n"/>
    </row>
    <row r="130">
      <c r="A130" s="44" t="n">
        <v>46142</v>
      </c>
      <c r="B130" s="45" t="inlineStr">
        <is>
          <t>Apec - Sociedade Potiguar de Educacao e Cultura Ltda</t>
        </is>
      </c>
      <c r="C130" s="45" t="inlineStr">
        <is>
          <t>10x Refil IBBL C+3 + 5x Pré Filtro IBBL</t>
        </is>
      </c>
      <c r="D130" s="46" t="n">
        <v>2200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4127 · Grupo Ânima — venda de 26/03/2026, Nota Paga no portal V360 em 30/04/2026. Recebimento não constava no Livro Caixa; baixa dada no DigiSat em 28/09/2026.</t>
        </is>
      </c>
    </row>
    <row r="131">
      <c r="A131" s="17" t="n">
        <v>46142</v>
      </c>
      <c r="B131" s="18" t="inlineStr">
        <is>
          <t>Salario Wiliam</t>
        </is>
      </c>
      <c r="C131" s="18" t="n"/>
      <c r="D131" s="27" t="n"/>
      <c r="E131" s="18" t="n"/>
      <c r="F131" s="19" t="n"/>
      <c r="G131" s="19" t="n">
        <v>1571.32</v>
      </c>
      <c r="H131" s="21" t="inlineStr">
        <is>
          <t>Salários, Comissões e Encargos</t>
        </is>
      </c>
      <c r="I131" s="18" t="inlineStr">
        <is>
          <t>Livro Caixa: Pagamento à vista: SALARIO WILIAM (Doc. 1) · Wiliam Pinto Bispo</t>
        </is>
      </c>
      <c r="J131" s="18" t="n"/>
    </row>
    <row r="132">
      <c r="A132" s="44" t="n">
        <v>46142</v>
      </c>
      <c r="B132" s="45" t="inlineStr">
        <is>
          <t>Salario Daniel</t>
        </is>
      </c>
      <c r="C132" s="45" t="n"/>
      <c r="D132" s="46" t="n"/>
      <c r="E132" s="45" t="n"/>
      <c r="F132" s="47" t="n"/>
      <c r="G132" s="48" t="n">
        <v>1213.6</v>
      </c>
      <c r="H132" s="49" t="inlineStr">
        <is>
          <t>Salários, Comissões e Encargos</t>
        </is>
      </c>
      <c r="I132" s="45" t="inlineStr">
        <is>
          <t>Livro Caixa: Pagamento à vista: SALARIO DANIEL (Doc. 1) · Daniel Barbosa dos Santos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46143</v>
      </c>
      <c r="B5" s="18" t="inlineStr">
        <is>
          <t>Salario Wiliam</t>
        </is>
      </c>
      <c r="C5" s="18" t="n"/>
      <c r="D5" s="27" t="n"/>
      <c r="E5" s="18" t="n"/>
      <c r="F5" s="19" t="n"/>
      <c r="G5" s="19" t="n">
        <v>1571.32</v>
      </c>
      <c r="H5" s="21" t="inlineStr">
        <is>
          <t>Salários, Comissões e Encargos</t>
        </is>
      </c>
      <c r="I5" s="18" t="inlineStr">
        <is>
          <t>Livro Caixa: Pagamento à vista: SALARIO WILIAM (Doc. 1) · Wiliam Pinto Bispo</t>
        </is>
      </c>
      <c r="J5" s="18" t="n"/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46143</v>
      </c>
      <c r="B6" s="45" t="inlineStr">
        <is>
          <t>Aluguel Vitoria Maria</t>
        </is>
      </c>
      <c r="C6" s="45" t="n"/>
      <c r="D6" s="46" t="n"/>
      <c r="E6" s="45" t="n"/>
      <c r="F6" s="47" t="n"/>
      <c r="G6" s="48" t="n">
        <v>870</v>
      </c>
      <c r="H6" s="49" t="inlineStr">
        <is>
          <t>Aluguel</t>
        </is>
      </c>
      <c r="I6" s="45" t="inlineStr">
        <is>
          <t>Livro Caixa: Pagamento à vista: ALUGUEL VITORIA MARIA (Doc. 1) · Vitoria Maria F Santos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46144</v>
      </c>
      <c r="B7" s="18" t="inlineStr">
        <is>
          <t>Maricelia Santana Silva</t>
        </is>
      </c>
      <c r="C7" s="18" t="inlineStr">
        <is>
          <t>(Mesma venda — parcela seguinte, sem produtos novos)</t>
        </is>
      </c>
      <c r="D7" s="27" t="n">
        <v>30</v>
      </c>
      <c r="E7" s="18" t="n"/>
      <c r="F7" s="19" t="n"/>
      <c r="G7" s="19" t="n"/>
      <c r="H7" s="21" t="n"/>
      <c r="I7" s="18" t="inlineStr">
        <is>
          <t>NFC-e 9012 · venda de 25/04/2026, total R$ 130,00 — parcela 2 · nota faturada a prazo (forma de recebimento não consta na nota)</t>
        </is>
      </c>
      <c r="J7" s="18" t="inlineStr">
        <is>
          <t>CLI-0802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COMBINADO",IF(TODAY()&gt;EOMONTH(DATE(2026,5,1),0),"ABAIXO DO COMBINADO","AINDA PODE GASTAR"))</f>
        <v/>
      </c>
      <c r="T7" s="224" t="inlineStr">
        <is>
          <t>SOBRA FINAL DO MÊS</t>
        </is>
      </c>
    </row>
    <row r="8">
      <c r="A8" s="44" t="n">
        <v>46144</v>
      </c>
      <c r="B8" s="45" t="inlineStr">
        <is>
          <t>Banco do Nordeste do Brasil</t>
        </is>
      </c>
      <c r="C8" s="45" t="inlineStr">
        <is>
          <t>2x Refil Everest</t>
        </is>
      </c>
      <c r="D8" s="46" t="n">
        <v>280</v>
      </c>
      <c r="E8" s="45" t="inlineStr">
        <is>
          <t>Dinheiro</t>
        </is>
      </c>
      <c r="F8" s="47" t="n"/>
      <c r="G8" s="48" t="n"/>
      <c r="H8" s="49" t="n"/>
      <c r="I8" s="45" t="inlineStr">
        <is>
          <t>NF-e 4181</t>
        </is>
      </c>
      <c r="J8" t="inlineStr">
        <is>
          <t>EMP-0220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46144</v>
      </c>
      <c r="B9" s="18" t="inlineStr">
        <is>
          <t>Roziane Santos Silva</t>
        </is>
      </c>
      <c r="C9" s="18" t="inlineStr">
        <is>
          <t>Refil Everest</t>
        </is>
      </c>
      <c r="D9" s="27" t="n">
        <v>140</v>
      </c>
      <c r="E9" s="18" t="inlineStr">
        <is>
          <t>Crédito Parcelado</t>
        </is>
      </c>
      <c r="F9" s="19" t="n"/>
      <c r="G9" s="19" t="n"/>
      <c r="H9" s="21" t="n"/>
      <c r="I9" s="18" t="inlineStr">
        <is>
          <t>NFC-e 9027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46144</v>
      </c>
      <c r="B10" s="45" t="inlineStr">
        <is>
          <t>Serv de Apoio As Micro e Pequenas Empresas do Est da Bahia</t>
        </is>
      </c>
      <c r="C10" s="45" t="inlineStr">
        <is>
          <t>Refil FP4</t>
        </is>
      </c>
      <c r="D10" s="46" t="n">
        <v>100</v>
      </c>
      <c r="E10" s="45" t="n"/>
      <c r="F10" s="47" t="n"/>
      <c r="G10" s="48" t="n"/>
      <c r="H10" s="49" t="n"/>
      <c r="I10" s="45" t="inlineStr">
        <is>
          <t>NF-e 4182.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46144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1/5 (venc. 02/05/2026)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46144</v>
      </c>
      <c r="B12" s="45" t="inlineStr">
        <is>
          <t>Everest Refrigeracao e Industria</t>
        </is>
      </c>
      <c r="C12" s="45" t="n"/>
      <c r="D12" s="46" t="n"/>
      <c r="E12" s="45" t="n"/>
      <c r="F12" s="47" t="n"/>
      <c r="G12" s="48" t="n">
        <v>706.65</v>
      </c>
      <c r="H12" s="49" t="inlineStr">
        <is>
          <t>Fornecedores / Mercadoria</t>
        </is>
      </c>
      <c r="I12" s="45" t="inlineStr">
        <is>
          <t>NF 374271 de 06/04/2026 · parcela 1/5 (venc. 06/05/2026) · compra total R$ 3.533,27: Purificador Everest Plus Prata + Purificador Everest Star Branco + Purificador Everest Star Preto + Purificador Everest Slim Prata + Purificador Everest Fit Branco · Livro Caixa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46146</v>
      </c>
      <c r="B13" s="18" t="inlineStr">
        <is>
          <t>Consumidor Final</t>
        </is>
      </c>
      <c r="C13" s="18" t="inlineStr">
        <is>
          <t>Refil Carbon Tech 5" + Anel Oring De Vedaca Fit</t>
        </is>
      </c>
      <c r="D13" s="27" t="n">
        <v>65</v>
      </c>
      <c r="E13" s="18" t="inlineStr">
        <is>
          <t>Pix</t>
        </is>
      </c>
      <c r="F13" s="19" t="n"/>
      <c r="G13" s="19" t="n"/>
      <c r="H13" s="21" t="n"/>
      <c r="I13" s="18" t="inlineStr">
        <is>
          <t>NFC-e 9028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46146</v>
      </c>
      <c r="B14" s="45" t="inlineStr">
        <is>
          <t>Consumidor Final</t>
        </is>
      </c>
      <c r="C14" s="45" t="inlineStr">
        <is>
          <t>Refil Carbon Tech 9" + Anel Oring De Vedaca Fit</t>
        </is>
      </c>
      <c r="D14" s="46" t="n">
        <v>95</v>
      </c>
      <c r="E14" s="45" t="inlineStr">
        <is>
          <t>Pix</t>
        </is>
      </c>
      <c r="F14" s="47" t="n"/>
      <c r="G14" s="48" t="n"/>
      <c r="H14" s="49" t="n"/>
      <c r="I14" s="45" t="inlineStr">
        <is>
          <t>NFC-e 9029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46146</v>
      </c>
      <c r="B15" s="18" t="inlineStr">
        <is>
          <t>Alfredo Ferreira Sacramento</t>
        </is>
      </c>
      <c r="C15" s="18" t="inlineStr">
        <is>
          <t>Refil Everest + Pré Filtro</t>
        </is>
      </c>
      <c r="D15" s="27" t="n">
        <v>190</v>
      </c>
      <c r="E15" s="18" t="inlineStr">
        <is>
          <t>Dinheiro</t>
        </is>
      </c>
      <c r="F15" s="19" t="n"/>
      <c r="G15" s="19" t="n"/>
      <c r="H15" s="21" t="n"/>
      <c r="I15" s="18" t="inlineStr">
        <is>
          <t>NFC-e 9030</t>
        </is>
      </c>
      <c r="J15" s="18" t="inlineStr">
        <is>
          <t>CLI-0810</t>
        </is>
      </c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46146</v>
      </c>
      <c r="B16" s="45" t="inlineStr">
        <is>
          <t>Consumidor Final</t>
        </is>
      </c>
      <c r="C16" s="45" t="inlineStr">
        <is>
          <t>Refil Everest + Mangueira (1 m)</t>
        </is>
      </c>
      <c r="D16" s="46" t="n">
        <v>150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9031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46146</v>
      </c>
      <c r="B17" s="18" t="inlineStr">
        <is>
          <t>Catia Tiara</t>
        </is>
      </c>
      <c r="C17" s="18" t="inlineStr">
        <is>
          <t>Refil Everest + Pré Filtro</t>
        </is>
      </c>
      <c r="D17" s="27" t="n">
        <v>190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9032</t>
        </is>
      </c>
      <c r="J17" s="18" t="inlineStr">
        <is>
          <t>CLI-0812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46146</v>
      </c>
      <c r="B18" s="45" t="inlineStr">
        <is>
          <t>Consumidor Final</t>
        </is>
      </c>
      <c r="C18" s="45" t="inlineStr">
        <is>
          <t>2x Carcaça 9" + 2x Refil Carbon Tech</t>
        </is>
      </c>
      <c r="D18" s="46" t="n">
        <v>330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NFC-e 9033</t>
        </is>
      </c>
      <c r="K18" t="inlineStr">
        <is>
          <t>Total</t>
        </is>
      </c>
      <c r="L18">
        <f>SUM(L5:L16)</f>
        <v/>
      </c>
    </row>
    <row r="19">
      <c r="A19" s="17" t="n">
        <v>46146</v>
      </c>
      <c r="B19" s="18" t="inlineStr">
        <is>
          <t>Everest Refrigeracao e Industria</t>
        </is>
      </c>
      <c r="C19" s="18" t="n"/>
      <c r="D19" s="27" t="n"/>
      <c r="E19" s="18" t="n"/>
      <c r="F19" s="19" t="n"/>
      <c r="G19" s="19" t="n">
        <v>572.25</v>
      </c>
      <c r="H19" s="21" t="inlineStr">
        <is>
          <t>Fornecedores / Mercadoria</t>
        </is>
      </c>
      <c r="I19" s="18" t="inlineStr">
        <is>
          <t>Livro Caixa: Pagamento parcela Gerado pelo sistema - nº 346431 (Doc. 346431)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(BB)'!A9:A200,"&gt;="&amp;DATE(2026,5,1),'Capital de Giro (BB)'!A9:A200,"&lt;="&amp;DATE(2026,5,31),'Capital de Giro (BB)'!E9:E200,"A Devolver")</f>
        <v/>
      </c>
    </row>
    <row r="20">
      <c r="A20" s="44" t="n">
        <v>46146</v>
      </c>
      <c r="B20" s="45" t="inlineStr">
        <is>
          <t>Coelba</t>
        </is>
      </c>
      <c r="C20" s="45" t="n"/>
      <c r="D20" s="46" t="n"/>
      <c r="E20" s="45" t="n"/>
      <c r="F20" s="47" t="n"/>
      <c r="G20" s="48" t="n">
        <v>125.37</v>
      </c>
      <c r="H20" s="49" t="inlineStr">
        <is>
          <t>Água, Energia e Internet</t>
        </is>
      </c>
      <c r="I20" s="45" t="inlineStr">
        <is>
          <t>Livro Caixa: Pagamento parcela COELBA (Doc. 1) · Companhia de Eletricidade do Estado da Bahia Coelba</t>
        </is>
      </c>
    </row>
    <row r="21">
      <c r="A21" s="17" t="n">
        <v>46146</v>
      </c>
      <c r="B21" s="18" t="inlineStr">
        <is>
          <t>Filtros Planeta Agua Ind e Com Ltda</t>
        </is>
      </c>
      <c r="C21" s="18" t="n"/>
      <c r="D21" s="27" t="n"/>
      <c r="E21" s="18" t="n"/>
      <c r="F21" s="19" t="n"/>
      <c r="G21" s="19" t="n">
        <v>972.2</v>
      </c>
      <c r="H21" s="21" t="inlineStr">
        <is>
          <t>Fornecedores / Mercadoria</t>
        </is>
      </c>
      <c r="I21" s="18" t="inlineStr">
        <is>
          <t>NF 123868 de 24/10/2025 · parcela 1/5 (venc. 21/11/2025)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21" s="18" t="n"/>
    </row>
    <row r="22">
      <c r="A22" s="44" t="n">
        <v>46146</v>
      </c>
      <c r="B22" s="45" t="inlineStr">
        <is>
          <t>1 Parcela Ferias Daniel</t>
        </is>
      </c>
      <c r="C22" s="45" t="n"/>
      <c r="D22" s="46" t="n"/>
      <c r="E22" s="45" t="n"/>
      <c r="F22" s="47" t="n"/>
      <c r="G22" s="48" t="n">
        <v>500</v>
      </c>
      <c r="H22" s="49" t="inlineStr">
        <is>
          <t>Salários, Comissões e Encargos</t>
        </is>
      </c>
      <c r="I22" s="45" t="inlineStr">
        <is>
          <t>Livro Caixa: Pagamento à vista: 1 PARCELA FERIAS DANIEL (Doc. 1) · Daniel Barbosa dos Santos</t>
        </is>
      </c>
    </row>
    <row r="23">
      <c r="A23" s="17" t="n">
        <v>46146</v>
      </c>
      <c r="B23" s="18" t="inlineStr">
        <is>
          <t>Eversoft Ind e Com de Plasticos Ltda</t>
        </is>
      </c>
      <c r="C23" s="18" t="n"/>
      <c r="D23" s="27" t="n"/>
      <c r="E23" s="18" t="n"/>
      <c r="F23" s="19" t="n"/>
      <c r="G23" s="19" t="n">
        <v>878.92</v>
      </c>
      <c r="H23" s="21" t="inlineStr">
        <is>
          <t>Fornecedores / Mercadoria</t>
        </is>
      </c>
      <c r="I23" s="18" t="inlineStr">
        <is>
          <t>NF 68349 de 24/10/2025 · parcela 5/5 (venc. 23/03/2026) · compra total R$ 4.394,61: 100x Refil Everest · Livro Caixa</t>
        </is>
      </c>
      <c r="J23" s="18" t="n"/>
    </row>
    <row r="24">
      <c r="A24" s="44" t="n">
        <v>46146</v>
      </c>
      <c r="B24" s="45" t="inlineStr">
        <is>
          <t>Everest Refrigeracao e Industria</t>
        </is>
      </c>
      <c r="C24" s="45" t="n"/>
      <c r="D24" s="46" t="n"/>
      <c r="E24" s="45" t="n"/>
      <c r="F24" s="47" t="n"/>
      <c r="G24" s="48" t="n">
        <v>546.76</v>
      </c>
      <c r="H24" s="49" t="inlineStr">
        <is>
          <t>Fornecedores / Mercadoria</t>
        </is>
      </c>
      <c r="I24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25">
      <c r="A25" s="17" t="n">
        <v>46146</v>
      </c>
      <c r="B25" s="18" t="inlineStr">
        <is>
          <t>Eversoft Ind e Com de Plasticos Ltda</t>
        </is>
      </c>
      <c r="C25" s="18" t="n"/>
      <c r="D25" s="27" t="n"/>
      <c r="E25" s="18" t="n"/>
      <c r="F25" s="19" t="n"/>
      <c r="G25" s="19" t="n">
        <v>878.92</v>
      </c>
      <c r="H25" s="21" t="inlineStr">
        <is>
          <t>Fornecedores / Mercadoria</t>
        </is>
      </c>
      <c r="I25" s="18" t="inlineStr">
        <is>
          <t>NF 69886 de 30/12/2025 · parcela 4/5 (venc. 29/04/2026) · compra total R$ 4.394,61: 100x Refil Everest · Livro Caixa</t>
        </is>
      </c>
      <c r="J25" s="18" t="n"/>
    </row>
    <row r="26">
      <c r="A26" s="44" t="n">
        <v>46146</v>
      </c>
      <c r="B26" s="45" t="inlineStr">
        <is>
          <t>Embasa Adriano</t>
        </is>
      </c>
      <c r="C26" s="45" t="n"/>
      <c r="D26" s="46" t="n"/>
      <c r="E26" s="45" t="n"/>
      <c r="F26" s="47" t="n"/>
      <c r="G26" s="48" t="n">
        <v>50.07</v>
      </c>
      <c r="H26" s="49" t="inlineStr">
        <is>
          <t>Pro Labore Edilânia</t>
        </is>
      </c>
      <c r="I26" s="45" t="inlineStr">
        <is>
          <t>Livro Caixa: Pagamento parcela EMBASA ADRIANO (Doc. 1) · Empresa Baiana de Aguas e Saneamento Sa</t>
        </is>
      </c>
    </row>
    <row r="27">
      <c r="A27" s="17" t="n">
        <v>46146</v>
      </c>
      <c r="B27" s="18" t="inlineStr">
        <is>
          <t>Filtros Planeta Agua Ind e Com Ltda</t>
        </is>
      </c>
      <c r="C27" s="18" t="n"/>
      <c r="D27" s="27" t="n"/>
      <c r="E27" s="18" t="n"/>
      <c r="F27" s="19" t="n"/>
      <c r="G27" s="19" t="n">
        <v>420.87</v>
      </c>
      <c r="H27" s="21" t="inlineStr">
        <is>
          <t>Fornecedores / Mercadoria</t>
        </is>
      </c>
      <c r="I27" s="18" t="inlineStr">
        <is>
          <t>NF 126565 de 20/01/2026 · parcela 4/4 (venc. 31/03/2026) · compra total R$ 1.771,04 (IPI R$ 87,54): 65x Refil Pro Life · Livro Caixa</t>
        </is>
      </c>
      <c r="J27" s="18" t="n"/>
    </row>
    <row r="28">
      <c r="A28" s="44" t="n">
        <v>46146</v>
      </c>
      <c r="B28" s="45" t="inlineStr">
        <is>
          <t>Eversoft Ind e Com de Plasticos Ltda</t>
        </is>
      </c>
      <c r="C28" s="45" t="n"/>
      <c r="D28" s="46" t="n"/>
      <c r="E28" s="45" t="n"/>
      <c r="F28" s="47" t="n"/>
      <c r="G28" s="48" t="n">
        <v>20.6</v>
      </c>
      <c r="H28" s="49" t="inlineStr">
        <is>
          <t>Fornecedores / Mercadoria</t>
        </is>
      </c>
      <c r="I28" s="45" t="inlineStr">
        <is>
          <t>NF 69107 de 27/11/2025 · parcela 5/5 (venc. 26/04/2026) · compra total R$ 4.904,13: 100x Refil Everest + 50x Pré Filtro · Livro Caixa</t>
        </is>
      </c>
    </row>
    <row r="29" ht="15.75" customHeight="1" s="157">
      <c r="A29" s="17" t="n">
        <v>46146</v>
      </c>
      <c r="B29" s="18" t="inlineStr">
        <is>
          <t>Conta de Energia Loja</t>
        </is>
      </c>
      <c r="C29" s="18" t="n"/>
      <c r="D29" s="27" t="n"/>
      <c r="E29" s="18" t="n"/>
      <c r="F29" s="19" t="n"/>
      <c r="G29" s="19" t="n">
        <v>148.15</v>
      </c>
      <c r="H29" s="21" t="inlineStr">
        <is>
          <t>Água, Energia e Internet</t>
        </is>
      </c>
      <c r="I29" s="18" t="inlineStr">
        <is>
          <t>Livro Caixa: Pagamento parcela CONTA DE ENERGIA LOJA (Doc. 1) · Companhia de Eletricidade do Estado da Bahia Coelba</t>
        </is>
      </c>
      <c r="J29" s="18" t="n"/>
    </row>
    <row r="30">
      <c r="A30" s="44" t="n">
        <v>46146</v>
      </c>
      <c r="B30" s="45" t="inlineStr">
        <is>
          <t>Everest Refrigeracao e Industria</t>
        </is>
      </c>
      <c r="C30" s="45" t="n"/>
      <c r="D30" s="46" t="n"/>
      <c r="E30" s="45" t="n"/>
      <c r="F30" s="47" t="n"/>
      <c r="G30" s="48" t="n">
        <v>810.99</v>
      </c>
      <c r="H30" s="49" t="inlineStr">
        <is>
          <t>Fornecedores / Mercadoria</t>
        </is>
      </c>
      <c r="I30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31">
      <c r="A31" s="17" t="n">
        <v>46146</v>
      </c>
      <c r="B31" s="18" t="inlineStr">
        <is>
          <t>Everest Refrigeracao e Industria</t>
        </is>
      </c>
      <c r="C31" s="18" t="n"/>
      <c r="D31" s="27" t="n"/>
      <c r="E31" s="18" t="n"/>
      <c r="F31" s="19" t="n"/>
      <c r="G31" s="19" t="n">
        <v>841.0599999999999</v>
      </c>
      <c r="H31" s="21" t="inlineStr">
        <is>
          <t>Fornecedores / Mercadoria</t>
        </is>
      </c>
      <c r="I31" s="18" t="inlineStr">
        <is>
          <t>NF 366264 de 11/12/2025 · parcela 5/5 (venc. 10/05/2026) · compra total R$ 4.205,29: Purificador Everest Slim Branco + Purificador Everest Slim Prata + 2x Purificador Everest Star Branco + Purificador Everest Star Prata + Purificador Everest Plus Prata · Livro Caixa</t>
        </is>
      </c>
      <c r="J31" s="18" t="n"/>
    </row>
    <row r="32">
      <c r="A32" s="44" t="n">
        <v>46146</v>
      </c>
      <c r="B32" s="45" t="inlineStr">
        <is>
          <t>Everest Refrigeracao e Industria</t>
        </is>
      </c>
      <c r="C32" s="45" t="n"/>
      <c r="D32" s="46" t="n"/>
      <c r="E32" s="45" t="n"/>
      <c r="F32" s="47" t="n"/>
      <c r="G32" s="48" t="n">
        <v>725.48</v>
      </c>
      <c r="H32" s="49" t="inlineStr">
        <is>
          <t>Fornecedores / Mercadoria</t>
        </is>
      </c>
      <c r="I32" s="45" t="inlineStr">
        <is>
          <t>NF 372597 de 11/03/2026 · parcela 2/5 (venc. 10/05/2026) · compra total R$ 3.627,42: 2x Purificador Everest Plus Branco + Purificador Everest Fit Preto + Purificador Everest Slim Preto + Purificador Everest Star Preto · Livro Caixa</t>
        </is>
      </c>
    </row>
    <row r="33">
      <c r="A33" s="17" t="n">
        <v>46147</v>
      </c>
      <c r="B33" s="18" t="inlineStr">
        <is>
          <t>Lapec Lab - Laboratorio de Analises e Pesquisas Clinicas Ltd</t>
        </is>
      </c>
      <c r="C33" s="18" t="inlineStr">
        <is>
          <t>Refil Everest</t>
        </is>
      </c>
      <c r="D33" s="27" t="n">
        <v>120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NF-e 4183</t>
        </is>
      </c>
      <c r="J33" s="18" t="n"/>
    </row>
    <row r="34">
      <c r="A34" s="44" t="n">
        <v>46147</v>
      </c>
      <c r="B34" s="45" t="inlineStr">
        <is>
          <t>Consumidor Final</t>
        </is>
      </c>
      <c r="C34" s="45" t="inlineStr">
        <is>
          <t>Refil FP1/FP2/FP5/FP8</t>
        </is>
      </c>
      <c r="D34" s="46" t="n">
        <v>75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9034</t>
        </is>
      </c>
    </row>
    <row r="35">
      <c r="A35" s="17" t="n">
        <v>46148</v>
      </c>
      <c r="B35" s="18" t="inlineStr">
        <is>
          <t>Marinalva Souza Nascimento</t>
        </is>
      </c>
      <c r="C35" s="18" t="inlineStr">
        <is>
          <t>Refil Everest + Mangueira (1 m)</t>
        </is>
      </c>
      <c r="D35" s="27" t="n">
        <v>150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9035</t>
        </is>
      </c>
      <c r="J35" s="18" t="n"/>
    </row>
    <row r="36">
      <c r="A36" s="44" t="n">
        <v>46148</v>
      </c>
      <c r="B36" s="45" t="inlineStr">
        <is>
          <t>Valdice de Jesus Silva Costa</t>
        </is>
      </c>
      <c r="C36" s="45" t="inlineStr">
        <is>
          <t>Refil Everest</t>
        </is>
      </c>
      <c r="D36" s="46" t="n">
        <v>130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9036</t>
        </is>
      </c>
    </row>
    <row r="37">
      <c r="A37" s="17" t="n">
        <v>46148</v>
      </c>
      <c r="B37" s="18" t="inlineStr">
        <is>
          <t>Valdeci Souza Silva</t>
        </is>
      </c>
      <c r="C37" s="18" t="inlineStr">
        <is>
          <t>(Mesma venda — parcela seguinte, sem produtos novos)</t>
        </is>
      </c>
      <c r="D37" s="27" t="n">
        <v>70</v>
      </c>
      <c r="E37" s="18" t="n"/>
      <c r="F37" s="19" t="n"/>
      <c r="G37" s="19" t="n"/>
      <c r="H37" s="21" t="n"/>
      <c r="I37" s="18" t="inlineStr">
        <is>
          <t>NFC-e 8970 · venda de 07/04/2026, total R$ 140,00 — parcela 2 · nota faturada a prazo (forma de recebimento não consta na nota)</t>
        </is>
      </c>
      <c r="J37" s="18" t="inlineStr">
        <is>
          <t>CLI-0779</t>
        </is>
      </c>
    </row>
    <row r="38">
      <c r="A38" s="44" t="n">
        <v>46148</v>
      </c>
      <c r="B38" s="45" t="inlineStr">
        <is>
          <t>Consumidor Final</t>
        </is>
      </c>
      <c r="C38" s="45" t="inlineStr">
        <is>
          <t>Refil Universal</t>
        </is>
      </c>
      <c r="D38" s="46" t="n">
        <v>30</v>
      </c>
      <c r="E38" s="45" t="inlineStr">
        <is>
          <t>Pix</t>
        </is>
      </c>
      <c r="F38" s="47" t="n"/>
      <c r="G38" s="48" t="n"/>
      <c r="H38" s="49" t="n"/>
      <c r="I38" s="45" t="inlineStr">
        <is>
          <t>NFC-e 9037</t>
        </is>
      </c>
    </row>
    <row r="39" ht="15.75" customHeight="1" s="157">
      <c r="A39" s="17" t="n">
        <v>46148</v>
      </c>
      <c r="B39" s="18" t="inlineStr">
        <is>
          <t>Filtros Planeta Agua Ind e Com Ltda</t>
        </is>
      </c>
      <c r="C39" s="18" t="n"/>
      <c r="D39" s="27" t="n"/>
      <c r="E39" s="18" t="n"/>
      <c r="F39" s="19" t="n"/>
      <c r="G39" s="19" t="n">
        <v>504.43</v>
      </c>
      <c r="H39" s="21" t="inlineStr">
        <is>
          <t>Fornecedores / Mercadoria</t>
        </is>
      </c>
      <c r="I39" s="18" t="inlineStr">
        <is>
          <t>NF 128882 de 23/03/2026 · parcela 2/4 (venc. 04/05/2026)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39" s="18" t="n"/>
    </row>
    <row r="40">
      <c r="A40" s="44" t="n">
        <v>46149</v>
      </c>
      <c r="B40" s="45" t="inlineStr">
        <is>
          <t>Jackson Macedo de Sales</t>
        </is>
      </c>
      <c r="C40" s="45" t="inlineStr">
        <is>
          <t>3x Refil Carbon Tech 9"</t>
        </is>
      </c>
      <c r="D40" s="46" t="n">
        <v>180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4184</t>
        </is>
      </c>
    </row>
    <row r="41">
      <c r="A41" s="17" t="n">
        <v>46149</v>
      </c>
      <c r="B41" s="18" t="inlineStr">
        <is>
          <t>Anderson da Conceicao Gomes</t>
        </is>
      </c>
      <c r="C41" s="18" t="inlineStr">
        <is>
          <t>Refil Everest</t>
        </is>
      </c>
      <c r="D41" s="27" t="n">
        <v>140</v>
      </c>
      <c r="E41" s="18" t="inlineStr">
        <is>
          <t>Crédito Parcelado</t>
        </is>
      </c>
      <c r="F41" s="19" t="n"/>
      <c r="G41" s="19" t="n"/>
      <c r="H41" s="21" t="n"/>
      <c r="I41" s="18" t="inlineStr">
        <is>
          <t>NFC-e 9038</t>
        </is>
      </c>
      <c r="J41" s="18" t="n"/>
    </row>
    <row r="42" ht="15.75" customHeight="1" s="157">
      <c r="A42" s="44" t="n">
        <v>46150</v>
      </c>
      <c r="B42" s="45" t="inlineStr">
        <is>
          <t>Vinicius Oliveira Lima</t>
        </is>
      </c>
      <c r="C42" s="45" t="inlineStr">
        <is>
          <t>Purificador Everest Star Preto</t>
        </is>
      </c>
      <c r="D42" s="46" t="n">
        <v>1448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4185</t>
        </is>
      </c>
      <c r="J42" t="inlineStr">
        <is>
          <t>CLI-0817</t>
        </is>
      </c>
    </row>
    <row r="43">
      <c r="A43" s="17" t="n">
        <v>46150</v>
      </c>
      <c r="B43" s="18" t="inlineStr">
        <is>
          <t>Paulo Marques Figueiredo - Neusa</t>
        </is>
      </c>
      <c r="C43" s="18" t="inlineStr">
        <is>
          <t>Refil Everest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9039</t>
        </is>
      </c>
      <c r="J43" s="18" t="n"/>
    </row>
    <row r="44">
      <c r="A44" s="44" t="n">
        <v>46150</v>
      </c>
      <c r="B44" s="45" t="inlineStr">
        <is>
          <t>Consumidor Final</t>
        </is>
      </c>
      <c r="C44" s="45" t="inlineStr">
        <is>
          <t>Torneira Acqua Azzurra Toc Branca Saq</t>
        </is>
      </c>
      <c r="D44" s="46" t="n">
        <v>16</v>
      </c>
      <c r="E44" s="45" t="inlineStr">
        <is>
          <t>Dinheiro</t>
        </is>
      </c>
      <c r="F44" s="47" t="n"/>
      <c r="G44" s="48" t="n"/>
      <c r="H44" s="49" t="n"/>
      <c r="I44" s="45" t="inlineStr">
        <is>
          <t>NFC-e 9040</t>
        </is>
      </c>
    </row>
    <row r="45">
      <c r="A45" s="17" t="n">
        <v>46150</v>
      </c>
      <c r="B45" s="18" t="inlineStr">
        <is>
          <t>Glecia da Silva Lopes Vieira</t>
        </is>
      </c>
      <c r="C45" s="18" t="inlineStr">
        <is>
          <t>Refil Everest</t>
        </is>
      </c>
      <c r="D45" s="27" t="n">
        <v>140</v>
      </c>
      <c r="E45" s="18" t="inlineStr">
        <is>
          <t>Crédito Parcelado</t>
        </is>
      </c>
      <c r="F45" s="19" t="n"/>
      <c r="G45" s="19" t="n"/>
      <c r="H45" s="21" t="n"/>
      <c r="I45" s="18" t="inlineStr">
        <is>
          <t>NFC-e 9041</t>
        </is>
      </c>
      <c r="J45" s="18" t="n"/>
    </row>
    <row r="46">
      <c r="A46" s="44" t="n">
        <v>46150</v>
      </c>
      <c r="B46" s="45" t="inlineStr">
        <is>
          <t>Edna da Silva Souza - Casa no Sitio</t>
        </is>
      </c>
      <c r="C46" s="45" t="inlineStr">
        <is>
          <t>Refil Everest</t>
        </is>
      </c>
      <c r="D46" s="46" t="n">
        <v>135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9042</t>
        </is>
      </c>
      <c r="J46" t="inlineStr">
        <is>
          <t>CLI-0248</t>
        </is>
      </c>
    </row>
    <row r="47">
      <c r="A47" s="17" t="n">
        <v>46150</v>
      </c>
      <c r="B47" s="18" t="inlineStr">
        <is>
          <t>Marsilia Marmores e Granitos Erelli</t>
        </is>
      </c>
      <c r="C47" s="18" t="inlineStr">
        <is>
          <t>Refil Pro Life + Refil IBBL C+3</t>
        </is>
      </c>
      <c r="D47" s="27" t="n">
        <v>275</v>
      </c>
      <c r="E47" s="18" t="inlineStr">
        <is>
          <t>Pix</t>
        </is>
      </c>
      <c r="F47" s="19" t="n"/>
      <c r="G47" s="19" t="n"/>
      <c r="H47" s="21" t="n"/>
      <c r="I47" s="18" t="inlineStr">
        <is>
          <t>NF-e 4186</t>
        </is>
      </c>
      <c r="J47" s="18" t="inlineStr">
        <is>
          <t>EMP-0216</t>
        </is>
      </c>
    </row>
    <row r="48" ht="15.75" customHeight="1" s="157">
      <c r="A48" s="44" t="n">
        <v>46150</v>
      </c>
      <c r="B48" s="45" t="inlineStr">
        <is>
          <t>Everest Refrigeracao e Industria</t>
        </is>
      </c>
      <c r="C48" s="45" t="n"/>
      <c r="D48" s="46" t="n"/>
      <c r="E48" s="45" t="n"/>
      <c r="F48" s="47" t="n"/>
      <c r="G48" s="48" t="n">
        <v>810.99</v>
      </c>
      <c r="H48" s="49" t="inlineStr">
        <is>
          <t>Fornecedores / Mercadoria</t>
        </is>
      </c>
      <c r="I48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49">
      <c r="A49" s="17" t="n">
        <v>46151</v>
      </c>
      <c r="B49" s="18" t="inlineStr">
        <is>
          <t>Consumidor Final</t>
        </is>
      </c>
      <c r="C49" s="18" t="inlineStr">
        <is>
          <t>Vela Filtro de Barro</t>
        </is>
      </c>
      <c r="D49" s="27" t="n">
        <v>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9043</t>
        </is>
      </c>
      <c r="J49" s="18" t="n"/>
    </row>
    <row r="50">
      <c r="A50" s="44" t="n">
        <v>46153</v>
      </c>
      <c r="B50" s="45" t="inlineStr">
        <is>
          <t>Marineuza Pinho Ramos Barbosa</t>
        </is>
      </c>
      <c r="C50" s="45" t="inlineStr">
        <is>
          <t>Refil Everest</t>
        </is>
      </c>
      <c r="D50" s="46" t="n">
        <v>135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9044</t>
        </is>
      </c>
      <c r="J50" t="inlineStr">
        <is>
          <t>CLI-0819</t>
        </is>
      </c>
    </row>
    <row r="51">
      <c r="A51" s="17" t="n">
        <v>46153</v>
      </c>
      <c r="B51" s="18" t="inlineStr">
        <is>
          <t>Danilo Carvalho Alves</t>
        </is>
      </c>
      <c r="C51" s="18" t="inlineStr">
        <is>
          <t>Refil Everest</t>
        </is>
      </c>
      <c r="D51" s="27" t="n">
        <v>135</v>
      </c>
      <c r="E51" s="18" t="inlineStr">
        <is>
          <t>Pix</t>
        </is>
      </c>
      <c r="F51" s="19" t="n"/>
      <c r="G51" s="19" t="n"/>
      <c r="H51" s="21" t="n"/>
      <c r="I51" s="18" t="inlineStr">
        <is>
          <t>NFC-e 9045</t>
        </is>
      </c>
      <c r="J51" s="18" t="inlineStr">
        <is>
          <t>CLI-0814</t>
        </is>
      </c>
    </row>
    <row r="52">
      <c r="A52" s="44" t="n">
        <v>46154</v>
      </c>
      <c r="B52" s="45" t="inlineStr">
        <is>
          <t>Consumidor Final</t>
        </is>
      </c>
      <c r="C52" s="45" t="n"/>
      <c r="D52" s="46" t="n">
        <v>75</v>
      </c>
      <c r="E52" s="45" t="n"/>
      <c r="F52" s="47" t="n"/>
      <c r="G52" s="48" t="n"/>
      <c r="H52" s="49" t="n"/>
      <c r="I52" s="45" t="inlineStr">
        <is>
          <t>Livro Caixa: Recebimento à vista Gerado pelo sistema (Doc. 9046)</t>
        </is>
      </c>
    </row>
    <row r="53" ht="15.75" customHeight="1" s="157">
      <c r="A53" s="17" t="n">
        <v>46154</v>
      </c>
      <c r="B53" s="18" t="inlineStr">
        <is>
          <t>Cbv Construtora Ltda</t>
        </is>
      </c>
      <c r="C53" s="18" t="inlineStr">
        <is>
          <t>Refil PA 230</t>
        </is>
      </c>
      <c r="D53" s="27" t="n">
        <v>75</v>
      </c>
      <c r="E53" s="18" t="inlineStr">
        <is>
          <t>Pix</t>
        </is>
      </c>
      <c r="F53" s="19" t="n"/>
      <c r="G53" s="19" t="n"/>
      <c r="H53" s="21" t="n"/>
      <c r="I53" s="18" t="inlineStr">
        <is>
          <t>NF-e 4188</t>
        </is>
      </c>
      <c r="J53" s="18" t="n"/>
    </row>
    <row r="54">
      <c r="A54" s="44" t="n">
        <v>46154</v>
      </c>
      <c r="B54" s="45" t="inlineStr">
        <is>
          <t>Consumidor Final</t>
        </is>
      </c>
      <c r="C54" s="45" t="inlineStr">
        <is>
          <t>Refil Carbon Tech 5"</t>
        </is>
      </c>
      <c r="D54" s="46" t="n">
        <v>55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9047</t>
        </is>
      </c>
    </row>
    <row r="55">
      <c r="A55" s="17" t="n">
        <v>46154</v>
      </c>
      <c r="B55" s="18" t="inlineStr">
        <is>
          <t>Julio Cesar Vilas Boas Santos - Adriadne Me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9048</t>
        </is>
      </c>
      <c r="J55" s="18" t="inlineStr">
        <is>
          <t>CLI-0820</t>
        </is>
      </c>
    </row>
    <row r="56">
      <c r="A56" s="44" t="n">
        <v>46154</v>
      </c>
      <c r="B56" s="45" t="inlineStr">
        <is>
          <t>Consumidor Final</t>
        </is>
      </c>
      <c r="C56" s="45" t="inlineStr">
        <is>
          <t>Mangueira (2 m)</t>
        </is>
      </c>
      <c r="D56" s="46" t="n">
        <v>20</v>
      </c>
      <c r="E56" s="45" t="inlineStr">
        <is>
          <t>Crédito Parcelado</t>
        </is>
      </c>
      <c r="F56" s="47" t="n"/>
      <c r="G56" s="48" t="n"/>
      <c r="H56" s="49" t="n"/>
      <c r="I56" s="45" t="inlineStr">
        <is>
          <t>NFC-e 9049</t>
        </is>
      </c>
    </row>
    <row r="57">
      <c r="A57" s="17" t="n">
        <v>46154</v>
      </c>
      <c r="B57" s="18" t="inlineStr">
        <is>
          <t>Consumidor Final</t>
        </is>
      </c>
      <c r="C57" s="18" t="inlineStr">
        <is>
          <t>Mangueira (2 m)</t>
        </is>
      </c>
      <c r="D57" s="27" t="n">
        <v>25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9050</t>
        </is>
      </c>
      <c r="J57" s="18" t="n"/>
    </row>
    <row r="58">
      <c r="A58" s="44" t="n">
        <v>46154</v>
      </c>
      <c r="B58" s="45" t="inlineStr">
        <is>
          <t>Celcina Barbosa Miranda</t>
        </is>
      </c>
      <c r="C58" s="45" t="inlineStr">
        <is>
          <t>Refil Pro Life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9051</t>
        </is>
      </c>
      <c r="J58" t="inlineStr">
        <is>
          <t>CLI-0821</t>
        </is>
      </c>
    </row>
    <row r="59">
      <c r="A59" s="17" t="n">
        <v>46154</v>
      </c>
      <c r="B59" s="18" t="inlineStr">
        <is>
          <t>Consumidor Final</t>
        </is>
      </c>
      <c r="C59" s="18" t="inlineStr">
        <is>
          <t>Torneira Acqua Azzurra Toc Branca/Azul Saq</t>
        </is>
      </c>
      <c r="D59" s="27" t="n">
        <v>15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9052</t>
        </is>
      </c>
      <c r="J59" s="18" t="n"/>
    </row>
    <row r="60">
      <c r="A60" s="44" t="n">
        <v>46154</v>
      </c>
      <c r="B60" s="45" t="inlineStr">
        <is>
          <t>Estorno de recebimento — Cliente Consumidor</t>
        </is>
      </c>
      <c r="C60" s="45" t="n"/>
      <c r="D60" s="46" t="n"/>
      <c r="E60" s="45" t="n"/>
      <c r="F60" s="47" t="n"/>
      <c r="G60" s="48" t="n">
        <v>75</v>
      </c>
      <c r="H60" s="49" t="inlineStr">
        <is>
          <t>Estornos de Vendas (Cancelamentos)</t>
        </is>
      </c>
      <c r="I60" s="45" t="inlineStr">
        <is>
          <t>Livro Caixa: Estorno de recebimento do documento: Gerado pelo sistema (Doc. 904)</t>
        </is>
      </c>
    </row>
    <row r="61">
      <c r="A61" s="17" t="n">
        <v>46155</v>
      </c>
      <c r="B61" s="18" t="inlineStr">
        <is>
          <t>Jose Ismaildo de Brito</t>
        </is>
      </c>
      <c r="C61" s="18" t="inlineStr">
        <is>
          <t>Purificador Everest Star Branco</t>
        </is>
      </c>
      <c r="D61" s="27" t="n">
        <v>1230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NF-e 4190</t>
        </is>
      </c>
      <c r="J61" s="18" t="n"/>
    </row>
    <row r="62">
      <c r="A62" s="44" t="n">
        <v>46155</v>
      </c>
      <c r="B62" s="45" t="inlineStr">
        <is>
          <t>Juscineide Santos Silva Cruz</t>
        </is>
      </c>
      <c r="C62" s="45" t="inlineStr">
        <is>
          <t>Refil Everest</t>
        </is>
      </c>
      <c r="D62" s="46" t="n">
        <v>140</v>
      </c>
      <c r="E62" s="45" t="inlineStr">
        <is>
          <t>Crédito Parcelado</t>
        </is>
      </c>
      <c r="F62" s="47" t="n"/>
      <c r="G62" s="48" t="n"/>
      <c r="H62" s="49" t="n"/>
      <c r="I62" s="45" t="inlineStr">
        <is>
          <t>NFC-e 9053</t>
        </is>
      </c>
    </row>
    <row r="63" ht="15.75" customHeight="1" s="157">
      <c r="A63" s="17" t="n">
        <v>46155</v>
      </c>
      <c r="B63" s="18" t="inlineStr">
        <is>
          <t>Servico Nacional de Aprendizagem Industrial</t>
        </is>
      </c>
      <c r="C63" s="18" t="inlineStr">
        <is>
          <t>Refil Plissado</t>
        </is>
      </c>
      <c r="D63" s="27" t="n">
        <v>80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NF-e 4193</t>
        </is>
      </c>
      <c r="J63" s="18" t="n"/>
    </row>
    <row r="64">
      <c r="A64" s="44" t="n">
        <v>46155</v>
      </c>
      <c r="B64" s="45" t="inlineStr">
        <is>
          <t>Igreja Batista Filadelfia</t>
        </is>
      </c>
      <c r="C64" s="45" t="inlineStr">
        <is>
          <t>Refil Everest + Suporte</t>
        </is>
      </c>
      <c r="D64" s="46" t="n">
        <v>180</v>
      </c>
      <c r="E64" s="45" t="n"/>
      <c r="F64" s="47" t="n"/>
      <c r="G64" s="48" t="n"/>
      <c r="H64" s="49" t="n"/>
      <c r="I64" s="45" t="inlineStr">
        <is>
          <t>NF-e 4192. Recebimento não constava no Livro Caixa; conferido e baixado no DigiSat em 28/09/2026.</t>
        </is>
      </c>
    </row>
    <row r="65">
      <c r="A65" s="17" t="n">
        <v>46156</v>
      </c>
      <c r="B65" s="18" t="inlineStr">
        <is>
          <t>Consumidor Final</t>
        </is>
      </c>
      <c r="C65" s="18" t="inlineStr">
        <is>
          <t>Refil FPA14</t>
        </is>
      </c>
      <c r="D65" s="27" t="n">
        <v>100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9054</t>
        </is>
      </c>
      <c r="J65" s="18" t="n"/>
    </row>
    <row r="66">
      <c r="A66" s="44" t="n">
        <v>46156</v>
      </c>
      <c r="B66" s="45" t="inlineStr">
        <is>
          <t>Marta Souza Cunha</t>
        </is>
      </c>
      <c r="C66" s="45" t="inlineStr">
        <is>
          <t>Refil Everest</t>
        </is>
      </c>
      <c r="D66" s="46" t="n">
        <v>140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9055</t>
        </is>
      </c>
    </row>
    <row r="67">
      <c r="A67" s="17" t="n">
        <v>46156</v>
      </c>
      <c r="B67" s="18" t="inlineStr">
        <is>
          <t>Centro Medico de Jacobina LTDA - Clinica Santa Barbara</t>
        </is>
      </c>
      <c r="C67" s="18" t="inlineStr">
        <is>
          <t>3x Refil Everest + Refil Pro Life</t>
        </is>
      </c>
      <c r="D67" s="27" t="n">
        <v>560</v>
      </c>
      <c r="E67" s="18" t="n"/>
      <c r="F67" s="19" t="n"/>
      <c r="G67" s="19" t="n"/>
      <c r="H67" s="21" t="n"/>
      <c r="I67" s="18" t="inlineStr">
        <is>
          <t>NF-e 4189 · nota faturada a prazo (forma de recebimento não consta na nota) · venda de 12/05/2026 — pagamento recebido em 14/05/2026</t>
        </is>
      </c>
      <c r="J67" s="18" t="inlineStr">
        <is>
          <t>EMP-0063</t>
        </is>
      </c>
    </row>
    <row r="68">
      <c r="A68" s="44" t="n">
        <v>46156</v>
      </c>
      <c r="B68" s="45" t="inlineStr">
        <is>
          <t>Ages Empreendimentos Educacionais Ltda</t>
        </is>
      </c>
      <c r="C68" s="45" t="inlineStr">
        <is>
          <t>5x Refil IBBL C+3</t>
        </is>
      </c>
      <c r="D68" s="46" t="n">
        <v>450</v>
      </c>
      <c r="E68" s="45" t="inlineStr">
        <is>
          <t>Pix</t>
        </is>
      </c>
      <c r="F68" s="47" t="n"/>
      <c r="G68" s="48" t="n"/>
      <c r="H68" s="49" t="n"/>
      <c r="I68" s="45" t="inlineStr">
        <is>
          <t>NF-e 4158 · Grupo Ânima — venda de 17/04/2026, Nota Paga no portal V360 em 14/05/2026. Recebimento não constava no Livro Caixa; baixa dada no DigiSat em 28/09/2026.</t>
        </is>
      </c>
    </row>
    <row r="69">
      <c r="A69" s="17" t="n">
        <v>46156</v>
      </c>
      <c r="B69" s="18" t="inlineStr">
        <is>
          <t>Ages Educacao Ltda</t>
        </is>
      </c>
      <c r="C69" s="18" t="inlineStr">
        <is>
          <t>9x Refil Consul</t>
        </is>
      </c>
      <c r="D69" s="27" t="n">
        <v>1305</v>
      </c>
      <c r="E69" s="18" t="inlineStr">
        <is>
          <t>Pix</t>
        </is>
      </c>
      <c r="F69" s="19" t="n"/>
      <c r="G69" s="19" t="n"/>
      <c r="H69" s="21" t="n"/>
      <c r="I69" s="18" t="inlineStr">
        <is>
          <t>NF-e 4159 · Grupo Ânima — venda de 17/04/2026, Nota Paga no portal V360 em 14/05/2026. Recebimento não constava no Livro Caixa; baixa dada no DigiSat em 28/09/2026.</t>
        </is>
      </c>
      <c r="J69" s="18" t="n"/>
    </row>
    <row r="70">
      <c r="A70" s="44" t="n">
        <v>46156</v>
      </c>
      <c r="B70" s="45" t="inlineStr">
        <is>
          <t>Culligan Latam Eireli</t>
        </is>
      </c>
      <c r="C70" s="45" t="n"/>
      <c r="D70" s="46" t="n"/>
      <c r="E70" s="45" t="n"/>
      <c r="F70" s="47" t="n"/>
      <c r="G70" s="48" t="n">
        <v>240</v>
      </c>
      <c r="H70" s="49" t="inlineStr">
        <is>
          <t>Fornecedores / Mercadoria</t>
        </is>
      </c>
      <c r="I70" s="45" t="inlineStr">
        <is>
          <t>NF 138165 de 22/04/2026 · compra total R$ 240,00: 10x Filtro De Agua Natural Lacrado · Livro Caixa</t>
        </is>
      </c>
    </row>
    <row r="71">
      <c r="A71" s="17" t="n">
        <v>46157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9056)</t>
        </is>
      </c>
      <c r="J71" s="18" t="n"/>
    </row>
    <row r="72">
      <c r="A72" s="44" t="n">
        <v>46157</v>
      </c>
      <c r="B72" s="45" t="inlineStr">
        <is>
          <t>Karcia Magali Ribeiro Rodrigues</t>
        </is>
      </c>
      <c r="C72" s="45" t="inlineStr">
        <is>
          <t>Refil Everest</t>
        </is>
      </c>
      <c r="D72" s="46" t="n">
        <v>145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9057</t>
        </is>
      </c>
    </row>
    <row r="73" ht="15.75" customHeight="1" s="157">
      <c r="A73" s="17" t="n">
        <v>46157</v>
      </c>
      <c r="B73" s="18" t="inlineStr">
        <is>
          <t>Ligia Oliveira da Luz</t>
        </is>
      </c>
      <c r="C73" s="18" t="inlineStr">
        <is>
          <t>Refil Everest</t>
        </is>
      </c>
      <c r="D73" s="27" t="n">
        <v>140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9058</t>
        </is>
      </c>
      <c r="J73" s="18" t="n"/>
    </row>
    <row r="74">
      <c r="A74" s="44" t="n">
        <v>46157</v>
      </c>
      <c r="B74" s="45" t="inlineStr">
        <is>
          <t>Consumidor Final</t>
        </is>
      </c>
      <c r="C74" s="45" t="inlineStr">
        <is>
          <t>Refil BAG</t>
        </is>
      </c>
      <c r="D74" s="46" t="n">
        <v>50</v>
      </c>
      <c r="E74" s="45" t="inlineStr">
        <is>
          <t>Débito</t>
        </is>
      </c>
      <c r="F74" s="47" t="n"/>
      <c r="G74" s="48" t="n"/>
      <c r="H74" s="49" t="n"/>
      <c r="I74" s="45" t="inlineStr">
        <is>
          <t>NFC-e 9059</t>
        </is>
      </c>
    </row>
    <row r="75">
      <c r="A75" s="17" t="n">
        <v>46157</v>
      </c>
      <c r="B75" s="18" t="inlineStr">
        <is>
          <t>Estorno de recebimento — Cielo S. A.</t>
        </is>
      </c>
      <c r="C75" s="18" t="n"/>
      <c r="D75" s="27" t="n"/>
      <c r="E75" s="18" t="n"/>
      <c r="F75" s="19" t="n"/>
      <c r="G75" s="19" t="n">
        <v>145</v>
      </c>
      <c r="H75" s="21" t="inlineStr">
        <is>
          <t>Estornos de Vendas (Cancelamentos)</t>
        </is>
      </c>
      <c r="I75" s="18" t="inlineStr">
        <is>
          <t>Livro Caixa: Estorno de recebimento do documento: Gerado pelo sistema (Doc. 905)</t>
        </is>
      </c>
      <c r="J75" s="18" t="n"/>
    </row>
    <row r="76">
      <c r="A76" s="44" t="n">
        <v>46158</v>
      </c>
      <c r="B76" s="45" t="inlineStr">
        <is>
          <t>Ages Educacao Ltda</t>
        </is>
      </c>
      <c r="C76" s="45" t="inlineStr">
        <is>
          <t>Carvao Ativado Mineral Po Puro Embalagem 1Kg + 2x Pré Filtro IBBL + 2x Refil IBBL C+3</t>
        </is>
      </c>
      <c r="D76" s="46" t="n">
        <v>670</v>
      </c>
      <c r="E76" s="45" t="inlineStr">
        <is>
          <t>Pix</t>
        </is>
      </c>
      <c r="F76" s="47" t="n"/>
      <c r="G76" s="48" t="n"/>
      <c r="H76" s="49" t="n"/>
      <c r="I76" s="45" t="inlineStr">
        <is>
          <t>NF-e 4147 · Grupo Ânima — venda de 11/04/2026, Nota Paga no portal V360 em 16/05/2026. Recebimento não constava no Livro Caixa; baixa dada no DigiSat em 28/09/2026.</t>
        </is>
      </c>
    </row>
    <row r="77">
      <c r="A77" s="17" t="n">
        <v>46160</v>
      </c>
      <c r="B77" s="18" t="inlineStr">
        <is>
          <t>Consumidor Final</t>
        </is>
      </c>
      <c r="C77" s="18" t="inlineStr">
        <is>
          <t>2x Refil Plissado + Refil Carbon Tech 5"</t>
        </is>
      </c>
      <c r="D77" s="27" t="n">
        <v>220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9060</t>
        </is>
      </c>
      <c r="J77" s="18" t="n"/>
    </row>
    <row r="78">
      <c r="A78" s="44" t="n">
        <v>46160</v>
      </c>
      <c r="B78" s="45" t="inlineStr">
        <is>
          <t>Arlindo Galdino dos Santos Junior - Floricelia</t>
        </is>
      </c>
      <c r="C78" s="45" t="inlineStr">
        <is>
          <t>Refil Pro Life</t>
        </is>
      </c>
      <c r="D78" s="46" t="n">
        <v>140</v>
      </c>
      <c r="E78" s="45" t="inlineStr">
        <is>
          <t>Dinheiro</t>
        </is>
      </c>
      <c r="F78" s="47" t="n"/>
      <c r="G78" s="48" t="n"/>
      <c r="H78" s="49" t="n"/>
      <c r="I78" s="45" t="inlineStr">
        <is>
          <t>NFC-e 9061</t>
        </is>
      </c>
      <c r="J78" t="inlineStr">
        <is>
          <t>CLI-0677</t>
        </is>
      </c>
    </row>
    <row r="79" ht="15.75" customHeight="1" s="157">
      <c r="A79" s="17" t="n">
        <v>46160</v>
      </c>
      <c r="B79" s="18" t="inlineStr">
        <is>
          <t>Maiza Cerqueira Barcelar</t>
        </is>
      </c>
      <c r="C79" s="18" t="inlineStr">
        <is>
          <t>Purificador Everest Fit Branco</t>
        </is>
      </c>
      <c r="D79" s="27" t="n">
        <v>1250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4194</t>
        </is>
      </c>
      <c r="J79" s="18" t="inlineStr">
        <is>
          <t>CLI-0818</t>
        </is>
      </c>
    </row>
    <row r="80">
      <c r="A80" s="44" t="n">
        <v>46161</v>
      </c>
      <c r="B80" s="45" t="inlineStr">
        <is>
          <t>Costa e Sa Advogados</t>
        </is>
      </c>
      <c r="C80" s="45" t="inlineStr">
        <is>
          <t>Refil FPA14</t>
        </is>
      </c>
      <c r="D80" s="46" t="n">
        <v>100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4195</t>
        </is>
      </c>
      <c r="J80" t="inlineStr">
        <is>
          <t>EMP-0316</t>
        </is>
      </c>
    </row>
    <row r="81">
      <c r="A81" s="17" t="n">
        <v>46161</v>
      </c>
      <c r="B81" s="18" t="inlineStr">
        <is>
          <t>Cleidiomar Moreira Gonzaga</t>
        </is>
      </c>
      <c r="C81" s="18" t="inlineStr">
        <is>
          <t>Refil FP1/FP2/FP5/FP8</t>
        </is>
      </c>
      <c r="D81" s="27" t="n">
        <v>150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9062</t>
        </is>
      </c>
      <c r="J81" s="18" t="n"/>
    </row>
    <row r="82">
      <c r="A82" s="44" t="n">
        <v>46161</v>
      </c>
      <c r="B82" s="45" t="inlineStr">
        <is>
          <t>Consumidor Final</t>
        </is>
      </c>
      <c r="C82" s="45" t="inlineStr">
        <is>
          <t>Refil Pro Life</t>
        </is>
      </c>
      <c r="D82" s="46" t="n">
        <v>140</v>
      </c>
      <c r="E82" s="45" t="inlineStr">
        <is>
          <t>Crédito Parcelado</t>
        </is>
      </c>
      <c r="F82" s="47" t="n"/>
      <c r="G82" s="48" t="n"/>
      <c r="H82" s="49" t="n"/>
      <c r="I82" s="45" t="inlineStr">
        <is>
          <t>NFC-e 9063</t>
        </is>
      </c>
    </row>
    <row r="83">
      <c r="A83" s="17" t="n">
        <v>46162</v>
      </c>
      <c r="B83" s="18" t="inlineStr">
        <is>
          <t>Consumidor Final</t>
        </is>
      </c>
      <c r="C83" s="18" t="inlineStr">
        <is>
          <t>Refil PP</t>
        </is>
      </c>
      <c r="D83" s="27" t="n">
        <v>75</v>
      </c>
      <c r="E83" s="18" t="inlineStr">
        <is>
          <t>Pix</t>
        </is>
      </c>
      <c r="F83" s="19" t="n"/>
      <c r="G83" s="19" t="n"/>
      <c r="H83" s="21" t="n"/>
      <c r="I83" s="18" t="inlineStr">
        <is>
          <t>NFC-e 9064</t>
        </is>
      </c>
      <c r="J83" s="18" t="n"/>
    </row>
    <row r="84">
      <c r="A84" s="44" t="n">
        <v>46162</v>
      </c>
      <c r="B84" s="45" t="inlineStr">
        <is>
          <t>Consumidor Final</t>
        </is>
      </c>
      <c r="C84" s="45" t="inlineStr">
        <is>
          <t>Refil Pro Life</t>
        </is>
      </c>
      <c r="D84" s="46" t="n">
        <v>130</v>
      </c>
      <c r="E84" s="45" t="inlineStr">
        <is>
          <t>Débito</t>
        </is>
      </c>
      <c r="F84" s="47" t="n"/>
      <c r="G84" s="48" t="n"/>
      <c r="H84" s="49" t="n"/>
      <c r="I84" s="45" t="inlineStr">
        <is>
          <t>NFC-e 9065</t>
        </is>
      </c>
    </row>
    <row r="85">
      <c r="A85" s="17" t="n">
        <v>46163</v>
      </c>
      <c r="B85" s="18" t="inlineStr">
        <is>
          <t>Eco-Marmores e Granitos Importação e Exportação Ltda</t>
        </is>
      </c>
      <c r="C85" s="18" t="inlineStr">
        <is>
          <t>Refil Pro Life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4198</t>
        </is>
      </c>
      <c r="J85" s="18" t="inlineStr">
        <is>
          <t>EMP-0130</t>
        </is>
      </c>
    </row>
    <row r="86">
      <c r="A86" s="44" t="n">
        <v>46163</v>
      </c>
      <c r="B86" s="45" t="inlineStr">
        <is>
          <t xml:space="preserve">Colegio Castro Alves </t>
        </is>
      </c>
      <c r="C86" s="45" t="inlineStr">
        <is>
          <t>2x Refil Everest</t>
        </is>
      </c>
      <c r="D86" s="46" t="n">
        <v>280</v>
      </c>
      <c r="E86" s="45" t="inlineStr">
        <is>
          <t>Pix</t>
        </is>
      </c>
      <c r="F86" s="47" t="n"/>
      <c r="G86" s="48" t="n"/>
      <c r="H86" s="49" t="n"/>
      <c r="I86" s="45" t="inlineStr">
        <is>
          <t>NF-e 4199</t>
        </is>
      </c>
      <c r="J86" t="inlineStr">
        <is>
          <t>ESC-0012</t>
        </is>
      </c>
    </row>
    <row r="87">
      <c r="A87" s="17" t="n">
        <v>46163</v>
      </c>
      <c r="B87" s="18" t="inlineStr">
        <is>
          <t>Hospital do Trauma Servicos Medicos Hospitalares Ltda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NF-e 4200</t>
        </is>
      </c>
      <c r="J87" s="18" t="n"/>
    </row>
    <row r="88">
      <c r="A88" s="44" t="n">
        <v>46163</v>
      </c>
      <c r="B88" s="45" t="inlineStr">
        <is>
          <t>Ana Claudia Oliveira dos Santos</t>
        </is>
      </c>
      <c r="C88" s="45" t="inlineStr">
        <is>
          <t>Refil Everest</t>
        </is>
      </c>
      <c r="D88" s="46" t="n">
        <v>140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9066</t>
        </is>
      </c>
    </row>
    <row r="89">
      <c r="A89" s="17" t="n">
        <v>46164</v>
      </c>
      <c r="B89" s="18" t="inlineStr">
        <is>
          <t>Aliomar Gomes Navarro</t>
        </is>
      </c>
      <c r="C89" s="18" t="inlineStr">
        <is>
          <t>Refil Everest + Pré Filtro</t>
        </is>
      </c>
      <c r="D89" s="27" t="n">
        <v>200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9067</t>
        </is>
      </c>
      <c r="J89" s="18" t="n"/>
    </row>
    <row r="90">
      <c r="A90" s="44" t="n">
        <v>46164</v>
      </c>
      <c r="B90" s="45" t="inlineStr">
        <is>
          <t>Vanda Cleia Oliveira da Silva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9068</t>
        </is>
      </c>
      <c r="J90" t="inlineStr">
        <is>
          <t>CLI-0829</t>
        </is>
      </c>
    </row>
    <row r="91">
      <c r="A91" s="17" t="n">
        <v>46164</v>
      </c>
      <c r="B91" s="18" t="inlineStr">
        <is>
          <t>Consumidor Final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9069</t>
        </is>
      </c>
      <c r="J91" s="18" t="n"/>
    </row>
    <row r="92">
      <c r="A92" s="44" t="n">
        <v>46164</v>
      </c>
      <c r="B92" s="45" t="inlineStr">
        <is>
          <t>Mariua Construcoes Ltda</t>
        </is>
      </c>
      <c r="C92" s="45" t="inlineStr">
        <is>
          <t>Refil Plissado + Refil Carbon Tech 9"</t>
        </is>
      </c>
      <c r="D92" s="46" t="n">
        <v>180</v>
      </c>
      <c r="E92" s="45" t="inlineStr">
        <is>
          <t>Pix</t>
        </is>
      </c>
      <c r="F92" s="47" t="n"/>
      <c r="G92" s="48" t="n"/>
      <c r="H92" s="49" t="n"/>
      <c r="I92" s="45" t="inlineStr">
        <is>
          <t>NF-e 4201</t>
        </is>
      </c>
    </row>
    <row r="93">
      <c r="A93" s="17" t="n">
        <v>46164</v>
      </c>
      <c r="B93" s="18" t="inlineStr">
        <is>
          <t>Filtros Planeta Agua Ind e Com Ltda</t>
        </is>
      </c>
      <c r="C93" s="18" t="n"/>
      <c r="D93" s="27" t="n"/>
      <c r="E93" s="18" t="n"/>
      <c r="F93" s="19" t="n"/>
      <c r="G93" s="19" t="n">
        <v>504.43</v>
      </c>
      <c r="H93" s="21" t="inlineStr">
        <is>
          <t>Fornecedores / Mercadoria</t>
        </is>
      </c>
      <c r="I93" s="18" t="inlineStr">
        <is>
          <t>NF 128882 de 23/03/2026 · parcela 3/4 (venc. 18/05/2026)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93" s="18" t="n"/>
    </row>
    <row r="94">
      <c r="A94" s="44" t="n">
        <v>46164</v>
      </c>
      <c r="B94" s="45" t="inlineStr">
        <is>
          <t>Receitas Federais</t>
        </is>
      </c>
      <c r="C94" s="45" t="n"/>
      <c r="D94" s="46" t="n"/>
      <c r="E94" s="45" t="n"/>
      <c r="F94" s="47" t="n"/>
      <c r="G94" s="48" t="n">
        <v>405.39</v>
      </c>
      <c r="H94" s="49" t="inlineStr">
        <is>
          <t>Impostos e Taxas</t>
        </is>
      </c>
      <c r="I94" s="45" t="inlineStr">
        <is>
          <t>Livro Caixa: Pagamento parcela RECEITAS FEDERAIS (Doc. 1) · Planeta Agua Ltda</t>
        </is>
      </c>
    </row>
    <row r="95">
      <c r="A95" s="17" t="n">
        <v>46164</v>
      </c>
      <c r="B95" s="18" t="inlineStr">
        <is>
          <t>Fgts</t>
        </is>
      </c>
      <c r="C95" s="18" t="n"/>
      <c r="D95" s="27" t="n"/>
      <c r="E95" s="18" t="n"/>
      <c r="F95" s="19" t="n"/>
      <c r="G95" s="19" t="n">
        <v>240.96</v>
      </c>
      <c r="H95" s="21" t="inlineStr">
        <is>
          <t>Impostos e Taxas</t>
        </is>
      </c>
      <c r="I95" s="18" t="inlineStr">
        <is>
          <t>Livro Caixa: Pagamento parcela FGTS (Doc. 1) · Planeta Agua Ltda</t>
        </is>
      </c>
      <c r="J95" s="18" t="n"/>
    </row>
    <row r="96">
      <c r="A96" s="44" t="n">
        <v>46164</v>
      </c>
      <c r="B96" s="45" t="inlineStr">
        <is>
          <t>Simples Nacional</t>
        </is>
      </c>
      <c r="C96" s="45" t="n"/>
      <c r="D96" s="46" t="n"/>
      <c r="E96" s="45" t="n"/>
      <c r="F96" s="47" t="n"/>
      <c r="G96" s="48" t="n">
        <v>2111.69</v>
      </c>
      <c r="H96" s="49" t="inlineStr">
        <is>
          <t>Impostos e Taxas</t>
        </is>
      </c>
      <c r="I96" s="45" t="inlineStr">
        <is>
          <t>Livro Caixa: Pagamento parcela SIMPLES NACIONAL (Doc. 1) · Planeta Agua Ltda</t>
        </is>
      </c>
    </row>
    <row r="97">
      <c r="A97" s="17" t="n">
        <v>46165</v>
      </c>
      <c r="B97" s="18" t="inlineStr">
        <is>
          <t>Consumidor Final</t>
        </is>
      </c>
      <c r="C97" s="18" t="inlineStr">
        <is>
          <t>Mangueira (1 m)</t>
        </is>
      </c>
      <c r="D97" s="27" t="n">
        <v>10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9070</t>
        </is>
      </c>
      <c r="J97" s="18" t="n"/>
    </row>
    <row r="98">
      <c r="A98" s="44" t="n">
        <v>46167</v>
      </c>
      <c r="B98" s="45" t="inlineStr">
        <is>
          <t>Caio Marcelo da Silva Passos</t>
        </is>
      </c>
      <c r="C98" s="45" t="inlineStr">
        <is>
          <t>Refil Everest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9071</t>
        </is>
      </c>
      <c r="J98" t="inlineStr">
        <is>
          <t>CLI-0830</t>
        </is>
      </c>
    </row>
    <row r="99">
      <c r="A99" s="17" t="n">
        <v>46167</v>
      </c>
      <c r="B99" s="18" t="inlineStr">
        <is>
          <t>Consumidor Final</t>
        </is>
      </c>
      <c r="C99" s="18" t="inlineStr">
        <is>
          <t>Refil Lacqua</t>
        </is>
      </c>
      <c r="D99" s="27" t="n">
        <v>85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9072</t>
        </is>
      </c>
      <c r="J99" s="18" t="n"/>
    </row>
    <row r="100" ht="15.75" customHeight="1" s="157">
      <c r="A100" s="44" t="n">
        <v>46167</v>
      </c>
      <c r="B100" s="45" t="inlineStr">
        <is>
          <t>Consumidor Final</t>
        </is>
      </c>
      <c r="C100" s="45" t="inlineStr">
        <is>
          <t>Refil Carbon Tech 5"</t>
        </is>
      </c>
      <c r="D100" s="46" t="n">
        <v>50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NFC-e 9073</t>
        </is>
      </c>
    </row>
    <row r="101">
      <c r="A101" s="17" t="n">
        <v>46167</v>
      </c>
      <c r="B101" s="18" t="inlineStr">
        <is>
          <t>Consumidor Final</t>
        </is>
      </c>
      <c r="C101" s="18" t="inlineStr">
        <is>
          <t>2x Filtro Bica Movel Preto</t>
        </is>
      </c>
      <c r="D101" s="27" t="n">
        <v>220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9074</t>
        </is>
      </c>
      <c r="J101" s="18" t="n"/>
    </row>
    <row r="102" ht="15.75" customHeight="1" s="157">
      <c r="A102" s="44" t="n">
        <v>46167</v>
      </c>
      <c r="B102" s="45" t="inlineStr">
        <is>
          <t>Clinica Carvalho LTDA</t>
        </is>
      </c>
      <c r="C102" s="45" t="inlineStr">
        <is>
          <t>Refil Pro Life</t>
        </is>
      </c>
      <c r="D102" s="46" t="n">
        <v>140</v>
      </c>
      <c r="E102" s="45" t="n"/>
      <c r="F102" s="47" t="n"/>
      <c r="G102" s="48" t="n"/>
      <c r="H102" s="49" t="n"/>
      <c r="I102" s="45" t="inlineStr">
        <is>
          <t>NF-e 4196 · nota faturada a prazo (forma de recebimento não consta na nota) · venda de 20/05/2026 — pagamento recebido em 25/05/2026</t>
        </is>
      </c>
      <c r="J102" t="inlineStr">
        <is>
          <t>EMP-0069</t>
        </is>
      </c>
    </row>
    <row r="103">
      <c r="A103" s="17" t="n">
        <v>46167</v>
      </c>
      <c r="B103" s="18" t="inlineStr">
        <is>
          <t>Documento de Arrrecadação Estadual Doc.</t>
        </is>
      </c>
      <c r="C103" s="18" t="n"/>
      <c r="D103" s="27" t="n"/>
      <c r="E103" s="18" t="n"/>
      <c r="F103" s="19" t="n"/>
      <c r="G103" s="19" t="n">
        <v>1158.57</v>
      </c>
      <c r="H103" s="21" t="inlineStr">
        <is>
          <t>Impostos e Taxas</t>
        </is>
      </c>
      <c r="I103" s="18" t="inlineStr">
        <is>
          <t>Livro Caixa: Pagamento à vista: DOCUMENTO DE ARRRECADAÇÃO ESTADUAL Doc. · Bahia Secretaria da Fazenda</t>
        </is>
      </c>
      <c r="J103" s="18" t="n"/>
    </row>
    <row r="104" ht="15.75" customHeight="1" s="157">
      <c r="A104" s="44" t="n">
        <v>46168</v>
      </c>
      <c r="B104" s="45" t="inlineStr">
        <is>
          <t>CDI - Clinica Dentaria Integrada - Dr. Cicero - Copa</t>
        </is>
      </c>
      <c r="C104" s="45" t="inlineStr">
        <is>
          <t>2x Refil Everest</t>
        </is>
      </c>
      <c r="D104" s="46" t="n">
        <v>280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4202</t>
        </is>
      </c>
      <c r="J104" t="inlineStr">
        <is>
          <t>EMP-0052</t>
        </is>
      </c>
    </row>
    <row r="105">
      <c r="A105" s="17" t="n">
        <v>46168</v>
      </c>
      <c r="B105" s="18" t="inlineStr">
        <is>
          <t>Clinica Odontologica Radio Imagem Ltda</t>
        </is>
      </c>
      <c r="C105" s="18" t="inlineStr">
        <is>
          <t>Refil Pro Life</t>
        </is>
      </c>
      <c r="D105" s="27" t="n">
        <v>140</v>
      </c>
      <c r="E105" s="18" t="n"/>
      <c r="F105" s="19" t="n"/>
      <c r="G105" s="19" t="n"/>
      <c r="H105" s="21" t="n"/>
      <c r="I105" s="18" t="inlineStr">
        <is>
          <t>NF-e 4197 · nota faturada a prazo (forma de recebimento não consta na nota) · venda de 20/05/2026 — pagamento recebido em 26/05/2026</t>
        </is>
      </c>
      <c r="J105" s="18" t="inlineStr">
        <is>
          <t>EMP-0086</t>
        </is>
      </c>
    </row>
    <row r="106">
      <c r="A106" s="44" t="n">
        <v>46168</v>
      </c>
      <c r="B106" s="45" t="inlineStr">
        <is>
          <t>Regimauro Jesus da Silva</t>
        </is>
      </c>
      <c r="C106" s="45" t="inlineStr">
        <is>
          <t>Refil Everest + Pré Filtro</t>
        </is>
      </c>
      <c r="D106" s="46" t="n">
        <v>200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9075</t>
        </is>
      </c>
    </row>
    <row r="107">
      <c r="A107" s="17" t="n">
        <v>46168</v>
      </c>
      <c r="B107" s="18" t="inlineStr">
        <is>
          <t>Instituto Odontologico Prime - IOP</t>
        </is>
      </c>
      <c r="C107" s="18" t="inlineStr">
        <is>
          <t>Refil Everest</t>
        </is>
      </c>
      <c r="D107" s="27" t="n">
        <v>140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NF-e 4205</t>
        </is>
      </c>
      <c r="J107" s="18" t="inlineStr">
        <is>
          <t>EMP-0182</t>
        </is>
      </c>
    </row>
    <row r="108">
      <c r="A108" s="44" t="n">
        <v>46168</v>
      </c>
      <c r="B108" s="45" t="inlineStr">
        <is>
          <t>Sindicato dos Empregados do Comercio de Jacobina</t>
        </is>
      </c>
      <c r="C108" s="45" t="inlineStr">
        <is>
          <t>Refil Everest</t>
        </is>
      </c>
      <c r="D108" s="46" t="n">
        <v>140</v>
      </c>
      <c r="E108" s="45" t="n"/>
      <c r="F108" s="47" t="n"/>
      <c r="G108" s="48" t="n"/>
      <c r="H108" s="49" t="n"/>
      <c r="I108" s="45" t="inlineStr">
        <is>
          <t>NF-e 4203. Recebimento não constava no Livro Caixa; conferido e baixado no DigiSat em 28/09/2026.</t>
        </is>
      </c>
    </row>
    <row r="109">
      <c r="A109" s="17" t="n">
        <v>46168</v>
      </c>
      <c r="B109" s="18" t="inlineStr">
        <is>
          <t>Burguer Jacobina Ltda</t>
        </is>
      </c>
      <c r="C109" s="18" t="inlineStr">
        <is>
          <t>Refil Everest</t>
        </is>
      </c>
      <c r="D109" s="27" t="n">
        <v>140</v>
      </c>
      <c r="E109" s="18" t="n"/>
      <c r="F109" s="19" t="n"/>
      <c r="G109" s="19" t="n"/>
      <c r="H109" s="21" t="n"/>
      <c r="I109" s="18" t="inlineStr">
        <is>
          <t>NF-e 4204. Recebimento não constava no Livro Caixa; conferido e baixado no DigiSat em 28/09/2026.</t>
        </is>
      </c>
      <c r="J109" s="18" t="n"/>
    </row>
    <row r="110">
      <c r="A110" s="44" t="n">
        <v>46169</v>
      </c>
      <c r="B110" s="45" t="inlineStr">
        <is>
          <t>Elza Pereira dos Santos</t>
        </is>
      </c>
      <c r="C110" s="45" t="inlineStr">
        <is>
          <t>2x Refil Pro Life</t>
        </is>
      </c>
      <c r="D110" s="46" t="n">
        <v>280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9076</t>
        </is>
      </c>
    </row>
    <row r="111">
      <c r="A111" s="17" t="n">
        <v>46169</v>
      </c>
      <c r="B111" s="18" t="inlineStr">
        <is>
          <t>Consumidor Final</t>
        </is>
      </c>
      <c r="C111" s="18" t="inlineStr">
        <is>
          <t>Refil Everest</t>
        </is>
      </c>
      <c r="D111" s="27" t="n">
        <v>140</v>
      </c>
      <c r="E111" s="18" t="inlineStr">
        <is>
          <t>Pix</t>
        </is>
      </c>
      <c r="F111" s="19" t="n"/>
      <c r="G111" s="19" t="n"/>
      <c r="H111" s="21" t="n"/>
      <c r="I111" s="18" t="inlineStr">
        <is>
          <t>NFC-e 9077</t>
        </is>
      </c>
      <c r="J111" s="18" t="n"/>
    </row>
    <row r="112">
      <c r="A112" s="44" t="n">
        <v>46169</v>
      </c>
      <c r="B112" s="45" t="inlineStr">
        <is>
          <t>Cesg - Centro de Educacao Superior de Guanambi S/A</t>
        </is>
      </c>
      <c r="C112" s="45" t="inlineStr">
        <is>
          <t>15x Pré Filtro IBBL + 19x Refil IBBL C+3 + Carvao Ativado Mineral Po Puro Embalagem 1Kg</t>
        </is>
      </c>
      <c r="D112" s="46" t="n">
        <v>4675</v>
      </c>
      <c r="E112" s="45" t="inlineStr">
        <is>
          <t>Pix</t>
        </is>
      </c>
      <c r="F112" s="47" t="n"/>
      <c r="G112" s="48" t="n"/>
      <c r="H112" s="49" t="n"/>
      <c r="I112" s="45" t="inlineStr">
        <is>
          <t>NF-e 4163 · Grupo Ânima — venda de 20/04/2026, Nota Paga no portal V360 em 27/05/2026. Recebimento não constava no Livro Caixa; baixa dada no DigiSat em 28/09/2026.</t>
        </is>
      </c>
    </row>
    <row r="113">
      <c r="A113" s="17" t="n">
        <v>46169</v>
      </c>
      <c r="B113" s="18" t="inlineStr">
        <is>
          <t>Cesg - Centro de Educacao Superior de Guanambi S/A</t>
        </is>
      </c>
      <c r="C113" s="18" t="inlineStr">
        <is>
          <t>5x Refil IBBL C+3 + 3x Pré Filtro IBBL + 2x Carvao Ativado Mineral Po Puro Embalagem 1Kg + 2x Refil Consul</t>
        </is>
      </c>
      <c r="D113" s="27" t="n">
        <v>1335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4164 · Grupo Ânima — venda de 22/04/2026, Nota Paga no portal V360 em 27/05/2026. Recebimento não constava no Livro Caixa; baixa dada no DigiSat em 28/09/2026.</t>
        </is>
      </c>
      <c r="J113" s="18" t="n"/>
    </row>
    <row r="114">
      <c r="A114" s="44" t="n">
        <v>46169</v>
      </c>
      <c r="B114" s="45" t="inlineStr">
        <is>
          <t>Fechadura + Serviço Porta de Vidro</t>
        </is>
      </c>
      <c r="C114" s="45" t="n"/>
      <c r="D114" s="46" t="n"/>
      <c r="E114" s="45" t="n"/>
      <c r="F114" s="47" t="n"/>
      <c r="G114" s="48" t="n">
        <v>200</v>
      </c>
      <c r="H114" s="49" t="inlineStr">
        <is>
          <t>Manutenção e Reparos</t>
        </is>
      </c>
      <c r="I114" s="45" t="inlineStr">
        <is>
          <t>Livro Caixa: Pagamento à vista: FECHADURA + SERVIÇO PORTA DE VIDRO (Doc. 1) · Planeta Agua Ltda</t>
        </is>
      </c>
    </row>
    <row r="115">
      <c r="A115" s="17" t="n">
        <v>46170</v>
      </c>
      <c r="B115" s="18" t="inlineStr">
        <is>
          <t>Aillen Lopes Oliveira</t>
        </is>
      </c>
      <c r="C115" s="18" t="inlineStr">
        <is>
          <t>Termostato</t>
        </is>
      </c>
      <c r="D115" s="27" t="n">
        <v>170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NF-e 4207</t>
        </is>
      </c>
      <c r="J115" s="18" t="n"/>
    </row>
    <row r="116">
      <c r="A116" s="44" t="n">
        <v>46170</v>
      </c>
      <c r="B116" s="45" t="inlineStr">
        <is>
          <t>Diocese de Bomfim Paroquia São Jose</t>
        </is>
      </c>
      <c r="C116" s="45" t="inlineStr">
        <is>
          <t>Refil Everest + Refil Pro Life + Pré Filtro</t>
        </is>
      </c>
      <c r="D116" s="46" t="n">
        <v>340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NF-e 4208</t>
        </is>
      </c>
      <c r="J116" t="inlineStr">
        <is>
          <t>EMP-0117</t>
        </is>
      </c>
    </row>
    <row r="117">
      <c r="A117" s="17" t="n">
        <v>46170</v>
      </c>
      <c r="B117" s="18" t="inlineStr">
        <is>
          <t>Fania Amorim Azevedo</t>
        </is>
      </c>
      <c r="C117" s="18" t="inlineStr">
        <is>
          <t>Refil Everest</t>
        </is>
      </c>
      <c r="D117" s="27" t="n">
        <v>140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NFC-e 9078</t>
        </is>
      </c>
      <c r="J117" s="18" t="inlineStr">
        <is>
          <t>CLI-0836</t>
        </is>
      </c>
    </row>
    <row r="118">
      <c r="A118" s="44" t="n">
        <v>46170</v>
      </c>
      <c r="B118" s="45" t="inlineStr">
        <is>
          <t>Consumidor Final</t>
        </is>
      </c>
      <c r="C118" s="45" t="inlineStr">
        <is>
          <t>Refil Everest</t>
        </is>
      </c>
      <c r="D118" s="46" t="n">
        <v>135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NFC-e 9079</t>
        </is>
      </c>
    </row>
    <row r="119">
      <c r="A119" s="17" t="n">
        <v>46170</v>
      </c>
      <c r="B119" s="18" t="inlineStr">
        <is>
          <t>Veralucia Silva Lima Souza</t>
        </is>
      </c>
      <c r="C119" s="18" t="inlineStr">
        <is>
          <t>Refil Pro Life</t>
        </is>
      </c>
      <c r="D119" s="27" t="n">
        <v>140</v>
      </c>
      <c r="E119" s="18" t="inlineStr">
        <is>
          <t>Crédito Parcelado</t>
        </is>
      </c>
      <c r="F119" s="19" t="n"/>
      <c r="G119" s="19" t="n"/>
      <c r="H119" s="21" t="n"/>
      <c r="I119" s="18" t="inlineStr">
        <is>
          <t>NFC-e 9080</t>
        </is>
      </c>
      <c r="J119" s="18" t="n"/>
    </row>
    <row r="120">
      <c r="A120" s="44" t="n">
        <v>46170</v>
      </c>
      <c r="B120" s="45" t="inlineStr">
        <is>
          <t>Eversoft Ind e Com de Plasticos Ltda</t>
        </is>
      </c>
      <c r="C120" s="45" t="n"/>
      <c r="D120" s="46" t="n"/>
      <c r="E120" s="45" t="n"/>
      <c r="F120" s="47" t="n"/>
      <c r="G120" s="48" t="n">
        <v>541.37</v>
      </c>
      <c r="H120" s="49" t="inlineStr">
        <is>
          <t>Fornecedores / Mercadoria</t>
        </is>
      </c>
      <c r="I120" s="45" t="inlineStr">
        <is>
          <t>NF 70444 de 23/01/2026 · parcela 4/5 (venc. 23/05/2026) · compra total R$ 2.706,83: 50x Refil Everest + 50x Pré Filtro · Livro Caixa</t>
        </is>
      </c>
    </row>
    <row r="121">
      <c r="A121" s="17" t="n">
        <v>46170</v>
      </c>
      <c r="B121" s="18" t="inlineStr">
        <is>
          <t>Eversoft Ind e Com de Plasticos Ltda</t>
        </is>
      </c>
      <c r="C121" s="18" t="n"/>
      <c r="D121" s="27" t="n"/>
      <c r="E121" s="18" t="n"/>
      <c r="F121" s="19" t="n"/>
      <c r="G121" s="19" t="n">
        <v>878.92</v>
      </c>
      <c r="H121" s="21" t="inlineStr">
        <is>
          <t>Fornecedores / Mercadoria</t>
        </is>
      </c>
      <c r="I121" s="18" t="inlineStr">
        <is>
          <t>NF 71084 de 23/02/2026 · parcela 3/5 (venc. 24/05/2026) · compra total R$ 4.394,61: 100x Refil Everest · Livro Caixa</t>
        </is>
      </c>
      <c r="J121" s="18" t="n"/>
    </row>
    <row r="122">
      <c r="A122" s="44" t="n">
        <v>46170</v>
      </c>
      <c r="B122" s="45" t="inlineStr">
        <is>
          <t>Everest Refrigeracao e Industria</t>
        </is>
      </c>
      <c r="C122" s="45" t="n"/>
      <c r="D122" s="46" t="n"/>
      <c r="E122" s="45" t="n"/>
      <c r="F122" s="47" t="n"/>
      <c r="G122" s="48" t="n">
        <v>676.59</v>
      </c>
      <c r="H122" s="49" t="inlineStr">
        <is>
          <t>Fornecedores / Mercadoria</t>
        </is>
      </c>
      <c r="I122" s="45" t="inlineStr">
        <is>
          <t>NF 371358 de 24/02/2026 · parcela 3/5 (venc. 25/05/2026) · compra total R$ 3.382,95: 2x Purificador Everest Star Branco + Purificador Everest Slim Branco + Purificador Everest Fit Branco + Purificador Everest Fit Prata · Livro Caixa</t>
        </is>
      </c>
    </row>
    <row r="123">
      <c r="A123" s="17" t="n">
        <v>46170</v>
      </c>
      <c r="B123" s="18" t="inlineStr">
        <is>
          <t>Icms - Antecipacao Parcial</t>
        </is>
      </c>
      <c r="C123" s="18" t="n"/>
      <c r="D123" s="27" t="n"/>
      <c r="E123" s="18" t="n"/>
      <c r="F123" s="19" t="n"/>
      <c r="G123" s="19" t="n">
        <v>922.79</v>
      </c>
      <c r="H123" s="21" t="inlineStr">
        <is>
          <t>Impostos e Taxas</t>
        </is>
      </c>
      <c r="I123" s="18" t="inlineStr">
        <is>
          <t>Livro Caixa: Pagamento parcela ICMS - ANTECIPACAO PARCIAL (Doc. 1) · Planeta Agua Ltda</t>
        </is>
      </c>
      <c r="J123" s="18" t="n"/>
    </row>
    <row r="124">
      <c r="A124" s="44" t="n">
        <v>46170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504.75</v>
      </c>
      <c r="H124" s="49" t="inlineStr">
        <is>
          <t>Fornecedores / Mercadoria</t>
        </is>
      </c>
      <c r="I124" s="45" t="inlineStr">
        <is>
          <t>NF 129257 de 31/03/2026 · parcela 3/4 (venc. 26/05/2026) · compra total R$ 2.123,99 (IPI R$ 104,98): 5x Refil Fp4 + 10x Refil Carbon Tech 5 Pol + 10x Refil Carbon Tech 9.3/4 Pol + 36x Refil Pre-E3 · Livro Caixa</t>
        </is>
      </c>
    </row>
    <row r="125">
      <c r="A125" s="17" t="n">
        <v>46170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878.9299999999999</v>
      </c>
      <c r="H125" s="21" t="inlineStr">
        <is>
          <t>Fornecedores / Mercadoria</t>
        </is>
      </c>
      <c r="I125" s="18" t="inlineStr">
        <is>
          <t>NF 69886 de 30/12/2025 · parcela 5/5 (venc. 29/05/2026) · compra total R$ 4.394,61: 100x Refil Everest · Livro Caixa</t>
        </is>
      </c>
      <c r="J125" s="18" t="n"/>
    </row>
    <row r="126">
      <c r="A126" s="44" t="n">
        <v>46171</v>
      </c>
      <c r="B126" s="45" t="inlineStr">
        <is>
          <t>Mesquita Maia Atendimento Medico e Odontologico Ltada-Me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NF-e 4209</t>
        </is>
      </c>
    </row>
    <row r="127">
      <c r="A127" s="17" t="n">
        <v>46171</v>
      </c>
      <c r="B127" s="18" t="inlineStr">
        <is>
          <t>Fernandes Guerra Fisioterapia Ltda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4210</t>
        </is>
      </c>
      <c r="J127" s="18" t="n"/>
    </row>
    <row r="128" ht="15.75" customHeight="1" s="157">
      <c r="A128" s="44" t="n">
        <v>46171</v>
      </c>
      <c r="B128" s="45" t="inlineStr">
        <is>
          <t>Verdes Mares Tintas</t>
        </is>
      </c>
      <c r="C128" s="45" t="inlineStr">
        <is>
          <t>Refil Pro Life</t>
        </is>
      </c>
      <c r="D128" s="46" t="n">
        <v>135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4211</t>
        </is>
      </c>
      <c r="J128" t="inlineStr">
        <is>
          <t>EMP-0303</t>
        </is>
      </c>
    </row>
    <row r="129">
      <c r="A129" s="17" t="n">
        <v>46171</v>
      </c>
      <c r="B129" s="18" t="inlineStr">
        <is>
          <t>Airton Vieira Costa</t>
        </is>
      </c>
      <c r="C129" s="18" t="inlineStr">
        <is>
          <t>Purificador Everest Fit Branco</t>
        </is>
      </c>
      <c r="D129" s="27" t="n">
        <v>1298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4212</t>
        </is>
      </c>
      <c r="J129" s="18" t="inlineStr">
        <is>
          <t>CLI-0837</t>
        </is>
      </c>
    </row>
    <row r="130">
      <c r="A130" s="44" t="n">
        <v>46171</v>
      </c>
      <c r="B130" s="45" t="inlineStr">
        <is>
          <t>Apec - Sociedade Potiguar de Educacao e Cultura Ltda</t>
        </is>
      </c>
      <c r="C130" s="45" t="inlineStr">
        <is>
          <t>8x Refil IBBL C+3 + 8x Pré Filtro IBBL + 6x Elemento Filtrante;P/Agua;Carvao Ativado;72X154Mm;Ef/Ef-200</t>
        </is>
      </c>
      <c r="D130" s="46" t="n">
        <v>3040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4170 · Grupo Ânima — venda de 23/04/2026, Nota Paga no portal V360 em 29/05/2026. Recebimento não constava no Livro Caixa; baixa dada no DigiSat em 28/09/2026.</t>
        </is>
      </c>
    </row>
    <row r="131">
      <c r="A131" s="17" t="n">
        <v>46172</v>
      </c>
      <c r="B131" s="18" t="inlineStr">
        <is>
          <t>Consumidor Final</t>
        </is>
      </c>
      <c r="C131" s="18" t="inlineStr">
        <is>
          <t>Conexao Reta Rosca 1/2 Bspt P/Tubo 1/4 Pol Branca + Mangueira (2 m)</t>
        </is>
      </c>
      <c r="D131" s="27" t="n">
        <v>45</v>
      </c>
      <c r="E131" s="18" t="inlineStr">
        <is>
          <t>Dinheiro</t>
        </is>
      </c>
      <c r="F131" s="19" t="n"/>
      <c r="G131" s="19" t="n"/>
      <c r="H131" s="21" t="n"/>
      <c r="I131" s="18" t="inlineStr">
        <is>
          <t>NFC-e 9081</t>
        </is>
      </c>
      <c r="J131" s="18" t="n"/>
    </row>
    <row r="132">
      <c r="A132" s="44" t="n">
        <v>46172</v>
      </c>
      <c r="B132" s="45" t="inlineStr">
        <is>
          <t>Consumidor Final</t>
        </is>
      </c>
      <c r="C132" s="45" t="inlineStr">
        <is>
          <t>Refil FP4</t>
        </is>
      </c>
      <c r="D132" s="46" t="n">
        <v>90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9082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46174</v>
      </c>
      <c r="B5" s="18" t="inlineStr">
        <is>
          <t>Gidionor Andrade dos Santos - Creuza Silva Souza</t>
        </is>
      </c>
      <c r="C5" s="18" t="inlineStr">
        <is>
          <t>Refil Pro Life</t>
        </is>
      </c>
      <c r="D5" s="27" t="n">
        <v>140</v>
      </c>
      <c r="E5" s="18" t="inlineStr">
        <is>
          <t>Dinheiro</t>
        </is>
      </c>
      <c r="F5" s="19" t="n"/>
      <c r="G5" s="19" t="n"/>
      <c r="H5" s="21" t="n"/>
      <c r="I5" s="18" t="inlineStr">
        <is>
          <t>NFC-e 9083</t>
        </is>
      </c>
      <c r="J5" s="18" t="inlineStr">
        <is>
          <t>CLI-0838</t>
        </is>
      </c>
      <c r="K5" s="10" t="inlineStr">
        <is>
          <t>Fornecedores / Mercadoria</t>
        </is>
      </c>
      <c r="L5" s="11">
        <f>SUMIF(H5:H120,K5,G5:G120)</f>
        <v/>
      </c>
      <c r="N5" s="229">
        <f>D121-F121-T5</f>
        <v/>
      </c>
      <c r="P5" s="231">
        <f>L18-L19</f>
        <v/>
      </c>
      <c r="R5" s="230">
        <f>D122</f>
        <v/>
      </c>
      <c r="T5" s="212">
        <f>SUMIF(E5:E120,"Aguardando Pagamento",D5:D120)</f>
        <v/>
      </c>
    </row>
    <row r="6" ht="14.1" customHeight="1" s="157">
      <c r="A6" s="44" t="n">
        <v>46174</v>
      </c>
      <c r="B6" s="45" t="inlineStr">
        <is>
          <t>Albuquerque Scardua Serviços Medicos Ltda -  Ameped</t>
        </is>
      </c>
      <c r="C6" s="45" t="inlineStr">
        <is>
          <t>Refil Pro Life + Mangueira (1 m)</t>
        </is>
      </c>
      <c r="D6" s="46" t="n">
        <v>150</v>
      </c>
      <c r="E6" s="45" t="inlineStr">
        <is>
          <t>Pix</t>
        </is>
      </c>
      <c r="F6" s="47" t="n"/>
      <c r="G6" s="48" t="n"/>
      <c r="H6" s="49" t="n"/>
      <c r="I6" s="45" t="inlineStr">
        <is>
          <t>NF-e 4213</t>
        </is>
      </c>
      <c r="J6" t="inlineStr">
        <is>
          <t>EMP-0005</t>
        </is>
      </c>
      <c r="K6" s="13" t="inlineStr">
        <is>
          <t>Aluguel</t>
        </is>
      </c>
      <c r="L6" s="14">
        <f>SUMIF(H5:H120,K6,G5:G120)</f>
        <v/>
      </c>
    </row>
    <row r="7" ht="15.75" customHeight="1" s="157">
      <c r="A7" s="17" t="n">
        <v>46174</v>
      </c>
      <c r="B7" s="18" t="inlineStr">
        <is>
          <t>Maria do Socorro Lima Grassi</t>
        </is>
      </c>
      <c r="C7" s="18" t="inlineStr">
        <is>
          <t>Refil Everest</t>
        </is>
      </c>
      <c r="D7" s="27" t="n">
        <v>140</v>
      </c>
      <c r="E7" s="18" t="inlineStr">
        <is>
          <t>Dinheiro</t>
        </is>
      </c>
      <c r="F7" s="19" t="n"/>
      <c r="G7" s="19" t="n"/>
      <c r="H7" s="21" t="n"/>
      <c r="I7" s="18" t="inlineStr">
        <is>
          <t>NFC-e 9084</t>
        </is>
      </c>
      <c r="J7" s="18" t="inlineStr">
        <is>
          <t>CLI-0839</t>
        </is>
      </c>
      <c r="K7" s="10" t="inlineStr">
        <is>
          <t>Água, Energia e Internet</t>
        </is>
      </c>
      <c r="L7" s="11">
        <f>SUMIF(H5:H120,K7,G5:G120)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COMBINADO",IF(TODAY()&gt;EOMONTH(DATE(2026,6,1),0),"ABAIXO DO COMBINADO","AINDA PODE GASTAR"))</f>
        <v/>
      </c>
      <c r="T7" s="224" t="inlineStr">
        <is>
          <t>SOBRA FINAL DO MÊS</t>
        </is>
      </c>
    </row>
    <row r="8">
      <c r="A8" s="44" t="n">
        <v>46175</v>
      </c>
      <c r="B8" s="45" t="inlineStr">
        <is>
          <t>Eva Lages Matos de Freitas</t>
        </is>
      </c>
      <c r="C8" s="45" t="inlineStr">
        <is>
          <t>(Mesma venda — parcela seguinte, sem produtos novos)</t>
        </is>
      </c>
      <c r="D8" s="46" t="n">
        <v>70</v>
      </c>
      <c r="E8" s="45" t="n"/>
      <c r="F8" s="47" t="n"/>
      <c r="G8" s="48" t="n"/>
      <c r="H8" s="49" t="n"/>
      <c r="I8" s="45" t="inlineStr">
        <is>
          <t>NFC-e 8918 · venda de 07/03/2026, total R$ 140,00 — parcela 2 · nota faturada a prazo (forma de recebimento não consta na nota)</t>
        </is>
      </c>
      <c r="J8" t="inlineStr">
        <is>
          <t>CLI-0741</t>
        </is>
      </c>
      <c r="K8" s="13" t="inlineStr">
        <is>
          <t>Impostos e Taxas</t>
        </is>
      </c>
      <c r="L8" s="14">
        <f>SUMIF(H5:H120,K8,G5:G120)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46176</v>
      </c>
      <c r="B9" s="18" t="inlineStr">
        <is>
          <t>Lojão das Maquiagens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4215</t>
        </is>
      </c>
      <c r="J9" s="18" t="inlineStr">
        <is>
          <t>EMP-0207</t>
        </is>
      </c>
      <c r="K9" s="10" t="inlineStr">
        <is>
          <t>Tarifas Bancárias e Cartão</t>
        </is>
      </c>
      <c r="L9" s="11">
        <f>SUMIF(H5:H120,K9,G5:G120)</f>
        <v/>
      </c>
    </row>
    <row r="10">
      <c r="A10" s="44" t="n">
        <v>46176</v>
      </c>
      <c r="B10" s="45" t="inlineStr">
        <is>
          <t>Jidalva Freitas Silva</t>
        </is>
      </c>
      <c r="C10" s="45" t="inlineStr">
        <is>
          <t>Refil Pro Life</t>
        </is>
      </c>
      <c r="D10" s="46" t="n">
        <v>140</v>
      </c>
      <c r="E10" s="45" t="inlineStr">
        <is>
          <t>Pix</t>
        </is>
      </c>
      <c r="F10" s="47" t="n"/>
      <c r="G10" s="48" t="n"/>
      <c r="H10" s="49" t="n"/>
      <c r="I10" s="45" t="inlineStr">
        <is>
          <t>NFC-e 9085</t>
        </is>
      </c>
      <c r="J10" t="inlineStr">
        <is>
          <t>CLI-0840</t>
        </is>
      </c>
      <c r="K10" s="13" t="inlineStr">
        <is>
          <t>Transporte e Entregas</t>
        </is>
      </c>
      <c r="L10" s="14">
        <f>SUMIF(H5:H120,K10,G5:G120)</f>
        <v/>
      </c>
    </row>
    <row r="11">
      <c r="A11" s="17" t="n">
        <v>46176</v>
      </c>
      <c r="B11" s="18" t="inlineStr">
        <is>
          <t>Ricardo Alcantara Mesquita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9086</t>
        </is>
      </c>
      <c r="J11" s="18" t="n"/>
      <c r="K11" s="10" t="inlineStr">
        <is>
          <t>Salários, Comissões e Encargos</t>
        </is>
      </c>
      <c r="L11" s="11">
        <f>SUMIF(H5:H120,K11,G5:G120)</f>
        <v/>
      </c>
    </row>
    <row r="12">
      <c r="A12" s="44" t="n">
        <v>46176</v>
      </c>
      <c r="B12" s="45" t="inlineStr">
        <is>
          <t>Consumidor Final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9087</t>
        </is>
      </c>
      <c r="K12" s="13" t="inlineStr">
        <is>
          <t>Contabilidade</t>
        </is>
      </c>
      <c r="L12" s="14">
        <f>SUMIF(H5:H120,K12,G5:G120)</f>
        <v/>
      </c>
    </row>
    <row r="13">
      <c r="A13" s="17" t="n">
        <v>46177</v>
      </c>
      <c r="B13" s="18" t="inlineStr">
        <is>
          <t>Ages Empreendimentos Educacionais Ltda</t>
        </is>
      </c>
      <c r="C13" s="18" t="inlineStr">
        <is>
          <t>8x Pré Filtro IBBL + 8x Refil IBBL C+3</t>
        </is>
      </c>
      <c r="D13" s="27" t="n">
        <v>2160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4178 · Grupo Ânima — venda de 29/04/2026, Nota Paga no portal V360 em 04/06/2026.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SUMIF(H5:H120,K13,G5:G120)</f>
        <v/>
      </c>
    </row>
    <row r="14" ht="15.75" customHeight="1" s="157">
      <c r="A14" s="44" t="n">
        <v>46178</v>
      </c>
      <c r="B14" s="45" t="inlineStr">
        <is>
          <t>Gabriela Ferreira Gama</t>
        </is>
      </c>
      <c r="C14" s="45" t="inlineStr">
        <is>
          <t>Purificador Everest Slim Branco</t>
        </is>
      </c>
      <c r="D14" s="46" t="n">
        <v>1398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4218</t>
        </is>
      </c>
      <c r="J14" t="inlineStr">
        <is>
          <t>CLI-0848</t>
        </is>
      </c>
      <c r="K14" s="13" t="inlineStr">
        <is>
          <t>Material de Limpeza e Escritório</t>
        </is>
      </c>
      <c r="L14" s="14">
        <f>SUMIF(H5:H120,K14,G5:G120)</f>
        <v/>
      </c>
    </row>
    <row r="15" ht="15.75" customHeight="1" s="157">
      <c r="A15" s="17" t="n">
        <v>46178</v>
      </c>
      <c r="B15" s="18" t="inlineStr">
        <is>
          <t>Consumidor Final</t>
        </is>
      </c>
      <c r="C15" s="18" t="inlineStr">
        <is>
          <t>Refil Universal</t>
        </is>
      </c>
      <c r="D15" s="27" t="n">
        <v>30</v>
      </c>
      <c r="E15" s="18" t="inlineStr">
        <is>
          <t>Débito</t>
        </is>
      </c>
      <c r="F15" s="19" t="n"/>
      <c r="G15" s="19" t="n"/>
      <c r="H15" s="21" t="n"/>
      <c r="I15" s="18" t="inlineStr">
        <is>
          <t>NFC-e 9088</t>
        </is>
      </c>
      <c r="J15" s="18" t="n"/>
      <c r="K15" s="10" t="inlineStr">
        <is>
          <t>Estornos de Vendas (Cancelamentos)</t>
        </is>
      </c>
      <c r="L15" s="11">
        <f>SUMIF(H5:H120,K15,G5:G120)</f>
        <v/>
      </c>
    </row>
    <row r="16">
      <c r="A16" s="44" t="n">
        <v>46178</v>
      </c>
      <c r="B16" s="45" t="inlineStr">
        <is>
          <t>Consumidor Final</t>
        </is>
      </c>
      <c r="C16" s="45" t="inlineStr">
        <is>
          <t>Refil Pro Life</t>
        </is>
      </c>
      <c r="D16" s="46" t="n">
        <v>35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9089</t>
        </is>
      </c>
      <c r="K16" t="inlineStr">
        <is>
          <t>Outras Despesas</t>
        </is>
      </c>
      <c r="L16" s="11">
        <f>SUMIF(H5:H120,K16,G5:G120)</f>
        <v/>
      </c>
    </row>
    <row r="17" ht="15.75" customHeight="1" s="157">
      <c r="A17" s="17" t="n">
        <v>46178</v>
      </c>
      <c r="B17" s="18" t="inlineStr">
        <is>
          <t>Reinaldo de Jesus - Elizete</t>
        </is>
      </c>
      <c r="C17" s="18" t="inlineStr">
        <is>
          <t>Refil Everest + Registro</t>
        </is>
      </c>
      <c r="D17" s="27" t="n">
        <v>170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9090</t>
        </is>
      </c>
      <c r="J17" s="18" t="inlineStr">
        <is>
          <t>CLI-0842</t>
        </is>
      </c>
      <c r="K17" t="inlineStr">
        <is>
          <t>Pro Labore Edilânia</t>
        </is>
      </c>
      <c r="L17">
        <f>SUMIF(H5:H120,K17,G5:G120)</f>
        <v/>
      </c>
    </row>
    <row r="18" ht="15.75" customHeight="1" s="157">
      <c r="A18" s="44" t="n">
        <v>46178</v>
      </c>
      <c r="B18" s="45" t="inlineStr">
        <is>
          <t>Bio Imagem Serviço de Diagnostico - Copa</t>
        </is>
      </c>
      <c r="C18" s="45" t="inlineStr">
        <is>
          <t>2x Refil Everest</t>
        </is>
      </c>
      <c r="D18" s="46" t="n">
        <v>200</v>
      </c>
      <c r="E18" s="45" t="n"/>
      <c r="F18" s="47" t="n"/>
      <c r="G18" s="48" t="n"/>
      <c r="H18" s="49" t="n"/>
      <c r="I18" s="45" t="inlineStr">
        <is>
          <t>NF-e 4219 · venda de 05/06/2026, total R$ 280,00 — parcela 1 · nota faturada a prazo (forma de recebimento não consta na nota)</t>
        </is>
      </c>
      <c r="J18" t="inlineStr">
        <is>
          <t>EMP-0030</t>
        </is>
      </c>
      <c r="K18" t="inlineStr">
        <is>
          <t>Total</t>
        </is>
      </c>
      <c r="L18">
        <f>SUM(L5:L16)</f>
        <v/>
      </c>
    </row>
    <row r="19">
      <c r="A19" s="17" t="n">
        <v>46178</v>
      </c>
      <c r="B19" s="18" t="inlineStr">
        <is>
          <t>Ages Empreendimentos Educacionais Ltda</t>
        </is>
      </c>
      <c r="C19" s="18" t="inlineStr">
        <is>
          <t>8x Pré Filtro IBBL + 8x Refil IBBL C+3</t>
        </is>
      </c>
      <c r="D19" s="27" t="n">
        <v>2160</v>
      </c>
      <c r="E19" s="18" t="inlineStr">
        <is>
          <t>Pix</t>
        </is>
      </c>
      <c r="F19" s="19" t="n"/>
      <c r="G19" s="19" t="n"/>
      <c r="H19" s="21" t="n"/>
      <c r="I19" s="18" t="inlineStr">
        <is>
          <t>NF-e 4180 · Grupo Ânima — venda de 30/04/2026, Nota Paga no portal V360 em 05/06/2026. Recebimento não constava no Livro Caixa; baixa dada no DigiSat em 28/09/2026.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(BB)'!A9:A200,"&gt;="&amp;DATE(2026,6,1),'Capital de Giro (BB)'!A9:A200,"&lt;="&amp;DATE(2026,6,30),'Capital de Giro (BB)'!E9:E200,"A Devolver")</f>
        <v/>
      </c>
    </row>
    <row r="20">
      <c r="A20" s="44" t="n">
        <v>46178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504.43</v>
      </c>
      <c r="H20" s="49" t="inlineStr">
        <is>
          <t>Fornecedores / Mercadoria</t>
        </is>
      </c>
      <c r="I20" s="45" t="inlineStr">
        <is>
          <t>NF 128882 de 23/03/2026 · parcela 4/4 (venc. 01/06/2026)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21">
      <c r="A21" s="17" t="n">
        <v>46178</v>
      </c>
      <c r="B21" s="18" t="inlineStr">
        <is>
          <t>Eversoft Ind e Com de Plasticos Ltda</t>
        </is>
      </c>
      <c r="C21" s="18" t="n"/>
      <c r="D21" s="27" t="n"/>
      <c r="E21" s="18" t="n"/>
      <c r="F21" s="19" t="n"/>
      <c r="G21" s="19" t="n">
        <v>878.92</v>
      </c>
      <c r="H21" s="21" t="inlineStr">
        <is>
          <t>Fornecedores / Mercadoria</t>
        </is>
      </c>
      <c r="I21" s="18" t="inlineStr">
        <is>
          <t>NF 72153 de 02/04/2026 · parcela 2/5 (venc. 01/06/2026) · compra total R$ 4.394,61: 100x Refil Everest · Livro Caixa</t>
        </is>
      </c>
      <c r="J21" s="18" t="n"/>
    </row>
    <row r="22">
      <c r="A22" s="44" t="n">
        <v>46178</v>
      </c>
      <c r="B22" s="45" t="inlineStr">
        <is>
          <t>Aluguel Vitoria Maria</t>
        </is>
      </c>
      <c r="C22" s="45" t="n"/>
      <c r="D22" s="46" t="n"/>
      <c r="E22" s="45" t="n"/>
      <c r="F22" s="47" t="n"/>
      <c r="G22" s="48" t="n">
        <v>870</v>
      </c>
      <c r="H22" s="49" t="inlineStr">
        <is>
          <t>Aluguel</t>
        </is>
      </c>
      <c r="I22" s="45" t="inlineStr">
        <is>
          <t>Livro Caixa: Pagamento parcela ALUGUEL VITORIA MARIA (Doc. 1) · Vitoria Maria F Santos</t>
        </is>
      </c>
    </row>
    <row r="23">
      <c r="A23" s="17" t="n">
        <v>46178</v>
      </c>
      <c r="B23" s="18" t="inlineStr">
        <is>
          <t>Documento de Arrecadação de Receitas Fed</t>
        </is>
      </c>
      <c r="C23" s="18" t="n"/>
      <c r="D23" s="27" t="n"/>
      <c r="E23" s="18" t="n"/>
      <c r="F23" s="19" t="n"/>
      <c r="G23" s="19" t="n">
        <v>430.27</v>
      </c>
      <c r="H23" s="21" t="inlineStr">
        <is>
          <t>Impostos e Taxas</t>
        </is>
      </c>
      <c r="I23" s="18" t="inlineStr">
        <is>
          <t>Livro Caixa: Pagamento à vista: DOCUMENTO DE ARRECADAÇÃO DE RECEITAS FED · Ministerio da Fazenda</t>
        </is>
      </c>
      <c r="J23" s="18" t="n"/>
    </row>
    <row r="24">
      <c r="A24" s="44" t="n">
        <v>46178</v>
      </c>
      <c r="B24" s="45" t="inlineStr">
        <is>
          <t>Coelba Loja</t>
        </is>
      </c>
      <c r="C24" s="45" t="n"/>
      <c r="D24" s="46" t="n"/>
      <c r="E24" s="45" t="n"/>
      <c r="F24" s="47" t="n"/>
      <c r="G24" s="48" t="n">
        <v>150.65</v>
      </c>
      <c r="H24" s="49" t="inlineStr">
        <is>
          <t>Água, Energia e Internet</t>
        </is>
      </c>
      <c r="I24" s="45" t="inlineStr">
        <is>
          <t>Livro Caixa: Pagamento parcela COELBA LOJA (Doc. 1) · Companhia de Eletricidade do Estado da Bahia Coelba</t>
        </is>
      </c>
    </row>
    <row r="25">
      <c r="A25" s="17" t="n">
        <v>46178</v>
      </c>
      <c r="B25" s="18" t="inlineStr">
        <is>
          <t>Everest Refrigeracao e Industria</t>
        </is>
      </c>
      <c r="C25" s="18" t="n"/>
      <c r="D25" s="27" t="n"/>
      <c r="E25" s="18" t="n"/>
      <c r="F25" s="19" t="n"/>
      <c r="G25" s="19" t="n">
        <v>706.65</v>
      </c>
      <c r="H25" s="21" t="inlineStr">
        <is>
          <t>Fornecedores / Mercadoria</t>
        </is>
      </c>
      <c r="I25" s="18" t="inlineStr">
        <is>
          <t>NF 374271 de 06/04/2026 · parcela 2/5 (venc. 05/06/2026) · compra total R$ 3.533,27: Purificador Everest Plus Prata + Purificador Everest Star Branco + Purificador Everest Star Preto + Purificador Everest Slim Prata + Purificador Everest Fit Branco · Livro Caixa</t>
        </is>
      </c>
      <c r="J25" s="18" t="n"/>
    </row>
    <row r="26">
      <c r="A26" s="44" t="n">
        <v>46178</v>
      </c>
      <c r="B26" s="45" t="inlineStr">
        <is>
          <t>Filtros Planeta Agua Ind e Com Ltda</t>
        </is>
      </c>
      <c r="C26" s="45" t="n"/>
      <c r="D26" s="46" t="n"/>
      <c r="E26" s="45" t="n"/>
      <c r="F26" s="47" t="n"/>
      <c r="G26" s="48" t="n">
        <v>804.71</v>
      </c>
      <c r="H26" s="49" t="inlineStr">
        <is>
          <t>Fornecedores / Mercadoria</t>
        </is>
      </c>
      <c r="I26" s="45" t="inlineStr">
        <is>
          <t>NF 130510 de 08/05/2026 · parcela 1/4 (venc. 05/06/2026)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7">
      <c r="A27" s="17" t="n">
        <v>46179</v>
      </c>
      <c r="B27" s="18" t="inlineStr">
        <is>
          <t>Consumidor Final</t>
        </is>
      </c>
      <c r="C27" s="18" t="inlineStr">
        <is>
          <t>Mangueira (1 m)</t>
        </is>
      </c>
      <c r="D27" s="27" t="n">
        <v>10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9091</t>
        </is>
      </c>
      <c r="J27" s="18" t="n"/>
    </row>
    <row r="28">
      <c r="A28" s="44" t="n">
        <v>46179</v>
      </c>
      <c r="B28" s="45" t="inlineStr">
        <is>
          <t>Consumidor Final</t>
        </is>
      </c>
      <c r="C28" s="45" t="inlineStr">
        <is>
          <t>Mangueira (1 m)</t>
        </is>
      </c>
      <c r="D28" s="46" t="n">
        <v>10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9092</t>
        </is>
      </c>
    </row>
    <row r="29" ht="15.75" customHeight="1" s="157">
      <c r="A29" s="17" t="n">
        <v>46179</v>
      </c>
      <c r="B29" s="18" t="inlineStr">
        <is>
          <t>Consumidor Final</t>
        </is>
      </c>
      <c r="C29" s="18" t="inlineStr">
        <is>
          <t>Refil FP4</t>
        </is>
      </c>
      <c r="D29" s="27" t="n">
        <v>80</v>
      </c>
      <c r="E29" s="18" t="inlineStr">
        <is>
          <t>Pix</t>
        </is>
      </c>
      <c r="F29" s="19" t="n"/>
      <c r="G29" s="19" t="n"/>
      <c r="H29" s="21" t="n"/>
      <c r="I29" s="18" t="inlineStr">
        <is>
          <t>NFC-e 9093</t>
        </is>
      </c>
      <c r="J29" s="18" t="n"/>
    </row>
    <row r="30">
      <c r="A30" s="44" t="n">
        <v>46181</v>
      </c>
      <c r="B30" s="45" t="inlineStr">
        <is>
          <t>Servico Nacional de Aprendizagem Rural Senar</t>
        </is>
      </c>
      <c r="C30" s="45" t="inlineStr">
        <is>
          <t>Refil FPA14 + Refil Multifilter</t>
        </is>
      </c>
      <c r="D30" s="46" t="n">
        <v>175</v>
      </c>
      <c r="E30" s="45" t="inlineStr">
        <is>
          <t>Dinheiro</t>
        </is>
      </c>
      <c r="F30" s="47" t="n"/>
      <c r="G30" s="48" t="n"/>
      <c r="H30" s="49" t="n"/>
      <c r="I30" s="45" t="inlineStr">
        <is>
          <t>NF-e 4220</t>
        </is>
      </c>
    </row>
    <row r="31">
      <c r="A31" s="17" t="n">
        <v>46181</v>
      </c>
      <c r="B31" s="18" t="inlineStr">
        <is>
          <t>José Carlos Silveira Gomes</t>
        </is>
      </c>
      <c r="C31" s="18" t="inlineStr">
        <is>
          <t>Refil Everest</t>
        </is>
      </c>
      <c r="D31" s="27" t="n">
        <v>135</v>
      </c>
      <c r="E31" s="18" t="inlineStr">
        <is>
          <t>Pix</t>
        </is>
      </c>
      <c r="F31" s="19" t="n"/>
      <c r="G31" s="19" t="n"/>
      <c r="H31" s="21" t="n"/>
      <c r="I31" s="18" t="inlineStr">
        <is>
          <t>NFC-e 9094</t>
        </is>
      </c>
      <c r="J31" s="18" t="inlineStr">
        <is>
          <t>CLI-0845</t>
        </is>
      </c>
    </row>
    <row r="32">
      <c r="A32" s="44" t="n">
        <v>46181</v>
      </c>
      <c r="B32" s="45" t="inlineStr">
        <is>
          <t>Consumidor Final</t>
        </is>
      </c>
      <c r="C32" s="45" t="inlineStr">
        <is>
          <t>Mangueira (1 m)</t>
        </is>
      </c>
      <c r="D32" s="46" t="n">
        <v>10</v>
      </c>
      <c r="E32" s="45" t="inlineStr">
        <is>
          <t>Débito</t>
        </is>
      </c>
      <c r="F32" s="47" t="n"/>
      <c r="G32" s="48" t="n"/>
      <c r="H32" s="49" t="n"/>
      <c r="I32" s="45" t="inlineStr">
        <is>
          <t>NFC-e 9095</t>
        </is>
      </c>
    </row>
    <row r="33">
      <c r="A33" s="17" t="n">
        <v>46181</v>
      </c>
      <c r="B33" s="18" t="inlineStr">
        <is>
          <t>Consumidor Final</t>
        </is>
      </c>
      <c r="C33" s="18" t="inlineStr">
        <is>
          <t>Conexao Reta Rosca 1/2 Bspt P/Tubo 1/4 Pol Branca</t>
        </is>
      </c>
      <c r="D33" s="27" t="n">
        <v>25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9096</t>
        </is>
      </c>
      <c r="J33" s="18" t="n"/>
    </row>
    <row r="34">
      <c r="A34" s="44" t="n">
        <v>46182</v>
      </c>
      <c r="B34" s="45" t="inlineStr">
        <is>
          <t>Consumidor Final</t>
        </is>
      </c>
      <c r="C34" s="45" t="inlineStr">
        <is>
          <t>Refil Everest</t>
        </is>
      </c>
      <c r="D34" s="46" t="n">
        <v>140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9097</t>
        </is>
      </c>
    </row>
    <row r="35">
      <c r="A35" s="17" t="n">
        <v>46182</v>
      </c>
      <c r="B35" s="18" t="inlineStr">
        <is>
          <t>Skina Mineira LTDA</t>
        </is>
      </c>
      <c r="C35" s="18" t="inlineStr">
        <is>
          <t>Refil Pro Life + Pré Filtro</t>
        </is>
      </c>
      <c r="D35" s="27" t="n">
        <v>200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NF-e 4221</t>
        </is>
      </c>
      <c r="J35" s="18" t="inlineStr">
        <is>
          <t>EMP-0278</t>
        </is>
      </c>
    </row>
    <row r="36">
      <c r="A36" s="44" t="n">
        <v>46182</v>
      </c>
      <c r="B36" s="45" t="inlineStr">
        <is>
          <t>Marisa Araujo Oliveira Nascimento</t>
        </is>
      </c>
      <c r="C36" s="45" t="inlineStr">
        <is>
          <t>Refil Everest</t>
        </is>
      </c>
      <c r="D36" s="46" t="n">
        <v>140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4222</t>
        </is>
      </c>
    </row>
    <row r="37">
      <c r="A37" s="17" t="n">
        <v>46182</v>
      </c>
      <c r="B37" s="18" t="inlineStr">
        <is>
          <t>Bio Imagem Serviço de Diagnostico - Copa</t>
        </is>
      </c>
      <c r="C37" s="18" t="inlineStr">
        <is>
          <t>(Mesma venda — parcela seguinte, sem produtos novos)</t>
        </is>
      </c>
      <c r="D37" s="27" t="n">
        <v>80</v>
      </c>
      <c r="E37" s="18" t="n"/>
      <c r="F37" s="19" t="n"/>
      <c r="G37" s="19" t="n"/>
      <c r="H37" s="21" t="n"/>
      <c r="I37" s="18" t="inlineStr">
        <is>
          <t>NF-e 4219 · venda de 05/06/2026, total R$ 280,00 — parcela 2 · nota faturada a prazo (forma de recebimento não consta na nota)</t>
        </is>
      </c>
      <c r="J37" s="18" t="inlineStr">
        <is>
          <t>EMP-0030</t>
        </is>
      </c>
    </row>
    <row r="38">
      <c r="A38" s="44" t="n">
        <v>46182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811.01</v>
      </c>
      <c r="H38" s="49" t="inlineStr">
        <is>
          <t>Fornecedores / Mercadoria</t>
        </is>
      </c>
      <c r="I38" s="45" t="inlineStr">
        <is>
          <t>NF 368012 de 08/01/2026 · parcela 5/5 (venc. 07/06/2026) · compra total R$ 4.054,97: Purificador Everest Fit Branco + 2x Purificador Everest Slim Branco + Purificador Everest Slim Preto + 2x Purificador Everest Star Branco · Livro Caixa</t>
        </is>
      </c>
    </row>
    <row r="39" ht="15.75" customHeight="1" s="157">
      <c r="A39" s="17" t="n">
        <v>46182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725.48</v>
      </c>
      <c r="H39" s="21" t="inlineStr">
        <is>
          <t>Fornecedores / Mercadoria</t>
        </is>
      </c>
      <c r="I39" s="18" t="inlineStr">
        <is>
          <t>NF 372597 de 11/03/2026 · parcela 3/5 (venc. 09/06/2026) · compra total R$ 3.627,42: 2x Purificador Everest Plus Branco + Purificador Everest Fit Preto + Purificador Everest Slim Preto + Purificador Everest Star Preto · Livro Caixa</t>
        </is>
      </c>
      <c r="J39" s="18" t="n"/>
    </row>
    <row r="40">
      <c r="A40" s="44" t="n">
        <v>46182</v>
      </c>
      <c r="B40" s="45" t="inlineStr">
        <is>
          <t>Filtros Planeta Agua Ind e Com Ltda</t>
        </is>
      </c>
      <c r="C40" s="45" t="n"/>
      <c r="D40" s="46" t="n"/>
      <c r="E40" s="45" t="n"/>
      <c r="F40" s="47" t="n"/>
      <c r="G40" s="48" t="n">
        <v>504.75</v>
      </c>
      <c r="H40" s="49" t="inlineStr">
        <is>
          <t>Fornecedores / Mercadoria</t>
        </is>
      </c>
      <c r="I40" s="45" t="inlineStr">
        <is>
          <t>NF 129257 de 31/03/2026 · parcela 4/4 (venc. 09/06/2026) · compra total R$ 2.123,99 (IPI R$ 104,98): 5x Refil Fp4 + 10x Refil Carbon Tech 5 Pol + 10x Refil Carbon Tech 9.3/4 Pol + 36x Refil Pre-E3 · Livro Caixa</t>
        </is>
      </c>
    </row>
    <row r="41">
      <c r="A41" s="17" t="n">
        <v>46183</v>
      </c>
      <c r="B41" s="18" t="inlineStr">
        <is>
          <t>Darc Store (calçados) - Carlos Henrique de Oliveira Salvador Ltda</t>
        </is>
      </c>
      <c r="C41" s="18" t="inlineStr">
        <is>
          <t>Refil Everest</t>
        </is>
      </c>
      <c r="D41" s="27" t="n">
        <v>140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4223</t>
        </is>
      </c>
      <c r="J41" s="18" t="inlineStr">
        <is>
          <t>EMP-0113</t>
        </is>
      </c>
    </row>
    <row r="42" ht="15.75" customHeight="1" s="157">
      <c r="A42" s="44" t="n">
        <v>46183</v>
      </c>
      <c r="B42" s="45" t="inlineStr">
        <is>
          <t>Darc Store - Loja 12 (roupas) - Tayane Calçados e Vestuario Ltda</t>
        </is>
      </c>
      <c r="C42" s="45" t="inlineStr">
        <is>
          <t>Refil Everest</t>
        </is>
      </c>
      <c r="D42" s="46" t="n">
        <v>140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4224</t>
        </is>
      </c>
      <c r="J42" t="inlineStr">
        <is>
          <t>EMP-0112</t>
        </is>
      </c>
    </row>
    <row r="43">
      <c r="A43" s="17" t="n">
        <v>46183</v>
      </c>
      <c r="B43" s="18" t="inlineStr">
        <is>
          <t>A F Mendonça Oliveira Eireli - Mendonça Disk Agua</t>
        </is>
      </c>
      <c r="C43" s="18" t="inlineStr">
        <is>
          <t>Refil Everest</t>
        </is>
      </c>
      <c r="D43" s="27" t="n">
        <v>140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4225</t>
        </is>
      </c>
      <c r="J43" s="18" t="inlineStr">
        <is>
          <t>EMP-0002</t>
        </is>
      </c>
    </row>
    <row r="44">
      <c r="A44" s="44" t="n">
        <v>46183</v>
      </c>
      <c r="B44" s="45" t="inlineStr">
        <is>
          <t>DrillGeo Geologia e Sondagens</t>
        </is>
      </c>
      <c r="C44" s="45" t="inlineStr">
        <is>
          <t>Refil Plissado + Refil Carbon Tech 9"</t>
        </is>
      </c>
      <c r="D44" s="46" t="n">
        <v>180</v>
      </c>
      <c r="E44" s="45" t="n"/>
      <c r="F44" s="47" t="n"/>
      <c r="G44" s="48" t="n"/>
      <c r="H44" s="49" t="n"/>
      <c r="I44" s="45" t="inlineStr">
        <is>
          <t>NF-e 4187 · nota faturada a prazo (forma de recebimento não consta na nota) · venda de 09/05/2026 — pagamento recebido em 10/06/2026</t>
        </is>
      </c>
      <c r="J44" t="inlineStr">
        <is>
          <t>EMP-0125</t>
        </is>
      </c>
    </row>
    <row r="45">
      <c r="A45" s="17" t="n">
        <v>46184</v>
      </c>
      <c r="B45" s="18" t="inlineStr">
        <is>
          <t>Consumidor Final</t>
        </is>
      </c>
      <c r="C45" s="18" t="inlineStr">
        <is>
          <t>Mangueira (1 m)</t>
        </is>
      </c>
      <c r="D45" s="27" t="n">
        <v>10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NFC-e 9098</t>
        </is>
      </c>
      <c r="J45" s="18" t="n"/>
    </row>
    <row r="46">
      <c r="A46" s="44" t="n">
        <v>46184</v>
      </c>
      <c r="B46" s="45" t="inlineStr">
        <is>
          <t>Irenilda Almeida Santos</t>
        </is>
      </c>
      <c r="C46" s="45" t="inlineStr">
        <is>
          <t>Purificador Everest Slim Prata + Pré Filtro</t>
        </is>
      </c>
      <c r="D46" s="46" t="n">
        <v>1510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4226</t>
        </is>
      </c>
    </row>
    <row r="47">
      <c r="A47" s="17" t="n">
        <v>46184</v>
      </c>
      <c r="B47" s="18" t="inlineStr">
        <is>
          <t>Consumidor Final</t>
        </is>
      </c>
      <c r="C47" s="18" t="inlineStr">
        <is>
          <t>Refil PA 200</t>
        </is>
      </c>
      <c r="D47" s="27" t="n">
        <v>60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9099</t>
        </is>
      </c>
      <c r="J47" s="18" t="n"/>
    </row>
    <row r="48" ht="15.75" customHeight="1" s="157">
      <c r="A48" s="44" t="n">
        <v>46184</v>
      </c>
      <c r="B48" s="45" t="inlineStr">
        <is>
          <t>Consumidor Final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9100</t>
        </is>
      </c>
    </row>
    <row r="49">
      <c r="A49" s="17" t="n">
        <v>46185</v>
      </c>
      <c r="B49" s="18" t="inlineStr">
        <is>
          <t>Consumidor Final</t>
        </is>
      </c>
      <c r="C49" s="18" t="inlineStr">
        <is>
          <t>Refil Pro Life + Pré Filtro</t>
        </is>
      </c>
      <c r="D49" s="27" t="n">
        <v>200</v>
      </c>
      <c r="E49" s="18" t="inlineStr">
        <is>
          <t>Pix</t>
        </is>
      </c>
      <c r="F49" s="19" t="n"/>
      <c r="G49" s="19" t="n"/>
      <c r="H49" s="21" t="n"/>
      <c r="I49" s="18" t="inlineStr">
        <is>
          <t>NFC-e 9101</t>
        </is>
      </c>
      <c r="J49" s="18" t="n"/>
    </row>
    <row r="50">
      <c r="A50" s="44" t="n">
        <v>46185</v>
      </c>
      <c r="B50" s="45" t="inlineStr">
        <is>
          <t>Avertina Maria de Oliveira</t>
        </is>
      </c>
      <c r="C50" s="45" t="inlineStr">
        <is>
          <t>Refil Everest + Pré Filtro</t>
        </is>
      </c>
      <c r="D50" s="46" t="n">
        <v>185</v>
      </c>
      <c r="E50" s="45" t="inlineStr">
        <is>
          <t>Dinheiro</t>
        </is>
      </c>
      <c r="F50" s="47" t="n"/>
      <c r="G50" s="48" t="n"/>
      <c r="H50" s="49" t="n"/>
      <c r="I50" s="45" t="inlineStr">
        <is>
          <t>NFC-e 9102</t>
        </is>
      </c>
      <c r="J50" t="inlineStr">
        <is>
          <t>CLI-0850</t>
        </is>
      </c>
    </row>
    <row r="51">
      <c r="A51" s="17" t="n">
        <v>46185</v>
      </c>
      <c r="B51" s="18" t="inlineStr">
        <is>
          <t>Consumidor Final</t>
        </is>
      </c>
      <c r="C51" s="18" t="inlineStr">
        <is>
          <t>Refil FP4</t>
        </is>
      </c>
      <c r="D51" s="27" t="n">
        <v>90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9103</t>
        </is>
      </c>
      <c r="J51" s="18" t="n"/>
    </row>
    <row r="52">
      <c r="A52" s="44" t="n">
        <v>46185</v>
      </c>
      <c r="B52" s="45" t="inlineStr">
        <is>
          <t>Consumidor Final</t>
        </is>
      </c>
      <c r="C52" s="45" t="inlineStr">
        <is>
          <t>Conexao Reta Rosca 1/2 Bspt P/Tubo 1/4 Pol Branca + Mangueira (1 m)</t>
        </is>
      </c>
      <c r="D52" s="46" t="n">
        <v>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9104</t>
        </is>
      </c>
    </row>
    <row r="53" ht="15.75" customHeight="1" s="157">
      <c r="A53" s="17" t="n">
        <v>46185</v>
      </c>
      <c r="B53" s="18" t="inlineStr">
        <is>
          <t>Consumidor Final</t>
        </is>
      </c>
      <c r="C53" s="18" t="inlineStr">
        <is>
          <t>Refil Plissado + Mangueira (1 m)</t>
        </is>
      </c>
      <c r="D53" s="27" t="n">
        <v>95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NFC-e 9105</t>
        </is>
      </c>
      <c r="J53" s="18" t="n"/>
    </row>
    <row r="54">
      <c r="A54" s="44" t="n">
        <v>46185</v>
      </c>
      <c r="B54" s="45" t="inlineStr">
        <is>
          <t>Apec - Sociedade Potiguar de Educacao e Cultura Ltda</t>
        </is>
      </c>
      <c r="C54" s="45" t="inlineStr">
        <is>
          <t>4x Refil Libell</t>
        </is>
      </c>
      <c r="D54" s="46" t="n">
        <v>368.6</v>
      </c>
      <c r="E54" s="45" t="inlineStr">
        <is>
          <t>Pix</t>
        </is>
      </c>
      <c r="F54" s="47" t="n"/>
      <c r="G54" s="48" t="n"/>
      <c r="H54" s="49" t="n"/>
      <c r="I54" s="45" t="inlineStr">
        <is>
          <t>NF-e 4191 · Grupo Ânima — venda de 13/05/2026, Nota Paga no portal V360 em 12/06/2026. Recebimento não constava no Livro Caixa; baixa dada no DigiSat em 28/09/2026.</t>
        </is>
      </c>
    </row>
    <row r="55">
      <c r="A55" s="17" t="n">
        <v>46188</v>
      </c>
      <c r="B55" s="18" t="inlineStr">
        <is>
          <t>Silvio Candido da Silva - Celia Borges</t>
        </is>
      </c>
      <c r="C55" s="18" t="inlineStr">
        <is>
          <t>Refil Everest + Pré Filtro</t>
        </is>
      </c>
      <c r="D55" s="27" t="n">
        <v>180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9106</t>
        </is>
      </c>
      <c r="J55" s="18" t="inlineStr">
        <is>
          <t>CLI-0851</t>
        </is>
      </c>
    </row>
    <row r="56">
      <c r="A56" s="44" t="n">
        <v>46188</v>
      </c>
      <c r="B56" s="45" t="inlineStr">
        <is>
          <t>Jalicia Lima Santos Muricy</t>
        </is>
      </c>
      <c r="C56" s="45" t="inlineStr">
        <is>
          <t>Refil Everest</t>
        </is>
      </c>
      <c r="D56" s="46" t="n">
        <v>140</v>
      </c>
      <c r="E56" s="45" t="inlineStr">
        <is>
          <t>Pix</t>
        </is>
      </c>
      <c r="F56" s="47" t="n"/>
      <c r="G56" s="48" t="n"/>
      <c r="H56" s="49" t="n"/>
      <c r="I56" s="45" t="inlineStr">
        <is>
          <t>NFC-e 9107</t>
        </is>
      </c>
      <c r="J56" t="inlineStr">
        <is>
          <t>CLI-0627</t>
        </is>
      </c>
    </row>
    <row r="57">
      <c r="A57" s="17" t="n">
        <v>46188</v>
      </c>
      <c r="B57" s="18" t="inlineStr">
        <is>
          <t>Maria Inez Lages Matos</t>
        </is>
      </c>
      <c r="C57" s="18" t="inlineStr">
        <is>
          <t>Refil Everest</t>
        </is>
      </c>
      <c r="D57" s="27" t="n">
        <v>140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9108</t>
        </is>
      </c>
      <c r="J57" s="18" t="inlineStr">
        <is>
          <t>CLI-0846</t>
        </is>
      </c>
    </row>
    <row r="58">
      <c r="A58" s="44" t="n">
        <v>46188</v>
      </c>
      <c r="B58" s="45" t="inlineStr">
        <is>
          <t>Consumidor Final</t>
        </is>
      </c>
      <c r="C58" s="45" t="inlineStr">
        <is>
          <t>Refil FP4</t>
        </is>
      </c>
      <c r="D58" s="46" t="n">
        <v>90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9109</t>
        </is>
      </c>
    </row>
    <row r="59">
      <c r="A59" s="17" t="n">
        <v>46188</v>
      </c>
      <c r="B59" s="18" t="inlineStr">
        <is>
          <t>Consumidor Final</t>
        </is>
      </c>
      <c r="C59" s="18" t="inlineStr">
        <is>
          <t>Mangueira (2 m)</t>
        </is>
      </c>
      <c r="D59" s="27" t="n">
        <v>20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9110</t>
        </is>
      </c>
      <c r="J59" s="18" t="n"/>
    </row>
    <row r="60">
      <c r="A60" s="44" t="n">
        <v>46189</v>
      </c>
      <c r="B60" s="45" t="inlineStr">
        <is>
          <t>Consumidor Final</t>
        </is>
      </c>
      <c r="C60" s="45" t="inlineStr">
        <is>
          <t>Suporte</t>
        </is>
      </c>
      <c r="D60" s="46" t="n">
        <v>35</v>
      </c>
      <c r="E60" s="45" t="inlineStr">
        <is>
          <t>Pix</t>
        </is>
      </c>
      <c r="F60" s="47" t="n"/>
      <c r="G60" s="48" t="n"/>
      <c r="H60" s="49" t="n"/>
      <c r="I60" s="45" t="inlineStr">
        <is>
          <t>NFC-e 9111</t>
        </is>
      </c>
    </row>
    <row r="61">
      <c r="A61" s="17" t="n">
        <v>46189</v>
      </c>
      <c r="B61" s="18" t="inlineStr">
        <is>
          <t>Jonio Ribeiro Oliveira</t>
        </is>
      </c>
      <c r="C61" s="18" t="inlineStr">
        <is>
          <t>Refil Everest + Pré Filtro</t>
        </is>
      </c>
      <c r="D61" s="27" t="n">
        <v>200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9112</t>
        </is>
      </c>
      <c r="J61" s="18" t="n"/>
    </row>
    <row r="62">
      <c r="A62" s="44" t="n">
        <v>46189</v>
      </c>
      <c r="B62" s="45" t="inlineStr">
        <is>
          <t>Valdiney Santos da Silva</t>
        </is>
      </c>
      <c r="C62" s="45" t="inlineStr">
        <is>
          <t>Refil Carbon Tech 5"</t>
        </is>
      </c>
      <c r="D62" s="46" t="n">
        <v>60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NF-e 4227</t>
        </is>
      </c>
      <c r="J62" t="inlineStr">
        <is>
          <t>CLI-0463</t>
        </is>
      </c>
    </row>
    <row r="63" ht="15.75" customHeight="1" s="157">
      <c r="A63" s="17" t="n">
        <v>46189</v>
      </c>
      <c r="B63" s="18" t="inlineStr">
        <is>
          <t>Consumidor Final</t>
        </is>
      </c>
      <c r="C63" s="18" t="inlineStr">
        <is>
          <t>Mangueira (1 m)</t>
        </is>
      </c>
      <c r="D63" s="27" t="n">
        <v>10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9113</t>
        </is>
      </c>
      <c r="J63" s="18" t="n"/>
    </row>
    <row r="64">
      <c r="A64" s="44" t="n">
        <v>46189</v>
      </c>
      <c r="B64" s="45" t="inlineStr">
        <is>
          <t>Consumidor Final</t>
        </is>
      </c>
      <c r="C64" s="45" t="inlineStr">
        <is>
          <t>Conexao Em T Rosca De 1/2 Com Engate Rapido Reto 1/4 X 1/4 + Valvula De Fechamento Tubo De 1/4 Para 1/4 Pol Branca</t>
        </is>
      </c>
      <c r="D64" s="46" t="n">
        <v>65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9114</t>
        </is>
      </c>
    </row>
    <row r="65">
      <c r="A65" s="17" t="n">
        <v>46189</v>
      </c>
      <c r="B65" s="18" t="inlineStr">
        <is>
          <t>RF Supermercado Brasil LTDA</t>
        </is>
      </c>
      <c r="C65" s="18" t="inlineStr">
        <is>
          <t>3x Refil Pro Life + Registro</t>
        </is>
      </c>
      <c r="D65" s="27" t="n">
        <v>450</v>
      </c>
      <c r="E65" s="18" t="n"/>
      <c r="F65" s="19" t="n"/>
      <c r="G65" s="19" t="n"/>
      <c r="H65" s="21" t="n"/>
      <c r="I65" s="18" t="inlineStr">
        <is>
          <t>NF-e 4217 · nota faturada a prazo (forma de recebimento não consta na nota) · venda de 05/06/2026 — pagamento recebido em 16/06/2026</t>
        </is>
      </c>
      <c r="J65" s="18" t="inlineStr">
        <is>
          <t>EMP-0261</t>
        </is>
      </c>
    </row>
    <row r="66">
      <c r="A66" s="44" t="n">
        <v>46189</v>
      </c>
      <c r="B66" s="45" t="inlineStr">
        <is>
          <t>Veronildo Baslio Souza</t>
        </is>
      </c>
      <c r="C66" s="45" t="inlineStr">
        <is>
          <t>Refil Everest</t>
        </is>
      </c>
      <c r="D66" s="46" t="n">
        <v>135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4228</t>
        </is>
      </c>
      <c r="J66" t="inlineStr">
        <is>
          <t>CLI-0853</t>
        </is>
      </c>
    </row>
    <row r="67">
      <c r="A67" s="17" t="n">
        <v>46189</v>
      </c>
      <c r="B67" s="18" t="inlineStr">
        <is>
          <t>Leonardo Arizi</t>
        </is>
      </c>
      <c r="C67" s="18" t="inlineStr">
        <is>
          <t>Refil Everest + Pré Filtro + Mangueira (1 m)</t>
        </is>
      </c>
      <c r="D67" s="27" t="n">
        <v>200</v>
      </c>
      <c r="E67" s="18" t="inlineStr">
        <is>
          <t>Crédito Parcelado</t>
        </is>
      </c>
      <c r="F67" s="19" t="n"/>
      <c r="G67" s="19" t="n"/>
      <c r="H67" s="21" t="n"/>
      <c r="I67" s="18" t="inlineStr">
        <is>
          <t>NFC-e 9115</t>
        </is>
      </c>
      <c r="J67" s="18" t="n"/>
    </row>
    <row r="68">
      <c r="A68" s="44" t="n">
        <v>46189</v>
      </c>
      <c r="B68" s="45" t="inlineStr">
        <is>
          <t>Tarcisio Oliveira Lima</t>
        </is>
      </c>
      <c r="C68" s="45" t="n"/>
      <c r="D68" s="46" t="n"/>
      <c r="E68" s="45" t="n"/>
      <c r="F68" s="47" t="n"/>
      <c r="G68" s="48" t="n">
        <v>486.32</v>
      </c>
      <c r="H68" s="49" t="inlineStr">
        <is>
          <t>Contabilidade</t>
        </is>
      </c>
      <c r="I68" s="45" t="inlineStr">
        <is>
          <t>Livro Caixa: Pagamento parcela TARCISIO OLIVEIRA LIMA (Doc. 1) · Contabilidade Tarcisio Oliveira Lima</t>
        </is>
      </c>
    </row>
    <row r="69">
      <c r="A69" s="17" t="n">
        <v>46189</v>
      </c>
      <c r="B69" s="18" t="inlineStr">
        <is>
          <t>Everest Refrigeracao e Industria</t>
        </is>
      </c>
      <c r="C69" s="18" t="n"/>
      <c r="D69" s="27" t="n"/>
      <c r="E69" s="18" t="n"/>
      <c r="F69" s="19" t="n"/>
      <c r="G69" s="19" t="n">
        <v>865.52</v>
      </c>
      <c r="H69" s="21" t="inlineStr">
        <is>
          <t>Fornecedores / Mercadoria</t>
        </is>
      </c>
      <c r="I69" s="18" t="inlineStr">
        <is>
          <t>NF 368529 de 14/01/2026 · parcela 5/5 (venc. 13/06/2026)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  <c r="J69" s="18" t="n"/>
    </row>
    <row r="70">
      <c r="A70" s="44" t="n">
        <v>46190</v>
      </c>
      <c r="B70" s="45" t="inlineStr">
        <is>
          <t>Valdenice de Jesus Cerqueira</t>
        </is>
      </c>
      <c r="C70" s="45" t="inlineStr">
        <is>
          <t>Refil Everest</t>
        </is>
      </c>
      <c r="D70" s="46" t="n">
        <v>130</v>
      </c>
      <c r="E70" s="45" t="inlineStr">
        <is>
          <t>Dinheiro</t>
        </is>
      </c>
      <c r="F70" s="47" t="n"/>
      <c r="G70" s="48" t="n"/>
      <c r="H70" s="49" t="n"/>
      <c r="I70" s="45" t="inlineStr">
        <is>
          <t>NFC-e 9116</t>
        </is>
      </c>
      <c r="J70" t="inlineStr">
        <is>
          <t>CLI-0855</t>
        </is>
      </c>
    </row>
    <row r="71">
      <c r="A71" s="17" t="n">
        <v>46190</v>
      </c>
      <c r="B71" s="18" t="inlineStr">
        <is>
          <t>Avenida Posto e Combustivel</t>
        </is>
      </c>
      <c r="C71" s="18" t="inlineStr">
        <is>
          <t>Refil Everest</t>
        </is>
      </c>
      <c r="D71" s="27" t="n">
        <v>140</v>
      </c>
      <c r="E71" s="18" t="inlineStr">
        <is>
          <t>Dinheiro</t>
        </is>
      </c>
      <c r="F71" s="19" t="n"/>
      <c r="G71" s="19" t="n"/>
      <c r="H71" s="21" t="n"/>
      <c r="I71" s="18" t="inlineStr">
        <is>
          <t>NF-e 4229</t>
        </is>
      </c>
      <c r="J71" s="18" t="n"/>
    </row>
    <row r="72">
      <c r="A72" s="44" t="n">
        <v>46190</v>
      </c>
      <c r="B72" s="45" t="inlineStr">
        <is>
          <t>Jacobina Automoveis</t>
        </is>
      </c>
      <c r="C72" s="45" t="inlineStr">
        <is>
          <t>Refil Everest</t>
        </is>
      </c>
      <c r="D72" s="46" t="n">
        <v>135</v>
      </c>
      <c r="E72" s="45" t="inlineStr">
        <is>
          <t>Dinheiro</t>
        </is>
      </c>
      <c r="F72" s="47" t="n"/>
      <c r="G72" s="48" t="n"/>
      <c r="H72" s="49" t="n"/>
      <c r="I72" s="45" t="inlineStr">
        <is>
          <t>NF-e 4231</t>
        </is>
      </c>
      <c r="J72" t="inlineStr">
        <is>
          <t>EMP-0192</t>
        </is>
      </c>
    </row>
    <row r="73" ht="15.75" customHeight="1" s="157">
      <c r="A73" s="17" t="n">
        <v>46190</v>
      </c>
      <c r="B73" s="18" t="inlineStr">
        <is>
          <t>Antonio Carlos Marcolino da Silva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9117</t>
        </is>
      </c>
      <c r="J73" s="18" t="inlineStr">
        <is>
          <t>OUT-0006</t>
        </is>
      </c>
    </row>
    <row r="74">
      <c r="A74" s="44" t="n">
        <v>46190</v>
      </c>
      <c r="B74" s="45" t="inlineStr">
        <is>
          <t>Consumidor Final</t>
        </is>
      </c>
      <c r="C74" s="45" t="inlineStr">
        <is>
          <t>2x Refil Everest + 2x Pré Filtro + Registro</t>
        </is>
      </c>
      <c r="D74" s="46" t="n">
        <v>415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9118</t>
        </is>
      </c>
    </row>
    <row r="75">
      <c r="A75" s="17" t="n">
        <v>46190</v>
      </c>
      <c r="B75" s="18" t="inlineStr">
        <is>
          <t>P Vieira da Silva - Me</t>
        </is>
      </c>
      <c r="C75" s="18" t="inlineStr">
        <is>
          <t>Refil Everest + Pré Filtro + Registro</t>
        </is>
      </c>
      <c r="D75" s="27" t="n">
        <v>230</v>
      </c>
      <c r="E75" s="18" t="n"/>
      <c r="F75" s="19" t="n"/>
      <c r="G75" s="19" t="n"/>
      <c r="H75" s="21" t="n"/>
      <c r="I75" s="18" t="inlineStr">
        <is>
          <t>NF-e 4230. Recebimento não constava no Livro Caixa; conferido e baixado no DigiSat em 28/09/2026.</t>
        </is>
      </c>
      <c r="J75" s="18" t="n"/>
    </row>
    <row r="76">
      <c r="A76" s="44" t="n">
        <v>46191</v>
      </c>
      <c r="B76" s="45" t="inlineStr">
        <is>
          <t>Centro Medico de Jacobina LTDA - Clinica Santa Barbara</t>
        </is>
      </c>
      <c r="C76" s="45" t="inlineStr">
        <is>
          <t>8x Refil Everest</t>
        </is>
      </c>
      <c r="D76" s="46" t="n">
        <v>1120</v>
      </c>
      <c r="E76" s="45" t="n"/>
      <c r="F76" s="47" t="n"/>
      <c r="G76" s="48" t="n"/>
      <c r="H76" s="49" t="n"/>
      <c r="I76" s="45" t="inlineStr">
        <is>
          <t>NF-e 4214 · nota faturada a prazo (forma de recebimento não consta na nota) · venda de 02/06/2026 — pagamento recebido em 18/06/2026</t>
        </is>
      </c>
      <c r="J76" t="inlineStr">
        <is>
          <t>EMP-0063</t>
        </is>
      </c>
    </row>
    <row r="77">
      <c r="A77" s="17" t="n">
        <v>46191</v>
      </c>
      <c r="B77" s="18" t="inlineStr">
        <is>
          <t>Jose Augusto Martins dos Santos - Erica Martins</t>
        </is>
      </c>
      <c r="C77" s="18" t="inlineStr">
        <is>
          <t>Refil Everest</t>
        </is>
      </c>
      <c r="D77" s="27" t="n">
        <v>120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9119</t>
        </is>
      </c>
      <c r="J77" s="18" t="n"/>
    </row>
    <row r="78">
      <c r="A78" s="44" t="n">
        <v>46191</v>
      </c>
      <c r="B78" s="45" t="inlineStr">
        <is>
          <t>Consumidor Final</t>
        </is>
      </c>
      <c r="C78" s="45" t="inlineStr">
        <is>
          <t>Refil E3</t>
        </is>
      </c>
      <c r="D78" s="46" t="n">
        <v>90</v>
      </c>
      <c r="E78" s="45" t="inlineStr">
        <is>
          <t>Crédito Parcelado</t>
        </is>
      </c>
      <c r="F78" s="47" t="n"/>
      <c r="G78" s="48" t="n"/>
      <c r="H78" s="49" t="n"/>
      <c r="I78" s="45" t="inlineStr">
        <is>
          <t>NFC-e 9120</t>
        </is>
      </c>
    </row>
    <row r="79" ht="15.75" customHeight="1" s="157">
      <c r="A79" s="17" t="n">
        <v>46191</v>
      </c>
      <c r="B79" s="18" t="inlineStr">
        <is>
          <t>Luana Barros Vieira de Carvalho - Emanuel Bernadino</t>
        </is>
      </c>
      <c r="C79" s="18" t="inlineStr">
        <is>
          <t>Refil Everest + Pré Filtro</t>
        </is>
      </c>
      <c r="D79" s="27" t="n">
        <v>200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9121</t>
        </is>
      </c>
      <c r="J79" s="18" t="n"/>
    </row>
    <row r="80">
      <c r="A80" s="44" t="n">
        <v>46191</v>
      </c>
      <c r="B80" s="45" t="inlineStr">
        <is>
          <t>Consumidor Final</t>
        </is>
      </c>
      <c r="C80" s="45" t="inlineStr">
        <is>
          <t>Refil BAG</t>
        </is>
      </c>
      <c r="D80" s="46" t="n">
        <v>50</v>
      </c>
      <c r="E80" s="45" t="inlineStr">
        <is>
          <t>Crédito Parcelado</t>
        </is>
      </c>
      <c r="F80" s="47" t="n"/>
      <c r="G80" s="48" t="n"/>
      <c r="H80" s="49" t="n"/>
      <c r="I80" s="45" t="inlineStr">
        <is>
          <t>NFC-e 9122</t>
        </is>
      </c>
    </row>
    <row r="81">
      <c r="A81" s="17" t="n">
        <v>46191</v>
      </c>
      <c r="B81" s="18" t="inlineStr">
        <is>
          <t xml:space="preserve">Instituição Adventista Nordeste Brasileiro </t>
        </is>
      </c>
      <c r="C81" s="18" t="inlineStr">
        <is>
          <t>Pré Filtro + Refil Everest + 2x Refil Plissado + 2x Refil Multifilter + Refil Carbon Tech 9"</t>
        </is>
      </c>
      <c r="D81" s="27" t="n">
        <v>625</v>
      </c>
      <c r="E81" s="18" t="n"/>
      <c r="F81" s="19" t="n"/>
      <c r="G81" s="19" t="n"/>
      <c r="H81" s="21" t="n"/>
      <c r="I81" s="18" t="inlineStr">
        <is>
          <t>NF-e 4232 · nota faturada a prazo (forma de recebimento não consta na nota) · venda de 17/06/2026 — pagamento recebido em 18/06/2026</t>
        </is>
      </c>
      <c r="J81" s="18" t="inlineStr">
        <is>
          <t>ESC-0016</t>
        </is>
      </c>
    </row>
    <row r="82">
      <c r="A82" s="44" t="n">
        <v>46191</v>
      </c>
      <c r="B82" s="45" t="inlineStr">
        <is>
          <t>Everest Refrigeracao e Industria</t>
        </is>
      </c>
      <c r="C82" s="45" t="n"/>
      <c r="D82" s="46" t="n"/>
      <c r="E82" s="45" t="n"/>
      <c r="F82" s="47" t="n"/>
      <c r="G82" s="48" t="n">
        <v>856.35</v>
      </c>
      <c r="H82" s="49" t="inlineStr">
        <is>
          <t>Fornecedores / Mercadoria</t>
        </is>
      </c>
      <c r="I82" s="45" t="inlineStr">
        <is>
          <t>NF 377739 de 19/05/2026 · parcela 1/5 (venc. 18/06/2026)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</row>
    <row r="83">
      <c r="A83" s="17" t="n">
        <v>46191</v>
      </c>
      <c r="B83" s="18" t="inlineStr">
        <is>
          <t>Everest Refrigeracao e Industria</t>
        </is>
      </c>
      <c r="C83" s="18" t="n"/>
      <c r="D83" s="27" t="n"/>
      <c r="E83" s="18" t="n"/>
      <c r="F83" s="19" t="n"/>
      <c r="G83" s="19" t="n">
        <v>865.5</v>
      </c>
      <c r="H83" s="21" t="inlineStr">
        <is>
          <t>Fornecedores / Mercadoria</t>
        </is>
      </c>
      <c r="I83" s="18" t="inlineStr">
        <is>
          <t>NF 377738 de 19/05/2026 · parcela 1/5 (venc. 18/06/2026) · compra total R$ 4.327,52: Purificador Everest Plus Branco + Purificador Everest Plus Prata + Purificador Everest Slim Branco + 2x Purificador Everest Fit Prata + Purificador Everest Fit Preto · Livro Caixa</t>
        </is>
      </c>
      <c r="J83" s="18" t="n"/>
    </row>
    <row r="84">
      <c r="A84" s="44" t="n">
        <v>46191</v>
      </c>
      <c r="B84" s="45" t="inlineStr">
        <is>
          <t>Everest Refrigeracao e Industria</t>
        </is>
      </c>
      <c r="C84" s="45" t="n"/>
      <c r="D84" s="46" t="n"/>
      <c r="E84" s="45" t="n"/>
      <c r="F84" s="47" t="n"/>
      <c r="G84" s="48" t="n">
        <v>167.91</v>
      </c>
      <c r="H84" s="49" t="inlineStr">
        <is>
          <t>Fornecedores / Mercadoria</t>
        </is>
      </c>
      <c r="I84" s="45" t="inlineStr">
        <is>
          <t>NF 377737 de 19/05/2026 · parcela 1/5 (venc. 18/06/2026) · compra total R$ 725,16 (IPI R$ 28,60): 12x Conexão T + 30x Registro + 20x Botao Completo Purificador (N) + 30x Suporte · Livro Caixa</t>
        </is>
      </c>
    </row>
    <row r="85">
      <c r="A85" s="17" t="n">
        <v>46191</v>
      </c>
      <c r="B85" s="18" t="inlineStr">
        <is>
          <t>Filtros Planeta Agua Ind e Com Ltda</t>
        </is>
      </c>
      <c r="C85" s="18" t="n"/>
      <c r="D85" s="27" t="n"/>
      <c r="E85" s="18" t="n"/>
      <c r="F85" s="19" t="n"/>
      <c r="G85" s="19" t="n">
        <v>666.15</v>
      </c>
      <c r="H85" s="21" t="inlineStr">
        <is>
          <t>Fornecedores / Mercadoria</t>
        </is>
      </c>
      <c r="I85" s="18" t="inlineStr">
        <is>
          <t>NF 130510 de 08/05/2026 · parcela 2/4 (venc. 19/06/2026)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85" s="18" t="n"/>
    </row>
    <row r="86">
      <c r="A86" s="44" t="n">
        <v>46191</v>
      </c>
      <c r="B86" s="45" t="inlineStr">
        <is>
          <t>Guia do Fgts Digital</t>
        </is>
      </c>
      <c r="C86" s="45" t="n"/>
      <c r="D86" s="46" t="n"/>
      <c r="E86" s="45" t="n"/>
      <c r="F86" s="47" t="n"/>
      <c r="G86" s="48" t="n">
        <v>267.2</v>
      </c>
      <c r="H86" s="49" t="inlineStr">
        <is>
          <t>Impostos e Taxas</t>
        </is>
      </c>
      <c r="I86" s="45" t="inlineStr">
        <is>
          <t>Livro Caixa: Pagamento parcela GUIA DO FGTS DIGITAL (Doc. 1) · Caixa Economica Federal</t>
        </is>
      </c>
    </row>
    <row r="87">
      <c r="A87" s="17" t="n">
        <v>46192</v>
      </c>
      <c r="B87" s="18" t="inlineStr">
        <is>
          <t>Ronie de Santana Lima</t>
        </is>
      </c>
      <c r="C87" s="18" t="inlineStr">
        <is>
          <t>Refil Pro Life + Pré Filtro</t>
        </is>
      </c>
      <c r="D87" s="27" t="n">
        <v>180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9123</t>
        </is>
      </c>
      <c r="J87" s="18" t="inlineStr">
        <is>
          <t>CLI-0858</t>
        </is>
      </c>
    </row>
    <row r="88">
      <c r="A88" s="44" t="n">
        <v>46192</v>
      </c>
      <c r="B88" s="45" t="inlineStr">
        <is>
          <t>Consumidor Final</t>
        </is>
      </c>
      <c r="C88" s="45" t="inlineStr">
        <is>
          <t>Conexão</t>
        </is>
      </c>
      <c r="D88" s="46" t="n">
        <v>30</v>
      </c>
      <c r="E88" s="45" t="inlineStr">
        <is>
          <t>Pix</t>
        </is>
      </c>
      <c r="F88" s="47" t="n"/>
      <c r="G88" s="48" t="n"/>
      <c r="H88" s="49" t="n"/>
      <c r="I88" s="45" t="inlineStr">
        <is>
          <t>NFC-e 9124</t>
        </is>
      </c>
    </row>
    <row r="89">
      <c r="A89" s="17" t="n">
        <v>46192</v>
      </c>
      <c r="B89" s="18" t="inlineStr">
        <is>
          <t>Consumidor Final</t>
        </is>
      </c>
      <c r="C89" s="18" t="inlineStr">
        <is>
          <t>Registro</t>
        </is>
      </c>
      <c r="D89" s="27" t="n">
        <v>30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NFC-e 9125</t>
        </is>
      </c>
      <c r="J89" s="18" t="n"/>
    </row>
    <row r="90">
      <c r="A90" s="44" t="n">
        <v>46193</v>
      </c>
      <c r="B90" s="45" t="inlineStr">
        <is>
          <t>Osvaldina Soares Nery - Marilene Soares Dibec</t>
        </is>
      </c>
      <c r="C90" s="45" t="inlineStr">
        <is>
          <t>Refil Pro Life</t>
        </is>
      </c>
      <c r="D90" s="46" t="n">
        <v>135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9126</t>
        </is>
      </c>
    </row>
    <row r="91">
      <c r="A91" s="17" t="n">
        <v>46195</v>
      </c>
      <c r="B91" s="18" t="inlineStr">
        <is>
          <t>Aparecido Candido da Silva</t>
        </is>
      </c>
      <c r="C91" s="18" t="inlineStr">
        <is>
          <t>Refil Pro Life</t>
        </is>
      </c>
      <c r="D91" s="27" t="n">
        <v>140</v>
      </c>
      <c r="E91" s="18" t="inlineStr">
        <is>
          <t>Crédito Parcelado</t>
        </is>
      </c>
      <c r="F91" s="19" t="n"/>
      <c r="G91" s="19" t="n"/>
      <c r="H91" s="21" t="n"/>
      <c r="I91" s="18" t="inlineStr">
        <is>
          <t>NFC-e 9127</t>
        </is>
      </c>
      <c r="J91" s="18" t="n"/>
    </row>
    <row r="92">
      <c r="A92" s="44" t="n">
        <v>46195</v>
      </c>
      <c r="B92" s="45" t="inlineStr">
        <is>
          <t>Consumidor Final</t>
        </is>
      </c>
      <c r="C92" s="45" t="inlineStr">
        <is>
          <t>2x Filtro Bica Movel Preto</t>
        </is>
      </c>
      <c r="D92" s="46" t="n">
        <v>215</v>
      </c>
      <c r="E92" s="45" t="inlineStr">
        <is>
          <t>Pix</t>
        </is>
      </c>
      <c r="F92" s="47" t="n"/>
      <c r="G92" s="48" t="n"/>
      <c r="H92" s="49" t="n"/>
      <c r="I92" s="45" t="inlineStr">
        <is>
          <t>NFC-e 9128</t>
        </is>
      </c>
    </row>
    <row r="93">
      <c r="A93" s="17" t="n">
        <v>46195</v>
      </c>
      <c r="B93" s="18" t="inlineStr">
        <is>
          <t>Uelber do Nascimento Barbosa - Carine Lima</t>
        </is>
      </c>
      <c r="C93" s="18" t="inlineStr">
        <is>
          <t>Refil Pro Life</t>
        </is>
      </c>
      <c r="D93" s="27" t="n">
        <v>140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9129</t>
        </is>
      </c>
      <c r="J93" s="18" t="n"/>
    </row>
    <row r="94">
      <c r="A94" s="44" t="n">
        <v>46195</v>
      </c>
      <c r="B94" s="45" t="inlineStr">
        <is>
          <t>Comercial de Motos, Motores, Peças e Acessórios Várzea - Yamaha</t>
        </is>
      </c>
      <c r="C94" s="45" t="inlineStr">
        <is>
          <t>Refil Everest</t>
        </is>
      </c>
      <c r="D94" s="46" t="n">
        <v>130</v>
      </c>
      <c r="E94" s="45" t="inlineStr">
        <is>
          <t>Pix</t>
        </is>
      </c>
      <c r="F94" s="47" t="n"/>
      <c r="G94" s="48" t="n"/>
      <c r="H94" s="49" t="n"/>
      <c r="I94" s="45" t="inlineStr">
        <is>
          <t>NF-e 4234</t>
        </is>
      </c>
      <c r="J94" t="inlineStr">
        <is>
          <t>EMP-0098</t>
        </is>
      </c>
    </row>
    <row r="95">
      <c r="A95" s="17" t="n">
        <v>46196</v>
      </c>
      <c r="B95" s="18" t="inlineStr">
        <is>
          <t>Piemonte da Chapada Transportes Ltda</t>
        </is>
      </c>
      <c r="C95" s="18" t="inlineStr">
        <is>
          <t>Refil Everest + Refil Carbon Tech 9"</t>
        </is>
      </c>
      <c r="D95" s="27" t="n">
        <v>200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4235</t>
        </is>
      </c>
      <c r="J95" s="18" t="n"/>
    </row>
    <row r="96">
      <c r="A96" s="44" t="n">
        <v>46196</v>
      </c>
      <c r="B96" s="45" t="inlineStr">
        <is>
          <t>Real Sociedade Portuguesa de Beneficencia 16 de Setembro</t>
        </is>
      </c>
      <c r="C96" s="45" t="inlineStr">
        <is>
          <t>4x Refil Everest + Refil Carbon Block</t>
        </is>
      </c>
      <c r="D96" s="46" t="n">
        <v>560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NF-e 4236</t>
        </is>
      </c>
    </row>
    <row r="97">
      <c r="A97" s="17" t="n">
        <v>46198</v>
      </c>
      <c r="B97" s="18" t="inlineStr">
        <is>
          <t>Escola Municipal Nubia Maria Mangabeira Guerra</t>
        </is>
      </c>
      <c r="C97" s="18" t="inlineStr">
        <is>
          <t>Purificador Everest Plus Prata</t>
        </is>
      </c>
      <c r="D97" s="27" t="n">
        <v>1440</v>
      </c>
      <c r="E97" s="18" t="n"/>
      <c r="F97" s="19" t="n"/>
      <c r="G97" s="19" t="n"/>
      <c r="H97" s="21" t="n"/>
      <c r="I97" s="18" t="inlineStr">
        <is>
          <t>NF-e 4233 · nota faturada a prazo (forma de recebimento não consta na nota) · venda de 18/06/2026 — pagamento recebido em 25/06/2026</t>
        </is>
      </c>
      <c r="J97" s="18" t="inlineStr">
        <is>
          <t>ESC-0020</t>
        </is>
      </c>
    </row>
    <row r="98">
      <c r="A98" s="44" t="n">
        <v>46198</v>
      </c>
      <c r="B98" s="45" t="inlineStr">
        <is>
          <t>Jefferson do Rosario Rios Freitas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9130</t>
        </is>
      </c>
      <c r="J98" t="inlineStr">
        <is>
          <t>CLI-0861</t>
        </is>
      </c>
    </row>
    <row r="99">
      <c r="A99" s="17" t="n">
        <v>46198</v>
      </c>
      <c r="B99" s="18" t="inlineStr">
        <is>
          <t>Consumidor Final</t>
        </is>
      </c>
      <c r="C99" s="18" t="inlineStr">
        <is>
          <t>Refil Universal</t>
        </is>
      </c>
      <c r="D99" s="27" t="n">
        <v>30</v>
      </c>
      <c r="E99" s="18" t="inlineStr">
        <is>
          <t>Débito</t>
        </is>
      </c>
      <c r="F99" s="19" t="n"/>
      <c r="G99" s="19" t="n"/>
      <c r="H99" s="21" t="n"/>
      <c r="I99" s="18" t="inlineStr">
        <is>
          <t>NFC-e 9131</t>
        </is>
      </c>
      <c r="J99" s="18" t="n"/>
    </row>
    <row r="100" ht="15.75" customHeight="1" s="157">
      <c r="A100" s="44" t="n">
        <v>46198</v>
      </c>
      <c r="B100" s="45" t="inlineStr">
        <is>
          <t>Consumidor Final</t>
        </is>
      </c>
      <c r="C100" s="45" t="inlineStr">
        <is>
          <t>Refil FPA14</t>
        </is>
      </c>
      <c r="D100" s="46" t="n">
        <v>95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9132</t>
        </is>
      </c>
    </row>
    <row r="101">
      <c r="A101" s="17" t="n">
        <v>46199</v>
      </c>
      <c r="B101" s="18" t="inlineStr">
        <is>
          <t>Consumidor Final</t>
        </is>
      </c>
      <c r="C101" s="18" t="inlineStr">
        <is>
          <t>Refil Acquatec</t>
        </is>
      </c>
      <c r="D101" s="27" t="n">
        <v>85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9133</t>
        </is>
      </c>
      <c r="J101" s="18" t="n"/>
    </row>
    <row r="102" ht="15.75" customHeight="1" s="157">
      <c r="A102" s="44" t="n">
        <v>46199</v>
      </c>
      <c r="B102" s="45" t="inlineStr">
        <is>
          <t>Senai - Jacobina</t>
        </is>
      </c>
      <c r="C102" s="45" t="inlineStr">
        <is>
          <t>4x Refil Carbon Tech</t>
        </is>
      </c>
      <c r="D102" s="46" t="n">
        <v>320</v>
      </c>
      <c r="E102" s="45" t="n"/>
      <c r="F102" s="47" t="n"/>
      <c r="G102" s="48" t="n"/>
      <c r="H102" s="49" t="n"/>
      <c r="I102" s="45" t="inlineStr">
        <is>
          <t>NF-e 4216 · nota faturada a prazo (forma de recebimento não consta na nota) · venda de 05/06/2026 — pagamento recebido em 26/06/2026</t>
        </is>
      </c>
    </row>
    <row r="103">
      <c r="A103" s="17" t="n">
        <v>46199</v>
      </c>
      <c r="B103" s="18" t="inlineStr">
        <is>
          <t>Comercial de Alimentos LTDA - Cleval</t>
        </is>
      </c>
      <c r="C103" s="18" t="inlineStr">
        <is>
          <t>Refil Pro Life + Refil Everest + 2x Pré Filtro</t>
        </is>
      </c>
      <c r="D103" s="27" t="n">
        <v>380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4237</t>
        </is>
      </c>
      <c r="J103" s="18" t="inlineStr">
        <is>
          <t>EMP-0095</t>
        </is>
      </c>
    </row>
    <row r="104" ht="15.75" customHeight="1" s="157">
      <c r="A104" s="44" t="n">
        <v>46199</v>
      </c>
      <c r="B104" s="45" t="inlineStr">
        <is>
          <t>Consumidor Final</t>
        </is>
      </c>
      <c r="C104" s="45" t="inlineStr">
        <is>
          <t>Refil Pro Life</t>
        </is>
      </c>
      <c r="D104" s="46" t="n">
        <v>140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NFC-e 9134</t>
        </is>
      </c>
    </row>
    <row r="105">
      <c r="A105" s="17" t="n">
        <v>46199</v>
      </c>
      <c r="B105" s="18" t="inlineStr">
        <is>
          <t>Eversoft Ind e Com de Plasticos Ltda</t>
        </is>
      </c>
      <c r="C105" s="18" t="n"/>
      <c r="D105" s="27" t="n"/>
      <c r="E105" s="18" t="n"/>
      <c r="F105" s="19" t="n"/>
      <c r="G105" s="19" t="n">
        <v>968.92</v>
      </c>
      <c r="H105" s="21" t="inlineStr">
        <is>
          <t>Fornecedores / Mercadoria</t>
        </is>
      </c>
      <c r="I105" s="18" t="inlineStr">
        <is>
          <t>NF 73636 de 10/06/2026 · parcela 1/5 (venc. 10/07/2026) · compra total R$ 4.394,61: 100x Refil Everest · Livro Caixa</t>
        </is>
      </c>
      <c r="J105" s="18" t="n"/>
    </row>
    <row r="106">
      <c r="A106" s="44" t="n">
        <v>46199</v>
      </c>
      <c r="B106" s="45" t="inlineStr">
        <is>
          <t>Eversoft Ind e Com de Plasticos Ltda</t>
        </is>
      </c>
      <c r="C106" s="45" t="n"/>
      <c r="D106" s="46" t="n"/>
      <c r="E106" s="45" t="n"/>
      <c r="F106" s="47" t="n"/>
      <c r="G106" s="48" t="n">
        <v>541.35</v>
      </c>
      <c r="H106" s="49" t="inlineStr">
        <is>
          <t>Fornecedores / Mercadoria</t>
        </is>
      </c>
      <c r="I106" s="45" t="inlineStr">
        <is>
          <t>NF 70444 de 23/01/2026 · parcela 5/5 (venc. 22/06/2026) · compra total R$ 2.706,83: 50x Refil Everest + 50x Pré Filtro · Livro Caixa</t>
        </is>
      </c>
    </row>
    <row r="107">
      <c r="A107" s="17" t="n">
        <v>46199</v>
      </c>
      <c r="B107" s="18" t="inlineStr">
        <is>
          <t>Documento de Arrecadação do Simples Na</t>
        </is>
      </c>
      <c r="C107" s="18" t="n"/>
      <c r="D107" s="27" t="n"/>
      <c r="E107" s="18" t="n"/>
      <c r="F107" s="19" t="n"/>
      <c r="G107" s="19" t="n">
        <v>955.4</v>
      </c>
      <c r="H107" s="21" t="inlineStr">
        <is>
          <t>Impostos e Taxas</t>
        </is>
      </c>
      <c r="I107" s="18" t="inlineStr">
        <is>
          <t>Livro Caixa: Pagamento parcela DOCUMENTO DE ARRECADAÇÃO DO SIMPLES NA · Ministerio da Fazenda</t>
        </is>
      </c>
      <c r="J107" s="18" t="n"/>
    </row>
    <row r="108">
      <c r="A108" s="44" t="n">
        <v>46199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</v>
      </c>
      <c r="H108" s="49" t="inlineStr">
        <is>
          <t>Fornecedores / Mercadoria</t>
        </is>
      </c>
      <c r="I108" s="45" t="inlineStr">
        <is>
          <t>NF 71084 de 23/02/2026 · parcela 4/5 (venc. 23/06/2026) · compra total R$ 4.394,61: 100x Refil Everest · Livro Caixa</t>
        </is>
      </c>
    </row>
    <row r="109">
      <c r="A109" s="17" t="n">
        <v>46199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4/5 (venc. 24/06/2026)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46199</v>
      </c>
      <c r="B110" s="45" t="inlineStr">
        <is>
          <t>Icms - Antecipação Parcial</t>
        </is>
      </c>
      <c r="C110" s="45" t="n"/>
      <c r="D110" s="46" t="n"/>
      <c r="E110" s="45" t="n"/>
      <c r="F110" s="47" t="n"/>
      <c r="G110" s="48" t="n">
        <v>1855.58</v>
      </c>
      <c r="H110" s="49" t="inlineStr">
        <is>
          <t>Impostos e Taxas</t>
        </is>
      </c>
      <c r="I110" s="45" t="inlineStr">
        <is>
          <t>Livro Caixa: Pagamento parcela ICMS - ANTECIPAÇÃO PARCIAL (Doc. 1) · Bahia Secretaria da Fazenda</t>
        </is>
      </c>
    </row>
    <row r="111">
      <c r="A111" s="17" t="n">
        <v>46200</v>
      </c>
      <c r="B111" s="18" t="inlineStr">
        <is>
          <t>Consumidor Final</t>
        </is>
      </c>
      <c r="C111" s="18" t="inlineStr">
        <is>
          <t>Refil Universal</t>
        </is>
      </c>
      <c r="D111" s="27" t="n">
        <v>30</v>
      </c>
      <c r="E111" s="18" t="inlineStr">
        <is>
          <t>Crédito Parcelado</t>
        </is>
      </c>
      <c r="F111" s="19" t="n"/>
      <c r="G111" s="19" t="n"/>
      <c r="H111" s="21" t="n"/>
      <c r="I111" s="18" t="inlineStr">
        <is>
          <t>NFC-e 9135</t>
        </is>
      </c>
      <c r="J111" s="18" t="n"/>
    </row>
    <row r="112">
      <c r="A112" s="44" t="n">
        <v>46202</v>
      </c>
      <c r="B112" s="45" t="inlineStr">
        <is>
          <t>CDI - Clinica Dentaria Integrada - Dr. Cicero - Copa</t>
        </is>
      </c>
      <c r="C112" s="45" t="inlineStr">
        <is>
          <t>Refil Plissado</t>
        </is>
      </c>
      <c r="D112" s="46" t="n">
        <v>80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4238</t>
        </is>
      </c>
      <c r="J112" t="inlineStr">
        <is>
          <t>EMP-0052</t>
        </is>
      </c>
    </row>
    <row r="113">
      <c r="A113" s="17" t="n">
        <v>46202</v>
      </c>
      <c r="B113" s="18" t="inlineStr">
        <is>
          <t>AJ Comercial de Cosmeticos e Perfumaria LTDA - Avatim</t>
        </is>
      </c>
      <c r="C113" s="18" t="inlineStr">
        <is>
          <t>Purificador Everest Plus Preto + Pré Filtro</t>
        </is>
      </c>
      <c r="D113" s="27" t="n">
        <v>1500</v>
      </c>
      <c r="E113" s="18" t="n"/>
      <c r="F113" s="19" t="n"/>
      <c r="G113" s="19" t="n"/>
      <c r="H113" s="21" t="n"/>
      <c r="I113" s="18" t="inlineStr">
        <is>
          <t>NF-e 4239 · nota faturada a prazo (forma de recebimento não consta na nota)</t>
        </is>
      </c>
      <c r="J113" s="18" t="inlineStr">
        <is>
          <t>EMP-0003</t>
        </is>
      </c>
    </row>
    <row r="114">
      <c r="A114" s="44" t="n">
        <v>46202</v>
      </c>
      <c r="B114" s="45" t="inlineStr">
        <is>
          <t>Filtros Planeta Agua Ind e Com Ltda</t>
        </is>
      </c>
      <c r="C114" s="45" t="n"/>
      <c r="D114" s="46" t="n"/>
      <c r="E114" s="45" t="n"/>
      <c r="F114" s="47" t="n"/>
      <c r="G114" s="48" t="n">
        <v>51.55</v>
      </c>
      <c r="H114" s="49" t="inlineStr">
        <is>
          <t>Fornecedores / Mercadoria</t>
        </is>
      </c>
      <c r="I114" s="45" t="inlineStr">
        <is>
          <t>NF 130511 de 08/05/2026 · compra total R$ 51,55 (IPI R$ 2,55): Refil Carbon Tech 9.3/4 Pol · Livro Caixa</t>
        </is>
      </c>
    </row>
    <row r="115">
      <c r="A115" s="17" t="n">
        <v>46203</v>
      </c>
      <c r="B115" s="18" t="inlineStr">
        <is>
          <t>Jaime Rodrigues de Oliveira</t>
        </is>
      </c>
      <c r="C115" s="18" t="inlineStr">
        <is>
          <t>Refil Everest + Refil Multifilter</t>
        </is>
      </c>
      <c r="D115" s="27" t="n">
        <v>220</v>
      </c>
      <c r="E115" s="18" t="inlineStr">
        <is>
          <t>Crédito Parcelado</t>
        </is>
      </c>
      <c r="F115" s="19" t="n"/>
      <c r="G115" s="19" t="n"/>
      <c r="H115" s="21" t="n"/>
      <c r="I115" s="18" t="inlineStr">
        <is>
          <t>NFC-e 9136</t>
        </is>
      </c>
      <c r="J115" s="18" t="n"/>
    </row>
    <row r="116">
      <c r="A116" s="44" t="n">
        <v>46203</v>
      </c>
      <c r="B116" s="45" t="inlineStr">
        <is>
          <t>Consumidor Final</t>
        </is>
      </c>
      <c r="C116" s="45" t="inlineStr">
        <is>
          <t>Refil IBBL C+3 + Suporte Metal Simples Fit</t>
        </is>
      </c>
      <c r="D116" s="46" t="n">
        <v>170</v>
      </c>
      <c r="E116" s="45" t="inlineStr">
        <is>
          <t>Pix</t>
        </is>
      </c>
      <c r="F116" s="47" t="n"/>
      <c r="G116" s="48" t="n"/>
      <c r="H116" s="49" t="n"/>
      <c r="I116" s="45" t="inlineStr">
        <is>
          <t>NFC-e 9137</t>
        </is>
      </c>
    </row>
    <row r="117">
      <c r="A117" s="17" t="n">
        <v>46203</v>
      </c>
      <c r="B117" s="18" t="inlineStr">
        <is>
          <t>Centro Medico de Jacobina Ltda</t>
        </is>
      </c>
      <c r="C117" s="18" t="inlineStr">
        <is>
          <t>2x Botão Completo</t>
        </is>
      </c>
      <c r="D117" s="27" t="n">
        <v>60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4242 · não recebido (conferido no DigiSat em 28/09/2026) — espelhado em Contas a Receber.</t>
        </is>
      </c>
      <c r="J117" s="18" t="n"/>
    </row>
    <row r="118">
      <c r="A118" s="44" t="n">
        <v>46203</v>
      </c>
      <c r="B118" s="45" t="inlineStr">
        <is>
          <t>Documento de Arrecadação de Receitas Fe</t>
        </is>
      </c>
      <c r="C118" s="45" t="n"/>
      <c r="D118" s="46" t="n"/>
      <c r="E118" s="45" t="n"/>
      <c r="F118" s="47" t="n"/>
      <c r="G118" s="48" t="n">
        <v>443.04</v>
      </c>
      <c r="H118" s="49" t="inlineStr">
        <is>
          <t>Impostos e Taxas</t>
        </is>
      </c>
      <c r="I118" s="45" t="inlineStr">
        <is>
          <t>Livro Caixa: Pagamento parcela DOCUMENTO DE ARRECADAÇÃO DE RECEITAS FE · Ministerio da Fazenda</t>
        </is>
      </c>
    </row>
    <row r="119">
      <c r="A119" s="17" t="n">
        <v>46203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3647.02</v>
      </c>
      <c r="H119" s="21" t="inlineStr">
        <is>
          <t>Impostos e Taxas</t>
        </is>
      </c>
      <c r="I119" s="18" t="inlineStr">
        <is>
          <t>Livro Caixa: Pagamento parcela GUIA DO FGTS DIGITAL (Doc. 1) · Caixa Economica Federal</t>
        </is>
      </c>
      <c r="J119" s="18" t="n"/>
    </row>
    <row r="120">
      <c r="A120" s="44" t="n">
        <v>46203</v>
      </c>
      <c r="B120" s="45" t="inlineStr">
        <is>
          <t>Salario Wiliam</t>
        </is>
      </c>
      <c r="C120" s="45" t="n"/>
      <c r="D120" s="46" t="n"/>
      <c r="E120" s="45" t="n"/>
      <c r="F120" s="47" t="n"/>
      <c r="G120" s="48" t="n">
        <v>1571.32</v>
      </c>
      <c r="H120" s="49" t="inlineStr">
        <is>
          <t>Salários, Comissões e Encargos</t>
        </is>
      </c>
      <c r="I120" s="45" t="inlineStr">
        <is>
          <t>Livro Caixa: Pagamento à vista: SALARIO WILIAM (Doc. 1) · Wiliam Pinto Bispo</t>
        </is>
      </c>
    </row>
    <row r="121">
      <c r="A121" s="29" t="n"/>
      <c r="B121" s="43" t="inlineStr">
        <is>
          <t>TOTAL DO MÊS</t>
        </is>
      </c>
      <c r="C121" s="160" t="n"/>
      <c r="D121" s="8">
        <f>SUM(D5:D120)</f>
        <v/>
      </c>
      <c r="E121" s="8" t="n"/>
      <c r="F121" s="29">
        <f>SUM(F5:F120)</f>
        <v/>
      </c>
      <c r="G121" s="8">
        <f>SUM(G5:G120)</f>
        <v/>
      </c>
      <c r="H121" s="29" t="n"/>
      <c r="I121" s="29" t="n"/>
    </row>
    <row r="122">
      <c r="A122" s="30" t="n"/>
      <c r="B122" s="133" t="inlineStr">
        <is>
          <t>SALDO DO MÊS (Entradas líquidas − Despesas da loja)</t>
        </is>
      </c>
      <c r="D122" s="132">
        <f>(D121-F121-T5)-(L18-L19)</f>
        <v/>
      </c>
      <c r="F122" s="30" t="n"/>
      <c r="H122" s="30" t="n"/>
      <c r="I122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0" showDropDown="0" showInputMessage="0" showErrorMessage="0" allowBlank="1" type="list">
      <formula1>"Dinheiro,Pix,Débito,Crédito à Vista,Crédito Parcelado,Aguardando Pagamento"</formula1>
    </dataValidation>
    <dataValidation sqref="H5:H120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46204</v>
      </c>
      <c r="B5" s="18" t="inlineStr">
        <is>
          <t>Luzia Rodrigues de Souza</t>
        </is>
      </c>
      <c r="C5" s="18" t="inlineStr">
        <is>
          <t>Purificador Everest Star Branco</t>
        </is>
      </c>
      <c r="D5" s="27" t="n">
        <v>1250</v>
      </c>
      <c r="E5" s="18" t="inlineStr">
        <is>
          <t>Dinheiro</t>
        </is>
      </c>
      <c r="F5" s="19" t="n"/>
      <c r="G5" s="19" t="n"/>
      <c r="H5" s="21" t="n"/>
      <c r="I5" s="18" t="inlineStr">
        <is>
          <t>NF-e 4244</t>
        </is>
      </c>
      <c r="J5" s="18" t="inlineStr">
        <is>
          <t>CLI-0864</t>
        </is>
      </c>
      <c r="K5" s="10" t="inlineStr">
        <is>
          <t>Fornecedores / Mercadoria</t>
        </is>
      </c>
      <c r="L5" s="11">
        <f>SUMIF(H5:H123,K5,G5:G123)</f>
        <v/>
      </c>
      <c r="N5" s="229">
        <f>D124-F124-T5</f>
        <v/>
      </c>
      <c r="P5" s="231">
        <f>L18-L19</f>
        <v/>
      </c>
      <c r="R5" s="230">
        <f>D125</f>
        <v/>
      </c>
      <c r="T5" s="212">
        <f>SUMIF(E5:E123,"Aguardando Pagamento",D5:D123)</f>
        <v/>
      </c>
    </row>
    <row r="6" ht="14.1" customHeight="1" s="157">
      <c r="A6" s="44" t="n">
        <v>46204</v>
      </c>
      <c r="B6" s="45" t="inlineStr">
        <is>
          <t>Consumidor Final</t>
        </is>
      </c>
      <c r="C6" s="45" t="inlineStr">
        <is>
          <t>Filtro Bica Movel Branco</t>
        </is>
      </c>
      <c r="D6" s="46" t="n">
        <v>115</v>
      </c>
      <c r="E6" s="45" t="inlineStr">
        <is>
          <t>Pix</t>
        </is>
      </c>
      <c r="F6" s="47" t="n"/>
      <c r="G6" s="48" t="n"/>
      <c r="H6" s="49" t="n"/>
      <c r="I6" s="45" t="inlineStr">
        <is>
          <t>NFC-e 9138</t>
        </is>
      </c>
      <c r="K6" s="13" t="inlineStr">
        <is>
          <t>Aluguel</t>
        </is>
      </c>
      <c r="L6" s="14">
        <f>SUMIF(H5:H123,K6,G5:G123)</f>
        <v/>
      </c>
    </row>
    <row r="7" ht="15.75" customHeight="1" s="157">
      <c r="A7" s="17" t="n">
        <v>46204</v>
      </c>
      <c r="B7" s="18" t="inlineStr">
        <is>
          <t>Joaquim Silva Oliveira - Gessy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9139</t>
        </is>
      </c>
      <c r="J7" s="18" t="n"/>
      <c r="K7" s="10" t="inlineStr">
        <is>
          <t>Água, Energia e Internet</t>
        </is>
      </c>
      <c r="L7" s="11">
        <f>SUMIF(H5:H123,K7,G5:G123)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COMBINADO",IF(TODAY()&gt;EOMONTH(DATE(2026,7,1),0),"ABAIXO DO COMBINADO","AINDA PODE GASTAR"))</f>
        <v/>
      </c>
      <c r="T7" s="224" t="inlineStr">
        <is>
          <t>SOBRA FINAL DO MÊS</t>
        </is>
      </c>
    </row>
    <row r="8">
      <c r="A8" s="44" t="n">
        <v>46204</v>
      </c>
      <c r="B8" s="45" t="inlineStr">
        <is>
          <t>Contabilidade Abreu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4245</t>
        </is>
      </c>
      <c r="J8" t="inlineStr">
        <is>
          <t>EMP-0105</t>
        </is>
      </c>
      <c r="K8" s="13" t="inlineStr">
        <is>
          <t>Impostos e Taxas</t>
        </is>
      </c>
      <c r="L8" s="14">
        <f>SUMIF(H5:H123,K8,G5:G123)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46204</v>
      </c>
      <c r="B9" s="18" t="inlineStr">
        <is>
          <t>Jonas Cezar Alves de Araujo</t>
        </is>
      </c>
      <c r="C9" s="18" t="inlineStr">
        <is>
          <t>Refil Everest</t>
        </is>
      </c>
      <c r="D9" s="27" t="n">
        <v>140</v>
      </c>
      <c r="E9" s="18" t="inlineStr">
        <is>
          <t>Pix</t>
        </is>
      </c>
      <c r="F9" s="19" t="n"/>
      <c r="G9" s="19" t="n"/>
      <c r="H9" s="21" t="n"/>
      <c r="I9" s="18" t="inlineStr">
        <is>
          <t>NFC-e 9140</t>
        </is>
      </c>
      <c r="J9" s="18" t="inlineStr">
        <is>
          <t>CLI-0865</t>
        </is>
      </c>
      <c r="K9" s="10" t="inlineStr">
        <is>
          <t>Tarifas Bancárias e Cartão</t>
        </is>
      </c>
      <c r="L9" s="11">
        <f>SUMIF(H5:H123,K9,G5:G123)</f>
        <v/>
      </c>
    </row>
    <row r="10">
      <c r="A10" s="44" t="n">
        <v>46204</v>
      </c>
      <c r="B10" s="45" t="inlineStr">
        <is>
          <t>Banco Bradesco Sa</t>
        </is>
      </c>
      <c r="C10" s="45" t="inlineStr">
        <is>
          <t>Refil Plissado + Refil Top Color</t>
        </is>
      </c>
      <c r="D10" s="46" t="n">
        <v>195</v>
      </c>
      <c r="E10" s="45" t="n"/>
      <c r="F10" s="47" t="n"/>
      <c r="G10" s="48" t="n"/>
      <c r="H10" s="49" t="n"/>
      <c r="I10" s="45" t="inlineStr">
        <is>
          <t>NF-e 4243.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SUMIF(H5:H123,K10,G5:G123)</f>
        <v/>
      </c>
    </row>
    <row r="11">
      <c r="A11" s="17" t="n">
        <v>46204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3/5 (venc. 01/07/2026)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SUMIF(H5:H123,K11,G5:G123)</f>
        <v/>
      </c>
    </row>
    <row r="12">
      <c r="A12" s="44" t="n">
        <v>46204</v>
      </c>
      <c r="B12" s="45" t="inlineStr">
        <is>
          <t>Embasa Adriano</t>
        </is>
      </c>
      <c r="C12" s="45" t="n"/>
      <c r="D12" s="46" t="n"/>
      <c r="E12" s="45" t="n"/>
      <c r="F12" s="47" t="n"/>
      <c r="G12" s="48" t="n">
        <v>50.07</v>
      </c>
      <c r="H12" s="49" t="inlineStr">
        <is>
          <t>Pro Labore Edilânia</t>
        </is>
      </c>
      <c r="I12" s="45" t="inlineStr">
        <is>
          <t>Livro Caixa: Pagamento parcela EMBASA ADRIANO (Doc. 1) · Empresa Baiana de Aguas e Saneamento Sa</t>
        </is>
      </c>
      <c r="K12" s="13" t="inlineStr">
        <is>
          <t>Contabilidade</t>
        </is>
      </c>
      <c r="L12" s="14">
        <f>SUMIF(H5:H123,K12,G5:G123)</f>
        <v/>
      </c>
    </row>
    <row r="13">
      <c r="A13" s="17" t="n">
        <v>46204</v>
      </c>
      <c r="B13" s="18" t="inlineStr">
        <is>
          <t>Aluguel Vitoria Maria</t>
        </is>
      </c>
      <c r="C13" s="18" t="n"/>
      <c r="D13" s="27" t="n"/>
      <c r="E13" s="18" t="n"/>
      <c r="F13" s="19" t="n"/>
      <c r="G13" s="19" t="n">
        <v>880</v>
      </c>
      <c r="H13" s="21" t="inlineStr">
        <is>
          <t>Aluguel</t>
        </is>
      </c>
      <c r="I13" s="18" t="inlineStr">
        <is>
          <t>Livro Caixa: Pagamento à vista: ALUGUEL VITORIA MARIA (Doc. 1) · Vitoria Maria F Santos</t>
        </is>
      </c>
      <c r="J13" s="18" t="n"/>
      <c r="K13" s="10" t="inlineStr">
        <is>
          <t>Manutenção e Reparos</t>
        </is>
      </c>
      <c r="L13" s="11">
        <f>SUMIF(H5:H123,K13,G5:G123)</f>
        <v/>
      </c>
    </row>
    <row r="14" ht="15.75" customHeight="1" s="157">
      <c r="A14" s="44" t="n">
        <v>46206</v>
      </c>
      <c r="B14" s="45" t="inlineStr">
        <is>
          <t>Hidroluz</t>
        </is>
      </c>
      <c r="C14" s="45" t="inlineStr">
        <is>
          <t>Refil BAG + Mangueira Fina Branca 6,35 X 1Mm</t>
        </is>
      </c>
      <c r="D14" s="46" t="n">
        <v>70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4246</t>
        </is>
      </c>
      <c r="J14" t="inlineStr">
        <is>
          <t>EMP-0169</t>
        </is>
      </c>
      <c r="K14" s="13" t="inlineStr">
        <is>
          <t>Material de Limpeza e Escritório</t>
        </is>
      </c>
      <c r="L14" s="14">
        <f>SUMIF(H5:H123,K14,G5:G123)</f>
        <v/>
      </c>
    </row>
    <row r="15" ht="15.75" customHeight="1" s="157">
      <c r="A15" s="17" t="n">
        <v>46206</v>
      </c>
      <c r="B15" s="18" t="inlineStr">
        <is>
          <t>Gomes e Nascimento Equipamentos de Seguranca Ltda</t>
        </is>
      </c>
      <c r="C15" s="18" t="inlineStr">
        <is>
          <t>Refil Pro Life</t>
        </is>
      </c>
      <c r="D15" s="27" t="n">
        <v>130</v>
      </c>
      <c r="E15" s="18" t="n"/>
      <c r="F15" s="19" t="n"/>
      <c r="G15" s="19" t="n"/>
      <c r="H15" s="21" t="n"/>
      <c r="I15" s="18" t="inlineStr">
        <is>
          <t>NF-e 4241 · nota faturada a prazo (forma de recebimento não consta na nota) · venda de 30/06/2026 — pagamento recebido em 03/07/2026</t>
        </is>
      </c>
      <c r="J15" s="18" t="n"/>
      <c r="K15" s="10" t="inlineStr">
        <is>
          <t>Estornos de Vendas (Cancelamentos)</t>
        </is>
      </c>
      <c r="L15" s="11">
        <f>SUMIF(H5:H123,K15,G5:G123)</f>
        <v/>
      </c>
    </row>
    <row r="16">
      <c r="A16" s="44" t="n">
        <v>46206</v>
      </c>
      <c r="B16" s="45" t="inlineStr">
        <is>
          <t>Consumidor Final</t>
        </is>
      </c>
      <c r="C16" s="45" t="inlineStr">
        <is>
          <t>Refil Carbon Block</t>
        </is>
      </c>
      <c r="D16" s="46" t="n">
        <v>50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9141</t>
        </is>
      </c>
      <c r="K16" t="inlineStr">
        <is>
          <t>Outras Despesas</t>
        </is>
      </c>
      <c r="L16" s="11">
        <f>SUMIF(H5:H123,K16,G5:G123)</f>
        <v/>
      </c>
    </row>
    <row r="17" ht="15.75" customHeight="1" s="157">
      <c r="A17" s="17" t="n">
        <v>46206</v>
      </c>
      <c r="B17" s="18" t="inlineStr">
        <is>
          <t>Bolsa Estagio</t>
        </is>
      </c>
      <c r="C17" s="18" t="n"/>
      <c r="D17" s="27" t="n"/>
      <c r="E17" s="18" t="n"/>
      <c r="F17" s="19" t="n"/>
      <c r="G17" s="19" t="n">
        <v>600</v>
      </c>
      <c r="H17" s="21" t="inlineStr">
        <is>
          <t>Salários, Comissões e Encargos</t>
        </is>
      </c>
      <c r="I17" s="18" t="inlineStr">
        <is>
          <t>Livro Caixa: Pagamento à vista: BOLSA ESTAGIO (Doc. 1) · Erick Feitosa Evangelista</t>
        </is>
      </c>
      <c r="J17" s="18" t="n"/>
      <c r="K17" t="inlineStr">
        <is>
          <t>Pro Labore Edilânia</t>
        </is>
      </c>
      <c r="L17">
        <f>SUMIF(H5:H123,K17,G5:G123)</f>
        <v/>
      </c>
    </row>
    <row r="18" ht="15.75" customHeight="1" s="157">
      <c r="A18" s="44" t="n">
        <v>46206</v>
      </c>
      <c r="B18" s="45" t="inlineStr">
        <is>
          <t>Rescisão Daniel</t>
        </is>
      </c>
      <c r="C18" s="45" t="n"/>
      <c r="D18" s="46" t="n"/>
      <c r="E18" s="45" t="n"/>
      <c r="F18" s="47" t="n"/>
      <c r="G18" s="48" t="n">
        <v>4145.56</v>
      </c>
      <c r="H18" s="49" t="inlineStr">
        <is>
          <t>Salários, Comissões e Encargos</t>
        </is>
      </c>
      <c r="I18" s="45" t="inlineStr">
        <is>
          <t>Livro Caixa: Pagamento à vista: RESCISÃO DANIEL (Doc. 1) · Daniel Barbosa dos Santos</t>
        </is>
      </c>
      <c r="K18" t="inlineStr">
        <is>
          <t>Total</t>
        </is>
      </c>
      <c r="L18">
        <f>SUM(L5:L16)</f>
        <v/>
      </c>
    </row>
    <row r="19">
      <c r="A19" s="17" t="n">
        <v>46206</v>
      </c>
      <c r="B19" s="18" t="inlineStr">
        <is>
          <t>Salario Wiliam</t>
        </is>
      </c>
      <c r="C19" s="18" t="n"/>
      <c r="D19" s="27" t="n"/>
      <c r="E19" s="18" t="n"/>
      <c r="F19" s="19" t="n"/>
      <c r="G19" s="19" t="n">
        <v>1643.43</v>
      </c>
      <c r="H19" s="21" t="inlineStr">
        <is>
          <t>Salários, Comissões e Encargos</t>
        </is>
      </c>
      <c r="I19" s="18" t="inlineStr">
        <is>
          <t>Livro Caixa: Pagamento à vista: SALARIO WILIAM (Doc. 1) · Wiliam Pinto Bispo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(BB)'!A9:A200,"&gt;="&amp;DATE(2026,7,1),'Capital de Giro (BB)'!A9:A200,"&lt;="&amp;DATE(2026,7,31),'Capital de Giro (BB)'!E9:E200,"A Devolver")</f>
        <v/>
      </c>
    </row>
    <row r="20">
      <c r="A20" s="44" t="n">
        <v>46206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666.15</v>
      </c>
      <c r="H20" s="49" t="inlineStr">
        <is>
          <t>Fornecedores / Mercadoria</t>
        </is>
      </c>
      <c r="I20" s="45" t="inlineStr">
        <is>
          <t>NF 130510 de 08/05/2026 · parcela 3/4 (venc. 03/07/2026)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1">
      <c r="A21" s="17" t="n">
        <v>46209</v>
      </c>
      <c r="B21" s="18" t="inlineStr">
        <is>
          <t>Rodolfo de Santana Silva</t>
        </is>
      </c>
      <c r="C21" s="18" t="inlineStr">
        <is>
          <t>Refil Everest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9142</t>
        </is>
      </c>
      <c r="J21" s="18" t="n"/>
    </row>
    <row r="22">
      <c r="A22" s="44" t="n">
        <v>46209</v>
      </c>
      <c r="B22" s="45" t="inlineStr">
        <is>
          <t>Maria Rita Silva Souza</t>
        </is>
      </c>
      <c r="C22" s="45" t="inlineStr">
        <is>
          <t>Refil Everest</t>
        </is>
      </c>
      <c r="D22" s="46" t="n">
        <v>140</v>
      </c>
      <c r="E22" s="45" t="inlineStr">
        <is>
          <t>Crédito Parcelado</t>
        </is>
      </c>
      <c r="F22" s="47" t="n"/>
      <c r="G22" s="48" t="n"/>
      <c r="H22" s="49" t="n"/>
      <c r="I22" s="45" t="inlineStr">
        <is>
          <t>NFC-e 9143</t>
        </is>
      </c>
    </row>
    <row r="23">
      <c r="A23" s="17" t="n">
        <v>46209</v>
      </c>
      <c r="B23" s="18" t="inlineStr">
        <is>
          <t>N N Modas - F B de Araujo</t>
        </is>
      </c>
      <c r="C23" s="18" t="inlineStr">
        <is>
          <t>Refil Everest + Pré Filtro</t>
        </is>
      </c>
      <c r="D23" s="27" t="n">
        <v>190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NF-e 4248</t>
        </is>
      </c>
      <c r="J23" s="18" t="inlineStr">
        <is>
          <t>EMP-0228</t>
        </is>
      </c>
    </row>
    <row r="24">
      <c r="A24" s="44" t="n">
        <v>46209</v>
      </c>
      <c r="B24" s="45" t="inlineStr">
        <is>
          <t>Wiliam Pinto Bispo</t>
        </is>
      </c>
      <c r="C24" s="45" t="n"/>
      <c r="D24" s="46" t="n">
        <v>1643.43</v>
      </c>
      <c r="E24" s="45" t="n"/>
      <c r="F24" s="47" t="n"/>
      <c r="G24" s="48" t="n"/>
      <c r="H24" s="49" t="n"/>
      <c r="I24" s="45" t="inlineStr">
        <is>
          <t>Livro Caixa: Estorno de pagamento do documento: SALARIO WILIAM (Doc. 1)</t>
        </is>
      </c>
    </row>
    <row r="25">
      <c r="A25" s="17" t="n">
        <v>46209</v>
      </c>
      <c r="B25" s="18" t="inlineStr">
        <is>
          <t>Cledson Oliveira dos Santos</t>
        </is>
      </c>
      <c r="C25" s="18" t="inlineStr">
        <is>
          <t>Refil Everest + Pré Filtro</t>
        </is>
      </c>
      <c r="D25" s="27" t="n">
        <v>190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9144</t>
        </is>
      </c>
      <c r="J25" s="18" t="inlineStr">
        <is>
          <t>CLI-0877</t>
        </is>
      </c>
    </row>
    <row r="26">
      <c r="A26" s="44" t="n">
        <v>46209</v>
      </c>
      <c r="B26" s="45" t="inlineStr">
        <is>
          <t>Jailma Moreira dos Santos</t>
        </is>
      </c>
      <c r="C26" s="45" t="inlineStr">
        <is>
          <t>Refil Everest</t>
        </is>
      </c>
      <c r="D26" s="46" t="n">
        <v>135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NFC-e 9145</t>
        </is>
      </c>
      <c r="J26" t="inlineStr">
        <is>
          <t>CLI-0870</t>
        </is>
      </c>
    </row>
    <row r="27">
      <c r="A27" s="17" t="n">
        <v>46209</v>
      </c>
      <c r="B27" s="18" t="inlineStr">
        <is>
          <t>Vitoria Maria F Santos</t>
        </is>
      </c>
      <c r="C27" s="18" t="n"/>
      <c r="D27" s="27" t="n">
        <v>870</v>
      </c>
      <c r="E27" s="18" t="n"/>
      <c r="F27" s="19" t="n"/>
      <c r="G27" s="19" t="n"/>
      <c r="H27" s="21" t="n"/>
      <c r="I27" s="18" t="inlineStr">
        <is>
          <t>Livro Caixa: Estorno de pagamento do documento: ALUGUEL VITORIA MARIA</t>
        </is>
      </c>
      <c r="J27" s="18" t="n"/>
    </row>
    <row r="28">
      <c r="A28" s="44" t="n">
        <v>46209</v>
      </c>
      <c r="B28" s="45" t="inlineStr">
        <is>
          <t>Clinica Humana</t>
        </is>
      </c>
      <c r="C28" s="45" t="inlineStr">
        <is>
          <t>4x Refil Everest</t>
        </is>
      </c>
      <c r="D28" s="46" t="n">
        <v>560</v>
      </c>
      <c r="E28" s="45" t="n"/>
      <c r="F28" s="47" t="n"/>
      <c r="G28" s="48" t="n"/>
      <c r="H28" s="49" t="n"/>
      <c r="I28" s="45" t="inlineStr">
        <is>
          <t>NF-e 4247 · nota faturada a prazo (forma de recebimento não consta na nota) · venda de 03/07/2026 — pagamento recebido em 06/07/2026</t>
        </is>
      </c>
      <c r="J28" t="inlineStr">
        <is>
          <t>EMP-0079</t>
        </is>
      </c>
    </row>
    <row r="29" ht="15.75" customHeight="1" s="157">
      <c r="A29" s="17" t="n">
        <v>46209</v>
      </c>
      <c r="B29" s="18" t="inlineStr">
        <is>
          <t>Lojas GeoComercial Ltda</t>
        </is>
      </c>
      <c r="C29" s="18" t="inlineStr">
        <is>
          <t>Refil Everest + Pré Filtro</t>
        </is>
      </c>
      <c r="D29" s="27" t="n">
        <v>200</v>
      </c>
      <c r="E29" s="18" t="n"/>
      <c r="F29" s="19" t="n"/>
      <c r="G29" s="19" t="n"/>
      <c r="H29" s="21" t="n"/>
      <c r="I29" s="18" t="inlineStr">
        <is>
          <t>NF-e 4240 · nota faturada a prazo (forma de recebimento não consta na nota) · venda de 30/06/2026 — pagamento recebido em 06/07/2026</t>
        </is>
      </c>
      <c r="J29" s="18" t="inlineStr">
        <is>
          <t>EMP-0208</t>
        </is>
      </c>
    </row>
    <row r="30">
      <c r="A30" s="44" t="n">
        <v>46209</v>
      </c>
      <c r="B30" s="45" t="inlineStr">
        <is>
          <t>Aluguel Vitoria Maria</t>
        </is>
      </c>
      <c r="C30" s="45" t="n"/>
      <c r="D30" s="46" t="n"/>
      <c r="E30" s="45" t="n"/>
      <c r="F30" s="47" t="n"/>
      <c r="G30" s="48" t="n">
        <v>870</v>
      </c>
      <c r="H30" s="49" t="inlineStr">
        <is>
          <t>Aluguel</t>
        </is>
      </c>
      <c r="I30" s="45" t="inlineStr">
        <is>
          <t>Livro Caixa: Pagamento à vista: ALUGUEL VITORIA MARIA (Doc. 1) · Vitoria Maria F Santos</t>
        </is>
      </c>
    </row>
    <row r="31">
      <c r="A31" s="17" t="n">
        <v>46210</v>
      </c>
      <c r="B31" s="18" t="inlineStr">
        <is>
          <t>Cbv Construtora Ltda</t>
        </is>
      </c>
      <c r="C31" s="18" t="inlineStr">
        <is>
          <t>2x Refil Carbon Tech 9"</t>
        </is>
      </c>
      <c r="D31" s="27" t="n">
        <v>160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4249</t>
        </is>
      </c>
      <c r="J31" s="18" t="n"/>
    </row>
    <row r="32">
      <c r="A32" s="44" t="n">
        <v>46210</v>
      </c>
      <c r="B32" s="45" t="inlineStr">
        <is>
          <t>Consumidor Final</t>
        </is>
      </c>
      <c r="C32" s="45" t="inlineStr">
        <is>
          <t>Refil Pro Life + Pré Filtro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9146</t>
        </is>
      </c>
    </row>
    <row r="33">
      <c r="A33" s="17" t="n">
        <v>46210</v>
      </c>
      <c r="B33" s="18" t="inlineStr">
        <is>
          <t>Iranildo Benedito Silva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9147</t>
        </is>
      </c>
      <c r="J33" s="18" t="inlineStr">
        <is>
          <t>CLI-0871</t>
        </is>
      </c>
    </row>
    <row r="34">
      <c r="A34" s="44" t="n">
        <v>46210</v>
      </c>
      <c r="B34" s="45" t="inlineStr">
        <is>
          <t>Drillgeo Geologia e Sondagens S/A</t>
        </is>
      </c>
      <c r="C34" s="45" t="inlineStr">
        <is>
          <t>Refil Plissado + Refil Carbon Tech 9"</t>
        </is>
      </c>
      <c r="D34" s="46" t="n">
        <v>180</v>
      </c>
      <c r="E34" s="45" t="n"/>
      <c r="F34" s="47" t="n"/>
      <c r="G34" s="48" t="n"/>
      <c r="H34" s="49" t="n"/>
      <c r="I34" s="45" t="inlineStr">
        <is>
          <t>NF-e 4250. Recebimento não constava no Livro Caixa; conferido e baixado no DigiSat em 28/09/2026.</t>
        </is>
      </c>
    </row>
    <row r="35">
      <c r="A35" s="17" t="n">
        <v>46211</v>
      </c>
      <c r="B35" s="18" t="inlineStr">
        <is>
          <t>Cbv Construtora Ltda</t>
        </is>
      </c>
      <c r="C35" s="18" t="inlineStr">
        <is>
          <t>Refil PA 230</t>
        </is>
      </c>
      <c r="D35" s="27" t="n">
        <v>80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4251</t>
        </is>
      </c>
      <c r="J35" s="18" t="n"/>
    </row>
    <row r="36">
      <c r="A36" s="44" t="n">
        <v>46211</v>
      </c>
      <c r="B36" s="45" t="inlineStr">
        <is>
          <t>Clinica Ginecologica Pinho LTDA - Cligine</t>
        </is>
      </c>
      <c r="C36" s="45" t="inlineStr">
        <is>
          <t>Refil Everest</t>
        </is>
      </c>
      <c r="D36" s="46" t="n">
        <v>135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4252</t>
        </is>
      </c>
      <c r="J36" t="inlineStr">
        <is>
          <t>EMP-0078</t>
        </is>
      </c>
    </row>
    <row r="37">
      <c r="A37" s="17" t="n">
        <v>46211</v>
      </c>
      <c r="B37" s="18" t="inlineStr">
        <is>
          <t>Eliana Oliveira Nunes</t>
        </is>
      </c>
      <c r="C37" s="18" t="inlineStr">
        <is>
          <t>Refil Pro Life + Pré Filtro</t>
        </is>
      </c>
      <c r="D37" s="27" t="n">
        <v>200</v>
      </c>
      <c r="E37" s="18" t="inlineStr">
        <is>
          <t>Crédito Parcelado</t>
        </is>
      </c>
      <c r="F37" s="19" t="n"/>
      <c r="G37" s="19" t="n"/>
      <c r="H37" s="21" t="n"/>
      <c r="I37" s="18" t="inlineStr">
        <is>
          <t>NFC-e 9148</t>
        </is>
      </c>
      <c r="J37" s="18" t="n"/>
    </row>
    <row r="38">
      <c r="A38" s="44" t="n">
        <v>46211</v>
      </c>
      <c r="B38" s="45" t="inlineStr">
        <is>
          <t>Otica Realce - Fernando Carneiro &amp; Cia Ltda</t>
        </is>
      </c>
      <c r="C38" s="45" t="inlineStr">
        <is>
          <t>Refil Everest</t>
        </is>
      </c>
      <c r="D38" s="46" t="n">
        <v>140</v>
      </c>
      <c r="E38" s="45" t="inlineStr">
        <is>
          <t>Pix</t>
        </is>
      </c>
      <c r="F38" s="47" t="n"/>
      <c r="G38" s="48" t="n"/>
      <c r="H38" s="49" t="n"/>
      <c r="I38" s="45" t="inlineStr">
        <is>
          <t>NF-e 4253</t>
        </is>
      </c>
      <c r="J38" t="inlineStr">
        <is>
          <t>EMP-0241</t>
        </is>
      </c>
    </row>
    <row r="39" ht="15.75" customHeight="1" s="157">
      <c r="A39" s="17" t="n">
        <v>46211</v>
      </c>
      <c r="B39" s="18" t="inlineStr">
        <is>
          <t>Somhara Brito</t>
        </is>
      </c>
      <c r="C39" s="18" t="inlineStr">
        <is>
          <t>Suporte + Registro</t>
        </is>
      </c>
      <c r="D39" s="27" t="n">
        <v>120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9149</t>
        </is>
      </c>
      <c r="J39" s="18" t="inlineStr">
        <is>
          <t>CLI-0161</t>
        </is>
      </c>
    </row>
    <row r="40">
      <c r="A40" s="44" t="n">
        <v>46211</v>
      </c>
      <c r="B40" s="45" t="inlineStr">
        <is>
          <t>Marilza da Silva Oliveira Matos</t>
        </is>
      </c>
      <c r="C40" s="45" t="inlineStr">
        <is>
          <t>Refil Pro Life + Pré Filtro</t>
        </is>
      </c>
      <c r="D40" s="46" t="n">
        <v>190</v>
      </c>
      <c r="E40" s="45" t="inlineStr">
        <is>
          <t>Pix</t>
        </is>
      </c>
      <c r="F40" s="47" t="n"/>
      <c r="G40" s="48" t="n"/>
      <c r="H40" s="49" t="n"/>
      <c r="I40" s="45" t="inlineStr">
        <is>
          <t>NFC-e 9150</t>
        </is>
      </c>
      <c r="J40" t="inlineStr">
        <is>
          <t>CLI-0873</t>
        </is>
      </c>
    </row>
    <row r="41">
      <c r="A41" s="17" t="n">
        <v>46211</v>
      </c>
      <c r="B41" s="18" t="inlineStr">
        <is>
          <t>Everest Refrigeracao e Industria</t>
        </is>
      </c>
      <c r="C41" s="18" t="n"/>
      <c r="D41" s="27" t="n"/>
      <c r="E41" s="18" t="n"/>
      <c r="F41" s="19" t="n"/>
      <c r="G41" s="19" t="n">
        <v>706.65</v>
      </c>
      <c r="H41" s="21" t="inlineStr">
        <is>
          <t>Fornecedores / Mercadoria</t>
        </is>
      </c>
      <c r="I41" s="18" t="inlineStr">
        <is>
          <t>NF 374271 de 06/04/2026 · parcela 3/5 (venc. 05/07/2026) · compra total R$ 3.533,27: Purificador Everest Plus Prata + Purificador Everest Star Branco + Purificador Everest Star Preto + Purificador Everest Slim Prata + Purificador Everest Fit Branco · Livro Caixa</t>
        </is>
      </c>
      <c r="J41" s="18" t="n"/>
    </row>
    <row r="42" ht="15.75" customHeight="1" s="157">
      <c r="A42" s="44" t="n">
        <v>46211</v>
      </c>
      <c r="B42" s="45" t="inlineStr">
        <is>
          <t>Eversoft Ind e Com de Plasticos Ltda</t>
        </is>
      </c>
      <c r="C42" s="45" t="n"/>
      <c r="D42" s="46" t="n"/>
      <c r="E42" s="45" t="n"/>
      <c r="F42" s="47" t="n"/>
      <c r="G42" s="48" t="n">
        <v>980.83</v>
      </c>
      <c r="H42" s="49" t="inlineStr">
        <is>
          <t>Fornecedores / Mercadoria</t>
        </is>
      </c>
      <c r="I42" s="45" t="inlineStr">
        <is>
          <t>NF 72869 de 07/05/2026 · parcela 2/5 (venc. 06/07/2026) · compra total R$ 4.904,13: 100x Refil Everest + 50x Pré Filtro · Livro Caixa</t>
        </is>
      </c>
    </row>
    <row r="43">
      <c r="A43" s="17" t="n">
        <v>46211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141.67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46211</v>
      </c>
      <c r="B44" s="45" t="inlineStr">
        <is>
          <t>Conta de Energia Adriano</t>
        </is>
      </c>
      <c r="C44" s="45" t="n"/>
      <c r="D44" s="46" t="n"/>
      <c r="E44" s="45" t="n"/>
      <c r="F44" s="47" t="n"/>
      <c r="G44" s="48" t="n">
        <v>316.11</v>
      </c>
      <c r="H44" s="49" t="inlineStr">
        <is>
          <t>Pro Labore Edilânia</t>
        </is>
      </c>
      <c r="I44" s="45" t="inlineStr">
        <is>
          <t>Livro Caixa: Pagamento parcela CONTA DE ENERGIA ADRIANO (Doc. 1) · Companhia de Eletricidade do Estado da Bahia Coelba</t>
        </is>
      </c>
    </row>
    <row r="45">
      <c r="A45" s="17" t="n">
        <v>46211</v>
      </c>
      <c r="B45" s="18" t="inlineStr">
        <is>
          <t>Everest Refrigeracao e Industria</t>
        </is>
      </c>
      <c r="C45" s="18" t="n"/>
      <c r="D45" s="27" t="n"/>
      <c r="E45" s="18" t="n"/>
      <c r="F45" s="19" t="n"/>
      <c r="G45" s="19" t="n">
        <v>725.48</v>
      </c>
      <c r="H45" s="21" t="inlineStr">
        <is>
          <t>Fornecedores / Mercadoria</t>
        </is>
      </c>
      <c r="I45" s="18" t="inlineStr">
        <is>
          <t>NF 372597 de 11/03/2026 · parcela 4/5 (venc. 09/07/2026) · compra total R$ 3.627,42: 2x Purificador Everest Plus Branco + Purificador Everest Fit Preto + Purificador Everest Slim Preto + Purificador Everest Star Preto · Livro Caixa</t>
        </is>
      </c>
      <c r="J45" s="18" t="n"/>
    </row>
    <row r="46">
      <c r="A46" s="44" t="n">
        <v>46211</v>
      </c>
      <c r="B46" s="45" t="inlineStr">
        <is>
          <t>Eversoft Ind e Com de Plasticos Ltda</t>
        </is>
      </c>
      <c r="C46" s="45" t="n"/>
      <c r="D46" s="46" t="n"/>
      <c r="E46" s="45" t="n"/>
      <c r="F46" s="47" t="n"/>
      <c r="G46" s="48" t="n">
        <v>878.92</v>
      </c>
      <c r="H46" s="49" t="inlineStr">
        <is>
          <t>Fornecedores / Mercadoria</t>
        </is>
      </c>
      <c r="I46" s="45" t="inlineStr">
        <is>
          <t>NF 73636 de 10/06/2026 · parcela 1/5 (venc. 10/07/2026) · compra total R$ 4.394,61: 100x Refil Everest · Livro Caixa</t>
        </is>
      </c>
    </row>
    <row r="47">
      <c r="A47" s="17" t="n">
        <v>46211</v>
      </c>
      <c r="B47" s="18" t="inlineStr">
        <is>
          <t>Mercado Livre</t>
        </is>
      </c>
      <c r="C47" s="18" t="n"/>
      <c r="D47" s="27" t="n"/>
      <c r="E47" s="18" t="n"/>
      <c r="F47" s="19" t="n"/>
      <c r="G47" s="19" t="n">
        <v>216.46</v>
      </c>
      <c r="H47" s="21" t="inlineStr">
        <is>
          <t>Tarifas Bancárias e Cartão</t>
        </is>
      </c>
      <c r="I47" s="18" t="inlineStr">
        <is>
          <t>Livro Caixa: Pagamento à vista: MERCADO LIVRE (Doc. 1) · Mercado Pago Instituicao de Pagamento Ltda</t>
        </is>
      </c>
      <c r="J47" s="18" t="n"/>
    </row>
    <row r="48" ht="15.75" customHeight="1" s="157">
      <c r="A48" s="44" t="n">
        <v>46212</v>
      </c>
      <c r="B48" s="45" t="inlineStr">
        <is>
          <t>Armando Dias Freire</t>
        </is>
      </c>
      <c r="C48" s="45" t="inlineStr">
        <is>
          <t>77x Refil Everest</t>
        </is>
      </c>
      <c r="D48" s="46" t="n">
        <v>3465</v>
      </c>
      <c r="E48" s="45" t="inlineStr">
        <is>
          <t>Dinheiro</t>
        </is>
      </c>
      <c r="F48" s="47" t="n"/>
      <c r="G48" s="48" t="n"/>
      <c r="H48" s="49" t="n"/>
      <c r="I48" s="45" t="inlineStr">
        <is>
          <t>NFC-e 9151</t>
        </is>
      </c>
    </row>
    <row r="49">
      <c r="A49" s="17" t="n">
        <v>46212</v>
      </c>
      <c r="B49" s="18" t="inlineStr">
        <is>
          <t>Armando Dias Freire</t>
        </is>
      </c>
      <c r="C49" s="18" t="inlineStr">
        <is>
          <t>Refil Everest</t>
        </is>
      </c>
      <c r="D49" s="27" t="n">
        <v>35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9152</t>
        </is>
      </c>
      <c r="J49" s="18" t="n"/>
    </row>
    <row r="50">
      <c r="A50" s="44" t="n">
        <v>46212</v>
      </c>
      <c r="B50" s="45" t="inlineStr">
        <is>
          <t>Ritha de Cassia Vieira Seixas Brito</t>
        </is>
      </c>
      <c r="C50" s="45" t="inlineStr">
        <is>
          <t>Refil Everest</t>
        </is>
      </c>
      <c r="D50" s="46" t="n">
        <v>140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9153</t>
        </is>
      </c>
      <c r="J50" t="inlineStr">
        <is>
          <t>CLI-0875</t>
        </is>
      </c>
    </row>
    <row r="51">
      <c r="A51" s="17" t="n">
        <v>46212</v>
      </c>
      <c r="B51" s="18" t="inlineStr">
        <is>
          <t>Orlinda Rocha da Silva</t>
        </is>
      </c>
      <c r="C51" s="18" t="inlineStr">
        <is>
          <t>Refil Pro Life</t>
        </is>
      </c>
      <c r="D51" s="27" t="n">
        <v>140</v>
      </c>
      <c r="E51" s="18" t="inlineStr">
        <is>
          <t>Débito</t>
        </is>
      </c>
      <c r="F51" s="19" t="n"/>
      <c r="G51" s="19" t="n"/>
      <c r="H51" s="21" t="n"/>
      <c r="I51" s="18" t="inlineStr">
        <is>
          <t>NFC-e 9154</t>
        </is>
      </c>
      <c r="J51" s="18" t="n"/>
    </row>
    <row r="52">
      <c r="A52" s="44" t="n">
        <v>46212</v>
      </c>
      <c r="B52" s="45" t="inlineStr">
        <is>
          <t xml:space="preserve">G - Link Telecon - Gleidson Nascimento Barbosa </t>
        </is>
      </c>
      <c r="C52" s="45" t="inlineStr">
        <is>
          <t>Refil Pro Life + Mangueira Plastica Para Agua 06 35Mm</t>
        </is>
      </c>
      <c r="D52" s="46" t="n">
        <v>150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NF-e 4254</t>
        </is>
      </c>
      <c r="J52" t="inlineStr">
        <is>
          <t>EMP-0160</t>
        </is>
      </c>
    </row>
    <row r="53" ht="15.75" customHeight="1" s="157">
      <c r="A53" s="17" t="n">
        <v>46212</v>
      </c>
      <c r="B53" s="18" t="inlineStr">
        <is>
          <t>Carlos Geovane Carneiro de Oliveira</t>
        </is>
      </c>
      <c r="C53" s="18" t="inlineStr">
        <is>
          <t>Refil Everest</t>
        </is>
      </c>
      <c r="D53" s="27" t="n">
        <v>135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4255</t>
        </is>
      </c>
      <c r="J53" s="18" t="n"/>
    </row>
    <row r="54">
      <c r="A54" s="44" t="n">
        <v>46212</v>
      </c>
      <c r="B54" s="45" t="inlineStr">
        <is>
          <t>Ocimar Correia Feitosa</t>
        </is>
      </c>
      <c r="C54" s="45" t="inlineStr">
        <is>
          <t>Purificador Everest Baby Preto + Conexão</t>
        </is>
      </c>
      <c r="D54" s="46" t="n">
        <v>500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4256</t>
        </is>
      </c>
      <c r="J54" t="inlineStr">
        <is>
          <t>CLI-0878</t>
        </is>
      </c>
    </row>
    <row r="55">
      <c r="A55" s="17" t="n">
        <v>46212</v>
      </c>
      <c r="B55" s="18" t="inlineStr">
        <is>
          <t>Pro Labore Edilania</t>
        </is>
      </c>
      <c r="C55" s="18" t="n"/>
      <c r="D55" s="27" t="n"/>
      <c r="E55" s="18" t="n"/>
      <c r="F55" s="19" t="n"/>
      <c r="G55" s="19" t="n">
        <v>1550</v>
      </c>
      <c r="H55" s="21" t="inlineStr">
        <is>
          <t>Pro Labore Edilânia</t>
        </is>
      </c>
      <c r="I55" s="18" t="inlineStr">
        <is>
          <t>Livro Caixa: Pagamento parcela Pro labore Edilania (Doc. 1) · Edilania Fontes - Loja</t>
        </is>
      </c>
      <c r="J55" s="18" t="n"/>
    </row>
    <row r="56">
      <c r="A56" s="44" t="n">
        <v>46213</v>
      </c>
      <c r="B56" s="45" t="inlineStr">
        <is>
          <t>Sindicato dos Trabalhadores Em Educacao das Redes Publicas E</t>
        </is>
      </c>
      <c r="C56" s="45" t="inlineStr">
        <is>
          <t>Purificador Everest Plus Prata + Pré Filtro</t>
        </is>
      </c>
      <c r="D56" s="46" t="n">
        <v>1500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NF-e 4257</t>
        </is>
      </c>
    </row>
    <row r="57">
      <c r="A57" s="17" t="n">
        <v>46213</v>
      </c>
      <c r="B57" s="18" t="inlineStr">
        <is>
          <t>Lucilia Batista de Santa Rosa</t>
        </is>
      </c>
      <c r="C57" s="18" t="inlineStr">
        <is>
          <t>Purificador Everest Fit Branco + Pré Filtro</t>
        </is>
      </c>
      <c r="D57" s="27" t="n">
        <v>1460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NF-e 4258</t>
        </is>
      </c>
      <c r="J57" s="18" t="inlineStr">
        <is>
          <t>CLI-0879</t>
        </is>
      </c>
    </row>
    <row r="58">
      <c r="A58" s="44" t="n">
        <v>46214</v>
      </c>
      <c r="B58" s="45" t="inlineStr">
        <is>
          <t>Tiago Manoel Dias Ferreira</t>
        </is>
      </c>
      <c r="C58" s="45" t="inlineStr">
        <is>
          <t>Purificador Everest Fit Preto + Pré Filtro</t>
        </is>
      </c>
      <c r="D58" s="46" t="n">
        <v>1510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NF-e 4259</t>
        </is>
      </c>
    </row>
    <row r="59">
      <c r="A59" s="17" t="n">
        <v>46214</v>
      </c>
      <c r="B59" s="18" t="inlineStr">
        <is>
          <t>Antonio Carlos Santana Rios</t>
        </is>
      </c>
      <c r="C59" s="18" t="inlineStr">
        <is>
          <t>Refil Pro Life + Mangueira (1 m)</t>
        </is>
      </c>
      <c r="D59" s="27" t="n">
        <v>150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9155</t>
        </is>
      </c>
      <c r="J59" s="18" t="n"/>
    </row>
    <row r="60">
      <c r="A60" s="44" t="n">
        <v>46216</v>
      </c>
      <c r="B60" s="45" t="inlineStr">
        <is>
          <t>Igreja Missionaria de Jacobina Cristo para as Nações</t>
        </is>
      </c>
      <c r="C60" s="45" t="n"/>
      <c r="D60" s="46" t="n">
        <v>40</v>
      </c>
      <c r="E60" s="45" t="n"/>
      <c r="F60" s="47" t="n"/>
      <c r="G60" s="48" t="n"/>
      <c r="H60" s="49" t="n"/>
      <c r="I60" s="45" t="inlineStr">
        <is>
          <t>Livro Caixa: Recebimento à vista Gerado pelo sistema. (Doc. 4260)</t>
        </is>
      </c>
      <c r="J60" t="inlineStr">
        <is>
          <t>EMP-0178</t>
        </is>
      </c>
    </row>
    <row r="61">
      <c r="A61" s="17" t="n">
        <v>46216</v>
      </c>
      <c r="B61" s="18" t="inlineStr">
        <is>
          <t>Igreja Missionaria de Jacobina Cristo para as Nações</t>
        </is>
      </c>
      <c r="C61" s="18" t="n"/>
      <c r="D61" s="27" t="n">
        <v>40</v>
      </c>
      <c r="E61" s="18" t="n"/>
      <c r="F61" s="19" t="n"/>
      <c r="G61" s="19" t="n"/>
      <c r="H61" s="21" t="n"/>
      <c r="I61" s="18" t="inlineStr">
        <is>
          <t>Livro Caixa: Recebimento à vista Gerado pelo sistema. (Doc. 4261)</t>
        </is>
      </c>
      <c r="J61" s="18" t="inlineStr">
        <is>
          <t>EMP-0178</t>
        </is>
      </c>
    </row>
    <row r="62">
      <c r="A62" s="44" t="n">
        <v>46216</v>
      </c>
      <c r="B62" s="45" t="inlineStr">
        <is>
          <t>Jupiter Tecidos Ltda</t>
        </is>
      </c>
      <c r="C62" s="45" t="inlineStr">
        <is>
          <t>Refil Everest + Refil Plissado + Refil CP500 BR + Suporte</t>
        </is>
      </c>
      <c r="D62" s="46" t="n">
        <v>400</v>
      </c>
      <c r="E62" s="45" t="n"/>
      <c r="F62" s="47" t="n"/>
      <c r="G62" s="48" t="n"/>
      <c r="H62" s="49" t="n"/>
      <c r="I62" s="45" t="inlineStr">
        <is>
          <t>NF-e 4262. Recebimento não constava no Livro Caixa; conferido e baixado no DigiSat em 28/09/2026.</t>
        </is>
      </c>
    </row>
    <row r="63" ht="15.75" customHeight="1" s="157">
      <c r="A63" s="17" t="n">
        <v>46216</v>
      </c>
      <c r="B63" s="18" t="inlineStr">
        <is>
          <t>Estorno de recebimento — Igreja Missionaria de Jacobina Cristo Para As Nacoes</t>
        </is>
      </c>
      <c r="C63" s="18" t="n"/>
      <c r="D63" s="27" t="n"/>
      <c r="E63" s="18" t="n"/>
      <c r="F63" s="19" t="n"/>
      <c r="G63" s="19" t="n">
        <v>40</v>
      </c>
      <c r="H63" s="21" t="inlineStr">
        <is>
          <t>Estornos de Vendas (Cancelamentos)</t>
        </is>
      </c>
      <c r="I63" s="18" t="inlineStr">
        <is>
          <t>Livro Caixa: Estorno de recebimento do documento: Gerado pelo sistema. (Doc. 42)</t>
        </is>
      </c>
      <c r="J63" s="18" t="n"/>
    </row>
    <row r="64">
      <c r="A64" s="44" t="n">
        <v>46216</v>
      </c>
      <c r="B64" s="45" t="inlineStr">
        <is>
          <t>Estorno de recebimento — Igreja Missionaria de Jacobina Cristo Para As Nacoes</t>
        </is>
      </c>
      <c r="C64" s="45" t="n"/>
      <c r="D64" s="46" t="n"/>
      <c r="E64" s="45" t="n"/>
      <c r="F64" s="47" t="n"/>
      <c r="G64" s="48" t="n">
        <v>40</v>
      </c>
      <c r="H64" s="49" t="inlineStr">
        <is>
          <t>Estornos de Vendas (Cancelamentos)</t>
        </is>
      </c>
      <c r="I64" s="45" t="inlineStr">
        <is>
          <t>Livro Caixa: Estorno de recebimento do documento: Gerado pelo sistema. (Doc. 42)</t>
        </is>
      </c>
    </row>
    <row r="65">
      <c r="A65" s="17" t="n">
        <v>46218</v>
      </c>
      <c r="B65" s="18" t="inlineStr">
        <is>
          <t>Farmácia Ferreira - A Fórmula</t>
        </is>
      </c>
      <c r="C65" s="18" t="inlineStr">
        <is>
          <t>Refil Everest + Pré Filtro</t>
        </is>
      </c>
      <c r="D65" s="27" t="n">
        <v>200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NF-e 4264</t>
        </is>
      </c>
      <c r="J65" s="18" t="inlineStr">
        <is>
          <t>EMP-0145</t>
        </is>
      </c>
    </row>
    <row r="66">
      <c r="A66" s="44" t="n">
        <v>46218</v>
      </c>
      <c r="B66" s="45" t="inlineStr">
        <is>
          <t>Jupiter Tecidos Ltda</t>
        </is>
      </c>
      <c r="C66" s="45" t="inlineStr">
        <is>
          <t>Refil Everest + Refil Plissado + Refil CP500 BR + Suporte</t>
        </is>
      </c>
      <c r="D66" s="46" t="n">
        <v>400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4267</t>
        </is>
      </c>
    </row>
    <row r="67">
      <c r="A67" s="17" t="n">
        <v>46218</v>
      </c>
      <c r="B67" s="18" t="inlineStr">
        <is>
          <t>José Alves de Andrade - Rosilda Alves</t>
        </is>
      </c>
      <c r="C67" s="18" t="inlineStr">
        <is>
          <t>Refil Everest</t>
        </is>
      </c>
      <c r="D67" s="27" t="n">
        <v>135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9156</t>
        </is>
      </c>
      <c r="J67" s="18" t="inlineStr">
        <is>
          <t>CLI-0881</t>
        </is>
      </c>
    </row>
    <row r="68">
      <c r="A68" s="44" t="n">
        <v>46218</v>
      </c>
      <c r="B68" s="45" t="inlineStr">
        <is>
          <t>D Bruno Calcados e Confeccoes Ltda Epp</t>
        </is>
      </c>
      <c r="C68" s="45" t="inlineStr">
        <is>
          <t>2x Refil Everest + 2x Pré Filtro</t>
        </is>
      </c>
      <c r="D68" s="46" t="n">
        <v>400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4268</t>
        </is>
      </c>
    </row>
    <row r="69">
      <c r="A69" s="17" t="n">
        <v>46218</v>
      </c>
      <c r="B69" s="18" t="inlineStr">
        <is>
          <t>Consumidor Final</t>
        </is>
      </c>
      <c r="C69" s="18" t="inlineStr">
        <is>
          <t>3x Refil Multifilter + Refil Carbon Block</t>
        </is>
      </c>
      <c r="D69" s="27" t="n">
        <v>310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9157</t>
        </is>
      </c>
      <c r="J69" s="18" t="n"/>
    </row>
    <row r="70">
      <c r="A70" s="44" t="n">
        <v>46218</v>
      </c>
      <c r="B70" s="45" t="inlineStr">
        <is>
          <t>Luis Henrique Cabral Assis - Luciana Maia</t>
        </is>
      </c>
      <c r="C70" s="45" t="inlineStr">
        <is>
          <t>Refil Pro Life + Mangueira (1 m)</t>
        </is>
      </c>
      <c r="D70" s="46" t="n">
        <v>150</v>
      </c>
      <c r="E70" s="45" t="inlineStr">
        <is>
          <t>Débito</t>
        </is>
      </c>
      <c r="F70" s="47" t="n"/>
      <c r="G70" s="48" t="n"/>
      <c r="H70" s="49" t="n"/>
      <c r="I70" s="45" t="inlineStr">
        <is>
          <t>NFC-e 9158</t>
        </is>
      </c>
    </row>
    <row r="71">
      <c r="A71" s="17" t="n">
        <v>46218</v>
      </c>
      <c r="B71" s="18" t="inlineStr">
        <is>
          <t>Jupiter Tecidos Ltda</t>
        </is>
      </c>
      <c r="C71" s="18" t="n"/>
      <c r="D71" s="27" t="n"/>
      <c r="E71" s="18" t="n"/>
      <c r="F71" s="19" t="n"/>
      <c r="G71" s="19" t="n">
        <v>400</v>
      </c>
      <c r="H71" s="21" t="inlineStr">
        <is>
          <t>Outras Despesas</t>
        </is>
      </c>
      <c r="I71" s="18" t="inlineStr">
        <is>
          <t>Livro Caixa: Pagamento à vista: Gerado pelo sistema. (Doc. 4266)</t>
        </is>
      </c>
      <c r="J71" s="18" t="n"/>
    </row>
    <row r="72">
      <c r="A72" s="44" t="n">
        <v>46218</v>
      </c>
      <c r="B72" s="45" t="inlineStr">
        <is>
          <t>Taxa Administrativa de Estagio</t>
        </is>
      </c>
      <c r="C72" s="45" t="n"/>
      <c r="D72" s="46" t="n"/>
      <c r="E72" s="45" t="n"/>
      <c r="F72" s="47" t="n"/>
      <c r="G72" s="48" t="n">
        <v>75</v>
      </c>
      <c r="H72" s="49" t="inlineStr">
        <is>
          <t>Salários, Comissões e Encargos</t>
        </is>
      </c>
      <c r="I72" s="45" t="inlineStr">
        <is>
          <t>Livro Caixa: Pagamento parcela TAXA ADMINISTRATIVA DE ESTAGIO (Doc. 1) · Instituto Euvaldo Lodi - Nucleo Regional da Bahia</t>
        </is>
      </c>
    </row>
    <row r="73" ht="15.75" customHeight="1" s="157">
      <c r="A73" s="17" t="n">
        <v>46218</v>
      </c>
      <c r="B73" s="18" t="inlineStr">
        <is>
          <t>Filtros Planeta Agua Ind e Com Ltda</t>
        </is>
      </c>
      <c r="C73" s="18" t="n"/>
      <c r="D73" s="27" t="n"/>
      <c r="E73" s="18" t="n"/>
      <c r="F73" s="19" t="n"/>
      <c r="G73" s="19" t="n">
        <v>609.26</v>
      </c>
      <c r="H73" s="21" t="inlineStr">
        <is>
          <t>Fornecedores / Mercadoria</t>
        </is>
      </c>
      <c r="I73" s="18" t="inlineStr">
        <is>
          <t>NF 131442 de 17/06/2026 · parcela 1/4 (venc. 15/07/2026) · compra total R$ 2.122,28 (IPI R$ 104,91): 25x Refil Pro Life + 5x Refil Fit Poe Pp 9.3/4 + 10x Refil Bebedouro B A G + 8x Refil Carbon Tech 5 Pol + 10x Refil Carbon Tech 9.3/4 Pol + 2x Refil Pa 230 Fit + 4x Refil Fpa16 · Livro Caixa</t>
        </is>
      </c>
      <c r="J73" s="18" t="n"/>
    </row>
    <row r="74">
      <c r="A74" s="44" t="n">
        <v>46218</v>
      </c>
      <c r="B74" s="45" t="inlineStr">
        <is>
          <t>Tarcosop Oliveira Lima</t>
        </is>
      </c>
      <c r="C74" s="45" t="n"/>
      <c r="D74" s="46" t="n"/>
      <c r="E74" s="45" t="n"/>
      <c r="F74" s="47" t="n"/>
      <c r="G74" s="48" t="n">
        <v>486.32</v>
      </c>
      <c r="H74" s="49" t="inlineStr">
        <is>
          <t>Contabilidade</t>
        </is>
      </c>
      <c r="I74" s="45" t="inlineStr">
        <is>
          <t>Livro Caixa: Pagamento parcela TARCOSOP OLIVEIRA LIMA (Doc. 1) · Contabilidade Tarcisio Oliveira Lima</t>
        </is>
      </c>
    </row>
    <row r="75">
      <c r="A75" s="17" t="n">
        <v>46218</v>
      </c>
      <c r="B75" s="18" t="inlineStr">
        <is>
          <t>Filtros Planeta Agua Ind e Com Ltda</t>
        </is>
      </c>
      <c r="C75" s="18" t="n"/>
      <c r="D75" s="27" t="n"/>
      <c r="E75" s="18" t="n"/>
      <c r="F75" s="19" t="n"/>
      <c r="G75" s="19" t="n">
        <v>666.15</v>
      </c>
      <c r="H75" s="21" t="inlineStr">
        <is>
          <t>Fornecedores / Mercadoria</t>
        </is>
      </c>
      <c r="I75" s="18" t="inlineStr">
        <is>
          <t>NF 130510 de 08/05/2026 · parcela 4/4 (venc. 17/07/2026)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75" s="18" t="n"/>
    </row>
    <row r="76">
      <c r="A76" s="44" t="n">
        <v>46218</v>
      </c>
      <c r="B76" s="45" t="inlineStr">
        <is>
          <t>Fatura Internet Proxxima</t>
        </is>
      </c>
      <c r="C76" s="45" t="n"/>
      <c r="D76" s="46" t="n"/>
      <c r="E76" s="45" t="n"/>
      <c r="F76" s="47" t="n"/>
      <c r="G76" s="48" t="n">
        <v>69.98999999999999</v>
      </c>
      <c r="H76" s="49" t="inlineStr">
        <is>
          <t>Água, Energia e Internet</t>
        </is>
      </c>
      <c r="I76" s="45" t="inlineStr">
        <is>
          <t>Livro Caixa: Pagamento à vista: FATURA INTERNET PROXXIMA (Doc. 1) · Proxxima Telecomunicacoes</t>
        </is>
      </c>
    </row>
    <row r="77">
      <c r="A77" s="17" t="n">
        <v>46219</v>
      </c>
      <c r="B77" s="18" t="inlineStr">
        <is>
          <t>Consumidor Final</t>
        </is>
      </c>
      <c r="C77" s="18" t="inlineStr">
        <is>
          <t>Refil Carbon Tech 9" + Refil Top Color</t>
        </is>
      </c>
      <c r="D77" s="27" t="n">
        <v>180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9159</t>
        </is>
      </c>
      <c r="J77" s="18" t="n"/>
    </row>
    <row r="78">
      <c r="A78" s="44" t="n">
        <v>46220</v>
      </c>
      <c r="B78" s="45" t="inlineStr">
        <is>
          <t>Maria do Carmo Mendes</t>
        </is>
      </c>
      <c r="C78" s="45" t="n"/>
      <c r="D78" s="46" t="n">
        <v>65</v>
      </c>
      <c r="E78" s="45" t="n"/>
      <c r="F78" s="47" t="n"/>
      <c r="G78" s="48" t="n"/>
      <c r="H78" s="49" t="n"/>
      <c r="I78" s="45" t="inlineStr">
        <is>
          <t>Livro Caixa: Recebimento à vista Gerado pelo sistema (Doc. 9160)</t>
        </is>
      </c>
      <c r="J78" t="inlineStr">
        <is>
          <t>OUT-0061</t>
        </is>
      </c>
    </row>
    <row r="79" ht="15.75" customHeight="1" s="157">
      <c r="A79" s="17" t="n">
        <v>46220</v>
      </c>
      <c r="B79" s="18" t="inlineStr">
        <is>
          <t>Consumidor Final</t>
        </is>
      </c>
      <c r="C79" s="18" t="inlineStr">
        <is>
          <t>Registro</t>
        </is>
      </c>
      <c r="D79" s="27" t="n">
        <v>65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9161</t>
        </is>
      </c>
      <c r="J79" s="18" t="n"/>
    </row>
    <row r="80">
      <c r="A80" s="44" t="n">
        <v>46220</v>
      </c>
      <c r="B80" s="45" t="inlineStr">
        <is>
          <t>Maria do Carmo Mendes</t>
        </is>
      </c>
      <c r="C80" s="45" t="inlineStr">
        <is>
          <t>Conjunto Torneira Star/Plus/Fit Completa N + 2x Botão Completo</t>
        </is>
      </c>
      <c r="D80" s="46" t="n">
        <v>200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9162</t>
        </is>
      </c>
      <c r="J80" t="inlineStr">
        <is>
          <t>OUT-0061</t>
        </is>
      </c>
    </row>
    <row r="81">
      <c r="A81" s="17" t="n">
        <v>46220</v>
      </c>
      <c r="B81" s="18" t="inlineStr">
        <is>
          <t>Grafica Editora Regis Brindes Ltda</t>
        </is>
      </c>
      <c r="C81" s="18" t="inlineStr">
        <is>
          <t>Refil Everest + Refil Pro Life</t>
        </is>
      </c>
      <c r="D81" s="27" t="n">
        <v>270</v>
      </c>
      <c r="E81" s="18" t="inlineStr">
        <is>
          <t>Dinheiro</t>
        </is>
      </c>
      <c r="F81" s="19" t="n"/>
      <c r="G81" s="19" t="n"/>
      <c r="H81" s="21" t="n"/>
      <c r="I81" s="18" t="inlineStr">
        <is>
          <t>NF-e 4269</t>
        </is>
      </c>
      <c r="J81" s="18" t="n"/>
    </row>
    <row r="82">
      <c r="A82" s="44" t="n">
        <v>46220</v>
      </c>
      <c r="B82" s="45" t="inlineStr">
        <is>
          <t>Estorno de recebimento — Maria do Carmo Mendes</t>
        </is>
      </c>
      <c r="C82" s="45" t="n"/>
      <c r="D82" s="46" t="n"/>
      <c r="E82" s="45" t="n"/>
      <c r="F82" s="47" t="n"/>
      <c r="G82" s="48" t="n">
        <v>65</v>
      </c>
      <c r="H82" s="49" t="inlineStr">
        <is>
          <t>Estornos de Vendas (Cancelamentos)</t>
        </is>
      </c>
      <c r="I82" s="45" t="inlineStr">
        <is>
          <t>Livro Caixa: Estorno de recebimento do documento: Gerado pelo sistema (Doc. 916)</t>
        </is>
      </c>
    </row>
    <row r="83">
      <c r="A83" s="17" t="n">
        <v>46220</v>
      </c>
      <c r="B83" s="18" t="inlineStr">
        <is>
          <t>Produtos de Limpeza</t>
        </is>
      </c>
      <c r="C83" s="18" t="n"/>
      <c r="D83" s="27" t="n"/>
      <c r="E83" s="18" t="n"/>
      <c r="F83" s="19" t="n"/>
      <c r="G83" s="19" t="n">
        <v>10.99</v>
      </c>
      <c r="H83" s="21" t="inlineStr">
        <is>
          <t>Material de Limpeza e Escritório</t>
        </is>
      </c>
      <c r="I83" s="18" t="inlineStr">
        <is>
          <t>Livro Caixa: Pagamento à vista: PRODUTOS DE LIMPEZA (Doc. 1) · Jacobina Material de Limpeza Eireli</t>
        </is>
      </c>
      <c r="J83" s="18" t="n"/>
    </row>
    <row r="84">
      <c r="A84" s="44" t="n">
        <v>46220</v>
      </c>
      <c r="B84" s="45" t="inlineStr">
        <is>
          <t>Material de Escritorio</t>
        </is>
      </c>
      <c r="C84" s="45" t="n"/>
      <c r="D84" s="46" t="n"/>
      <c r="E84" s="45" t="n"/>
      <c r="F84" s="47" t="n"/>
      <c r="G84" s="48" t="n">
        <v>12.2</v>
      </c>
      <c r="H84" s="49" t="inlineStr">
        <is>
          <t>Material de Limpeza e Escritório</t>
        </is>
      </c>
      <c r="I84" s="45" t="inlineStr">
        <is>
          <t>Livro Caixa: Pagamento à vista: MATERIAL DE ESCRITORIO (Doc. 1) · Universo das Variedades</t>
        </is>
      </c>
    </row>
    <row r="85">
      <c r="A85" s="17" t="n">
        <v>46223</v>
      </c>
      <c r="B85" s="18" t="inlineStr">
        <is>
          <t>Consumidor Final</t>
        </is>
      </c>
      <c r="C85" s="18" t="inlineStr">
        <is>
          <t>Refil Carbon Block</t>
        </is>
      </c>
      <c r="D85" s="27" t="n">
        <v>55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9164</t>
        </is>
      </c>
      <c r="J85" s="18" t="n"/>
    </row>
    <row r="86">
      <c r="A86" s="44" t="n">
        <v>46223</v>
      </c>
      <c r="B86" s="45" t="inlineStr">
        <is>
          <t>Maria Conceição Carvalho Mesquita</t>
        </is>
      </c>
      <c r="C86" s="45" t="inlineStr">
        <is>
          <t>Refil Pro Life</t>
        </is>
      </c>
      <c r="D86" s="46" t="n">
        <v>135</v>
      </c>
      <c r="E86" s="45" t="n"/>
      <c r="F86" s="47" t="n"/>
      <c r="G86" s="48" t="n"/>
      <c r="H86" s="49" t="n"/>
      <c r="I86" s="45" t="inlineStr">
        <is>
          <t>NFC-e 9163 · venda de 17/07/2026, total R$ 140,00 — parcela 1 · nota faturada a prazo (forma de recebimento não consta na nota)</t>
        </is>
      </c>
      <c r="J86" t="inlineStr">
        <is>
          <t>CLI-0702</t>
        </is>
      </c>
    </row>
    <row r="87">
      <c r="A87" s="17" t="n">
        <v>46223</v>
      </c>
      <c r="B87" s="18" t="inlineStr">
        <is>
          <t>Gasolina</t>
        </is>
      </c>
      <c r="C87" s="18" t="n"/>
      <c r="D87" s="27" t="n"/>
      <c r="E87" s="18" t="n"/>
      <c r="F87" s="19" t="n"/>
      <c r="G87" s="19" t="n">
        <v>20</v>
      </c>
      <c r="H87" s="21" t="inlineStr">
        <is>
          <t>Transporte e Entregas</t>
        </is>
      </c>
      <c r="I87" s="18" t="inlineStr">
        <is>
          <t>Livro Caixa: Pagamento à vista: GASOLINA (Doc. 1) · Lubrinessa Xvi Comercio de Petroleo Ltda</t>
        </is>
      </c>
      <c r="J87" s="18" t="n"/>
    </row>
    <row r="88">
      <c r="A88" s="44" t="n">
        <v>46223</v>
      </c>
      <c r="B88" s="45" t="inlineStr">
        <is>
          <t>Recarga Cartucho Impressora</t>
        </is>
      </c>
      <c r="C88" s="45" t="n"/>
      <c r="D88" s="46" t="n"/>
      <c r="E88" s="45" t="n"/>
      <c r="F88" s="47" t="n"/>
      <c r="G88" s="48" t="n">
        <v>30</v>
      </c>
      <c r="H88" s="49" t="inlineStr">
        <is>
          <t>Transporte e Entregas</t>
        </is>
      </c>
      <c r="I88" s="45" t="inlineStr">
        <is>
          <t>Livro Caixa: Pagamento à vista: RECARGA CARTUCHO IMPRESSORA (Doc. 1) · Centralmix Solucoes Integradas Ltda</t>
        </is>
      </c>
    </row>
    <row r="89">
      <c r="A89" s="17" t="n">
        <v>46223</v>
      </c>
      <c r="B89" s="18" t="inlineStr">
        <is>
          <t>Everest Refrigeracao e Industria</t>
        </is>
      </c>
      <c r="C89" s="18" t="n"/>
      <c r="D89" s="27" t="n"/>
      <c r="E89" s="18" t="n"/>
      <c r="F89" s="19" t="n"/>
      <c r="G89" s="19" t="n">
        <v>856.35</v>
      </c>
      <c r="H89" s="21" t="inlineStr">
        <is>
          <t>Fornecedores / Mercadoria</t>
        </is>
      </c>
      <c r="I89" s="18" t="inlineStr">
        <is>
          <t>NF 377739 de 19/05/2026 · parcela 2/5 (venc. 18/07/2026)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  <c r="J89" s="18" t="n"/>
    </row>
    <row r="90">
      <c r="A90" s="44" t="n">
        <v>46223</v>
      </c>
      <c r="B90" s="45" t="inlineStr">
        <is>
          <t>Everest Refrigeracao e Industria</t>
        </is>
      </c>
      <c r="C90" s="45" t="n"/>
      <c r="D90" s="46" t="n"/>
      <c r="E90" s="45" t="n"/>
      <c r="F90" s="47" t="n"/>
      <c r="G90" s="48" t="n">
        <v>865.5</v>
      </c>
      <c r="H90" s="49" t="inlineStr">
        <is>
          <t>Fornecedores / Mercadoria</t>
        </is>
      </c>
      <c r="I90" s="45" t="inlineStr">
        <is>
          <t>NF 377738 de 19/05/2026 · parcela 2/5 (venc. 18/07/2026) · compra total R$ 4.327,52: Purificador Everest Plus Branco + Purificador Everest Plus Prata + Purificador Everest Slim Branco + 2x Purificador Everest Fit Prata + Purificador Everest Fit Preto · Livro Caixa</t>
        </is>
      </c>
    </row>
    <row r="91">
      <c r="A91" s="17" t="n">
        <v>46223</v>
      </c>
      <c r="B91" s="18" t="inlineStr">
        <is>
          <t>Everest Refrigeracao e Industria</t>
        </is>
      </c>
      <c r="C91" s="18" t="n"/>
      <c r="D91" s="27" t="n"/>
      <c r="E91" s="18" t="n"/>
      <c r="F91" s="19" t="n"/>
      <c r="G91" s="19" t="n">
        <v>139.31</v>
      </c>
      <c r="H91" s="21" t="inlineStr">
        <is>
          <t>Fornecedores / Mercadoria</t>
        </is>
      </c>
      <c r="I91" s="18" t="inlineStr">
        <is>
          <t>NF 377737 de 19/05/2026 · parcela 2/5 (venc. 18/07/2026) · compra total R$ 725,16 (IPI R$ 28,60): 12x Conexão T + 30x Registro + 20x Botao Completo Purificador (N) + 30x Suporte · Livro Caixa</t>
        </is>
      </c>
      <c r="J91" s="18" t="n"/>
    </row>
    <row r="92">
      <c r="A92" s="44" t="n">
        <v>46223</v>
      </c>
      <c r="B92" s="45" t="inlineStr">
        <is>
          <t>Guia do Fgts Digital</t>
        </is>
      </c>
      <c r="C92" s="45" t="n"/>
      <c r="D92" s="46" t="n"/>
      <c r="E92" s="45" t="n"/>
      <c r="F92" s="47" t="n"/>
      <c r="G92" s="48" t="n">
        <v>136</v>
      </c>
      <c r="H92" s="49" t="inlineStr">
        <is>
          <t>Impostos e Taxas</t>
        </is>
      </c>
      <c r="I92" s="45" t="inlineStr">
        <is>
          <t>Livro Caixa: Pagamento parcela GUIA DO FGTS DIGITAL (Doc. 1) · Caixa Economica Federal</t>
        </is>
      </c>
    </row>
    <row r="93">
      <c r="A93" s="17" t="n">
        <v>46223</v>
      </c>
      <c r="B93" s="18" t="inlineStr">
        <is>
          <t>Documento de Arrecadacao de Receitas Fe</t>
        </is>
      </c>
      <c r="C93" s="18" t="n"/>
      <c r="D93" s="27" t="n"/>
      <c r="E93" s="18" t="n"/>
      <c r="F93" s="19" t="n"/>
      <c r="G93" s="19" t="n">
        <v>440.22</v>
      </c>
      <c r="H93" s="21" t="inlineStr">
        <is>
          <t>Impostos e Taxas</t>
        </is>
      </c>
      <c r="I93" s="18" t="inlineStr">
        <is>
          <t>Livro Caixa: Pagamento parcela DOCUMENTO DE ARRECADACAO DE RECEITAS FE · Ministerio da Fazenda</t>
        </is>
      </c>
      <c r="J93" s="18" t="n"/>
    </row>
    <row r="94">
      <c r="A94" s="44" t="n">
        <v>46223</v>
      </c>
      <c r="B94" s="45" t="inlineStr">
        <is>
          <t>Documento de Arrecadação Simples Nacio</t>
        </is>
      </c>
      <c r="C94" s="45" t="n"/>
      <c r="D94" s="46" t="n"/>
      <c r="E94" s="45" t="n"/>
      <c r="F94" s="47" t="n"/>
      <c r="G94" s="48" t="n">
        <v>1024.32</v>
      </c>
      <c r="H94" s="49" t="inlineStr">
        <is>
          <t>Impostos e Taxas</t>
        </is>
      </c>
      <c r="I94" s="45" t="inlineStr">
        <is>
          <t>Livro Caixa: Pagamento parcela DOCUMENTO DE ARRECADAÇÃO SIMPLES NACIO · Ministerio da Fazenda</t>
        </is>
      </c>
    </row>
    <row r="95">
      <c r="A95" s="17" t="n">
        <v>46224</v>
      </c>
      <c r="B95" s="18" t="inlineStr">
        <is>
          <t>Luciana de Matos Nascimento</t>
        </is>
      </c>
      <c r="C95" s="18" t="inlineStr">
        <is>
          <t>Refil Pro Life</t>
        </is>
      </c>
      <c r="D95" s="27" t="n">
        <v>140</v>
      </c>
      <c r="E95" s="18" t="inlineStr">
        <is>
          <t>Crédito Parcelado</t>
        </is>
      </c>
      <c r="F95" s="19" t="n"/>
      <c r="G95" s="19" t="n"/>
      <c r="H95" s="21" t="n"/>
      <c r="I95" s="18" t="inlineStr">
        <is>
          <t>NFC-e 9165</t>
        </is>
      </c>
      <c r="J95" s="18" t="n"/>
    </row>
    <row r="96">
      <c r="A96" s="44" t="n">
        <v>46224</v>
      </c>
      <c r="B96" s="45" t="inlineStr">
        <is>
          <t>José Goncalves de Oliveira</t>
        </is>
      </c>
      <c r="C96" s="45" t="inlineStr">
        <is>
          <t>Refil Pro Life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9166</t>
        </is>
      </c>
      <c r="J96" t="inlineStr">
        <is>
          <t>CLI-0026</t>
        </is>
      </c>
    </row>
    <row r="97">
      <c r="A97" s="17" t="n">
        <v>46224</v>
      </c>
      <c r="B97" s="18" t="inlineStr">
        <is>
          <t xml:space="preserve">Clinica DentalClin - Igor Santos Silva ME </t>
        </is>
      </c>
      <c r="C97" s="18" t="inlineStr">
        <is>
          <t>Refil Pro Life + Pré Filtro</t>
        </is>
      </c>
      <c r="D97" s="27" t="n">
        <v>200</v>
      </c>
      <c r="E97" s="18" t="n"/>
      <c r="F97" s="19" t="n"/>
      <c r="G97" s="19" t="n"/>
      <c r="H97" s="21" t="n"/>
      <c r="I97" s="18" t="inlineStr">
        <is>
          <t>NF-e 4263 · nota faturada a prazo (forma de recebimento não consta na nota) · venda de 13/07/2026 — pagamento recebido em 21/07/2026</t>
        </is>
      </c>
      <c r="J97" s="18" t="inlineStr">
        <is>
          <t>EMP-0077</t>
        </is>
      </c>
    </row>
    <row r="98">
      <c r="A98" s="44" t="n">
        <v>46225</v>
      </c>
      <c r="B98" s="45" t="inlineStr">
        <is>
          <t>Deuclezio Dantas Filho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9167</t>
        </is>
      </c>
      <c r="J98" t="inlineStr">
        <is>
          <t>CLI-0036</t>
        </is>
      </c>
    </row>
    <row r="99">
      <c r="A99" s="17" t="n">
        <v>46225</v>
      </c>
      <c r="B99" s="18" t="inlineStr">
        <is>
          <t>Silva &amp; Silva Sociedade de Advogados</t>
        </is>
      </c>
      <c r="C99" s="18" t="inlineStr">
        <is>
          <t>2x Refil Everest + Mangueira (1 m)</t>
        </is>
      </c>
      <c r="D99" s="27" t="n">
        <v>290</v>
      </c>
      <c r="E99" s="18" t="n"/>
      <c r="F99" s="19" t="n"/>
      <c r="G99" s="19" t="n"/>
      <c r="H99" s="21" t="n"/>
      <c r="I99" s="18" t="inlineStr">
        <is>
          <t>NF-e 4270. Recebimento não constava no Livro Caixa; conferido e baixado no DigiSat em 28/09/2026.</t>
        </is>
      </c>
      <c r="J99" s="18" t="n"/>
    </row>
    <row r="100" ht="15.75" customHeight="1" s="157">
      <c r="A100" s="44" t="n">
        <v>46225</v>
      </c>
      <c r="B100" s="45" t="inlineStr">
        <is>
          <t>Everest Refrigeracao e Industria</t>
        </is>
      </c>
      <c r="C100" s="45" t="n"/>
      <c r="D100" s="46" t="n"/>
      <c r="E100" s="45" t="n"/>
      <c r="F100" s="47" t="n"/>
      <c r="G100" s="48" t="n">
        <v>874.6799999999999</v>
      </c>
      <c r="H100" s="49" t="inlineStr">
        <is>
          <t>Fornecedores / Mercadoria</t>
        </is>
      </c>
      <c r="I100" s="45" t="inlineStr">
        <is>
          <t>NF 379826 de 22/06/2026 · parcela 1/5 (venc. 22/07/2026) · compra total R$ 4.373,40: 2x Purificador Everest Slim Prata + 2x Purificador Everest Star Prata + Purificador Everest Star Branco + Purificador Everest Fit Branco · Livro Caixa</t>
        </is>
      </c>
    </row>
    <row r="101">
      <c r="A101" s="17" t="n">
        <v>46226</v>
      </c>
      <c r="B101" s="18" t="inlineStr">
        <is>
          <t>Paulo Daltro</t>
        </is>
      </c>
      <c r="C101" s="18" t="inlineStr">
        <is>
          <t>Purificador Everest Star Prata</t>
        </is>
      </c>
      <c r="D101" s="27" t="n">
        <v>1379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NF-e 4272</t>
        </is>
      </c>
      <c r="J101" s="18" t="n"/>
    </row>
    <row r="102" ht="15.75" customHeight="1" s="157">
      <c r="A102" s="44" t="n">
        <v>46226</v>
      </c>
      <c r="B102" s="45" t="inlineStr">
        <is>
          <t>Sheila Alves do Nascimento</t>
        </is>
      </c>
      <c r="C102" s="45" t="inlineStr">
        <is>
          <t>Refil Everest + Mangueira (2 m)</t>
        </is>
      </c>
      <c r="D102" s="46" t="n">
        <v>255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9169</t>
        </is>
      </c>
      <c r="J102" t="inlineStr">
        <is>
          <t>CLI-0513</t>
        </is>
      </c>
    </row>
    <row r="103">
      <c r="A103" s="17" t="n">
        <v>46226</v>
      </c>
      <c r="B103" s="18" t="inlineStr">
        <is>
          <t>Eversoft Ind e Com de Plasticos Ltda</t>
        </is>
      </c>
      <c r="C103" s="18" t="n"/>
      <c r="D103" s="27" t="n"/>
      <c r="E103" s="18" t="n"/>
      <c r="F103" s="19" t="n"/>
      <c r="G103" s="19" t="n">
        <v>878.9299999999999</v>
      </c>
      <c r="H103" s="21" t="inlineStr">
        <is>
          <t>Fornecedores / Mercadoria</t>
        </is>
      </c>
      <c r="I103" s="18" t="inlineStr">
        <is>
          <t>NF 71084 de 23/02/2026 · parcela 5/5 (venc. 23/07/2026) · compra total R$ 4.394,61: 100x Refil Everest · Livro Caixa</t>
        </is>
      </c>
      <c r="J103" s="18" t="n"/>
    </row>
    <row r="104" ht="15.75" customHeight="1" s="157">
      <c r="A104" s="44" t="n">
        <v>46227</v>
      </c>
      <c r="B104" s="45" t="inlineStr">
        <is>
          <t>Clinica de Fisioterapia Vilas Boas Mangabeira Ltda - Me</t>
        </is>
      </c>
      <c r="C104" s="45" t="inlineStr">
        <is>
          <t>Refil Everest + Refil Pro Life</t>
        </is>
      </c>
      <c r="D104" s="46" t="n">
        <v>270</v>
      </c>
      <c r="E104" s="45" t="n"/>
      <c r="F104" s="47" t="n"/>
      <c r="G104" s="48" t="n"/>
      <c r="H104" s="49" t="n"/>
      <c r="I104" s="45" t="inlineStr">
        <is>
          <t>NF-e 4271 · venda de 22/07/2026, total R$ 280,00 — parcela 1 · nota faturada a prazo (forma de recebimento não consta na nota)</t>
        </is>
      </c>
    </row>
    <row r="105">
      <c r="A105" s="17" t="n">
        <v>46227</v>
      </c>
      <c r="B105" s="18" t="inlineStr">
        <is>
          <t>Uniao Leste Brasileira da Igreja Adventista do Setimo Dia</t>
        </is>
      </c>
      <c r="C105" s="18" t="inlineStr">
        <is>
          <t>Purificador Everest Star Branco + Conjunto Painel Frontal Plus Branco (N) + 2x Botão Completo + Suporte</t>
        </is>
      </c>
      <c r="D105" s="27" t="n">
        <v>1615</v>
      </c>
      <c r="E105" s="18" t="inlineStr">
        <is>
          <t>Dinheiro</t>
        </is>
      </c>
      <c r="F105" s="19" t="n"/>
      <c r="G105" s="19" t="n"/>
      <c r="H105" s="21" t="n"/>
      <c r="I105" s="18" t="inlineStr">
        <is>
          <t>NF-e 4276</t>
        </is>
      </c>
      <c r="J105" s="18" t="n"/>
    </row>
    <row r="106">
      <c r="A106" s="44" t="n">
        <v>46227</v>
      </c>
      <c r="B106" s="45" t="inlineStr">
        <is>
          <t>Consumidor Final</t>
        </is>
      </c>
      <c r="C106" s="45" t="n"/>
      <c r="D106" s="46" t="n">
        <v>37</v>
      </c>
      <c r="E106" s="45" t="n"/>
      <c r="F106" s="47" t="n"/>
      <c r="G106" s="48" t="n"/>
      <c r="H106" s="49" t="n"/>
      <c r="I106" s="45" t="inlineStr">
        <is>
          <t>Livro Caixa: Recebimento à vista Gerado pelo sistema (Doc. 9170)</t>
        </is>
      </c>
    </row>
    <row r="107">
      <c r="A107" s="17" t="n">
        <v>46227</v>
      </c>
      <c r="B107" s="18" t="inlineStr">
        <is>
          <t>Consumidor Final</t>
        </is>
      </c>
      <c r="C107" s="18" t="inlineStr">
        <is>
          <t>Conexao Em T Rosca De 1/2 Com Engate Rapido Reto 1/4 X 1/4</t>
        </is>
      </c>
      <c r="D107" s="27" t="n">
        <v>35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NFC-e 9171</t>
        </is>
      </c>
      <c r="J107" s="18" t="n"/>
    </row>
    <row r="108">
      <c r="A108" s="44" t="n">
        <v>46227</v>
      </c>
      <c r="B108" s="45" t="inlineStr">
        <is>
          <t>Cooperativa de Catadores Recicla Jacobina</t>
        </is>
      </c>
      <c r="C108" s="45" t="inlineStr">
        <is>
          <t>2x Refil Carbon Tech 9"</t>
        </is>
      </c>
      <c r="D108" s="46" t="n">
        <v>170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NF-e 4279</t>
        </is>
      </c>
    </row>
    <row r="109">
      <c r="A109" s="17" t="n">
        <v>46227</v>
      </c>
      <c r="B109" s="18" t="inlineStr">
        <is>
          <t>Julio Anderson Souza de Oliveira</t>
        </is>
      </c>
      <c r="C109" s="18" t="inlineStr">
        <is>
          <t>Refil Carbon Tech 9"</t>
        </is>
      </c>
      <c r="D109" s="27" t="n">
        <v>90</v>
      </c>
      <c r="E109" s="18" t="n"/>
      <c r="F109" s="19" t="n"/>
      <c r="G109" s="19" t="n"/>
      <c r="H109" s="21" t="n"/>
      <c r="I109" s="18" t="inlineStr">
        <is>
          <t>NFC-e 9168 · venda de 22/07/2026 — pagamento recebido em 24/07/2026. Recebimento não constava no Livro Caixa; conferido e baixado no DigiSat em 28/09/2026.</t>
        </is>
      </c>
      <c r="J109" s="18" t="inlineStr">
        <is>
          <t>CLI-0589</t>
        </is>
      </c>
    </row>
    <row r="110">
      <c r="A110" s="44" t="n">
        <v>46227</v>
      </c>
      <c r="B110" s="45" t="inlineStr">
        <is>
          <t>Estorno de recebimento — Cliente Consumidor</t>
        </is>
      </c>
      <c r="C110" s="45" t="n"/>
      <c r="D110" s="46" t="n"/>
      <c r="E110" s="45" t="n"/>
      <c r="F110" s="47" t="n"/>
      <c r="G110" s="48" t="n">
        <v>37</v>
      </c>
      <c r="H110" s="49" t="inlineStr">
        <is>
          <t>Estornos de Vendas (Cancelamentos)</t>
        </is>
      </c>
      <c r="I110" s="45" t="inlineStr">
        <is>
          <t>Livro Caixa: Estorno de recebimento do documento: Gerado pelo sistema (Doc. 917)</t>
        </is>
      </c>
    </row>
    <row r="111">
      <c r="A111" s="17" t="n">
        <v>46227</v>
      </c>
      <c r="B111" s="18" t="inlineStr">
        <is>
          <t>Correios (Envios Para Grupo Anima)</t>
        </is>
      </c>
      <c r="C111" s="18" t="n"/>
      <c r="D111" s="27" t="n"/>
      <c r="E111" s="18" t="n"/>
      <c r="F111" s="19" t="n"/>
      <c r="G111" s="19" t="n">
        <v>231.8</v>
      </c>
      <c r="H111" s="21" t="inlineStr">
        <is>
          <t>Transporte e Entregas</t>
        </is>
      </c>
      <c r="I111" s="18" t="inlineStr">
        <is>
          <t>Livro Caixa: Pagamento à vista: CORREIOS (ENVIOS PARA GRUPO ANIMA) (Doc. 1) · Empresa Brasileira de Correios e Telegrafos</t>
        </is>
      </c>
      <c r="J111" s="18" t="n"/>
    </row>
    <row r="112">
      <c r="A112" s="44" t="n">
        <v>46227</v>
      </c>
      <c r="B112" s="45" t="inlineStr">
        <is>
          <t>Everest Refrigeracao e Industria</t>
        </is>
      </c>
      <c r="C112" s="45" t="n"/>
      <c r="D112" s="46" t="n"/>
      <c r="E112" s="45" t="n"/>
      <c r="F112" s="47" t="n"/>
      <c r="G112" s="48" t="n">
        <v>676.59</v>
      </c>
      <c r="H112" s="49" t="inlineStr">
        <is>
          <t>Fornecedores / Mercadoria</t>
        </is>
      </c>
      <c r="I112" s="45" t="inlineStr">
        <is>
          <t>NF 371358 de 24/02/2026 · parcela 5/5 (venc. 24/07/2026) · compra total R$ 3.382,95: 2x Purificador Everest Star Branco + Purificador Everest Slim Branco + Purificador Everest Fit Branco + Purificador Everest Fit Prata · Livro Caixa</t>
        </is>
      </c>
    </row>
    <row r="113">
      <c r="A113" s="17" t="n">
        <v>46228</v>
      </c>
      <c r="B113" s="18" t="inlineStr">
        <is>
          <t>Consumidor Final</t>
        </is>
      </c>
      <c r="C113" s="18" t="inlineStr">
        <is>
          <t>Mangueira (3 m)</t>
        </is>
      </c>
      <c r="D113" s="27" t="n">
        <v>30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NFC-e 9172</t>
        </is>
      </c>
      <c r="J113" s="18" t="n"/>
    </row>
    <row r="114">
      <c r="A114" s="44" t="n">
        <v>46228</v>
      </c>
      <c r="B114" s="45" t="inlineStr">
        <is>
          <t>Celeste Maria Araujo</t>
        </is>
      </c>
      <c r="C114" s="45" t="inlineStr">
        <is>
          <t>Refil Pro Life</t>
        </is>
      </c>
      <c r="D114" s="46" t="n">
        <v>140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9173</t>
        </is>
      </c>
      <c r="J114" t="inlineStr">
        <is>
          <t>CLI-0435</t>
        </is>
      </c>
    </row>
    <row r="115">
      <c r="A115" s="17" t="n">
        <v>46230</v>
      </c>
      <c r="B115" s="18" t="inlineStr">
        <is>
          <t>Correios</t>
        </is>
      </c>
      <c r="C115" s="18" t="n"/>
      <c r="D115" s="27" t="n"/>
      <c r="E115" s="18" t="n"/>
      <c r="F115" s="19" t="n"/>
      <c r="G115" s="19" t="n">
        <v>206.8</v>
      </c>
      <c r="H115" s="21" t="inlineStr">
        <is>
          <t>Transporte e Entregas</t>
        </is>
      </c>
      <c r="I115" s="18" t="inlineStr">
        <is>
          <t>Livro Caixa: Pagamento à vista: CORREIOS (Doc. 1) · Empresa Brasileira de Correios e Telegrafos</t>
        </is>
      </c>
      <c r="J115" s="18" t="n"/>
    </row>
    <row r="116">
      <c r="A116" s="44" t="n">
        <v>46231</v>
      </c>
      <c r="B116" s="45" t="inlineStr">
        <is>
          <t>Maria Carolina Gomes Vasconcelos Ltda</t>
        </is>
      </c>
      <c r="C116" s="45" t="inlineStr">
        <is>
          <t>Refil Everest</t>
        </is>
      </c>
      <c r="D116" s="46" t="n">
        <v>140</v>
      </c>
      <c r="E116" s="45" t="n"/>
      <c r="F116" s="47" t="n"/>
      <c r="G116" s="48" t="n"/>
      <c r="H116" s="49" t="n"/>
      <c r="I116" s="45" t="inlineStr">
        <is>
          <t>NF-e 4284. Recebimento não constava no Livro Caixa; conferido e baixado no DigiSat em 28/09/2026.</t>
        </is>
      </c>
    </row>
    <row r="117">
      <c r="A117" s="17" t="n">
        <v>46231</v>
      </c>
      <c r="B117" s="18" t="inlineStr">
        <is>
          <t>Alex Lopes Barbosa Santos</t>
        </is>
      </c>
      <c r="C117" s="18" t="inlineStr">
        <is>
          <t>Refil Everest</t>
        </is>
      </c>
      <c r="D117" s="27" t="n">
        <v>130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NFC-e 9174. Recebimento não constava no Livro Caixa; conferido e baixado no DigiSat em 28/09/2026.</t>
        </is>
      </c>
      <c r="J117" s="18" t="inlineStr">
        <is>
          <t>CLI-0428</t>
        </is>
      </c>
    </row>
    <row r="118">
      <c r="A118" s="44" t="n">
        <v>46231</v>
      </c>
      <c r="B118" s="45" t="inlineStr">
        <is>
          <t>Shana Almeida Santos</t>
        </is>
      </c>
      <c r="C118" s="45" t="inlineStr">
        <is>
          <t>Suporte</t>
        </is>
      </c>
      <c r="D118" s="46" t="n">
        <v>160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NFC-e 9175. Recebimento não constava no Livro Caixa; conferido e baixado no DigiSat em 28/09/2026.</t>
        </is>
      </c>
    </row>
    <row r="119">
      <c r="A119" s="17" t="n">
        <v>46232</v>
      </c>
      <c r="B119" s="18" t="inlineStr">
        <is>
          <t>Vitta Centro Medico Ltda</t>
        </is>
      </c>
      <c r="C119" s="18" t="inlineStr">
        <is>
          <t>Refil Pro Life</t>
        </is>
      </c>
      <c r="D119" s="27" t="n">
        <v>135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NF-e 4286. Recebimento não constava no Livro Caixa; conferido e baixado no DigiSat em 28/09/2026.</t>
        </is>
      </c>
      <c r="J119" s="18" t="n"/>
    </row>
    <row r="120">
      <c r="A120" s="44" t="n">
        <v>46232</v>
      </c>
      <c r="B120" s="45" t="inlineStr">
        <is>
          <t>Wagner Soares Miranda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4288. Recebimento não constava no Livro Caixa; conferido e baixado no DigiSat em 28/09/2026.</t>
        </is>
      </c>
    </row>
    <row r="121">
      <c r="A121" s="17" t="n">
        <v>46232</v>
      </c>
      <c r="B121" s="18" t="inlineStr">
        <is>
          <t>Eco-Marmores e Granitos Importacao e Exportacao Ltda</t>
        </is>
      </c>
      <c r="C121" s="18" t="inlineStr">
        <is>
          <t>Refil Carbon Tech 9"</t>
        </is>
      </c>
      <c r="D121" s="27" t="n">
        <v>90</v>
      </c>
      <c r="E121" s="18" t="n"/>
      <c r="F121" s="19" t="n"/>
      <c r="G121" s="19" t="n"/>
      <c r="H121" s="21" t="n"/>
      <c r="I121" s="18" t="inlineStr">
        <is>
          <t>NF-e 4289. Recebimento não constava no Livro Caixa; conferido e baixado no DigiSat em 28/09/2026.</t>
        </is>
      </c>
      <c r="J121" s="18" t="inlineStr">
        <is>
          <t>EMP-0130</t>
        </is>
      </c>
    </row>
    <row r="122">
      <c r="A122" s="44" t="n">
        <v>46232</v>
      </c>
      <c r="B122" s="45" t="inlineStr">
        <is>
          <t>Eveli da Silva Pinho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NF-e 4290. Recebimento não constava no Livro Caixa; conferido e baixado no DigiSat em 28/09/2026.</t>
        </is>
      </c>
    </row>
    <row r="123">
      <c r="A123" s="17" t="n">
        <v>46232</v>
      </c>
      <c r="B123" s="18" t="inlineStr">
        <is>
          <t>Ivanete Candida de Souza</t>
        </is>
      </c>
      <c r="C123" s="18" t="inlineStr">
        <is>
          <t>Refil Pro Life</t>
        </is>
      </c>
      <c r="D123" s="27" t="n">
        <v>140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NFC-e 9176. Recebimento não constava no Livro Caixa; conferido e baixado no DigiSat em 28/09/2026.</t>
        </is>
      </c>
      <c r="J123" s="18" t="n"/>
    </row>
    <row r="124">
      <c r="A124" s="29" t="n"/>
      <c r="B124" s="43" t="inlineStr">
        <is>
          <t>TOTAL DO MÊS</t>
        </is>
      </c>
      <c r="C124" s="160" t="n"/>
      <c r="D124" s="8">
        <f>SUM(D5:D123)</f>
        <v/>
      </c>
      <c r="E124" s="8" t="n"/>
      <c r="F124" s="29">
        <f>SUM(F5:F123)</f>
        <v/>
      </c>
      <c r="G124" s="8">
        <f>SUM(G5:G123)</f>
        <v/>
      </c>
      <c r="H124" s="29" t="n"/>
      <c r="I124" s="29" t="n"/>
    </row>
    <row r="125">
      <c r="A125" s="30" t="n"/>
      <c r="B125" s="133" t="inlineStr">
        <is>
          <t>SALDO DO MÊS (Entradas líquidas − Despesas da loja)</t>
        </is>
      </c>
      <c r="D125" s="132">
        <f>(D124-F124-T5)-(L18-L19)</f>
        <v/>
      </c>
      <c r="F125" s="30" t="n"/>
      <c r="H125" s="30" t="n"/>
      <c r="I125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3" showDropDown="0" showInputMessage="0" showErrorMessage="0" allowBlank="1" type="list">
      <formula1>"Dinheiro,Pix,Débito,Crédito à Vista,Crédito Parcelado,Aguardando Pagamento"</formula1>
    </dataValidation>
    <dataValidation sqref="H5:H123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COMBINADO",IF(TODAY()&gt;EOMONTH(DATE(2026,8,1),0),"ABAIXO DO COMBINADO","AINDA PODE GASTAR"))</f>
        <v/>
      </c>
      <c r="T7" s="224" t="inlineStr">
        <is>
          <t>SOBRA FINAL DO MÊS</t>
        </is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inlineStr">
        <is>
          <t>NF 374271 de 06/04/2026 · parcela 4/5 (venc. 04/08/2026) · compra total R$ 3.533,27: Purificador Everest Plus Prata + Purificador Everest Star Branco + Purificador Everest Star Preto + Purificador Everest Slim Prata + Purificador Everest Fit Branco</t>
        </is>
      </c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  <c r="J26" s="45" t="inlineStr">
        <is>
          <t>EMP-0261</t>
        </is>
      </c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  <c r="J27" s="18" t="inlineStr">
        <is>
          <t>CLI-0501</t>
        </is>
      </c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  <c r="J28" s="45" t="inlineStr">
        <is>
          <t>EMP-0004</t>
        </is>
      </c>
    </row>
    <row r="29" ht="15.75" customHeight="1" s="157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  <c r="J29" s="18" t="inlineStr">
        <is>
          <t>EMP-0303</t>
        </is>
      </c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 · Compra total R$ 5.831,67 (IPI R$ 288,26): 5x Refil Fp4 + 8x Refil Carbon Tech 5 Pol + 120x Refil E3 + 90x Refil Pre-E3 + 10x Refil Top Multifilter + 4x Refil Fpa16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 · Compra total R$ 4.904,13: 100x Refil Everest + 50x Pré Filtro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  <c r="J35" s="18" t="inlineStr">
        <is>
          <t>CLI-0259</t>
        </is>
      </c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7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  <c r="J41" s="18" t="inlineStr">
        <is>
          <t>CLI-0433</t>
        </is>
      </c>
    </row>
    <row r="42" ht="15.75" customHeight="1" s="157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  <c r="J42" s="45" t="inlineStr">
        <is>
          <t>EMP-0216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  <c r="J43" s="18" t="inlineStr">
        <is>
          <t>EMP-0073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  <c r="J46" s="45" t="inlineStr">
        <is>
          <t>EMP-0165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inlineStr">
        <is>
          <t>NF 372597 de 11/03/2026 · parcela 5/5 (venc. 08/08/2026) · compra total R$ 3.627,42: 2x Purificador Everest Plus Branco + Purificador Everest Fit Preto + Purificador Everest Slim Preto + Purificador Everest Star Preto</t>
        </is>
      </c>
    </row>
    <row r="48" ht="15.75" customHeight="1" s="157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inlineStr">
        <is>
          <t>NF 73636 de 10/06/2026 · parcela 2/5 (venc. 09/08/2026) · compra total R$ 4.394,61: 100x Refil Everest</t>
        </is>
      </c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  <c r="J49" s="18" t="inlineStr">
        <is>
          <t>EMP-0073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  <c r="J50" s="45" t="inlineStr">
        <is>
          <t>CLI-0222</t>
        </is>
      </c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  <c r="J51" s="18" t="inlineStr">
        <is>
          <t>EMP-0231</t>
        </is>
      </c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7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3" s="18" t="inlineStr">
        <is>
          <t>EMP-0296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  <c r="J54" s="45" t="inlineStr">
        <is>
          <t>CLI-0454</t>
        </is>
      </c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  <c r="J55" s="18" t="inlineStr">
        <is>
          <t>EMP-0085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inlineStr">
        <is>
          <t>NF 131442 de 17/06/2026 · parcela 3/4 (venc. 12/08/2026)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  <c r="J62" s="45" t="inlineStr">
        <is>
          <t>CLI-0023</t>
        </is>
      </c>
    </row>
    <row r="63" ht="15.75" customHeight="1" s="157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  <c r="J65" s="18" t="inlineStr">
        <is>
          <t>CLI-0024</t>
        </is>
      </c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  <c r="J66" s="45" t="inlineStr">
        <is>
          <t>CLI-0018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  <c r="J67" s="18" t="inlineStr">
        <is>
          <t>EMP-0216</t>
        </is>
      </c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  <c r="J70" s="45" t="inlineStr">
        <is>
          <t>CLI-0051</t>
        </is>
      </c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  <c r="J71" s="18" t="inlineStr">
        <is>
          <t>CLI-0450</t>
        </is>
      </c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  <c r="J73" s="18" t="inlineStr">
        <is>
          <t>CLI-0401</t>
        </is>
      </c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  <c r="J74" s="45" t="inlineStr">
        <is>
          <t>CLI-0401</t>
        </is>
      </c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  <c r="J75" s="18" t="inlineStr">
        <is>
          <t>CLI-0731</t>
        </is>
      </c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inlineStr">
        <is>
          <t>NF 377737 de 19/05/2026 · parcela 3/5 (venc. 17/08/2026) · compra total R$ 725,16 (IPI R$ 28,60): 12x Conexão T + 30x Registro + 20x Botao Completo Purificador (N) + 30x Suporte</t>
        </is>
      </c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inlineStr">
        <is>
          <t>NF 377738 de 19/05/2026 · parcela 3/5 (venc. 17/08/2026) · compra total R$ 4.327,52: Purificador Everest Plus Branco + Purificador Everest Plus Prata + Purificador Everest Slim Branco + 2x Purificador Everest Fit Prata + Purificador Everest Fit Preto</t>
        </is>
      </c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inlineStr">
        <is>
          <t>NF 377739 de 19/05/2026 · parcela 3/5 (venc. 17/08/2026)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inlineStr">
        <is>
          <t>NF 74454 de 17/07/2026 · parcela 1/5 (venc. 16/08/2026) · compra total R$ 4.904,13: 100x Refil Everest + 50x Pré Filtro</t>
        </is>
      </c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inlineStr">
        <is>
          <t>NF 381554 de 17/07/2026 · parcela 1/5 (venc. 16/08/2026) · compra total R$ 4.461,49: Purificador Everest Fit Branco + Purificador Everest Fit Preto + 2x Purificador Everest Star Branco + Purificador Everest Star Preto + Purificador Everest Plus Prata</t>
        </is>
      </c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  <c r="J85" s="18" t="inlineStr">
        <is>
          <t>OUT-0054</t>
        </is>
      </c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  <c r="J86" s="45" t="inlineStr">
        <is>
          <t>OUT-0078</t>
        </is>
      </c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  <c r="J87" s="18" t="inlineStr">
        <is>
          <t>OUT-0016</t>
        </is>
      </c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inlineStr">
        <is>
          <t>Crédito em 3x.</t>
        </is>
      </c>
      <c r="J89" s="18" t="inlineStr">
        <is>
          <t>CLI-0362</t>
        </is>
      </c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  <c r="J90" s="45" t="inlineStr">
        <is>
          <t>CLI-0211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  <c r="J91" s="18" t="inlineStr">
        <is>
          <t>EMP-0263</t>
        </is>
      </c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  <c r="J95" s="18" t="inlineStr">
        <is>
          <t>EMP-0120</t>
        </is>
      </c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  <c r="J96" s="45" t="inlineStr">
        <is>
          <t>EMP-0309</t>
        </is>
      </c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inlineStr">
        <is>
          <t>NF 131997 de 08/07/2026 · parcela 2/4 (venc. 19/08/2026) · compra total R$ 5.831,67 (IPI R$ 288,26): 5x Refil Fp4 + 8x Refil Carbon Tech 5 Pol + 120x Refil E3 + 90x Refil Pre-E3 + 10x Refil Top Multifilter + 4x Refil Fpa16</t>
        </is>
      </c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  <c r="J98" s="45" t="inlineStr">
        <is>
          <t>EMP-0199</t>
        </is>
      </c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7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  <c r="J100" s="45" t="inlineStr">
        <is>
          <t>CLI-0885</t>
        </is>
      </c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7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  <c r="J102" s="45" t="inlineStr">
        <is>
          <t>CLI-0219</t>
        </is>
      </c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  <c r="J103" s="18" t="inlineStr">
        <is>
          <t>EMP-0268</t>
        </is>
      </c>
    </row>
    <row r="104" ht="15.75" customHeight="1" s="157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  <c r="J107" s="18" t="inlineStr">
        <is>
          <t>CLI-0887</t>
        </is>
      </c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inlineStr">
        <is>
          <t>NF 379826 de 22/06/2026 · parcela 2/5 (venc. 21/08/2026) · compra total R$ 4.373,40: 2x Purificador Everest Slim Prata + 2x Purificador Everest Star Prata + Purificador Everest Star Branco + Purificador Everest Fit Branco</t>
        </is>
      </c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  <c r="J113" s="18" t="inlineStr">
        <is>
          <t>EMP-0172</t>
        </is>
      </c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  <c r="J115" s="18" t="inlineStr">
        <is>
          <t>EMP-0310</t>
        </is>
      </c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  <c r="J116" s="45" t="inlineStr">
        <is>
          <t>EMP-0245</t>
        </is>
      </c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  <c r="J146" s="45" t="inlineStr">
        <is>
          <t>EMP-0243</t>
        </is>
      </c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4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  <c r="J147" s="18" t="inlineStr">
        <is>
          <t>CLI-0471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7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4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  <c r="J150" s="45" t="inlineStr">
        <is>
          <t>CLI-0886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4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inlineStr">
        <is>
          <t>NF 131442 de 17/06/2026 · parcela 4/4 (venc. 26/08/2026)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4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4" t="n">
        <v>60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CLI-0887</t>
        </is>
      </c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  <c r="J156" s="45" t="inlineStr">
        <is>
          <t>CLI-0738</t>
        </is>
      </c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4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4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4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4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  <c r="J170" s="45" t="inlineStr">
        <is>
          <t>CLI-0449</t>
        </is>
      </c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inlineStr">
        <is>
          <t>NF 72153 de 02/04/2026 · parcela 5/5 (venc. 30/08/2026) · compra total R$ 4.394,61: 100x Refil Everest</t>
        </is>
      </c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7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4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  <c r="J175" s="18" t="inlineStr">
        <is>
          <t>CLI-0405</t>
        </is>
      </c>
    </row>
    <row r="176" ht="15.75" customHeight="1" s="157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46265</v>
      </c>
      <c r="B177" s="18" t="inlineStr">
        <is>
          <t>Tarifa Pix (14 lançamentos)</t>
        </is>
      </c>
      <c r="C177" s="18" t="n"/>
      <c r="D177" s="134" t="n"/>
      <c r="E177" s="18" t="n"/>
      <c r="F177" s="19" t="n"/>
      <c r="G177" s="20" t="n">
        <v>48.25</v>
      </c>
      <c r="H177" s="21" t="inlineStr">
        <is>
          <t>Tarifas Bancárias e Cartão</t>
        </is>
      </c>
      <c r="I177" s="18" t="inlineStr">
        <is>
          <t>Extrato BNB agosto/2026 — soma de 14 tarifas Pix individuais</t>
        </is>
      </c>
    </row>
    <row r="178">
      <c r="A178" s="44" t="n">
        <v>46265</v>
      </c>
      <c r="B178" s="45" t="inlineStr">
        <is>
          <t>Pix Pessoal (4 lançamentos)</t>
        </is>
      </c>
      <c r="C178" s="45" t="n"/>
      <c r="D178" s="50" t="n"/>
      <c r="E178" s="45" t="n"/>
      <c r="F178" s="47" t="n"/>
      <c r="G178" s="47" t="n">
        <v>221.5</v>
      </c>
      <c r="H178" s="49" t="inlineStr">
        <is>
          <t>Pro Labore Edilânia</t>
        </is>
      </c>
      <c r="I178" s="45" t="inlineStr">
        <is>
          <t>Extrato BNB agosto/2026 — soma de 4 Pix pessoais de Adriano/Edilânia</t>
        </is>
      </c>
    </row>
    <row r="179">
      <c r="A179" s="17" t="n">
        <v>46265</v>
      </c>
      <c r="B179" s="18" t="inlineStr">
        <is>
          <t>Compras p/Loja (2 lançamentos)</t>
        </is>
      </c>
      <c r="C179" s="18" t="n"/>
      <c r="D179" s="134" t="n"/>
      <c r="E179" s="18" t="n"/>
      <c r="F179" s="19" t="n"/>
      <c r="G179" s="20" t="n">
        <v>131.29</v>
      </c>
      <c r="H179" s="21" t="inlineStr">
        <is>
          <t>Fornecedores / Mercadoria</t>
        </is>
      </c>
      <c r="I179" s="18" t="inlineStr">
        <is>
          <t>Extrato BNB agosto/2026 — soma de 2 compras para a loja</t>
        </is>
      </c>
    </row>
    <row r="180">
      <c r="A180" s="44" t="n">
        <v>46265</v>
      </c>
      <c r="B180" s="45" t="inlineStr">
        <is>
          <t>Estacionamento (2 lançamentos)</t>
        </is>
      </c>
      <c r="C180" s="45" t="n"/>
      <c r="D180" s="50" t="n"/>
      <c r="E180" s="45" t="n"/>
      <c r="F180" s="47" t="n"/>
      <c r="G180" s="47" t="n">
        <v>6</v>
      </c>
      <c r="H180" s="49" t="inlineStr">
        <is>
          <t>Transporte e Entregas</t>
        </is>
      </c>
      <c r="I180" s="45" t="inlineStr">
        <is>
          <t>Extrato BNB agosto/2026 — soma de 2 lançamentos de estacionamento</t>
        </is>
      </c>
    </row>
    <row r="181">
      <c r="A181" s="17" t="n">
        <v>46265</v>
      </c>
      <c r="B181" s="18" t="inlineStr">
        <is>
          <t>Gasolina</t>
        </is>
      </c>
      <c r="C181" s="18" t="n"/>
      <c r="D181" s="134" t="n"/>
      <c r="E181" s="18" t="n"/>
      <c r="F181" s="19" t="n"/>
      <c r="G181" s="20" t="n">
        <v>30</v>
      </c>
      <c r="H181" s="21" t="inlineStr">
        <is>
          <t>Transporte e Entregas</t>
        </is>
      </c>
      <c r="I181" s="18" t="n"/>
    </row>
    <row r="182">
      <c r="A182" s="44" t="n">
        <v>46251</v>
      </c>
      <c r="B182" s="45" t="inlineStr">
        <is>
          <t>Cliente de Armando</t>
        </is>
      </c>
      <c r="C182" s="45" t="n"/>
      <c r="D182" s="50" t="n">
        <v>160</v>
      </c>
      <c r="E182" s="45" t="inlineStr">
        <is>
          <t>Crédito Parcelado</t>
        </is>
      </c>
      <c r="F182" s="47" t="n">
        <v>11.18</v>
      </c>
      <c r="G182" s="47" t="n"/>
      <c r="H182" s="49" t="n"/>
      <c r="I182" s="45" t="inlineStr">
        <is>
          <t>Crédito em 3x. Venda do relatório de prestação de contas do Armando (14/09/2026) — lançada em 21/09/2026.</t>
        </is>
      </c>
    </row>
    <row r="183">
      <c r="A183" s="17" t="n">
        <v>46252</v>
      </c>
      <c r="B183" s="18" t="inlineStr">
        <is>
          <t>Cliente de Armando</t>
        </is>
      </c>
      <c r="C183" s="18" t="n"/>
      <c r="D183" s="134" t="n">
        <v>200</v>
      </c>
      <c r="E183" s="18" t="inlineStr">
        <is>
          <t>Crédito Parcelado</t>
        </is>
      </c>
      <c r="F183" s="19" t="n">
        <v>13.98</v>
      </c>
      <c r="G183" s="20" t="n"/>
      <c r="H183" s="21" t="n"/>
      <c r="I183" s="18" t="inlineStr">
        <is>
          <t>Crédito em 2x. Venda do relatório de prestação de contas do Armando (14/09/2026) — lançada em 21/09/2026.</t>
        </is>
      </c>
    </row>
    <row r="184" ht="15.75" customHeight="1" s="157">
      <c r="A184" s="44" t="n"/>
      <c r="B184" s="45" t="n"/>
      <c r="C184" s="45" t="n"/>
      <c r="D184" s="50" t="n"/>
      <c r="E184" s="45" t="n"/>
      <c r="F184" s="47" t="n"/>
      <c r="G184" s="47" t="n"/>
      <c r="H184" s="49" t="n"/>
      <c r="I184" s="45" t="n"/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COMBINADO",IF(TODAY()&gt;EOMONTH(DATE(2026,9,1),0),"ABAIXO DO COMBINADO","AINDA PODE GASTAR"))</f>
        <v/>
      </c>
      <c r="T7" s="237" t="inlineStr">
        <is>
          <t>SOBRA FINAL DO MÊS</t>
        </is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Pix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 · pagamento recebido via Pix em 25/09/2026 (Nota Paga no portal V360)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46273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Pix</t>
        </is>
      </c>
      <c r="F24" s="83" t="n"/>
      <c r="G24" s="83" t="n"/>
      <c r="H24" s="82" t="n"/>
      <c r="I24" s="82" t="inlineStr">
        <is>
          <t>Venda de 02/09/2026 — pagamento recebido via Pix em 08/09/2026</t>
        </is>
      </c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 · Compra total R$ 5.831,67 (IPI R$ 288,26): 5x Refil Fp4 + 8x Refil Carbon Tech 5 Pol + 120x Refil E3 + 90x Refil Pre-E3 + 10x Refil Top Multifilter + 4x Refil Fpa16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 · Compra total R$ 3.533,27: Purificador Everest Plus Prata + Purificador Everest Star Branco + Purificador Everest Star Preto + Purificador Everest Slim Prata + Purificador Everest Fit Branco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46269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04/09/2026 pelo Banco do Nordeste, DOC 5301 · Compra total R$ 4.904,13: 100x Refil Everest + 50x Pré Filtro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 · Compra total R$ 4.394,61: 100x Refil Everest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10x. Instalação feita em 24/09/2026.</t>
        </is>
      </c>
      <c r="J75" t="inlineStr">
        <is>
          <t>CLI-0896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>
        <v>46276</v>
      </c>
      <c r="B84" s="82" t="inlineStr">
        <is>
          <t>Topvel Tropical Veiculos e Pecas</t>
        </is>
      </c>
      <c r="C84" s="82" t="inlineStr">
        <is>
          <t>2x Refil Everest + 2x Pré Filtro</t>
        </is>
      </c>
      <c r="D84" s="83" t="n">
        <v>370</v>
      </c>
      <c r="E84" s="82" t="inlineStr">
        <is>
          <t>Aguardando Pagamento</t>
        </is>
      </c>
      <c r="F84" s="83" t="n"/>
      <c r="G84" s="83" t="n"/>
      <c r="H84" s="82" t="n"/>
      <c r="I84" s="82" t="n"/>
      <c r="J84" s="82" t="inlineStr">
        <is>
          <t>EMP-0291</t>
        </is>
      </c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 · Compra total R$ 4.904,13: 100x Refil Everest + 50x Pré Filtro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 · Compra total R$ 4.461,49: Purificador Everest Fit Branco + Purificador Everest Fit Preto + 2x Purificador Everest Star Branco + Purificador Everest Star Preto + Purificador Everest Plus Prata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46294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Pix</t>
        </is>
      </c>
      <c r="F116" s="83" t="n"/>
      <c r="G116" s="83" t="n"/>
      <c r="H116" s="82" t="n"/>
      <c r="I116" s="82" t="inlineStr">
        <is>
          <t>Venda de 16/09/2026 — pagamento recebido em 29/09/2026 (Pix)</t>
        </is>
      </c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 · Compra total R$ 725,16 (IPI R$ 28,60): 12x Conexão T + 30x Registro + 20x Botao Completo Purificador (N) + 30x Suporte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 · Compra total R$ 4.327,52: Purificador Everest Plus Branco + Purificador Everest Plus Prata + Purificador Everest Slim Branco + 2x Purificador Everest Fit Prata + Purificador Everest Fit Preto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 · Compra total R$ 5.831,67 (IPI R$ 288,26): 5x Refil Fp4 + 8x Refil Carbon Tech 5 Pol + 120x Refil E3 + 90x Refil Pre-E3 + 10x Refil Top Multifilter + 4x Refil Fpa16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Estacionamento (Pagar.me)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Transporte e Entregas</t>
        </is>
      </c>
      <c r="I146" s="82" t="inlineStr">
        <is>
          <t>Extrato Stone/Ton — Pix de 09/09/2026 para Pagar.me Instituição de Pagamento (estacionamento).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46287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Pix</t>
        </is>
      </c>
      <c r="F162" s="83" t="n"/>
      <c r="G162" s="83" t="n"/>
      <c r="H162" s="82" t="n"/>
      <c r="I162" s="82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 · Compra total R$ 2.093,55 (IPI R$ 90,31): 30x Refil Pro Life + 2x Refil Carbon Block 9.3/4 Pol + 15x Refil Carbon Tech 5 Pol + 4x Refil Poli Flu Plissado 9.3/4 + 6x Carcaca Fit 9.3/4 Pol Branca + 5x Regulador De Pressao Tubo 3/8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pela conta Ton (Stone).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 · Compra total R$ 4.373,40: 2x Purificador Everest Slim Prata + 2x Purificador Everest Star Prata + Purificador Everest Star Branco + Purificador Everest Fit Branco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7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44" t="n">
        <v>46288</v>
      </c>
      <c r="B186" s="45" t="inlineStr">
        <is>
          <t>Silmara Variedades</t>
        </is>
      </c>
      <c r="C186" s="45" t="inlineStr">
        <is>
          <t>Refil E3 + Pré Filtro</t>
        </is>
      </c>
      <c r="D186" s="46" t="n">
        <v>150</v>
      </c>
      <c r="E186" s="45" t="inlineStr">
        <is>
          <t>Dinheiro</t>
        </is>
      </c>
      <c r="F186" s="47" t="n"/>
      <c r="G186" s="48" t="n"/>
      <c r="H186" s="49" t="n"/>
      <c r="I186" s="45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7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  <c r="J187" s="18" t="n"/>
    </row>
    <row r="188">
      <c r="A188" s="44" t="n">
        <v>46288</v>
      </c>
      <c r="B188" s="45" t="inlineStr">
        <is>
          <t>Colégio Alfa e Ômega</t>
        </is>
      </c>
      <c r="C188" s="45" t="inlineStr">
        <is>
          <t>Refil Carbon Tech 9"</t>
        </is>
      </c>
      <c r="D188" s="46" t="n">
        <v>90</v>
      </c>
      <c r="E188" s="45" t="inlineStr">
        <is>
          <t>Pix</t>
        </is>
      </c>
      <c r="F188" s="47" t="n"/>
      <c r="G188" s="48" t="n"/>
      <c r="H188" s="49" t="n"/>
      <c r="I188" s="45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7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44" t="n">
        <v>46273</v>
      </c>
      <c r="B190" s="45" t="inlineStr">
        <is>
          <t>Centralmix Soluções Integradas</t>
        </is>
      </c>
      <c r="C190" s="45" t="n"/>
      <c r="D190" s="46" t="n"/>
      <c r="E190" s="45" t="n"/>
      <c r="F190" s="47" t="n"/>
      <c r="G190" s="48" t="n">
        <v>60</v>
      </c>
      <c r="H190" s="49" t="inlineStr">
        <is>
          <t>Material de Limpeza e Escritório</t>
        </is>
      </c>
      <c r="I190" s="45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7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44" t="n">
        <v>46289</v>
      </c>
      <c r="B192" s="45" t="inlineStr">
        <is>
          <t>Thainara</t>
        </is>
      </c>
      <c r="C192" s="45" t="inlineStr">
        <is>
          <t>Refil FPA14</t>
        </is>
      </c>
      <c r="D192" s="46" t="n">
        <v>100</v>
      </c>
      <c r="E192" s="45" t="inlineStr">
        <is>
          <t>Pix</t>
        </is>
      </c>
      <c r="F192" s="47" t="n"/>
      <c r="G192" s="48" t="n"/>
      <c r="H192" s="49" t="n"/>
      <c r="I192" s="45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7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44" t="n">
        <v>46289</v>
      </c>
      <c r="B194" s="45" t="inlineStr">
        <is>
          <t>Labcenter Saude Preventiva e Diagnostico</t>
        </is>
      </c>
      <c r="C194" s="45" t="inlineStr">
        <is>
          <t>Refil Everest + Pré Filtro</t>
        </is>
      </c>
      <c r="D194" s="46" t="n">
        <v>200</v>
      </c>
      <c r="E194" s="45" t="inlineStr">
        <is>
          <t>Dinheiro</t>
        </is>
      </c>
      <c r="F194" s="47" t="n"/>
      <c r="G194" s="48" t="n"/>
      <c r="H194" s="49" t="n"/>
      <c r="I194" s="45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7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44" t="n">
        <v>46289</v>
      </c>
      <c r="B196" s="45" t="inlineStr">
        <is>
          <t>Eversoft</t>
        </is>
      </c>
      <c r="C196" s="45" t="n"/>
      <c r="D196" s="46" t="n"/>
      <c r="E196" s="45" t="n"/>
      <c r="F196" s="47" t="n"/>
      <c r="G196" s="48" t="n">
        <v>940.0599999999999</v>
      </c>
      <c r="H196" s="49" t="inlineStr">
        <is>
          <t>Fornecedores / Mercadoria</t>
        </is>
      </c>
      <c r="I196" s="45" t="inlineStr">
        <is>
          <t>Boleto doc. 75472 (emissão 26/08/2026) · parcela 1/5 — venc. 25/09/2026. Pago antecipado em 24/09/2026 · Compra total R$ 4.700,32: 100x Refil Everest + 30x Pré Filtro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7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44" t="n">
        <v>46289</v>
      </c>
      <c r="B198" s="45" t="inlineStr">
        <is>
          <t>SEFAZ-BA — ICMS Antecipação Tributária</t>
        </is>
      </c>
      <c r="C198" s="45" t="n"/>
      <c r="D198" s="46" t="n"/>
      <c r="E198" s="45" t="n"/>
      <c r="F198" s="47" t="n"/>
      <c r="G198" s="48" t="n">
        <v>74.05</v>
      </c>
      <c r="H198" s="49" t="inlineStr">
        <is>
          <t>Impostos e Taxas</t>
        </is>
      </c>
      <c r="I198" s="45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7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44" t="n">
        <v>46290</v>
      </c>
      <c r="B200" s="45" t="inlineStr">
        <is>
          <t>4x4 Peças e Serviços</t>
        </is>
      </c>
      <c r="C200" s="45" t="inlineStr">
        <is>
          <t>Refil Carbon Tech 5"</t>
        </is>
      </c>
      <c r="D200" s="46" t="n">
        <v>70</v>
      </c>
      <c r="E200" s="45" t="inlineStr">
        <is>
          <t>Dinheiro</t>
        </is>
      </c>
      <c r="F200" s="47" t="n"/>
      <c r="G200" s="48" t="n"/>
      <c r="H200" s="49" t="n"/>
      <c r="I200" s="45" t="inlineStr">
        <is>
          <t>Purificador da oficina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7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44" t="n">
        <v>46290</v>
      </c>
      <c r="B202" s="45" t="inlineStr">
        <is>
          <t>O Pirulito Bomboniere - Paulo Eric de Souza</t>
        </is>
      </c>
      <c r="C202" s="45" t="inlineStr">
        <is>
          <t>Refil Pro Life</t>
        </is>
      </c>
      <c r="D202" s="46" t="n">
        <v>140</v>
      </c>
      <c r="E202" s="45" t="inlineStr">
        <is>
          <t>Dinheiro</t>
        </is>
      </c>
      <c r="F202" s="47" t="n"/>
      <c r="G202" s="48" t="n"/>
      <c r="H202" s="49" t="n"/>
      <c r="I202" s="45" t="n"/>
      <c r="J202" t="inlineStr">
        <is>
          <t>EMP-0232</t>
        </is>
      </c>
    </row>
    <row r="203">
      <c r="A203" s="17" t="n">
        <v>46290</v>
      </c>
      <c r="B203" s="18" t="inlineStr">
        <is>
          <t>Consumidor Final</t>
        </is>
      </c>
      <c r="C203" s="18" t="inlineStr">
        <is>
          <t>Registro</t>
        </is>
      </c>
      <c r="D203" s="27" t="n">
        <v>30</v>
      </c>
      <c r="E203" s="18" t="inlineStr">
        <is>
          <t>Pix</t>
        </is>
      </c>
      <c r="F203" s="19" t="n"/>
      <c r="G203" s="19" t="n"/>
      <c r="H203" s="21" t="n"/>
      <c r="I203" s="18" t="n"/>
      <c r="J203" s="18" t="n"/>
    </row>
    <row r="204">
      <c r="A204" s="44" t="n">
        <v>46293</v>
      </c>
      <c r="B204" s="45" t="inlineStr">
        <is>
          <t>Itala de Oliveira Moreno</t>
        </is>
      </c>
      <c r="C204" s="45" t="inlineStr">
        <is>
          <t>Refil Pro Life + Pré Filtro</t>
        </is>
      </c>
      <c r="D204" s="46" t="n">
        <v>185</v>
      </c>
      <c r="E204" s="45" t="inlineStr">
        <is>
          <t>Pix</t>
        </is>
      </c>
      <c r="F204" s="47" t="n"/>
      <c r="G204" s="48" t="n"/>
      <c r="H204" s="49" t="n"/>
      <c r="I204" s="45" t="n"/>
      <c r="J204" t="inlineStr">
        <is>
          <t>CLI-0025</t>
        </is>
      </c>
    </row>
    <row r="205">
      <c r="A205" s="17" t="n">
        <v>46293</v>
      </c>
      <c r="B205" s="18" t="inlineStr">
        <is>
          <t>Bio Imagem Serviço de Diagnostico</t>
        </is>
      </c>
      <c r="C205" s="18" t="inlineStr">
        <is>
          <t>2x Refil Everest</t>
        </is>
      </c>
      <c r="D205" s="27" t="n">
        <v>280</v>
      </c>
      <c r="E205" s="18" t="inlineStr">
        <is>
          <t>Dinheiro</t>
        </is>
      </c>
      <c r="F205" s="19" t="n"/>
      <c r="G205" s="19" t="n"/>
      <c r="H205" s="21" t="n"/>
      <c r="I205" s="18" t="inlineStr">
        <is>
          <t>Troca na Copa e na Recepção</t>
        </is>
      </c>
      <c r="J205" s="18" t="inlineStr">
        <is>
          <t>EMP-0030</t>
        </is>
      </c>
    </row>
    <row r="206">
      <c r="A206" s="44" t="n">
        <v>46293</v>
      </c>
      <c r="B206" s="45" t="inlineStr">
        <is>
          <t>SAMF Serviço de Assistencia Medica - Maria Fatima Leon</t>
        </is>
      </c>
      <c r="C206" s="45" t="inlineStr">
        <is>
          <t>Refil Pro Life</t>
        </is>
      </c>
      <c r="D206" s="46" t="n">
        <v>140</v>
      </c>
      <c r="E206" s="45" t="inlineStr">
        <is>
          <t>Pix</t>
        </is>
      </c>
      <c r="F206" s="47" t="n"/>
      <c r="G206" s="48" t="n"/>
      <c r="H206" s="49" t="n"/>
      <c r="I206" s="45" t="n"/>
      <c r="J206" t="inlineStr">
        <is>
          <t>EMP-0271</t>
        </is>
      </c>
    </row>
    <row r="207">
      <c r="A207" s="17" t="n">
        <v>46293</v>
      </c>
      <c r="B207" s="18" t="inlineStr">
        <is>
          <t>Verdes Mares Tintas</t>
        </is>
      </c>
      <c r="C207" s="18" t="inlineStr">
        <is>
          <t>Limpeza de Refil</t>
        </is>
      </c>
      <c r="D207" s="27" t="n">
        <v>40</v>
      </c>
      <c r="E207" s="18" t="inlineStr">
        <is>
          <t>Dinheiro</t>
        </is>
      </c>
      <c r="F207" s="19" t="n"/>
      <c r="G207" s="19" t="n"/>
      <c r="H207" s="21" t="n"/>
      <c r="I207" s="18" t="n"/>
      <c r="J207" s="18" t="inlineStr">
        <is>
          <t>EMP-0303</t>
        </is>
      </c>
    </row>
    <row r="208">
      <c r="A208" s="44" t="n">
        <v>46293</v>
      </c>
      <c r="B208" s="45" t="inlineStr">
        <is>
          <t>Edivandro de Jesus Bispo - Instalação do Piso da Loja</t>
        </is>
      </c>
      <c r="C208" s="45" t="n"/>
      <c r="D208" s="46" t="n"/>
      <c r="E208" s="45" t="n"/>
      <c r="F208" s="47" t="n"/>
      <c r="G208" s="48" t="n">
        <v>400</v>
      </c>
      <c r="H208" s="49" t="inlineStr">
        <is>
          <t>Manutenção e Reparos</t>
        </is>
      </c>
      <c r="I208" s="45" t="inlineStr">
        <is>
          <t>Pix de 28/09/2026 20:33 (Banco do Nordeste) — serviço de aplicação de piso na loja. ID E07237373202609282333NQNHHJRS16B</t>
        </is>
      </c>
    </row>
    <row r="209">
      <c r="A209" s="17" t="n">
        <v>46294</v>
      </c>
      <c r="B209" s="18" t="inlineStr">
        <is>
          <t>Compra na Shopee - Tapete e Fita Metalizada</t>
        </is>
      </c>
      <c r="C209" s="18" t="n"/>
      <c r="D209" s="27" t="n"/>
      <c r="E209" s="18" t="n"/>
      <c r="F209" s="19" t="n"/>
      <c r="G209" s="19" t="n">
        <v>142.94</v>
      </c>
      <c r="H209" s="21" t="inlineStr">
        <is>
          <t>Material de Limpeza e Escritório</t>
        </is>
      </c>
      <c r="I209" s="18" t="inlineStr">
        <is>
          <t>Pix QR Code de 29/09/2026 para Shpp Brasil Instituição de Pagamento (CNPJ 38.372.267/0001-82) — tapete e fita metalizada para a loja. ID E16501555202609290015cce4815a8c1</t>
        </is>
      </c>
      <c r="J209" s="18" t="n"/>
    </row>
    <row r="210">
      <c r="A210" s="44" t="n">
        <v>46294</v>
      </c>
      <c r="B210" s="45" t="inlineStr">
        <is>
          <t>Sara Andreia Barros de Souza Santana - Escola Educare</t>
        </is>
      </c>
      <c r="C210" s="45" t="inlineStr">
        <is>
          <t>Refil Pro Life</t>
        </is>
      </c>
      <c r="D210" s="46" t="n">
        <v>140</v>
      </c>
      <c r="E210" s="45" t="inlineStr">
        <is>
          <t>Pix</t>
        </is>
      </c>
      <c r="F210" s="47" t="n"/>
      <c r="G210" s="48" t="n"/>
      <c r="H210" s="49" t="n"/>
      <c r="I210" s="45" t="n"/>
      <c r="J210" t="inlineStr">
        <is>
          <t>EMP-0272</t>
        </is>
      </c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>
        <v>46294</v>
      </c>
      <c r="B212" s="45" t="inlineStr">
        <is>
          <t>Lapec</t>
        </is>
      </c>
      <c r="C212" s="45" t="inlineStr">
        <is>
          <t>Refil C+3</t>
        </is>
      </c>
      <c r="D212" s="46" t="n">
        <v>100</v>
      </c>
      <c r="E212" s="45" t="inlineStr">
        <is>
          <t>Aguardando Pagamento</t>
        </is>
      </c>
      <c r="F212" s="47" t="n"/>
      <c r="G212" s="48" t="n"/>
      <c r="H212" s="49" t="n"/>
      <c r="I212" s="45" t="inlineStr">
        <is>
          <t>Preço com desconto de cliente. Pagamento previsto para 30/09/2026.</t>
        </is>
      </c>
      <c r="J212" t="inlineStr">
        <is>
          <t>EMP-0199</t>
        </is>
      </c>
    </row>
    <row r="213">
      <c r="A213" s="17" t="n">
        <v>46294</v>
      </c>
      <c r="B213" s="18" t="inlineStr">
        <is>
          <t>Mil Coisas (Eletrônicos e Informática) - Pilha palito</t>
        </is>
      </c>
      <c r="C213" s="18" t="n"/>
      <c r="D213" s="27" t="n"/>
      <c r="E213" s="18" t="n"/>
      <c r="F213" s="19" t="n"/>
      <c r="G213" s="19" t="n">
        <v>2.5</v>
      </c>
      <c r="H213" s="21" t="inlineStr">
        <is>
          <t>Material de Limpeza e Escritório</t>
        </is>
      </c>
      <c r="I213" s="18" t="inlineStr">
        <is>
          <t>Pago em dinheiro — recibo da Mil Coisas.</t>
        </is>
      </c>
      <c r="J213" s="18" t="n"/>
    </row>
    <row r="214">
      <c r="A214" s="44" t="n">
        <v>46266</v>
      </c>
      <c r="B214" s="45" t="inlineStr">
        <is>
          <t>Tarifa Pacote de Tarifas</t>
        </is>
      </c>
      <c r="C214" s="45" t="n"/>
      <c r="D214" s="46" t="n"/>
      <c r="E214" s="45" t="n"/>
      <c r="F214" s="47" t="n"/>
      <c r="G214" s="48" t="n">
        <v>52.5</v>
      </c>
      <c r="H214" s="49" t="inlineStr">
        <is>
          <t>Tarifas Bancárias e Cartão</t>
        </is>
      </c>
      <c r="I214" s="45" t="inlineStr">
        <is>
          <t>Extrato BNB — TARIFA PACOTE DE TARIFAS, DOC 8227 (01/09/2026)</t>
        </is>
      </c>
    </row>
    <row r="215">
      <c r="A215" s="17" t="n">
        <v>46273</v>
      </c>
      <c r="B215" s="18" t="inlineStr">
        <is>
          <t>Maria Eva dos Santos</t>
        </is>
      </c>
      <c r="C215" s="18" t="n"/>
      <c r="D215" s="27" t="n"/>
      <c r="E215" s="18" t="n"/>
      <c r="F215" s="19" t="n"/>
      <c r="G215" s="19" t="n">
        <v>380</v>
      </c>
      <c r="H215" s="21" t="inlineStr">
        <is>
          <t>Pro Labore Edilânia</t>
        </is>
      </c>
      <c r="I215" s="18" t="inlineStr">
        <is>
          <t>Extrato BNB — Pix de 08/09/2026 (ref. 07/09), DOC 11974. Marcado como pessoal pela Edilânia.</t>
        </is>
      </c>
      <c r="J215" s="18" t="n"/>
    </row>
    <row r="216">
      <c r="A216" s="44" t="n">
        <v>46273</v>
      </c>
      <c r="B216" s="45" t="inlineStr">
        <is>
          <t>Shpp Brasil Instituição de Pagamento (Shopee)</t>
        </is>
      </c>
      <c r="C216" s="45" t="n"/>
      <c r="D216" s="46" t="n"/>
      <c r="E216" s="45" t="n"/>
      <c r="F216" s="47" t="n"/>
      <c r="G216" s="48" t="n">
        <v>100.11</v>
      </c>
      <c r="H216" s="49" t="inlineStr">
        <is>
          <t>Pro Labore Edilânia</t>
        </is>
      </c>
      <c r="I216" s="45" t="inlineStr">
        <is>
          <t>Extrato BNB — Pix de 08/09/2026 (ref. 06/09), DOC 11974. Marcado como pessoal pela Edilânia.</t>
        </is>
      </c>
    </row>
    <row r="217">
      <c r="A217" s="17" t="n">
        <v>46273</v>
      </c>
      <c r="B217" s="18" t="inlineStr">
        <is>
          <t>RC Serviços de Alimentação Ltda</t>
        </is>
      </c>
      <c r="C217" s="18" t="n"/>
      <c r="D217" s="27" t="n"/>
      <c r="E217" s="18" t="n"/>
      <c r="F217" s="19" t="n"/>
      <c r="G217" s="19" t="n">
        <v>143</v>
      </c>
      <c r="H217" s="21" t="inlineStr">
        <is>
          <t>Pro Labore Edilânia</t>
        </is>
      </c>
      <c r="I217" s="18" t="inlineStr">
        <is>
          <t>Extrato BNB — Pix de 08/09/2026 (ref. 06/09), DOC 11974. Marcado como pessoal pela Edilânia.</t>
        </is>
      </c>
      <c r="J217" s="18" t="n"/>
    </row>
    <row r="218">
      <c r="A218" s="44" t="n">
        <v>46274</v>
      </c>
      <c r="B218" s="45" t="inlineStr">
        <is>
          <t>Daniel Barbosa dos Santos (Moto Táxi)</t>
        </is>
      </c>
      <c r="C218" s="45" t="n"/>
      <c r="D218" s="46" t="n"/>
      <c r="E218" s="45" t="n"/>
      <c r="F218" s="47" t="n"/>
      <c r="G218" s="48" t="n">
        <v>8</v>
      </c>
      <c r="H218" s="49" t="inlineStr">
        <is>
          <t>Transporte e Entregas</t>
        </is>
      </c>
      <c r="I218" s="45" t="inlineStr">
        <is>
          <t>Extrato BNB — Pix de 09/09/2026, DOC 11974.</t>
        </is>
      </c>
    </row>
    <row r="219">
      <c r="A219" s="17" t="n">
        <v>46288</v>
      </c>
      <c r="B219" s="18" t="inlineStr">
        <is>
          <t>Maria Eva dos Santos</t>
        </is>
      </c>
      <c r="C219" s="18" t="n"/>
      <c r="D219" s="27" t="n"/>
      <c r="E219" s="18" t="n"/>
      <c r="F219" s="19" t="n"/>
      <c r="G219" s="19" t="n">
        <v>380</v>
      </c>
      <c r="H219" s="21" t="inlineStr">
        <is>
          <t>Pro Labore Edilânia</t>
        </is>
      </c>
      <c r="I219" s="18" t="inlineStr">
        <is>
          <t>Extrato BNB — Pix de 23/09/2026, DOC 11974. Marcado como pessoal pela Edilânia.</t>
        </is>
      </c>
      <c r="J219" s="18" t="n"/>
    </row>
    <row r="220">
      <c r="A220" s="44" t="n">
        <v>46293</v>
      </c>
      <c r="B220" s="45" t="inlineStr">
        <is>
          <t>Farmácia Pague Menos</t>
        </is>
      </c>
      <c r="C220" s="45" t="n"/>
      <c r="D220" s="46" t="n"/>
      <c r="E220" s="45" t="n"/>
      <c r="F220" s="47" t="n"/>
      <c r="G220" s="48" t="n">
        <v>74.51000000000001</v>
      </c>
      <c r="H220" s="49" t="inlineStr">
        <is>
          <t>Pro Labore Edilânia</t>
        </is>
      </c>
      <c r="I220" s="45" t="inlineStr">
        <is>
          <t>Extrato BNB — Pix de 28/09/2026 (ref. 27/09), DOC 11974. Marcado como pessoal pela Edilânia.</t>
        </is>
      </c>
    </row>
    <row r="221">
      <c r="A221" s="17" t="n">
        <v>46294</v>
      </c>
      <c r="B221" s="18" t="inlineStr">
        <is>
          <t>Atacadão da Limpeza</t>
        </is>
      </c>
      <c r="C221" s="18" t="n"/>
      <c r="D221" s="27" t="n"/>
      <c r="E221" s="18" t="n"/>
      <c r="F221" s="19" t="n"/>
      <c r="G221" s="19" t="n">
        <v>99.98</v>
      </c>
      <c r="H221" s="21" t="inlineStr">
        <is>
          <t>Material de Limpeza e Escritório</t>
        </is>
      </c>
      <c r="I221" s="18" t="inlineStr">
        <is>
          <t>Mop inox Clink (R$ 69,99) + limpa espuma multiuso 400 ml Rodabrill (R$ 29,99) — venda nº 00021875 de 29/09/2026. Pago em dinheiro.</t>
        </is>
      </c>
      <c r="J221" s="18" t="n"/>
    </row>
    <row r="222">
      <c r="A222" s="44" t="n">
        <v>46295</v>
      </c>
      <c r="B222" s="45" t="inlineStr">
        <is>
          <t>Tarifa Pix (28 lançamentos)</t>
        </is>
      </c>
      <c r="C222" s="45" t="n"/>
      <c r="D222" s="46" t="n"/>
      <c r="E222" s="45" t="n"/>
      <c r="F222" s="47" t="n"/>
      <c r="G222" s="48" t="n">
        <v>83.61</v>
      </c>
      <c r="H222" s="49" t="inlineStr">
        <is>
          <t>Tarifas Bancárias e Cartão</t>
        </is>
      </c>
      <c r="I222" s="45" t="inlineStr">
        <is>
          <t>Extrato BNB setembro/2026 — soma de 28 tarifas Pix (Cobr. QR Code DOC 12423 e Pagto/Transferência DOC 12422) de 01/09 a 30/09 ainda não lançadas: 01/09 37,73 · 11/09 2,38 · 14/09 5,30 · 16/09 4,46 · 21/09 3,23 · 22/09 2,88 · 23/09 4,50 · 24/09 4,65 · 28/09 10,30 · 29/09 6,79 · 30/09 1,39</t>
        </is>
      </c>
    </row>
    <row r="223">
      <c r="A223" s="17" t="n">
        <v>46295</v>
      </c>
      <c r="B223" s="18" t="inlineStr">
        <is>
          <t>Combustível</t>
        </is>
      </c>
      <c r="C223" s="18" t="n"/>
      <c r="D223" s="27" t="n"/>
      <c r="E223" s="18" t="n"/>
      <c r="F223" s="19" t="n"/>
      <c r="G223" s="19" t="n">
        <v>20</v>
      </c>
      <c r="H223" s="21" t="inlineStr">
        <is>
          <t>Transporte e Entregas</t>
        </is>
      </c>
      <c r="I223" s="18" t="inlineStr">
        <is>
          <t>Posto Beira Rio (Transvale Derivados de Petróleo LTDA, CNPJ 11.271.229/0002-68, Av. Orlando Oliveira Pires, 1164, Centro, Jacobina). R$ 20,00 tirados da segunda gaveta do caixa. Pago em dinheiro.</t>
        </is>
      </c>
      <c r="J223" s="18" t="n"/>
    </row>
    <row r="224">
      <c r="A224" s="44" t="n">
        <v>46266</v>
      </c>
      <c r="B224" s="45" t="inlineStr">
        <is>
          <t>Pro Labore Edilânia</t>
        </is>
      </c>
      <c r="C224" s="45" t="n"/>
      <c r="D224" s="46" t="n"/>
      <c r="E224" s="45" t="n"/>
      <c r="F224" s="47" t="n"/>
      <c r="G224" s="48" t="n">
        <v>1000</v>
      </c>
      <c r="H224" s="49" t="inlineStr">
        <is>
          <t>Pro Labore Edilânia</t>
        </is>
      </c>
      <c r="I224" s="45" t="inlineStr">
        <is>
          <t>Extrato BNB — Pix de 01/09/2026 para Edilânia Almeida Silva Costa Fontes, DOC 11974. Pró-labore de setembro (confirmado).</t>
        </is>
      </c>
    </row>
    <row r="225">
      <c r="A225" s="17" t="n">
        <v>46274</v>
      </c>
      <c r="B225" s="18" t="inlineStr">
        <is>
          <t>Estacionamento (Pagar.me)</t>
        </is>
      </c>
      <c r="C225" s="18" t="n"/>
      <c r="D225" s="27" t="n"/>
      <c r="E225" s="18" t="n"/>
      <c r="F225" s="19" t="n"/>
      <c r="G225" s="19" t="n">
        <v>2.4</v>
      </c>
      <c r="H225" s="21" t="inlineStr">
        <is>
          <t>Transporte e Entregas</t>
        </is>
      </c>
      <c r="I225" s="18" t="inlineStr">
        <is>
          <t>Extrato BNB — Pix de 09/09/2026 para Pagar.me Instituição de Pagamento, DOC 11974 (estacionamento). Outro de R$ 2,40 no mesmo dia saiu pela Ton.</t>
        </is>
      </c>
      <c r="J225" s="18" t="n"/>
    </row>
    <row r="226">
      <c r="A226" s="44" t="n">
        <v>46284</v>
      </c>
      <c r="B226" s="45" t="inlineStr">
        <is>
          <t>Pampet Club</t>
        </is>
      </c>
      <c r="C226" s="45" t="n"/>
      <c r="D226" s="46" t="n"/>
      <c r="E226" s="45" t="n"/>
      <c r="F226" s="47" t="n"/>
      <c r="G226" s="48" t="n">
        <v>76</v>
      </c>
      <c r="H226" s="49" t="inlineStr">
        <is>
          <t>Pro Labore Edilânia</t>
        </is>
      </c>
      <c r="I226" s="45" t="inlineStr">
        <is>
          <t>Extrato Ton — Pix de 19/09/2026.</t>
        </is>
      </c>
    </row>
    <row r="227">
      <c r="A227" s="17" t="n">
        <v>46286</v>
      </c>
      <c r="B227" s="18" t="inlineStr">
        <is>
          <t>Thiago de Jesus Nascimento</t>
        </is>
      </c>
      <c r="C227" s="18" t="n"/>
      <c r="D227" s="27" t="n"/>
      <c r="E227" s="18" t="n"/>
      <c r="F227" s="19" t="n"/>
      <c r="G227" s="19" t="n">
        <v>21</v>
      </c>
      <c r="H227" s="21" t="inlineStr">
        <is>
          <t>Pro Labore Edilânia</t>
        </is>
      </c>
      <c r="I227" s="18" t="inlineStr">
        <is>
          <t>Extrato Ton — Pix de 21/09/2026.</t>
        </is>
      </c>
      <c r="J227" s="18" t="n"/>
    </row>
    <row r="228">
      <c r="A228" s="44" t="n">
        <v>46286</v>
      </c>
      <c r="B228" s="45" t="inlineStr">
        <is>
          <t>Multidisplay Comercio e Servicos Tecnologicos</t>
        </is>
      </c>
      <c r="C228" s="45" t="n"/>
      <c r="D228" s="46" t="n"/>
      <c r="E228" s="45" t="n"/>
      <c r="F228" s="47" t="n"/>
      <c r="G228" s="48" t="n">
        <v>30</v>
      </c>
      <c r="H228" s="49" t="inlineStr">
        <is>
          <t>Pro Labore Edilânia</t>
        </is>
      </c>
      <c r="I228" s="45" t="inlineStr">
        <is>
          <t>Extrato Ton — Pix de 21/09/2026.</t>
        </is>
      </c>
    </row>
    <row r="229">
      <c r="A229" s="17" t="n">
        <v>46287</v>
      </c>
      <c r="B229" s="18" t="inlineStr">
        <is>
          <t>Estacionamento (Pagar.me)</t>
        </is>
      </c>
      <c r="C229" s="18" t="n"/>
      <c r="D229" s="27" t="n"/>
      <c r="E229" s="18" t="n"/>
      <c r="F229" s="19" t="n"/>
      <c r="G229" s="19" t="n">
        <v>2.4</v>
      </c>
      <c r="H229" s="21" t="inlineStr">
        <is>
          <t>Transporte e Entregas</t>
        </is>
      </c>
      <c r="I229" s="18" t="inlineStr">
        <is>
          <t>Extrato Ton — Pix de 22/09/2026 para Pagar.me Instituição de Pagamento (estacionamento).</t>
        </is>
      </c>
      <c r="J229" s="18" t="n"/>
    </row>
    <row r="230">
      <c r="A230" s="44" t="n">
        <v>46289</v>
      </c>
      <c r="B230" s="45" t="inlineStr">
        <is>
          <t>Estacionamento (Pagar.me)</t>
        </is>
      </c>
      <c r="C230" s="45" t="n"/>
      <c r="D230" s="46" t="n"/>
      <c r="E230" s="45" t="n"/>
      <c r="F230" s="47" t="n"/>
      <c r="G230" s="48" t="n">
        <v>2.4</v>
      </c>
      <c r="H230" s="49" t="inlineStr">
        <is>
          <t>Transporte e Entregas</t>
        </is>
      </c>
      <c r="I230" s="45" t="inlineStr">
        <is>
          <t>Extrato Ton — Pix de 24/09/2026 para Pagar.me Instituição de Pagamento (estacionamento).</t>
        </is>
      </c>
    </row>
    <row r="231">
      <c r="A231" s="17" t="n">
        <v>46290</v>
      </c>
      <c r="B231" s="18" t="inlineStr">
        <is>
          <t>Comercial de Estivas e Cereais Rio do Ouro</t>
        </is>
      </c>
      <c r="C231" s="18" t="n"/>
      <c r="D231" s="27" t="n"/>
      <c r="E231" s="18" t="n"/>
      <c r="F231" s="19" t="n"/>
      <c r="G231" s="19" t="n">
        <v>162.14</v>
      </c>
      <c r="H231" s="21" t="inlineStr">
        <is>
          <t>Pro Labore Edilânia</t>
        </is>
      </c>
      <c r="I231" s="18" t="inlineStr">
        <is>
          <t>Extrato Ton — Pix de 25/09/2026.</t>
        </is>
      </c>
      <c r="J231" s="18" t="n"/>
    </row>
    <row r="232">
      <c r="A232" s="44" t="n">
        <v>46293</v>
      </c>
      <c r="B232" s="45" t="inlineStr">
        <is>
          <t>Pro Labore Edilânia</t>
        </is>
      </c>
      <c r="C232" s="45" t="n"/>
      <c r="D232" s="46" t="n"/>
      <c r="E232" s="45" t="n"/>
      <c r="F232" s="47" t="n"/>
      <c r="G232" s="48" t="n">
        <v>400</v>
      </c>
      <c r="H232" s="49" t="inlineStr">
        <is>
          <t>Pro Labore Edilânia</t>
        </is>
      </c>
      <c r="I232" s="45" t="inlineStr">
        <is>
          <t>Extrato Ton — Pix de 28/09/2026 para Edilânia Almeida Silva Costa Fontes.</t>
        </is>
      </c>
    </row>
    <row r="233">
      <c r="A233" s="17" t="n">
        <v>46286</v>
      </c>
      <c r="B233" s="18" t="inlineStr">
        <is>
          <t>Maria Carolina Gomes Vasconcelos &amp; Cia Ltda</t>
        </is>
      </c>
      <c r="C233" s="18" t="n"/>
      <c r="D233" s="27" t="n"/>
      <c r="E233" s="18" t="n"/>
      <c r="F233" s="19" t="n"/>
      <c r="G233" s="19" t="n">
        <v>220</v>
      </c>
      <c r="H233" s="21" t="inlineStr">
        <is>
          <t>Pro Labore Edilânia</t>
        </is>
      </c>
      <c r="I233" s="18" t="inlineStr">
        <is>
          <t>Extrato Ton — Pix de 21/09/2026. Gasto pessoal (confirmado pela Edilânia).</t>
        </is>
      </c>
      <c r="J233" s="18" t="n"/>
    </row>
    <row r="234">
      <c r="A234" s="44" t="n">
        <v>46286</v>
      </c>
      <c r="B234" s="45" t="inlineStr">
        <is>
          <t>Edinaldo Silva da Cruz</t>
        </is>
      </c>
      <c r="C234" s="45" t="n"/>
      <c r="D234" s="46" t="n"/>
      <c r="E234" s="45" t="n"/>
      <c r="F234" s="47" t="n"/>
      <c r="G234" s="48" t="n">
        <v>50</v>
      </c>
      <c r="H234" s="49" t="inlineStr">
        <is>
          <t>Pro Labore Edilânia</t>
        </is>
      </c>
      <c r="I234" s="45" t="inlineStr">
        <is>
          <t>Extrato Ton — Pix de 21/09/2026. Gasto pessoal (confirmado pela Edilânia).</t>
        </is>
      </c>
    </row>
    <row r="235">
      <c r="A235" s="17" t="n">
        <v>46293</v>
      </c>
      <c r="B235" s="18" t="inlineStr">
        <is>
          <t>Bytedance Brasil (TikTok)</t>
        </is>
      </c>
      <c r="C235" s="18" t="n"/>
      <c r="D235" s="27" t="n"/>
      <c r="E235" s="18" t="n"/>
      <c r="F235" s="19" t="n"/>
      <c r="G235" s="19" t="n">
        <v>61.4</v>
      </c>
      <c r="H235" s="21" t="inlineStr">
        <is>
          <t>Pro Labore Edilânia</t>
        </is>
      </c>
      <c r="I235" s="18" t="inlineStr">
        <is>
          <t>Extrato Ton — Pix de 28/09/2026. Gasto pessoal (confirmado pela Edilânia).</t>
        </is>
      </c>
      <c r="J235" s="18" t="n"/>
    </row>
    <row r="236">
      <c r="A236" s="44" t="n">
        <v>46295</v>
      </c>
      <c r="B236" s="45" t="inlineStr">
        <is>
          <t>Milton Ribeiro</t>
        </is>
      </c>
      <c r="C236" s="45" t="inlineStr">
        <is>
          <t>Purificador Everest Fit Preto</t>
        </is>
      </c>
      <c r="D236" s="46" t="n">
        <v>1420</v>
      </c>
      <c r="E236" s="45" t="inlineStr">
        <is>
          <t>Crédito Parcelado</t>
        </is>
      </c>
      <c r="F236" s="47" t="n">
        <v>198.66</v>
      </c>
      <c r="G236" s="48" t="n"/>
      <c r="H236" s="49" t="n"/>
      <c r="I236" s="45" t="inlineStr">
        <is>
          <t>Crédito em 10x. Instalação agendada para 01/10/2026 (Rua 06, 156 — Morada do Sol).</t>
        </is>
      </c>
      <c r="J236" t="inlineStr">
        <is>
          <t>CLI-0898</t>
        </is>
      </c>
    </row>
    <row r="237">
      <c r="A237" s="17" t="n">
        <v>46295</v>
      </c>
      <c r="B237" s="18" t="inlineStr">
        <is>
          <t>Francilene Santos Silva</t>
        </is>
      </c>
      <c r="C237" s="18" t="inlineStr">
        <is>
          <t>Refil Everest</t>
        </is>
      </c>
      <c r="D237" s="27" t="n">
        <v>130</v>
      </c>
      <c r="E237" s="18" t="inlineStr">
        <is>
          <t>Pix</t>
        </is>
      </c>
      <c r="F237" s="19" t="n"/>
      <c r="G237" s="19" t="n"/>
      <c r="H237" s="21" t="n"/>
      <c r="I237" s="18" t="n"/>
      <c r="J237" s="18" t="inlineStr">
        <is>
          <t>CLI-0325</t>
        </is>
      </c>
    </row>
    <row r="238">
      <c r="A238" s="44" t="n">
        <v>46295</v>
      </c>
      <c r="B238" s="45" t="inlineStr">
        <is>
          <t>Maria Isabel</t>
        </is>
      </c>
      <c r="C238" s="45" t="inlineStr">
        <is>
          <t>Refil FPA16</t>
        </is>
      </c>
      <c r="D238" s="46" t="n">
        <v>100</v>
      </c>
      <c r="E238" s="45" t="inlineStr">
        <is>
          <t>Dinheiro</t>
        </is>
      </c>
      <c r="F238" s="47" t="n"/>
      <c r="G238" s="48" t="n"/>
      <c r="H238" s="49" t="n"/>
      <c r="I238" s="45" t="n"/>
      <c r="J238" t="inlineStr">
        <is>
          <t>CLI-0899</t>
        </is>
      </c>
    </row>
    <row r="239">
      <c r="A239" s="17" t="n">
        <v>46295</v>
      </c>
      <c r="B239" s="18" t="inlineStr">
        <is>
          <t>Knox Produtos Refrigerados</t>
        </is>
      </c>
      <c r="C239" s="18" t="n"/>
      <c r="D239" s="27" t="n"/>
      <c r="E239" s="18" t="n"/>
      <c r="F239" s="19" t="n"/>
      <c r="G239" s="19" t="n">
        <v>3272</v>
      </c>
      <c r="H239" s="21" t="inlineStr">
        <is>
          <t>Fornecedores / Mercadoria</t>
        </is>
      </c>
      <c r="I239" s="18" t="inlineStr">
        <is>
          <t>2 bebedouros industriais. Pix de R$ 3.272,00 em 30/09/2026 17:01 para Knox Produtos Refrigerados Ltda (CNPJ 15.719.703/0001-41), pago pelo Adriano no Banco do Brasil com dinheiro da reserva — controle na aba Capital de Giro (BB). ID E0000000020260930200055659998914</t>
        </is>
      </c>
      <c r="J239" s="18" t="n"/>
    </row>
    <row r="240">
      <c r="A240" s="44" t="n">
        <v>46295</v>
      </c>
      <c r="B240" s="45" t="inlineStr">
        <is>
          <t>Genilson Teixeira Santana Aguiar</t>
        </is>
      </c>
      <c r="C240" s="45" t="inlineStr">
        <is>
          <t>Pré Filtro</t>
        </is>
      </c>
      <c r="D240" s="46" t="n">
        <v>60</v>
      </c>
      <c r="E240" s="45" t="inlineStr">
        <is>
          <t>Débito</t>
        </is>
      </c>
      <c r="F240" s="47" t="n">
        <v>0.87</v>
      </c>
      <c r="G240" s="48" t="n"/>
      <c r="H240" s="49" t="n"/>
      <c r="I240" s="45" t="n"/>
      <c r="J240" t="inlineStr">
        <is>
          <t>CLI-0138</t>
        </is>
      </c>
    </row>
    <row r="241">
      <c r="A241" s="17" t="n">
        <v>46295</v>
      </c>
      <c r="B241" s="18" t="inlineStr">
        <is>
          <t>Faca Feira Supermercado</t>
        </is>
      </c>
      <c r="C241" s="18" t="n"/>
      <c r="D241" s="27" t="n"/>
      <c r="E241" s="18" t="n"/>
      <c r="F241" s="19" t="n"/>
      <c r="G241" s="19" t="n">
        <v>2.98</v>
      </c>
      <c r="H241" s="21" t="inlineStr">
        <is>
          <t>Material de Limpeza e Escritório</t>
        </is>
      </c>
      <c r="I241" s="18" t="inlineStr">
        <is>
          <t>Isqueiro BIC mini — NFC-e nº 000209441 de 30/09/2026. Pago em dinheiro.</t>
        </is>
      </c>
      <c r="J241" s="18" t="n"/>
    </row>
    <row r="242">
      <c r="A242" s="44" t="n">
        <v>46295</v>
      </c>
      <c r="B242" s="45" t="inlineStr">
        <is>
          <t>PC Jacobina Administradora de Cartões LTDA</t>
        </is>
      </c>
      <c r="C242" s="45" t="inlineStr">
        <is>
          <t>Refil Everest</t>
        </is>
      </c>
      <c r="D242" s="46" t="n">
        <v>140</v>
      </c>
      <c r="E242" s="45" t="inlineStr">
        <is>
          <t>Aguardando Pagamento</t>
        </is>
      </c>
      <c r="F242" s="47" t="n"/>
      <c r="G242" s="48" t="n"/>
      <c r="H242" s="49" t="n"/>
      <c r="I242" s="45" t="n"/>
      <c r="J242" t="inlineStr">
        <is>
          <t>EMP-0244</t>
        </is>
      </c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46305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Aguardando Pagamento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>
        <v>46296</v>
      </c>
      <c r="B6" s="45" t="inlineStr">
        <is>
          <t>Vitoria Maria F Santos</t>
        </is>
      </c>
      <c r="C6" s="45" t="n"/>
      <c r="D6" s="46" t="n"/>
      <c r="E6" s="45" t="n"/>
      <c r="F6" s="47" t="n"/>
      <c r="G6" s="48" t="n">
        <v>880</v>
      </c>
      <c r="H6" s="49" t="inlineStr">
        <is>
          <t>Aluguel</t>
        </is>
      </c>
      <c r="I6" s="45" t="inlineStr">
        <is>
          <t>Aluguel da loja — outubro/2026. Depósito em dinheiro no Banco do Brasil em 01/10/2026 14:15 (doc. 013573031141511, autenticação 7.05D.31D.295.0FD.388) na conta de Vitoria M F Santos (ag. 3385-5, cc 111.641-X).</t>
        </is>
      </c>
      <c r="K6" s="78" t="inlineStr">
        <is>
          <t>Aluguel</t>
        </is>
      </c>
      <c r="L6" s="80">
        <f>SUMIF(H5:H254,K6,G5:G254)</f>
        <v/>
      </c>
    </row>
    <row r="7">
      <c r="A7" s="17" t="n">
        <v>46296</v>
      </c>
      <c r="B7" s="18" t="inlineStr">
        <is>
          <t>Milton Ribeiro</t>
        </is>
      </c>
      <c r="C7" s="18" t="inlineStr">
        <is>
          <t>Pré Filtro</t>
        </is>
      </c>
      <c r="D7" s="27" t="n">
        <v>60</v>
      </c>
      <c r="E7" s="18" t="inlineStr">
        <is>
          <t>Pix</t>
        </is>
      </c>
      <c r="F7" s="19" t="n"/>
      <c r="G7" s="19" t="n"/>
      <c r="H7" s="21" t="n"/>
      <c r="I7" s="18" t="inlineStr">
        <is>
          <t>Vendido na instalação do Purificador Everest Fit Preto (compra de 30/09/2026).</t>
        </is>
      </c>
      <c r="J7" s="18" t="inlineStr">
        <is>
          <t>CLI-0898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COMBINADO",IF(TODAY()&gt;EOMONTH(DATE(2026,10,1),0),"ABAIXO DO COMBINADO","AINDA PODE GASTAR"))</f>
        <v/>
      </c>
      <c r="T7" s="237" t="inlineStr">
        <is>
          <t>SOBRA FINAL DO MÊS</t>
        </is>
      </c>
    </row>
    <row r="8">
      <c r="A8" s="44" t="n">
        <v>46296</v>
      </c>
      <c r="B8" s="45" t="inlineStr">
        <is>
          <t>Eny Cordeiro Lima Santos</t>
        </is>
      </c>
      <c r="C8" s="45" t="inlineStr">
        <is>
          <t>Refil Everest</t>
        </is>
      </c>
      <c r="D8" s="46" t="n">
        <v>140</v>
      </c>
      <c r="E8" s="45" t="inlineStr">
        <is>
          <t>Dinheiro</t>
        </is>
      </c>
      <c r="F8" s="47" t="n"/>
      <c r="G8" s="48" t="n"/>
      <c r="H8" s="49" t="n"/>
      <c r="I8" s="45" t="n"/>
      <c r="J8" t="inlineStr">
        <is>
          <t>CLI-0346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46300</v>
      </c>
      <c r="B9" s="18" t="inlineStr">
        <is>
          <t>Aneilde Rios de Oliveira</t>
        </is>
      </c>
      <c r="C9" s="18" t="inlineStr">
        <is>
          <t>Refil Everest</t>
        </is>
      </c>
      <c r="D9" s="27" t="n">
        <v>135</v>
      </c>
      <c r="E9" s="18" t="inlineStr">
        <is>
          <t>Pix</t>
        </is>
      </c>
      <c r="F9" s="19" t="n"/>
      <c r="G9" s="19" t="n"/>
      <c r="H9" s="21" t="n"/>
      <c r="I9" s="18" t="inlineStr">
        <is>
          <t>Venda de 01/10/2026 (troca na casa, Loteamento Morada Real, Caeira) — pagamento recebido via Pix em 05/10/2026. Pix único de R$ 270,00 da Aneilde em 05/10/2026 pagando as duas trocas (casa + Vivencie Turismo), com R$ 10,00 de desconto dividido entre as duas (R$ 135,00 cada).</t>
        </is>
      </c>
      <c r="J9" s="18" t="inlineStr">
        <is>
          <t>CLI-0040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44" t="n">
        <v>46296</v>
      </c>
      <c r="B10" s="45" t="inlineStr">
        <is>
          <t>Combustível</t>
        </is>
      </c>
      <c r="C10" s="45" t="n"/>
      <c r="D10" s="46" t="n"/>
      <c r="E10" s="45" t="n"/>
      <c r="F10" s="47" t="n"/>
      <c r="G10" s="48" t="n">
        <v>20</v>
      </c>
      <c r="H10" s="49" t="inlineStr">
        <is>
          <t>Transporte e Entregas</t>
        </is>
      </c>
      <c r="I10" s="45" t="inlineStr">
        <is>
          <t>Etanol 4,51 L — Posto de Combustíveis Modelo, NFC-e nº 000431786 de 01/10/2026 10:56 (nota de R$ 20,07). Pago R$ 20,00 em dinheiro (uma nota de R$ 20).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17" t="n">
        <v>46296</v>
      </c>
      <c r="B11" s="18" t="inlineStr">
        <is>
          <t>Acerto de Armando</t>
        </is>
      </c>
      <c r="C11" s="18" t="n"/>
      <c r="D11" s="27" t="n">
        <v>1500</v>
      </c>
      <c r="E11" s="18" t="inlineStr">
        <is>
          <t>Pix</t>
        </is>
      </c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>
        <v>46296</v>
      </c>
      <c r="B12" s="45" t="inlineStr">
        <is>
          <t>Centro Medico da Chapada Diamantina LTDA</t>
        </is>
      </c>
      <c r="C12" s="45" t="inlineStr">
        <is>
          <t>Refil Pro Life + 2x Botão Completo</t>
        </is>
      </c>
      <c r="D12" s="46" t="n">
        <v>200</v>
      </c>
      <c r="E12" s="45" t="inlineStr">
        <is>
          <t>Aguardando Pagamento</t>
        </is>
      </c>
      <c r="F12" s="47" t="n"/>
      <c r="G12" s="48" t="n"/>
      <c r="H12" s="49" t="n"/>
      <c r="I12" s="45" t="inlineStr">
        <is>
          <t>Subsolo — troca do refil (R$ 140,00) + troca dos 2 botões do purificador (R$ 30,00 cada).</t>
        </is>
      </c>
      <c r="J12" t="inlineStr">
        <is>
          <t>EMP-0062</t>
        </is>
      </c>
      <c r="K12" s="78" t="inlineStr">
        <is>
          <t>Contabilidade</t>
        </is>
      </c>
      <c r="L12" s="80">
        <f>SUMIF(H5:H254,K12,G5:G254)</f>
        <v/>
      </c>
    </row>
    <row r="13">
      <c r="A13" s="17" t="n">
        <v>46296</v>
      </c>
      <c r="B13" s="18" t="inlineStr">
        <is>
          <t>Cliente de Armando</t>
        </is>
      </c>
      <c r="C13" s="18" t="n"/>
      <c r="D13" s="27" t="n">
        <v>1486</v>
      </c>
      <c r="E13" s="18" t="inlineStr">
        <is>
          <t>Crédito Parcelado</t>
        </is>
      </c>
      <c r="F13" s="19" t="n">
        <v>207.89</v>
      </c>
      <c r="G13" s="19" t="n"/>
      <c r="H13" s="21" t="n"/>
      <c r="I13" s="18" t="inlineStr">
        <is>
          <t>Crédito em 10x</t>
        </is>
      </c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>
        <v>46296</v>
      </c>
      <c r="B14" s="45" t="inlineStr">
        <is>
          <t>Consumidor Final</t>
        </is>
      </c>
      <c r="C14" s="45" t="inlineStr">
        <is>
          <t>6x Torneira Acquazurra</t>
        </is>
      </c>
      <c r="D14" s="46" t="n">
        <v>60</v>
      </c>
      <c r="E14" s="45" t="inlineStr">
        <is>
          <t>Dinheiro</t>
        </is>
      </c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>
        <v>46296</v>
      </c>
      <c r="B15" s="18" t="inlineStr">
        <is>
          <t>Consumidor Final</t>
        </is>
      </c>
      <c r="C15" s="18" t="inlineStr">
        <is>
          <t>Refil Top Color Fast</t>
        </is>
      </c>
      <c r="D15" s="27" t="n">
        <v>65</v>
      </c>
      <c r="E15" s="18" t="inlineStr">
        <is>
          <t>Dinheiro</t>
        </is>
      </c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>
        <v>46296</v>
      </c>
      <c r="B16" s="45" t="inlineStr">
        <is>
          <t>Patrus Transportes</t>
        </is>
      </c>
      <c r="C16" s="45" t="n"/>
      <c r="D16" s="46" t="n"/>
      <c r="E16" s="45" t="n"/>
      <c r="F16" s="47" t="n"/>
      <c r="G16" s="48" t="n">
        <v>323.45</v>
      </c>
      <c r="H16" s="49" t="inlineStr">
        <is>
          <t>Transporte e Entregas</t>
        </is>
      </c>
      <c r="I16" s="45" t="inlineStr">
        <is>
          <t>Frete da fatura 26-09-904996 (CT-e 2123999, remetente Everest, NF 386188) — venc. 02/10/2026. Pago em 01/10/2026.</t>
        </is>
      </c>
      <c r="K16" s="78" t="inlineStr">
        <is>
          <t>Outras Despesas</t>
        </is>
      </c>
      <c r="L16" s="80">
        <f>SUMIF(H5:H254,K16,G5:G254)</f>
        <v/>
      </c>
    </row>
    <row r="17">
      <c r="A17" s="17" t="n">
        <v>46296</v>
      </c>
      <c r="B17" s="18" t="inlineStr">
        <is>
          <t>Salário Wiliam</t>
        </is>
      </c>
      <c r="C17" s="18" t="n"/>
      <c r="D17" s="27" t="n"/>
      <c r="E17" s="18" t="n"/>
      <c r="F17" s="19" t="n"/>
      <c r="G17" s="19" t="n">
        <v>1571.32</v>
      </c>
      <c r="H17" s="21" t="inlineStr">
        <is>
          <t>Salários, Comissões e Encargos</t>
        </is>
      </c>
      <c r="I17" s="18" t="inlineStr">
        <is>
          <t>Salário mensal — competência setembro/2026. Pago em 01/10/2026.</t>
        </is>
      </c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>
        <v>46296</v>
      </c>
      <c r="B18" s="45" t="inlineStr">
        <is>
          <t>Conta de Água Adriano</t>
        </is>
      </c>
      <c r="C18" s="45" t="n"/>
      <c r="D18" s="46" t="n"/>
      <c r="E18" s="45" t="n"/>
      <c r="F18" s="47" t="n"/>
      <c r="G18" s="48" t="n">
        <v>91</v>
      </c>
      <c r="H18" s="49" t="inlineStr">
        <is>
          <t>Pro Labore Edilânia</t>
        </is>
      </c>
      <c r="I18" s="45" t="inlineStr">
        <is>
          <t>Embasa — conta pessoal do Adriano (não é da loja), ref. 10/2026, matrícula 0531718-70. Pago em 01/10/2026.</t>
        </is>
      </c>
      <c r="K18" s="86" t="inlineStr">
        <is>
          <t>Total</t>
        </is>
      </c>
      <c r="L18" s="87">
        <f>SUM(L5:L16)</f>
        <v/>
      </c>
    </row>
    <row r="19">
      <c r="A19" s="17" t="n">
        <v>46297</v>
      </c>
      <c r="B19" s="18" t="inlineStr">
        <is>
          <t>Armazém Paraíba</t>
        </is>
      </c>
      <c r="C19" s="18" t="inlineStr">
        <is>
          <t>Refil Carbon Tech 5"</t>
        </is>
      </c>
      <c r="D19" s="27" t="n">
        <v>60</v>
      </c>
      <c r="E19" s="18" t="inlineStr">
        <is>
          <t>Dinheiro</t>
        </is>
      </c>
      <c r="F19" s="19" t="n"/>
      <c r="G19" s="19" t="n"/>
      <c r="H19" s="21" t="n"/>
      <c r="I19" s="18" t="n"/>
      <c r="J19" s="18" t="inlineStr">
        <is>
          <t>EMP-0317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>
        <v>46297</v>
      </c>
      <c r="B20" s="45" t="inlineStr">
        <is>
          <t>Consumidor Final</t>
        </is>
      </c>
      <c r="C20" s="45" t="inlineStr">
        <is>
          <t>Refil C+3</t>
        </is>
      </c>
      <c r="D20" s="46" t="n">
        <v>100</v>
      </c>
      <c r="E20" s="45" t="inlineStr">
        <is>
          <t>Dinheiro</t>
        </is>
      </c>
      <c r="F20" s="47" t="n"/>
      <c r="G20" s="48" t="n"/>
      <c r="H20" s="49" t="n"/>
      <c r="I20" s="45" t="n"/>
    </row>
    <row r="21">
      <c r="A21" s="17" t="n">
        <v>46297</v>
      </c>
      <c r="B21" s="18" t="inlineStr">
        <is>
          <t>Joselita Pereira de Almeida</t>
        </is>
      </c>
      <c r="C21" s="18" t="inlineStr">
        <is>
          <t>Refil Pro Life + Pré Filtro</t>
        </is>
      </c>
      <c r="D21" s="27" t="n">
        <v>200</v>
      </c>
      <c r="E21" s="18" t="inlineStr">
        <is>
          <t>Dinheiro</t>
        </is>
      </c>
      <c r="F21" s="19" t="n"/>
      <c r="G21" s="19" t="n"/>
      <c r="H21" s="21" t="n"/>
      <c r="I21" s="18" t="n"/>
      <c r="J21" s="18" t="inlineStr">
        <is>
          <t>CLI-0019</t>
        </is>
      </c>
    </row>
    <row r="22">
      <c r="A22" s="44" t="n">
        <v>46297</v>
      </c>
      <c r="B22" s="45" t="inlineStr">
        <is>
          <t>Adryelle Lima Coelho - Nelia Marques</t>
        </is>
      </c>
      <c r="C22" s="45" t="inlineStr">
        <is>
          <t>Refil Pro Life</t>
        </is>
      </c>
      <c r="D22" s="46" t="n">
        <v>140</v>
      </c>
      <c r="E22" s="45" t="inlineStr">
        <is>
          <t>Crédito Parcelado</t>
        </is>
      </c>
      <c r="F22" s="47" t="n">
        <v>9.789999999999999</v>
      </c>
      <c r="G22" s="48" t="n"/>
      <c r="H22" s="49" t="n"/>
      <c r="I22" s="45" t="inlineStr">
        <is>
          <t>Crédito em 2x</t>
        </is>
      </c>
      <c r="J22" t="inlineStr">
        <is>
          <t>CLI-0290</t>
        </is>
      </c>
    </row>
    <row r="23">
      <c r="A23" s="17" t="n">
        <v>46297</v>
      </c>
      <c r="B23" s="18" t="inlineStr">
        <is>
          <t>Ana Paula Barbosa Rodrigues</t>
        </is>
      </c>
      <c r="C23" s="18" t="inlineStr">
        <is>
          <t>Refil Everest + Mangueira + Reinstalação</t>
        </is>
      </c>
      <c r="D23" s="27" t="n">
        <v>180</v>
      </c>
      <c r="E23" s="18" t="inlineStr">
        <is>
          <t>Débito</t>
        </is>
      </c>
      <c r="F23" s="19" t="n">
        <v>4.75</v>
      </c>
      <c r="G23" s="19" t="n"/>
      <c r="H23" s="21" t="n"/>
      <c r="I23" s="18" t="n"/>
      <c r="J23" s="18" t="inlineStr">
        <is>
          <t>CLI-0900</t>
        </is>
      </c>
    </row>
    <row r="24">
      <c r="A24" s="44" t="n">
        <v>46297</v>
      </c>
      <c r="B24" s="45" t="inlineStr">
        <is>
          <t>Consumidor Final</t>
        </is>
      </c>
      <c r="C24" s="45" t="inlineStr">
        <is>
          <t>Refil Everest + Mangueira</t>
        </is>
      </c>
      <c r="D24" s="46" t="n">
        <v>150</v>
      </c>
      <c r="E24" s="45" t="inlineStr">
        <is>
          <t>Débito</t>
        </is>
      </c>
      <c r="F24" s="47" t="n">
        <v>2.18</v>
      </c>
      <c r="G24" s="48" t="n"/>
      <c r="H24" s="49" t="n"/>
      <c r="I24" s="45" t="n"/>
    </row>
    <row r="25">
      <c r="A25" s="17" t="n">
        <v>46297</v>
      </c>
      <c r="B25" s="18" t="inlineStr">
        <is>
          <t>Valeriana Studio - Juscelia</t>
        </is>
      </c>
      <c r="C25" s="18" t="inlineStr">
        <is>
          <t>Refil Pro Life</t>
        </is>
      </c>
      <c r="D25" s="27" t="n">
        <v>140</v>
      </c>
      <c r="E25" s="18" t="inlineStr">
        <is>
          <t>Pix</t>
        </is>
      </c>
      <c r="F25" s="19" t="n"/>
      <c r="G25" s="19" t="n"/>
      <c r="H25" s="21" t="n"/>
      <c r="I25" s="18" t="n"/>
      <c r="J25" s="18" t="inlineStr">
        <is>
          <t>EMP-0318</t>
        </is>
      </c>
    </row>
    <row r="26">
      <c r="A26" s="44" t="n">
        <v>46297</v>
      </c>
      <c r="B26" s="45" t="inlineStr">
        <is>
          <t>Centro Medico da Chapada Diamantina LTDA</t>
        </is>
      </c>
      <c r="C26" s="45" t="inlineStr">
        <is>
          <t>Refil Pro Life + 2x Botão Completo</t>
        </is>
      </c>
      <c r="D26" s="46" t="n">
        <v>200</v>
      </c>
      <c r="E26" s="45" t="inlineStr">
        <is>
          <t>Aguardando Pagamento</t>
        </is>
      </c>
      <c r="F26" s="47" t="n"/>
      <c r="G26" s="48" t="n"/>
      <c r="H26" s="49" t="n"/>
      <c r="I26" s="45" t="inlineStr">
        <is>
          <t>1º Andar — troca do refil (R$ 140,00) + troca dos 2 botões do purificador (R$ 30,00 cada).</t>
        </is>
      </c>
      <c r="J26" t="inlineStr">
        <is>
          <t>EMP-0062</t>
        </is>
      </c>
    </row>
    <row r="27">
      <c r="A27" s="17" t="n">
        <v>46297</v>
      </c>
      <c r="B27" s="18" t="inlineStr">
        <is>
          <t>Combustível</t>
        </is>
      </c>
      <c r="C27" s="18" t="n"/>
      <c r="D27" s="27" t="n"/>
      <c r="E27" s="18" t="n"/>
      <c r="F27" s="19" t="n"/>
      <c r="G27" s="19" t="n">
        <v>20</v>
      </c>
      <c r="H27" s="21" t="inlineStr">
        <is>
          <t>Transporte e Entregas</t>
        </is>
      </c>
      <c r="I27" s="18" t="inlineStr">
        <is>
          <t>Etanol 4,39 L — Tropical Combustíveis e Lubrificantes, NFC-e nº 000004328 de 02/10/2026 14:41 (nota de R$ 19,97 + R$ 0,03 de acréscimo). Pago R$ 20,00 em dinheiro.</t>
        </is>
      </c>
      <c r="J27" s="18" t="n"/>
    </row>
    <row r="28">
      <c r="A28" s="44" t="n">
        <v>46297</v>
      </c>
      <c r="B28" s="45" t="inlineStr">
        <is>
          <t>Combustível</t>
        </is>
      </c>
      <c r="C28" s="45" t="n"/>
      <c r="D28" s="46" t="n"/>
      <c r="E28" s="45" t="n"/>
      <c r="F28" s="47" t="n"/>
      <c r="G28" s="48" t="n">
        <v>10</v>
      </c>
      <c r="H28" s="49" t="inlineStr">
        <is>
          <t>Transporte e Entregas</t>
        </is>
      </c>
      <c r="I28" s="45" t="inlineStr">
        <is>
          <t>Etanol — Posto da Praça (Lubrinessa XVI Comércio de Petróleo LTDA, CNPJ 29.922.765/0002-41, Rua Dois de Julho, 70, Centro, Jacobina). Segundo abastecimento do dia.</t>
        </is>
      </c>
    </row>
    <row r="29">
      <c r="A29" s="17" t="n">
        <v>46298</v>
      </c>
      <c r="B29" s="18" t="inlineStr">
        <is>
          <t>Comissão Wiliam</t>
        </is>
      </c>
      <c r="C29" s="18" t="n"/>
      <c r="D29" s="27" t="n"/>
      <c r="E29" s="18" t="n"/>
      <c r="F29" s="19" t="n"/>
      <c r="G29" s="19" t="n">
        <v>465</v>
      </c>
      <c r="H29" s="21" t="inlineStr">
        <is>
          <t>Salários, Comissões e Encargos</t>
        </is>
      </c>
      <c r="I29" s="18" t="inlineStr">
        <is>
          <t>Pagamento de comissão em 03/10/2026.</t>
        </is>
      </c>
      <c r="J29" s="18" t="n"/>
    </row>
    <row r="30">
      <c r="A30" s="44" t="n">
        <v>46300</v>
      </c>
      <c r="B30" s="45" t="inlineStr">
        <is>
          <t>Tarcisio Cardoso da Silva</t>
        </is>
      </c>
      <c r="C30" s="45" t="inlineStr">
        <is>
          <t>Refil Everest + Refil Multifilter + Refil Plissado + Carcaça 9"</t>
        </is>
      </c>
      <c r="D30" s="46" t="n">
        <v>430</v>
      </c>
      <c r="E30" s="45" t="inlineStr">
        <is>
          <t>Crédito Parcelado</t>
        </is>
      </c>
      <c r="F30" s="47" t="n">
        <v>30.06</v>
      </c>
      <c r="G30" s="48" t="n"/>
      <c r="H30" s="49" t="n"/>
      <c r="I30" s="45" t="inlineStr">
        <is>
          <t>Crédito em 3x</t>
        </is>
      </c>
      <c r="J30" t="inlineStr">
        <is>
          <t>CLI-0901</t>
        </is>
      </c>
    </row>
    <row r="31">
      <c r="A31" s="17" t="n">
        <v>46300</v>
      </c>
      <c r="B31" s="18" t="inlineStr">
        <is>
          <t>Consumidor Final</t>
        </is>
      </c>
      <c r="C31" s="18" t="inlineStr">
        <is>
          <t>Refil FP4</t>
        </is>
      </c>
      <c r="D31" s="27" t="n">
        <v>90</v>
      </c>
      <c r="E31" s="18" t="inlineStr">
        <is>
          <t>Crédito Parcelado</t>
        </is>
      </c>
      <c r="F31" s="19" t="n">
        <v>6.29</v>
      </c>
      <c r="G31" s="19" t="n"/>
      <c r="H31" s="21" t="n"/>
      <c r="I31" s="18" t="inlineStr">
        <is>
          <t>Crédito em 2x</t>
        </is>
      </c>
      <c r="J31" s="18" t="n"/>
    </row>
    <row r="32">
      <c r="A32" s="44" t="n">
        <v>46300</v>
      </c>
      <c r="B32" s="45" t="inlineStr">
        <is>
          <t>Consumidor Final</t>
        </is>
      </c>
      <c r="C32" s="45" t="inlineStr">
        <is>
          <t>Carcaça 9" + Refil Carbon Tech 9"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n"/>
    </row>
    <row r="33">
      <c r="A33" s="17" t="n">
        <v>46300</v>
      </c>
      <c r="B33" s="18" t="inlineStr">
        <is>
          <t>Vivencie Turismo Agencia de Viagens - Aneildes Rios</t>
        </is>
      </c>
      <c r="C33" s="18" t="inlineStr">
        <is>
          <t>Refil Everest</t>
        </is>
      </c>
      <c r="D33" s="27" t="n">
        <v>135</v>
      </c>
      <c r="E33" s="18" t="inlineStr">
        <is>
          <t>Pix</t>
        </is>
      </c>
      <c r="F33" s="19" t="n"/>
      <c r="G33" s="19" t="n"/>
      <c r="H33" s="21" t="n"/>
      <c r="I33" s="18" t="inlineStr">
        <is>
          <t>Venda de 29/09/2026 (troca na Vivencie Turismo, antes em Set 2026) — pagamento recebido via Pix em 05/10/2026. Pix único de R$ 270,00 da Aneilde em 05/10/2026 pagando as duas trocas (casa + Vivencie Turismo), com R$ 10,00 de desconto dividido entre as duas (R$ 135,00 cada).</t>
        </is>
      </c>
      <c r="J33" s="18" t="inlineStr">
        <is>
          <t>EMP-0032</t>
        </is>
      </c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COMBINADO",IF(TODAY()&gt;EOMONTH(DATE(2026,11,1),0),"ABAIXO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COMBINADO",IF(TODAY()&gt;EOMONTH(DATE(2026,12,1),0),"ABAIXO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2026-10-05T14:33:24Z</dcterms:modified>
  <cp:lastModifiedBy>Planeta</cp:lastModifiedBy>
  <cp:revision>1</cp:revision>
</cp:coreProperties>
</file>