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2026'!J10-B21</f>
        <v/>
      </c>
      <c r="C8" s="98">
        <f>'Fev 2026'!J10-C21</f>
        <v/>
      </c>
      <c r="D8" s="98">
        <f>'Mar 2026'!J10-D21</f>
        <v/>
      </c>
      <c r="E8" s="98">
        <f>'Abr 2026'!J10-E21</f>
        <v/>
      </c>
      <c r="F8" s="98">
        <f>'Mai 2026'!J10-F21</f>
        <v/>
      </c>
      <c r="G8" s="98">
        <f>'Jun 2026'!J10-G21</f>
        <v/>
      </c>
      <c r="H8" s="98">
        <f>'Jul 2026'!J10-H21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2026'!E5:E500,'Jan 2026'!B5:B500,"*omiss*",'Jan 2026'!F5:F500,"Salários, Comissões e Encargos")</f>
        <v/>
      </c>
      <c r="C9" s="98">
        <f>SUMIFS('Fev 2026'!E5:E500,'Fev 2026'!B5:B500,"*omiss*",'Fev 2026'!F5:F500,"Salários, Comissões e Encargos")</f>
        <v/>
      </c>
      <c r="D9" s="98">
        <f>SUMIFS('Mar 2026'!E5:E500,'Mar 2026'!B5:B500,"*omiss*",'Mar 2026'!F5:F500,"Salários, Comissões e Encargos")</f>
        <v/>
      </c>
      <c r="E9" s="98">
        <f>SUMIFS('Abr 2026'!E5:E500,'Abr 2026'!B5:B500,"*omiss*",'Abr 2026'!F5:F500,"Salários, Comissões e Encargos")</f>
        <v/>
      </c>
      <c r="F9" s="98">
        <f>SUMIFS('Mai 2026'!E5:E500,'Mai 2026'!B5:B500,"*omiss*",'Mai 2026'!F5:F500,"Salários, Comissões e Encargos")</f>
        <v/>
      </c>
      <c r="G9" s="98">
        <f>SUMIFS('Jun 2026'!E5:E500,'Jun 2026'!B5:B500,"*omiss*",'Jun 2026'!F5:F500,"Salários, Comissões e Encargos")</f>
        <v/>
      </c>
      <c r="H9" s="98">
        <f>SUMIFS('Jul 2026'!E5:E500,'Jul 2026'!B5:B500,"*omiss*",'Jul 2026'!F5:F500,"Salários,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2026'!J6</f>
        <v/>
      </c>
      <c r="C13" s="98">
        <f>'Fev 2026'!J6</f>
        <v/>
      </c>
      <c r="D13" s="98">
        <f>'Mar 2026'!J6</f>
        <v/>
      </c>
      <c r="E13" s="98">
        <f>'Abr 2026'!J6</f>
        <v/>
      </c>
      <c r="F13" s="98">
        <f>'Mai 2026'!J6</f>
        <v/>
      </c>
      <c r="G13" s="98">
        <f>'Jun 2026'!J6</f>
        <v/>
      </c>
      <c r="H13" s="98">
        <f>'Jul 2026'!J6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2026'!J7</f>
        <v/>
      </c>
      <c r="C14" s="98">
        <f>'Fev 2026'!J7</f>
        <v/>
      </c>
      <c r="D14" s="98">
        <f>'Mar 2026'!J7</f>
        <v/>
      </c>
      <c r="E14" s="98">
        <f>'Abr 2026'!J7</f>
        <v/>
      </c>
      <c r="F14" s="98">
        <f>'Mai 2026'!J7</f>
        <v/>
      </c>
      <c r="G14" s="98">
        <f>'Jun 2026'!J7</f>
        <v/>
      </c>
      <c r="H14" s="98">
        <f>'Jul 2026'!J7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2026'!J9</f>
        <v/>
      </c>
      <c r="C15" s="98">
        <f>'Fev 2026'!J9</f>
        <v/>
      </c>
      <c r="D15" s="98">
        <f>'Mar 2026'!J9</f>
        <v/>
      </c>
      <c r="E15" s="98">
        <f>'Abr 2026'!J9</f>
        <v/>
      </c>
      <c r="F15" s="98">
        <f>'Mai 2026'!J9</f>
        <v/>
      </c>
      <c r="G15" s="98">
        <f>'Jun 2026'!J9</f>
        <v/>
      </c>
      <c r="H15" s="98">
        <f>'Jul 2026'!J9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2026'!J11-B9</f>
        <v/>
      </c>
      <c r="C16" s="98">
        <f>'Fev 2026'!J11-C9</f>
        <v/>
      </c>
      <c r="D16" s="98">
        <f>'Mar 2026'!J11-D9</f>
        <v/>
      </c>
      <c r="E16" s="98">
        <f>'Abr 2026'!J11-E9</f>
        <v/>
      </c>
      <c r="F16" s="98">
        <f>'Mai 2026'!J11-F9</f>
        <v/>
      </c>
      <c r="G16" s="98">
        <f>'Jun 2026'!J11-G9</f>
        <v/>
      </c>
      <c r="H16" s="98">
        <f>'Jul 2026'!J11-H9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2026'!J12</f>
        <v/>
      </c>
      <c r="C17" s="98">
        <f>'Fev 2026'!J12</f>
        <v/>
      </c>
      <c r="D17" s="98">
        <f>'Mar 2026'!J12</f>
        <v/>
      </c>
      <c r="E17" s="98">
        <f>'Abr 2026'!J12</f>
        <v/>
      </c>
      <c r="F17" s="98">
        <f>'Mai 2026'!J12</f>
        <v/>
      </c>
      <c r="G17" s="98">
        <f>'Jun 2026'!J12</f>
        <v/>
      </c>
      <c r="H17" s="98">
        <f>'Jul 2026'!J12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2026'!J13</f>
        <v/>
      </c>
      <c r="C18" s="98">
        <f>'Fev 2026'!J13</f>
        <v/>
      </c>
      <c r="D18" s="98">
        <f>'Mar 2026'!J13</f>
        <v/>
      </c>
      <c r="E18" s="98">
        <f>'Abr 2026'!J13</f>
        <v/>
      </c>
      <c r="F18" s="98">
        <f>'Mai 2026'!J13</f>
        <v/>
      </c>
      <c r="G18" s="98">
        <f>'Jun 2026'!J13</f>
        <v/>
      </c>
      <c r="H18" s="98">
        <f>'Jul 2026'!J13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2026'!J14</f>
        <v/>
      </c>
      <c r="C19" s="98">
        <f>'Fev 2026'!J14</f>
        <v/>
      </c>
      <c r="D19" s="98">
        <f>'Mar 2026'!J14</f>
        <v/>
      </c>
      <c r="E19" s="98">
        <f>'Abr 2026'!J14</f>
        <v/>
      </c>
      <c r="F19" s="98">
        <f>'Mai 2026'!J14</f>
        <v/>
      </c>
      <c r="G19" s="98">
        <f>'Jun 2026'!J14</f>
        <v/>
      </c>
      <c r="H19" s="98">
        <f>'Jul 2026'!J14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2026'!J15</f>
        <v/>
      </c>
      <c r="C20" s="98">
        <f>'Fev 2026'!J15</f>
        <v/>
      </c>
      <c r="D20" s="98">
        <f>'Mar 2026'!J15</f>
        <v/>
      </c>
      <c r="E20" s="98">
        <f>'Abr 2026'!J15</f>
        <v/>
      </c>
      <c r="F20" s="98">
        <f>'Mai 2026'!J15</f>
        <v/>
      </c>
      <c r="G20" s="98">
        <f>'Jun 2026'!J15</f>
        <v/>
      </c>
      <c r="H20" s="98">
        <f>'Jul 2026'!J15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2026'!E5:E500)</f>
        <v/>
      </c>
      <c r="C21" s="98">
        <f>SUMIF('Fev 2026'!B5:B500,"Estacionamento*",'Fev 2026'!E5:E500)</f>
        <v/>
      </c>
      <c r="D21" s="98">
        <f>SUMIF('Mar 2026'!B5:B500,"Estacionamento*",'Mar 2026'!E5:E500)</f>
        <v/>
      </c>
      <c r="E21" s="98">
        <f>SUMIF('Abr 2026'!B5:B500,"Estacionamento*",'Abr 2026'!E5:E500)</f>
        <v/>
      </c>
      <c r="F21" s="98">
        <f>SUMIF('Mai 2026'!B5:B500,"Estacionamento*",'Mai 2026'!E5:E500)</f>
        <v/>
      </c>
      <c r="G21" s="98">
        <f>SUMIF('Jun 2026'!B5:B500,"Estacionamento*",'Jun 2026'!E5:E500)</f>
        <v/>
      </c>
      <c r="H21" s="98">
        <f>SUMIF('Jul 2026'!B5:B500,"Estacionamento*",'Jul 2026'!E5:E500)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2026'!J16</f>
        <v/>
      </c>
      <c r="C22" s="98">
        <f>'Fev 2026'!J16</f>
        <v/>
      </c>
      <c r="D22" s="98">
        <f>'Mar 2026'!J16</f>
        <v/>
      </c>
      <c r="E22" s="98">
        <f>'Abr 2026'!J16</f>
        <v/>
      </c>
      <c r="F22" s="98">
        <f>'Mai 2026'!J16</f>
        <v/>
      </c>
      <c r="G22" s="98">
        <f>'Jun 2026'!J16</f>
        <v/>
      </c>
      <c r="H22" s="98">
        <f>'Jul 2026'!J16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D77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>
      <c r="A76" s="144" t="inlineStr">
        <is>
          <t>PREVISTO — compromisso certo que ainda não está documentado</t>
        </is>
      </c>
      <c r="B76" s="144" t="n"/>
      <c r="C76" s="145" t="n"/>
      <c r="D76" s="146">
        <f>SUMIF(E11:E74,"Previsto",D11:D74)</f>
        <v/>
      </c>
      <c r="E76" s="142" t="n"/>
      <c r="F76" s="142" t="n"/>
      <c r="G76" s="144" t="n"/>
    </row>
    <row r="77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9" ht="15.75" customHeight="1" s="157"/>
    <row r="80" ht="15.75" customHeight="1" s="157">
      <c r="A80" s="200" t="inlineStr">
        <is>
          <t>CONTAS A RECEBER  —  vendas feitas e ainda não pagas</t>
        </is>
      </c>
    </row>
    <row r="81">
      <c r="A81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>
      <c r="A123" s="78" t="inlineStr">
        <is>
          <t>Tatiana Rocha</t>
        </is>
      </c>
      <c r="B123" s="78" t="inlineStr">
        <is>
          <t>Refil Everest</t>
        </is>
      </c>
      <c r="C123" s="77" t="n">
        <v>46286</v>
      </c>
      <c r="D123" s="79" t="n">
        <v>140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21/09/2026.</t>
        </is>
      </c>
    </row>
    <row r="124">
      <c r="A124" s="78" t="inlineStr">
        <is>
          <t>Cleone Gomes de Andrade</t>
        </is>
      </c>
      <c r="B124" s="78" t="inlineStr">
        <is>
          <t>Refil Everest</t>
        </is>
      </c>
      <c r="C124" s="77" t="n">
        <v>46286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21/09/2026. Recebido via Pix em 21/09/2026.</t>
        </is>
      </c>
    </row>
    <row r="125">
      <c r="A125" s="86" t="inlineStr">
        <is>
          <t>TOTAL EM ABERTO A RECEBER (detalhe)</t>
        </is>
      </c>
      <c r="D125" s="115">
        <f>SUMIF(E83:E124,"Pendente",D83:D124)</f>
        <v/>
      </c>
    </row>
    <row r="126">
      <c r="A126" s="202" t="inlineStr">
        <is>
          <t>CONFERÊNCIA COM AS ABAS DOS MESES</t>
        </is>
      </c>
      <c r="B126" s="159" t="n"/>
      <c r="C126" s="159" t="n"/>
      <c r="D126" s="159" t="n"/>
      <c r="E126" s="159" t="n"/>
      <c r="F126" s="159" t="n"/>
      <c r="G126" s="160" t="n"/>
    </row>
    <row r="127">
      <c r="A127" s="203">
        <f>IF(ROUND(D125-C5,2)=0,"OK — o detalhe acima bate com as vendas marcadas como Aguardando Pagamento nas abas dos meses.","ATENÇÃO: diferença de R$ "&amp;TEXT(ABS(D125-C5),"#,##0.00")&amp;" entre este detalhe e as abas dos meses — alguma venda mudou de status em um lado só.")</f>
        <v/>
      </c>
    </row>
    <row r="128">
      <c r="A12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80:G80"/>
    <mergeCell ref="A1:G1"/>
    <mergeCell ref="A127:G127"/>
    <mergeCell ref="A126:G126"/>
    <mergeCell ref="A9:G9"/>
    <mergeCell ref="C5:D6"/>
    <mergeCell ref="A5:B6"/>
    <mergeCell ref="A2:G2"/>
    <mergeCell ref="E5:F6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46286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Aguardando Pagamento</t>
        </is>
      </c>
      <c r="F162" s="83" t="n"/>
      <c r="G162" s="83" t="n"/>
      <c r="H162" s="82" t="n"/>
      <c r="I162" s="82" t="n"/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Nordeste.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Nordeste.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2026-09-23T18:46:34Z</dcterms:modified>
  <cp:lastModifiedBy>Planeta</cp:lastModifiedBy>
  <cp:revision>1</cp:revision>
</cp:coreProperties>
</file>