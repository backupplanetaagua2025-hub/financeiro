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81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D102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Pago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Pago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6" t="inlineStr">
        <is>
          <t>TOTAL A PAGAR — COM BOLETO EM MÃOS</t>
        </is>
      </c>
      <c r="B100" s="86" t="n"/>
      <c r="C100" s="114" t="n"/>
      <c r="D100" s="115">
        <f>SUMIF(E11:E99,"Pendente",D11:D99)</f>
        <v/>
      </c>
      <c r="E100" s="116" t="n"/>
      <c r="F100" s="116" t="n"/>
      <c r="G100" s="86" t="n"/>
    </row>
    <row r="101" s="157">
      <c r="A101" s="144" t="inlineStr">
        <is>
          <t>PREVISTO — compromisso certo que ainda não está documentado</t>
        </is>
      </c>
      <c r="B101" s="144" t="n"/>
      <c r="C101" s="145" t="n"/>
      <c r="D101" s="146">
        <f>SUMIF(E11:E99,"Previsto",D11:D99)</f>
        <v/>
      </c>
      <c r="E101" s="142" t="n"/>
      <c r="F101" s="142" t="n"/>
      <c r="G101" s="144" t="n"/>
    </row>
    <row r="102" s="157">
      <c r="A102" s="86" t="inlineStr">
        <is>
          <t>TOTAL GERAL A PAGAR (boletos + previsão)</t>
        </is>
      </c>
      <c r="B102" s="86" t="n"/>
      <c r="C102" s="114" t="n"/>
      <c r="D102" s="115">
        <f>D100+D101</f>
        <v/>
      </c>
      <c r="E102" s="116" t="n"/>
      <c r="F102" s="116" t="n"/>
      <c r="G102" s="86" t="n"/>
    </row>
    <row r="103" ht="15.75" customHeight="1" s="157"/>
    <row r="104" ht="15.75" customHeight="1" s="157">
      <c r="A104" s="200" t="inlineStr">
        <is>
          <t>CONTAS A RECEBER  —  vendas feitas e ainda não pagas</t>
        </is>
      </c>
    </row>
    <row r="105" s="157">
      <c r="A105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6" s="157">
      <c r="A106" s="111" t="inlineStr">
        <is>
          <t>Cliente</t>
        </is>
      </c>
      <c r="B106" s="111" t="inlineStr">
        <is>
          <t>Produto / Referência</t>
        </is>
      </c>
      <c r="C106" s="111" t="inlineStr">
        <is>
          <t>Data da Venda</t>
        </is>
      </c>
      <c r="D106" s="111" t="inlineStr">
        <is>
          <t>Valor (R$)</t>
        </is>
      </c>
      <c r="E106" s="111" t="inlineStr">
        <is>
          <t>Status</t>
        </is>
      </c>
      <c r="F106" s="111" t="inlineStr">
        <is>
          <t>Dias em Atraso</t>
        </is>
      </c>
      <c r="G106" s="111" t="inlineStr">
        <is>
          <t>Observações</t>
        </is>
      </c>
    </row>
    <row r="107" s="157">
      <c r="A107" s="78" t="inlineStr">
        <is>
          <t>Centro de Especialidades Odontomédicas</t>
        </is>
      </c>
      <c r="B107" s="78" t="inlineStr">
        <is>
          <t>Refil Everest</t>
        </is>
      </c>
      <c r="C107" s="77" t="n">
        <v>46239</v>
      </c>
      <c r="D107" s="79" t="n">
        <v>140</v>
      </c>
      <c r="E107" s="112" t="inlineStr">
        <is>
          <t>Pendente</t>
        </is>
      </c>
      <c r="F107" s="112">
        <f>IF(OR($E107="Recebido",$C107=""),"",MAX(0,TODAY()-$C107))</f>
        <v/>
      </c>
      <c r="G107" s="78" t="n"/>
    </row>
    <row r="108" s="157">
      <c r="A108" s="82" t="inlineStr">
        <is>
          <t>Supermercado Brasil</t>
        </is>
      </c>
      <c r="B108" s="82" t="inlineStr">
        <is>
          <t>2x Refil Pro Life</t>
        </is>
      </c>
      <c r="C108" s="81" t="n">
        <v>46239</v>
      </c>
      <c r="D108" s="83" t="n">
        <v>280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22/10/2026 — lançado em "Out 2026".</t>
        </is>
      </c>
    </row>
    <row r="109" s="157">
      <c r="A109" s="78" t="inlineStr">
        <is>
          <t>Tropical Motos LTDA</t>
        </is>
      </c>
      <c r="B109" s="78" t="inlineStr">
        <is>
          <t>3x Refil Everest + Refil Pro Life + 3x Pré Filtro + Válvula Reguladora de Pressão</t>
        </is>
      </c>
      <c r="C109" s="77" t="n">
        <v>46245</v>
      </c>
      <c r="D109" s="79" t="n">
        <v>820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TED em 25/08/2026. NF conferida: valor correto é R$820 (faltava a válvula no lançamento original de R$740).</t>
        </is>
      </c>
    </row>
    <row r="110" s="157">
      <c r="A110" s="82" t="inlineStr">
        <is>
          <t>Free Way</t>
        </is>
      </c>
      <c r="B110" s="82" t="inlineStr">
        <is>
          <t>5x Refil Everest</t>
        </is>
      </c>
      <c r="C110" s="81" t="n">
        <v>46251</v>
      </c>
      <c r="D110" s="83" t="n">
        <v>700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TED em 02/09/2026.</t>
        </is>
      </c>
    </row>
    <row r="111" s="157">
      <c r="A111" s="78" t="inlineStr">
        <is>
          <t>Neli Sena Rego</t>
        </is>
      </c>
      <c r="B111" s="78" t="inlineStr">
        <is>
          <t>Refil Pro Life</t>
        </is>
      </c>
      <c r="C111" s="77" t="n">
        <v>46254</v>
      </c>
      <c r="D111" s="79" t="n">
        <v>140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Recebido em dinheiro em 01/09/2026 (R$ 170,00 pelas duas vendas)</t>
        </is>
      </c>
    </row>
    <row r="112" s="157">
      <c r="A112" s="82" t="inlineStr">
        <is>
          <t>Neli Sena Rego</t>
        </is>
      </c>
      <c r="B112" s="82" t="inlineStr">
        <is>
          <t>Conexão + Mangueira</t>
        </is>
      </c>
      <c r="C112" s="81" t="n">
        <v>46255</v>
      </c>
      <c r="D112" s="83" t="n">
        <v>40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Recebido em dinheiro em 01/09/2026 (R$ 170,00 pelas duas vendas)</t>
        </is>
      </c>
    </row>
    <row r="113" s="157">
      <c r="A113" s="78" t="inlineStr">
        <is>
          <t>Lapec</t>
        </is>
      </c>
      <c r="B113" s="78" t="inlineStr">
        <is>
          <t>4x Refil Everest</t>
        </is>
      </c>
      <c r="C113" s="77" t="n">
        <v>46258</v>
      </c>
      <c r="D113" s="79" t="n">
        <v>480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em dinheiro em 08/09/2026 — lançado em "Set 2026".</t>
        </is>
      </c>
    </row>
    <row r="114" s="157">
      <c r="A114" s="82" t="inlineStr">
        <is>
          <t>Cícero Lima</t>
        </is>
      </c>
      <c r="B114" s="82" t="inlineStr">
        <is>
          <t>Refil Everest</t>
        </is>
      </c>
      <c r="C114" s="81" t="n">
        <v>46261</v>
      </c>
      <c r="D114" s="83" t="n">
        <v>140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Recebido via Pix em 27/08/2026</t>
        </is>
      </c>
    </row>
    <row r="115" s="157">
      <c r="A115" s="78" t="inlineStr">
        <is>
          <t>Promotoria Regional de Jacobina</t>
        </is>
      </c>
      <c r="B115" s="78" t="inlineStr">
        <is>
          <t>2x Carcaça 9" + 2x Refil Plissado 9" + Conexão Reta Rosca</t>
        </is>
      </c>
      <c r="C115" s="77" t="n">
        <v>46261</v>
      </c>
      <c r="D115" s="79" t="n">
        <v>470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Pago em 28/08/2026 em duas formas: R$ 270,00 Pix + R$ 200,00 crédito 2x</t>
        </is>
      </c>
    </row>
    <row r="116" s="157">
      <c r="A116" s="82" t="inlineStr">
        <is>
          <t>Lucas Souza</t>
        </is>
      </c>
      <c r="B116" s="82" t="inlineStr">
        <is>
          <t>Refil Everest + Pré Filtro</t>
        </is>
      </c>
      <c r="C116" s="81" t="n">
        <v>46261</v>
      </c>
      <c r="D116" s="83" t="n">
        <v>200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Recebido em dinheiro em 03/09/2026 — lançado em "Set 2026".</t>
        </is>
      </c>
    </row>
    <row r="117" s="157">
      <c r="A117" s="78" t="inlineStr">
        <is>
          <t>FG Boa Vista (Recife/PE)</t>
        </is>
      </c>
      <c r="B117" s="78" t="inlineStr">
        <is>
          <t>Refis — troca de julho/2026</t>
        </is>
      </c>
      <c r="C117" s="77" t="n">
        <v>46261</v>
      </c>
      <c r="D117" s="79" t="n">
        <v>1008.8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000.004.280 · recebido em 30/08/2026 (Nota Paga no portal V360)</t>
        </is>
      </c>
    </row>
    <row r="118" s="157">
      <c r="A118" s="82" t="inlineStr">
        <is>
          <t>UNIFG Guanambi (Guanambi/BA)</t>
        </is>
      </c>
      <c r="B118" s="82" t="inlineStr">
        <is>
          <t>Refis — troca de julho/2026</t>
        </is>
      </c>
      <c r="C118" s="81" t="n">
        <v>46261</v>
      </c>
      <c r="D118" s="83" t="n">
        <v>4534.75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000.004.281 · recebido em 30/08/2026 (Nota Paga no portal V360)</t>
        </is>
      </c>
    </row>
    <row r="119" s="157">
      <c r="A119" s="78" t="inlineStr">
        <is>
          <t>UNP Zona Norte (Natal/RN)</t>
        </is>
      </c>
      <c r="B119" s="78" t="inlineStr">
        <is>
          <t>Refis — troca de julho/2026</t>
        </is>
      </c>
      <c r="C119" s="77" t="n">
        <v>46261</v>
      </c>
      <c r="D119" s="79" t="n">
        <v>870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Grupo Ânima — NF 000.004.282 · recebido em 30/08/2026 (Nota Paga no portal V360)</t>
        </is>
      </c>
    </row>
    <row r="120" s="157">
      <c r="A120" s="82" t="inlineStr">
        <is>
          <t>UNP Caicó (Caicó/RN)</t>
        </is>
      </c>
      <c r="B120" s="82" t="inlineStr">
        <is>
          <t>Refis — troca de julho/2026</t>
        </is>
      </c>
      <c r="C120" s="81" t="n">
        <v>46261</v>
      </c>
      <c r="D120" s="83" t="n">
        <v>440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Grupo Ânima — NF 000.004.283 · recebido via Pix em 27/08/2026</t>
        </is>
      </c>
    </row>
    <row r="121" s="157">
      <c r="A121" s="78" t="inlineStr">
        <is>
          <t>AGES Irecê (Irecê/BA)</t>
        </is>
      </c>
      <c r="B121" s="78" t="inlineStr">
        <is>
          <t>Refis — troca de julho/2026</t>
        </is>
      </c>
      <c r="C121" s="77" t="n">
        <v>46269</v>
      </c>
      <c r="D121" s="79" t="n">
        <v>1338.6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Grupo Ânima — NF 000.004.294 · recebido via Pix em 04/09/2026.</t>
        </is>
      </c>
    </row>
    <row r="122" s="157">
      <c r="A122" s="82" t="inlineStr">
        <is>
          <t>CIS Irecê (Irecê/BA)</t>
        </is>
      </c>
      <c r="B122" s="82" t="inlineStr">
        <is>
          <t>Refis — troca de julho/2026</t>
        </is>
      </c>
      <c r="C122" s="81" t="n">
        <v>46269</v>
      </c>
      <c r="D122" s="83" t="n">
        <v>1358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Grupo Ânima — NF 000.004.295 · recebido via Pix em 04/09/2026.</t>
        </is>
      </c>
    </row>
    <row r="123" s="157">
      <c r="A123" s="78" t="inlineStr">
        <is>
          <t>AGES Senhor do Bonfim (S. do Bonfim/BA)</t>
        </is>
      </c>
      <c r="B123" s="78" t="inlineStr">
        <is>
          <t>Refis — troca de julho/2026</t>
        </is>
      </c>
      <c r="C123" s="77" t="n">
        <v>46270</v>
      </c>
      <c r="D123" s="79" t="n">
        <v>649.9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Grupo Ânima — NF 000.004.298 · recebido via Pix em 08/09/2026.</t>
        </is>
      </c>
    </row>
    <row r="124" s="157">
      <c r="A124" s="82" t="inlineStr">
        <is>
          <t>CIS Senhor do Bonfim (S. do Bonfim/BA)</t>
        </is>
      </c>
      <c r="B124" s="82" t="inlineStr">
        <is>
          <t>Refis — troca de julho/2026</t>
        </is>
      </c>
      <c r="C124" s="81" t="n">
        <v>46270</v>
      </c>
      <c r="D124" s="83" t="n">
        <v>562.6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Grupo Ânima — NF 000.004.299 · recebido via Pix em 08/09/2026.</t>
        </is>
      </c>
    </row>
    <row r="125" s="157">
      <c r="A125" s="78" t="inlineStr">
        <is>
          <t>AGES Paripiranga (Paripiranga/BA)</t>
        </is>
      </c>
      <c r="B125" s="78" t="inlineStr">
        <is>
          <t>Refis — troca de julho/2026</t>
        </is>
      </c>
      <c r="C125" s="77" t="n">
        <v>46270</v>
      </c>
      <c r="D125" s="79" t="n">
        <v>1086.4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Grupo Ânima — NF 000.004.300 · recebido via Pix em 08/09/2026.</t>
        </is>
      </c>
    </row>
    <row r="126" s="157">
      <c r="A126" s="82" t="inlineStr">
        <is>
          <t>Clínica Veterinária Paripiranga (Paripiranga/BA)</t>
        </is>
      </c>
      <c r="B126" s="82" t="inlineStr">
        <is>
          <t>Refis — troca de julho/2026</t>
        </is>
      </c>
      <c r="C126" s="81" t="n">
        <v>46270</v>
      </c>
      <c r="D126" s="83" t="n">
        <v>1265.85</v>
      </c>
      <c r="E126" s="113" t="inlineStr">
        <is>
          <t>Recebido</t>
        </is>
      </c>
      <c r="F126" s="113">
        <f>IF(OR($E126="Recebido",$C126=""),"",MAX(0,TODAY()-$C126))</f>
        <v/>
      </c>
      <c r="G126" s="82" t="inlineStr">
        <is>
          <t>Grupo Ânima — NF 000.004.301 · recebido via Pix em 08/09/2026.</t>
        </is>
      </c>
    </row>
    <row r="127" s="157">
      <c r="A127" s="78" t="inlineStr">
        <is>
          <t>UNP Mossoró (Mossoró/RN)</t>
        </is>
      </c>
      <c r="B127" s="78" t="inlineStr">
        <is>
          <t>Refis — troca de julho/2026</t>
        </is>
      </c>
      <c r="C127" s="77" t="n">
        <v>46270</v>
      </c>
      <c r="D127" s="79" t="n">
        <v>1867.25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Grupo Ânima — NF 000.004.302 · recebido via Pix em 08/09/2026.</t>
        </is>
      </c>
    </row>
    <row r="128" s="157">
      <c r="A128" s="82" t="inlineStr">
        <is>
          <t>CIS Jacobina (Jacobina/BA)</t>
        </is>
      </c>
      <c r="B128" s="82" t="inlineStr">
        <is>
          <t>Refis — troca de julho/2026</t>
        </is>
      </c>
      <c r="C128" s="81" t="n">
        <v>46290</v>
      </c>
      <c r="D128" s="83" t="n">
        <v>2095.2</v>
      </c>
      <c r="E128" s="113" t="inlineStr">
        <is>
          <t>Recebido</t>
        </is>
      </c>
      <c r="F128" s="113">
        <f>IF(OR($E128="Recebido",$C128=""),"",MAX(0,TODAY()-$C128))</f>
        <v/>
      </c>
      <c r="G128" s="82" t="inlineStr">
        <is>
          <t>Grupo Ânima — NF 000.004.333 de 26/08/2026 · OC AEMPPO00004452 · 30 dias · recebido via Pix em 25/09/2026 (Nota Paga no portal V360).</t>
        </is>
      </c>
    </row>
    <row r="129" s="157">
      <c r="A129" s="78" t="inlineStr">
        <is>
          <t>AGES Jacobina (Jacobina/BA)</t>
        </is>
      </c>
      <c r="B129" s="78" t="inlineStr">
        <is>
          <t>Refis — troca de julho/2026</t>
        </is>
      </c>
      <c r="C129" s="77" t="n">
        <v>46305</v>
      </c>
      <c r="D129" s="79" t="n">
        <v>1188.25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Grupo Ânima — NF 000.004.332 de 26/08/2026 · OC AEMPPO00004453 · 45 dias · Recebido em 13/10/2026 no BNB (Nota Paga no portal V360).</t>
        </is>
      </c>
    </row>
    <row r="130" s="157">
      <c r="A130" s="82" t="inlineStr">
        <is>
          <t>Instituto Paulo Leão</t>
        </is>
      </c>
      <c r="B130" s="82" t="inlineStr">
        <is>
          <t>Refil E3 + Pré Filtro</t>
        </is>
      </c>
      <c r="C130" s="81" t="n">
        <v>46265</v>
      </c>
      <c r="D130" s="83" t="n">
        <v>160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Recebido via Pix em 08/09/2026 — lançado em "Set 2026".</t>
        </is>
      </c>
    </row>
    <row r="131" s="157">
      <c r="A131" s="78" t="inlineStr">
        <is>
          <t>Eletronic Segurança Eletronica</t>
        </is>
      </c>
      <c r="B131" s="78" t="inlineStr">
        <is>
          <t>Pré Filtro</t>
        </is>
      </c>
      <c r="C131" s="77" t="n">
        <v>46265</v>
      </c>
      <c r="D131" s="79" t="n">
        <v>60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03/09/2026.</t>
        </is>
      </c>
    </row>
    <row r="132" s="157">
      <c r="A132" s="82" t="inlineStr">
        <is>
          <t>Clube dos Mineiros</t>
        </is>
      </c>
      <c r="B132" s="82" t="inlineStr">
        <is>
          <t>Refil Pro Life</t>
        </is>
      </c>
      <c r="C132" s="81" t="n">
        <v>46265</v>
      </c>
      <c r="D132" s="83" t="n">
        <v>150</v>
      </c>
      <c r="E132" s="113" t="inlineStr">
        <is>
          <t>Recebido</t>
        </is>
      </c>
      <c r="F132" s="113">
        <f>IF(OR($E132="Recebido",$C132=""),"",MAX(0,TODAY()-$C132))</f>
        <v/>
      </c>
      <c r="G132" s="82" t="inlineStr">
        <is>
          <t>Recebido via Pix em 01/09/2026 (pagador: Sindicato dos Mineiros de Jacobina).</t>
        </is>
      </c>
    </row>
    <row r="133" s="157">
      <c r="A133" s="78" t="inlineStr">
        <is>
          <t>Armazem Cecilio Mota</t>
        </is>
      </c>
      <c r="B133" s="78" t="inlineStr">
        <is>
          <t>Refil Everest + Refil Carbon 9"</t>
        </is>
      </c>
      <c r="C133" s="77" t="n">
        <v>46266</v>
      </c>
      <c r="D133" s="79" t="n">
        <v>225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82" t="inlineStr">
        <is>
          <t>Clebson Dantas Da Silva</t>
        </is>
      </c>
      <c r="B134" s="82" t="inlineStr">
        <is>
          <t>Refil Everest</t>
        </is>
      </c>
      <c r="C134" s="81" t="n">
        <v>46266</v>
      </c>
      <c r="D134" s="83" t="n">
        <v>140</v>
      </c>
      <c r="E134" s="113" t="inlineStr">
        <is>
          <t>Recebido</t>
        </is>
      </c>
      <c r="F134" s="113">
        <f>IF(OR($E134="Recebido",$C134=""),"",MAX(0,TODAY()-$C134))</f>
        <v/>
      </c>
      <c r="G134" s="82" t="inlineStr">
        <is>
          <t>Recebido via Pix em 02/09/2026</t>
        </is>
      </c>
    </row>
    <row r="135" s="157">
      <c r="A135" s="82" t="inlineStr">
        <is>
          <t>Tesla Imagem Medicina Diagnostica Ltda</t>
        </is>
      </c>
      <c r="B135" s="82" t="inlineStr">
        <is>
          <t>3x Refil Everest + 2x Pré Filtro</t>
        </is>
      </c>
      <c r="C135" s="81" t="n">
        <v>46267</v>
      </c>
      <c r="D135" s="83" t="n">
        <v>540</v>
      </c>
      <c r="E135" s="113" t="inlineStr">
        <is>
          <t>Recebido</t>
        </is>
      </c>
      <c r="F135" s="113">
        <f>IF(OR($E135="Recebido",$C135=""),"",MAX(0,TODAY()-$C135))</f>
        <v/>
      </c>
      <c r="G135" s="82" t="inlineStr">
        <is>
          <t>Troca do dia 02/09/2026 — 1º Andar, Térreo e Copa. Recebido via Pix em 08/09/2026 — lançado em "Set 2026".</t>
        </is>
      </c>
    </row>
    <row r="136" s="157">
      <c r="A136" s="78" t="inlineStr">
        <is>
          <t>Cecilio Mota Junior</t>
        </is>
      </c>
      <c r="B136" s="78" t="inlineStr">
        <is>
          <t>Refil Everest</t>
        </is>
      </c>
      <c r="C136" s="77" t="n">
        <v>46267</v>
      </c>
      <c r="D136" s="79" t="n">
        <v>140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10/09/2026 — lançado em "Set 2026".</t>
        </is>
      </c>
    </row>
    <row r="137" s="157">
      <c r="A137" s="78" t="inlineStr">
        <is>
          <t>Tereza Cristina Aquino Martins - Luiz Augusto</t>
        </is>
      </c>
      <c r="B137" s="78" t="inlineStr">
        <is>
          <t>Refil Everest + Pré Filtro</t>
        </is>
      </c>
      <c r="C137" s="77" t="n">
        <v>46268</v>
      </c>
      <c r="D137" s="79" t="n">
        <v>200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Recebido via Pix em 04/09/2026.</t>
        </is>
      </c>
    </row>
    <row r="138" s="157">
      <c r="A138" s="78" t="inlineStr">
        <is>
          <t>Samille Fiscina Lima Lordello - Tiago (Cartório)</t>
        </is>
      </c>
      <c r="B138" s="78" t="inlineStr">
        <is>
          <t>Refil Pro Life</t>
        </is>
      </c>
      <c r="C138" s="77" t="n">
        <v>46269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via Pix em 10/09/2026 — lançado em "Set 2026".</t>
        </is>
      </c>
    </row>
    <row r="139" s="157">
      <c r="A139" s="78" t="inlineStr">
        <is>
          <t>Bomboniere Doce Mania - Veronildo Basilio</t>
        </is>
      </c>
      <c r="B139" s="78" t="inlineStr">
        <is>
          <t>Refil Plissado + Refil BAG</t>
        </is>
      </c>
      <c r="C139" s="77" t="n">
        <v>46274</v>
      </c>
      <c r="D139" s="79" t="n">
        <v>150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Recebido em dinheiro em 16/09/2026 — lançado em "Set 2026".</t>
        </is>
      </c>
    </row>
    <row r="140" s="157">
      <c r="A140" s="78" t="inlineStr">
        <is>
          <t>Adriadne (Hotel Jovem Jota)</t>
        </is>
      </c>
      <c r="B140" s="78" t="inlineStr">
        <is>
          <t>Refil Everest</t>
        </is>
      </c>
      <c r="C140" s="77" t="n">
        <v>46275</v>
      </c>
      <c r="D140" s="79" t="n">
        <v>140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11/09/2026 — lançado em "Set 2026".</t>
        </is>
      </c>
    </row>
    <row r="141" s="157">
      <c r="A141" s="78" t="inlineStr">
        <is>
          <t>Pousada Triunfo Ltda (Hotel Triunfo)</t>
        </is>
      </c>
      <c r="B141" s="78" t="inlineStr">
        <is>
          <t>Refil Everest + Pré Filtro</t>
        </is>
      </c>
      <c r="C141" s="77" t="n">
        <v>46275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11/09/2026 — lançado em "Set 2026".</t>
        </is>
      </c>
    </row>
    <row r="142" s="157">
      <c r="A142" s="78" t="inlineStr">
        <is>
          <t>Topvel Tropical Veiculos e Pecas</t>
        </is>
      </c>
      <c r="B142" s="78" t="inlineStr">
        <is>
          <t>2x Refil Everest + 2x Pré Filtro</t>
        </is>
      </c>
      <c r="C142" s="77" t="n">
        <v>46276</v>
      </c>
      <c r="D142" s="79" t="n">
        <v>370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11/09/2026 — dois purificadores. Recebido via TED no BNB em 05/10/2026 — lançado em "Out 2026".</t>
        </is>
      </c>
    </row>
    <row r="143" s="157">
      <c r="A143" s="78" t="inlineStr">
        <is>
          <t>J Diesel Motores e Reparos - Gilmara</t>
        </is>
      </c>
      <c r="B143" s="78" t="inlineStr">
        <is>
          <t>Refil Everest</t>
        </is>
      </c>
      <c r="C143" s="77" t="n">
        <v>46276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11/09/2026.</t>
        </is>
      </c>
    </row>
    <row r="144" s="157">
      <c r="A144" s="78" t="inlineStr">
        <is>
          <t>IOB</t>
        </is>
      </c>
      <c r="B144" s="78" t="inlineStr">
        <is>
          <t>Refil Everest + Pré Filtro</t>
        </is>
      </c>
      <c r="C144" s="77" t="n">
        <v>46279</v>
      </c>
      <c r="D144" s="79" t="n">
        <v>200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Troca do dia 14/09/2026.</t>
        </is>
      </c>
    </row>
    <row r="145" s="157">
      <c r="A145" s="78" t="inlineStr">
        <is>
          <t>Clínica Santa Cecília</t>
        </is>
      </c>
      <c r="B145" s="78" t="inlineStr">
        <is>
          <t>Refil Everest + Termostato</t>
        </is>
      </c>
      <c r="C145" s="77" t="n">
        <v>46281</v>
      </c>
      <c r="D145" s="79" t="n">
        <v>310</v>
      </c>
      <c r="E145" s="112" t="inlineStr">
        <is>
          <t>Recebido</t>
        </is>
      </c>
      <c r="F145" s="112">
        <f>IF(OR($E145="Recebido",$C145=""),"",MAX(0,TODAY()-$C145))</f>
        <v/>
      </c>
      <c r="G145" s="78" t="inlineStr">
        <is>
          <t>Troca do dia 16/09/2026 — refil + troca de termostato. Recebido via Pix em 29/09/2026.</t>
        </is>
      </c>
    </row>
    <row r="146" s="157">
      <c r="A146" s="78" t="inlineStr">
        <is>
          <t>Marilda Macedo / José Luciano Costa</t>
        </is>
      </c>
      <c r="B146" s="78" t="inlineStr">
        <is>
          <t>Refil Everest + Pré Filtro</t>
        </is>
      </c>
      <c r="C146" s="77" t="n">
        <v>46283</v>
      </c>
      <c r="D146" s="79" t="n">
        <v>200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Recebido via Pix em 19/09/2026 — lançado em "Set 2026".</t>
        </is>
      </c>
    </row>
    <row r="147" s="157">
      <c r="A147" s="78" t="inlineStr">
        <is>
          <t>Tatiana Rocha</t>
        </is>
      </c>
      <c r="B147" s="78" t="inlineStr">
        <is>
          <t>Refil Everest</t>
        </is>
      </c>
      <c r="C147" s="77" t="n">
        <v>46286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21/09/2026. Recebido via Pix em 22/09/2026 — lançado em "Set 2026".</t>
        </is>
      </c>
    </row>
    <row r="148" s="157">
      <c r="A148" s="78" t="inlineStr">
        <is>
          <t>Cleone Gomes de Andrade</t>
        </is>
      </c>
      <c r="B148" s="78" t="inlineStr">
        <is>
          <t>Refil Everest</t>
        </is>
      </c>
      <c r="C148" s="77" t="n">
        <v>46286</v>
      </c>
      <c r="D148" s="79" t="n">
        <v>140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Troca do dia 21/09/2026. Recebido via Pix em 21/09/2026.</t>
        </is>
      </c>
    </row>
    <row r="149" s="157">
      <c r="A149" s="78" t="inlineStr">
        <is>
          <t>Centro de Especialidades Odontomédicas</t>
        </is>
      </c>
      <c r="B149" s="78" t="inlineStr">
        <is>
          <t>2x Refil Everest</t>
        </is>
      </c>
      <c r="C149" s="77" t="n">
        <v>46044</v>
      </c>
      <c r="D149" s="79" t="n">
        <v>280</v>
      </c>
      <c r="E149" s="112" t="inlineStr">
        <is>
          <t>Pendente</t>
        </is>
      </c>
      <c r="F149" s="112">
        <f>IF(OR($E149="Recebido",$C149=""),"",MAX(0,TODAY()-$C149))</f>
        <v/>
      </c>
      <c r="G149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50" s="157">
      <c r="A150" s="78" t="inlineStr">
        <is>
          <t>Igreja Messiânica Mundial do Brasil</t>
        </is>
      </c>
      <c r="B150" s="78" t="inlineStr">
        <is>
          <t>Mangueira</t>
        </is>
      </c>
      <c r="C150" s="77" t="n">
        <v>46073</v>
      </c>
      <c r="D150" s="79" t="n">
        <v>30</v>
      </c>
      <c r="E150" s="112" t="inlineStr">
        <is>
          <t>Pendente</t>
        </is>
      </c>
      <c r="F150" s="112">
        <f>IF(OR($E150="Recebido",$C150=""),"",MAX(0,TODAY()-$C150))</f>
        <v/>
      </c>
      <c r="G150" s="78" t="inlineStr">
        <is>
          <t>NF-e 4075 de 20/02/2026 (CNPJ 62.647.383/0063-44). Conferido no DigiSat em 28/09/2026: não recebido.</t>
        </is>
      </c>
    </row>
    <row r="151" s="157">
      <c r="A151" s="78" t="inlineStr">
        <is>
          <t>Centro Médico de Jacobina</t>
        </is>
      </c>
      <c r="B151" s="78" t="inlineStr">
        <is>
          <t>2x Botão Completo</t>
        </is>
      </c>
      <c r="C151" s="77" t="n">
        <v>46203</v>
      </c>
      <c r="D151" s="79" t="n">
        <v>60</v>
      </c>
      <c r="E151" s="112" t="inlineStr">
        <is>
          <t>Pendente</t>
        </is>
      </c>
      <c r="F151" s="112">
        <f>IF(OR($E151="Recebido",$C151=""),"",MAX(0,TODAY()-$C151))</f>
        <v/>
      </c>
      <c r="G151" s="78" t="inlineStr">
        <is>
          <t>NF-e 4242 de 30/06/2026 (CNPJ 13.228.432/0001-04). Conferido no DigiSat em 28/09/2026: não recebido.</t>
        </is>
      </c>
    </row>
    <row r="152" s="157">
      <c r="A152" s="78" t="inlineStr">
        <is>
          <t>Vivencie Turismo Agencia de Viagens - Aneildes Rios</t>
        </is>
      </c>
      <c r="B152" s="78" t="inlineStr">
        <is>
          <t>Refil Everest</t>
        </is>
      </c>
      <c r="C152" s="77" t="n">
        <v>46294</v>
      </c>
      <c r="D152" s="79" t="n">
        <v>140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Troca do dia 29/09/2026. Recebido via Pix em 05/10/2026 — R$ 135,00 (Pix único de R$ 270,00 com as duas trocas; R$ 10,00 de desconto dividido).</t>
        </is>
      </c>
    </row>
    <row r="153" s="157">
      <c r="A153" s="78" t="inlineStr">
        <is>
          <t>Lapec</t>
        </is>
      </c>
      <c r="B153" s="78" t="inlineStr">
        <is>
          <t>Refil C+3</t>
        </is>
      </c>
      <c r="C153" s="77" t="n">
        <v>46294</v>
      </c>
      <c r="D153" s="79" t="n">
        <v>100</v>
      </c>
      <c r="E153" s="112" t="inlineStr">
        <is>
          <t>Recebido</t>
        </is>
      </c>
      <c r="F153" s="112">
        <f>IF(OR($E153="Recebido",$C153=""),"",MAX(0,TODAY()-$C153))</f>
        <v/>
      </c>
      <c r="G153" s="78" t="inlineStr">
        <is>
          <t>Pagamento previsto para 30/09/2026. Recebido em dinheiro em 14/10/2026 — lançado em "Set 2026".</t>
        </is>
      </c>
    </row>
    <row r="154" s="157">
      <c r="A154" s="78" t="inlineStr">
        <is>
          <t>PC Jacobina Administradora de Cartões LTDA - Cartão de Todos</t>
        </is>
      </c>
      <c r="B154" s="78" t="inlineStr">
        <is>
          <t>Refil Everest</t>
        </is>
      </c>
      <c r="C154" s="77" t="n">
        <v>46295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30/09/2026. Recebido via Pix em 01/10/2026 (comprovante enviado em 06/10/2026) — lançado em "Out 2026".</t>
        </is>
      </c>
    </row>
    <row r="155" s="157">
      <c r="A155" s="78" t="inlineStr">
        <is>
          <t>Aneilde Rios de Oliveira</t>
        </is>
      </c>
      <c r="B155" s="78" t="inlineStr">
        <is>
          <t>Refil Everest</t>
        </is>
      </c>
      <c r="C155" s="77" t="n">
        <v>46296</v>
      </c>
      <c r="D155" s="79" t="n">
        <v>140</v>
      </c>
      <c r="E155" s="112" t="inlineStr">
        <is>
          <t>Recebido</t>
        </is>
      </c>
      <c r="F155" s="112">
        <f>IF(OR($E155="Recebido",$C155=""),"",MAX(0,TODAY()-$C155))</f>
        <v/>
      </c>
      <c r="G155" s="78" t="inlineStr">
        <is>
          <t>Troca do dia 01/10/2026 (casa, Caeira). Recebido via Pix em 05/10/2026 — R$ 135,00 (Pix único de R$ 270,00 com as duas trocas; R$ 10,00 de desconto dividido).</t>
        </is>
      </c>
    </row>
    <row r="156" s="157">
      <c r="A156" s="78" t="inlineStr">
        <is>
          <t>Centro Medico da Chapada Diamantina LTDA</t>
        </is>
      </c>
      <c r="B156" s="78" t="inlineStr">
        <is>
          <t>Refil Pro Life + 2x Botão Completo</t>
        </is>
      </c>
      <c r="C156" s="77" t="n">
        <v>46296</v>
      </c>
      <c r="D156" s="79" t="n">
        <v>200</v>
      </c>
      <c r="E156" s="112" t="inlineStr">
        <is>
          <t>Recebido</t>
        </is>
      </c>
      <c r="F156" s="112">
        <f>IF(OR($E156="Recebido",$C156=""),"",MAX(0,TODAY()-$C156))</f>
        <v/>
      </c>
      <c r="G156" s="78" t="inlineStr">
        <is>
          <t>Subsolo — troca do dia 01/10/2026 (refil + 2 botões). Recebido em 05/10/2026 no crédito em 3x (pagamento único de R$ 400,00 pelas duas trocas).</t>
        </is>
      </c>
    </row>
    <row r="157" s="157">
      <c r="A157" s="78" t="inlineStr">
        <is>
          <t>Centro Medico da Chapada Diamantina LTDA</t>
        </is>
      </c>
      <c r="B157" s="78" t="inlineStr">
        <is>
          <t>Refil Pro Life + 2x Botão Completo</t>
        </is>
      </c>
      <c r="C157" s="77" t="n">
        <v>46297</v>
      </c>
      <c r="D157" s="79" t="n">
        <v>200</v>
      </c>
      <c r="E157" s="112" t="inlineStr">
        <is>
          <t>Recebido</t>
        </is>
      </c>
      <c r="F157" s="112">
        <f>IF(OR($E157="Recebido",$C157=""),"",MAX(0,TODAY()-$C157))</f>
        <v/>
      </c>
      <c r="G157" s="78" t="inlineStr">
        <is>
          <t>1º Andar — troca do dia 02/10/2026 (refil + 2 botões). Recebido em 05/10/2026 no crédito em 3x (pagamento único de R$ 400,00 pelas duas trocas).</t>
        </is>
      </c>
    </row>
    <row r="158" s="157">
      <c r="A158" s="78" t="inlineStr">
        <is>
          <t>Igreja Messiânica Mundial do Brasil</t>
        </is>
      </c>
      <c r="B158" s="78" t="inlineStr">
        <is>
          <t>Refil Everest</t>
        </is>
      </c>
      <c r="C158" s="77" t="n">
        <v>46300</v>
      </c>
      <c r="D158" s="79" t="n">
        <v>140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Troca do dia 05/10/2026. Mesmo cliente tem pendência de 20/02/2026 (Mangueira, R$ 30,00).</t>
        </is>
      </c>
    </row>
    <row r="159" s="157">
      <c r="A159" s="78" t="inlineStr">
        <is>
          <t>Rafael Landin Ribeiro</t>
        </is>
      </c>
      <c r="B159" s="78" t="inlineStr">
        <is>
          <t>Refil Everest</t>
        </is>
      </c>
      <c r="C159" s="77" t="n">
        <v>46304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09/10/2026. Recebido via Pix em 09/10/2026.</t>
        </is>
      </c>
    </row>
    <row r="160" s="157">
      <c r="A160" s="78" t="inlineStr">
        <is>
          <t>Restaurante Bonzão Bode - Aloisio Queiroz</t>
        </is>
      </c>
      <c r="B160" s="78" t="inlineStr">
        <is>
          <t>Refil Pro Life + Refil Universal (restante)</t>
        </is>
      </c>
      <c r="C160" s="77" t="n">
        <v>46304</v>
      </c>
      <c r="D160" s="79" t="n">
        <v>85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Venda de R$ 170,00 — R$ 85,00 pagos no débito em 09/10/2026; restante via Pix previsto para 16/10/2026.</t>
        </is>
      </c>
    </row>
    <row r="161" s="157">
      <c r="A161" s="78" t="inlineStr">
        <is>
          <t>Tropical Motos LTDA</t>
        </is>
      </c>
      <c r="B161" s="78" t="inlineStr">
        <is>
          <t>Refil Pro Life</t>
        </is>
      </c>
      <c r="C161" s="77" t="n">
        <v>46304</v>
      </c>
      <c r="D161" s="79" t="n">
        <v>140</v>
      </c>
      <c r="E161" s="112" t="inlineStr">
        <is>
          <t>Pendente</t>
        </is>
      </c>
      <c r="F161" s="112">
        <f>IF(OR($E161="Recebido",$C161=""),"",MAX(0,TODAY()-$C161))</f>
        <v/>
      </c>
      <c r="G161" s="78" t="inlineStr">
        <is>
          <t>Troca do dia 09/10/2026 — purificador do andar de cima.</t>
        </is>
      </c>
    </row>
    <row r="162" s="157">
      <c r="A162" s="78" t="inlineStr">
        <is>
          <t>Casa do Construtor</t>
        </is>
      </c>
      <c r="B162" s="78" t="inlineStr">
        <is>
          <t>Refil Everest</t>
        </is>
      </c>
      <c r="C162" s="77" t="n">
        <v>46310</v>
      </c>
      <c r="D162" s="79" t="n">
        <v>140</v>
      </c>
      <c r="E162" s="112" t="inlineStr">
        <is>
          <t>Recebido</t>
        </is>
      </c>
      <c r="F162" s="112">
        <f>IF(OR($E162="Recebido",$C162=""),"",MAX(0,TODAY()-$C162))</f>
        <v/>
      </c>
      <c r="G162" s="78" t="inlineStr">
        <is>
          <t>Troca do dia 15/10/2026. Recebido via Pix em 21/10/2026.</t>
        </is>
      </c>
    </row>
    <row r="163" s="157">
      <c r="A163" s="78" t="inlineStr">
        <is>
          <t>Lapec</t>
        </is>
      </c>
      <c r="B163" s="78" t="inlineStr">
        <is>
          <t>Refil E3 + Refil Everest</t>
        </is>
      </c>
      <c r="C163" s="77" t="n">
        <v>46310</v>
      </c>
      <c r="D163" s="79" t="n">
        <v>200</v>
      </c>
      <c r="E163" s="112" t="inlineStr">
        <is>
          <t>Pendente</t>
        </is>
      </c>
      <c r="F163" s="112">
        <f>IF(OR($E163="Recebido",$C163=""),"",MAX(0,TODAY()-$C163))</f>
        <v/>
      </c>
      <c r="G163" s="78" t="inlineStr">
        <is>
          <t>Compra do dia 15/10/2026 — Refil E3 R$ 80,00 + Refil Everest R$ 120,00.</t>
        </is>
      </c>
    </row>
    <row r="164" s="157">
      <c r="A164" s="78" t="inlineStr">
        <is>
          <t>Primeiro Tabelionato de Notas - Tatiana Miranda Siqueira</t>
        </is>
      </c>
      <c r="B164" s="78" t="inlineStr">
        <is>
          <t>Refil Everest</t>
        </is>
      </c>
      <c r="C164" s="77" t="n">
        <v>46310</v>
      </c>
      <c r="D164" s="79" t="n">
        <v>140</v>
      </c>
      <c r="E164" s="112" t="inlineStr">
        <is>
          <t>Recebido</t>
        </is>
      </c>
      <c r="F164" s="112">
        <f>IF(OR($E164="Recebido",$C164=""),"",MAX(0,TODAY()-$C164))</f>
        <v/>
      </c>
      <c r="G164" s="78" t="inlineStr">
        <is>
          <t>Troca do dia 15/10/2026. Recebido via Pix em 16/10/2026 — lançado em "Out 2026".</t>
        </is>
      </c>
    </row>
    <row r="165" s="157">
      <c r="A165" s="78" t="inlineStr">
        <is>
          <t>Colegio Oasis de Jacobina - Unopar</t>
        </is>
      </c>
      <c r="B165" s="78" t="inlineStr">
        <is>
          <t>2x Refil Plissado + 2x Carcaça 9"</t>
        </is>
      </c>
      <c r="C165" s="77" t="n">
        <v>46305</v>
      </c>
      <c r="D165" s="79" t="n">
        <v>400</v>
      </c>
      <c r="E165" s="112" t="inlineStr">
        <is>
          <t>Pendente</t>
        </is>
      </c>
      <c r="F165" s="112">
        <f>IF(OR($E165="Recebido",$C165=""),"",MAX(0,TODAY()-$C165))</f>
        <v/>
      </c>
      <c r="G165" s="78" t="inlineStr">
        <is>
          <t>2x Refil Plissado R$ 80,00 cada + 2x Carcaça 9" R$ 120,00 cada. Cláudio assinou para pagar depois. Falta enviar a NF.</t>
        </is>
      </c>
    </row>
    <row r="166" s="157">
      <c r="A166" s="78" t="inlineStr">
        <is>
          <t>DFLL Serviços Medicos Ltda - ImCardio - Instituto Materno Cardiologico</t>
        </is>
      </c>
      <c r="B166" s="78" t="inlineStr">
        <is>
          <t>Refil Everest + Pré Filtro (restante)</t>
        </is>
      </c>
      <c r="C166" s="77" t="n">
        <v>46311</v>
      </c>
      <c r="D166" s="79" t="n">
        <v>60</v>
      </c>
      <c r="E166" s="112" t="inlineStr">
        <is>
          <t>Recebido</t>
        </is>
      </c>
      <c r="F166" s="112">
        <f>IF(OR($E166="Recebido",$C166=""),"",MAX(0,TODAY()-$C166))</f>
        <v/>
      </c>
      <c r="G166" s="78" t="inlineStr">
        <is>
          <t>Troca do dia 16/10/2026 — bebedouro da recepção. Venda de R$ 200,00: R$ 140,00 pagos em dinheiro em 16/10/2026; falta R$ 60,00. Recebido em dinheiro em 20/10/2026.</t>
        </is>
      </c>
    </row>
    <row r="167" s="157">
      <c r="A167" s="78" t="inlineStr">
        <is>
          <t>Contabilidade Abreu</t>
        </is>
      </c>
      <c r="B167" s="78" t="inlineStr">
        <is>
          <t>Termostato</t>
        </is>
      </c>
      <c r="C167" s="77" t="n">
        <v>46311</v>
      </c>
      <c r="D167" s="79" t="n">
        <v>170</v>
      </c>
      <c r="E167" s="112" t="inlineStr">
        <is>
          <t>Pendente</t>
        </is>
      </c>
      <c r="F167" s="112">
        <f>IF(OR($E167="Recebido",$C167=""),"",MAX(0,TODAY()-$C167))</f>
        <v/>
      </c>
      <c r="G167" s="78" t="inlineStr">
        <is>
          <t>Troca de termostato do dia 16/10/2026.</t>
        </is>
      </c>
    </row>
    <row r="168" s="157">
      <c r="A168" s="78" t="inlineStr">
        <is>
          <t>Studio Malena Lorrane</t>
        </is>
      </c>
      <c r="B168" s="78" t="inlineStr">
        <is>
          <t>Refil Everest + Pré Filtro (restante)</t>
        </is>
      </c>
      <c r="C168" s="77" t="n">
        <v>46316</v>
      </c>
      <c r="D168" s="79" t="n">
        <v>150</v>
      </c>
      <c r="E168" s="112" t="inlineStr">
        <is>
          <t>Pendente</t>
        </is>
      </c>
      <c r="F168" s="112">
        <f>IF(OR($E168="Recebido",$C168=""),"",MAX(0,TODAY()-$C168))</f>
        <v/>
      </c>
      <c r="G168" s="78" t="inlineStr">
        <is>
          <t>Troca do dia 21/10/2026. Venda de R$ 190,00; R$ 40,00 pagos com serviço de sobrancelha para a Edilânia. Deve R$ 90,00 do refil + R$ 60,00 do pré-filtro.</t>
        </is>
      </c>
    </row>
    <row r="169" s="157">
      <c r="A169" s="78" t="inlineStr">
        <is>
          <t>Marsilia Marmores e Granitos Erelli</t>
        </is>
      </c>
      <c r="B169" s="78" t="inlineStr">
        <is>
          <t>Refil Everest</t>
        </is>
      </c>
      <c r="C169" s="77" t="n">
        <v>46314</v>
      </c>
      <c r="D169" s="79" t="n">
        <v>140</v>
      </c>
      <c r="E169" s="112" t="inlineStr">
        <is>
          <t>Pendente</t>
        </is>
      </c>
      <c r="F169" s="112">
        <f>IF(OR($E169="Recebido",$C169=""),"",MAX(0,TODAY()-$C169))</f>
        <v/>
      </c>
      <c r="G169" s="78" t="inlineStr">
        <is>
          <t>Venda de 19/10/2026.</t>
        </is>
      </c>
    </row>
    <row r="170" s="157">
      <c r="A170" s="78" t="inlineStr">
        <is>
          <t>Banco do Nordeste do Brasil</t>
        </is>
      </c>
      <c r="B170" s="78" t="inlineStr">
        <is>
          <t>Refil Everest + Pré Filtro</t>
        </is>
      </c>
      <c r="C170" s="77" t="n">
        <v>46315</v>
      </c>
      <c r="D170" s="79" t="n">
        <v>200</v>
      </c>
      <c r="E170" s="112" t="inlineStr">
        <is>
          <t>Pendente</t>
        </is>
      </c>
      <c r="F170" s="112">
        <f>IF(OR($E170="Recebido",$C170=""),"",MAX(0,TODAY()-$C170))</f>
        <v/>
      </c>
      <c r="G170" s="78" t="inlineStr">
        <is>
          <t>Venda de 20/10/2026.</t>
        </is>
      </c>
    </row>
    <row r="171" s="157">
      <c r="A171" s="78" t="inlineStr">
        <is>
          <t>Magna dos Santos Carneiro Goncalves - Mirna</t>
        </is>
      </c>
      <c r="B171" s="78" t="inlineStr">
        <is>
          <t>Refil Everest</t>
        </is>
      </c>
      <c r="C171" s="77" t="n">
        <v>46315</v>
      </c>
      <c r="D171" s="79" t="n">
        <v>140</v>
      </c>
      <c r="E171" s="112" t="inlineStr">
        <is>
          <t>Pendente</t>
        </is>
      </c>
      <c r="F171" s="112">
        <f>IF(OR($E171="Recebido",$C171=""),"",MAX(0,TODAY()-$C171))</f>
        <v/>
      </c>
      <c r="G171" s="78" t="inlineStr">
        <is>
          <t>Venda de 20/10/2026.</t>
        </is>
      </c>
    </row>
    <row r="172" s="157">
      <c r="A172" s="78" t="inlineStr">
        <is>
          <t>Loja da Claro</t>
        </is>
      </c>
      <c r="B172" s="78" t="inlineStr">
        <is>
          <t>Refil Lacqua</t>
        </is>
      </c>
      <c r="C172" s="77" t="n">
        <v>46315</v>
      </c>
      <c r="D172" s="79" t="n">
        <v>80</v>
      </c>
      <c r="E172" s="112" t="inlineStr">
        <is>
          <t>Pendente</t>
        </is>
      </c>
      <c r="F172" s="112">
        <f>IF(OR($E172="Recebido",$C172=""),"",MAX(0,TODAY()-$C172))</f>
        <v/>
      </c>
      <c r="G172" s="78" t="inlineStr">
        <is>
          <t>Venda de 20/10/2026.</t>
        </is>
      </c>
    </row>
    <row r="173" s="157">
      <c r="A173" s="78" t="n"/>
      <c r="B173" s="78" t="n"/>
      <c r="C173" s="77" t="n"/>
      <c r="D173" s="79" t="n"/>
      <c r="E173" s="112" t="n"/>
      <c r="F173" s="112">
        <f>IF(OR($E173="Recebido",$C173=""),"",MAX(0,TODAY()-$C173))</f>
        <v/>
      </c>
      <c r="G173" s="78" t="n"/>
    </row>
    <row r="174" s="157">
      <c r="A174" s="78" t="n"/>
      <c r="B174" s="78" t="n"/>
      <c r="C174" s="77" t="n"/>
      <c r="D174" s="79" t="n"/>
      <c r="E174" s="112" t="n"/>
      <c r="F174" s="112">
        <f>IF(OR($E174="Recebido",$C174=""),"",MAX(0,TODAY()-$C174))</f>
        <v/>
      </c>
      <c r="G174" s="78" t="n"/>
    </row>
    <row r="175" s="157">
      <c r="A175" s="78" t="n"/>
      <c r="B175" s="78" t="n"/>
      <c r="C175" s="77" t="n"/>
      <c r="D175" s="79" t="n"/>
      <c r="E175" s="112" t="n"/>
      <c r="F175" s="112">
        <f>IF(OR($E175="Recebido",$C175=""),"",MAX(0,TODAY()-$C175))</f>
        <v/>
      </c>
      <c r="G175" s="78" t="n"/>
    </row>
    <row r="176" s="157">
      <c r="A176" s="78" t="n"/>
      <c r="B176" s="78" t="n"/>
      <c r="C176" s="77" t="n"/>
      <c r="D176" s="79" t="n"/>
      <c r="E176" s="112" t="n"/>
      <c r="F176" s="112">
        <f>IF(OR($E176="Recebido",$C176=""),"",MAX(0,TODAY()-$C176))</f>
        <v/>
      </c>
      <c r="G176" s="78" t="n"/>
    </row>
    <row r="177" s="157">
      <c r="A177" s="78" t="n"/>
      <c r="B177" s="78" t="n"/>
      <c r="C177" s="77" t="n"/>
      <c r="D177" s="79" t="n"/>
      <c r="E177" s="112" t="n"/>
      <c r="F177" s="112">
        <f>IF(OR($E177="Recebido",$C177=""),"",MAX(0,TODAY()-$C177))</f>
        <v/>
      </c>
      <c r="G177" s="78" t="n"/>
    </row>
    <row r="178" s="157">
      <c r="A178" s="86" t="inlineStr">
        <is>
          <t>TOTAL EM ABERTO A RECEBER (detalhe)</t>
        </is>
      </c>
      <c r="D178" s="115">
        <f>SUMIF(E107:E177,"Pendente",D107:D177)</f>
        <v/>
      </c>
    </row>
    <row r="179" s="157">
      <c r="A179" s="202" t="inlineStr">
        <is>
          <t>CONFERÊNCIA COM AS ABAS DOS MESES</t>
        </is>
      </c>
      <c r="B179" s="159" t="n"/>
      <c r="C179" s="159" t="n"/>
      <c r="D179" s="159" t="n"/>
      <c r="E179" s="159" t="n"/>
      <c r="F179" s="159" t="n"/>
      <c r="G179" s="160" t="n"/>
    </row>
    <row r="180" s="157">
      <c r="A180" s="203">
        <f>IF(ROUND(D178-C5,2)=0,"OK — o detalhe acima bate com as vendas marcadas como Aguardando Pagamento nas abas dos meses.","ATENÇÃO: diferença de R$ "&amp;TEXT(ABS(D178-C5),"#,##0.00")&amp;" entre este detalhe e as abas dos meses — alguma venda mudou de status em um lado só.")</f>
        <v/>
      </c>
    </row>
    <row r="181" s="157">
      <c r="A181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  <row r="205" s="157"/>
    <row r="206" s="157"/>
    <row r="207" s="157"/>
    <row r="208" s="157"/>
    <row r="209" s="157"/>
    <row r="210" s="157"/>
    <row r="211" s="157"/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E4:F4"/>
    <mergeCell ref="A1:G1"/>
    <mergeCell ref="A9:G9"/>
    <mergeCell ref="A105:G105"/>
    <mergeCell ref="C5:D6"/>
    <mergeCell ref="A5:B6"/>
    <mergeCell ref="A2:G2"/>
    <mergeCell ref="E5:F6"/>
    <mergeCell ref="A104:G104"/>
    <mergeCell ref="A179:G179"/>
    <mergeCell ref="A180:G180"/>
    <mergeCell ref="C4:D4"/>
  </mergeCells>
  <dataValidations count="2">
    <dataValidation sqref="E11:E99" showDropDown="0" showInputMessage="0" showErrorMessage="0" allowBlank="1" type="list">
      <formula1>"Pendente,Pago,Previsto"</formula1>
    </dataValidation>
    <dataValidation sqref="E107:E177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Marcio Itamar</t>
        </is>
      </c>
      <c r="C26" s="45" t="inlineStr">
        <is>
          <t>Refil Everest</t>
        </is>
      </c>
      <c r="D26" s="46" t="n">
        <v>140</v>
      </c>
      <c r="E26" s="45" t="inlineStr">
        <is>
          <t>Dinheiro</t>
        </is>
      </c>
      <c r="F26" s="47" t="n"/>
      <c r="G26" s="48" t="n"/>
      <c r="H26" s="49" t="n"/>
      <c r="I26" s="45" t="n"/>
      <c r="J26" s="45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7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44" t="n">
        <v>46239</v>
      </c>
      <c r="B28" s="45" t="inlineStr">
        <is>
          <t>Verdes Mares Tintas</t>
        </is>
      </c>
      <c r="C28" s="45" t="inlineStr">
        <is>
          <t>Botão do Purificador + Limpeza de Refil</t>
        </is>
      </c>
      <c r="D28" s="46" t="n">
        <v>70</v>
      </c>
      <c r="E28" s="45" t="inlineStr">
        <is>
          <t>Dinheiro</t>
        </is>
      </c>
      <c r="F28" s="47" t="n"/>
      <c r="G28" s="48" t="n"/>
      <c r="H28" s="49" t="n"/>
      <c r="I28" s="45" t="n"/>
      <c r="J28" s="45" t="inlineStr">
        <is>
          <t>EMP-0303</t>
        </is>
      </c>
    </row>
    <row r="29" ht="15.75" customHeight="1" s="157">
      <c r="A29" s="17" t="n">
        <v>46239</v>
      </c>
      <c r="B29" s="18" t="inlineStr">
        <is>
          <t>Filtros Planeta Água</t>
        </is>
      </c>
      <c r="C29" s="18" t="n"/>
      <c r="D29" s="27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44" t="n">
        <v>46239</v>
      </c>
      <c r="B30" s="45" t="inlineStr">
        <is>
          <t>Eversoft</t>
        </is>
      </c>
      <c r="C30" s="45" t="n"/>
      <c r="D30" s="46" t="n"/>
      <c r="E30" s="45" t="n"/>
      <c r="F30" s="47" t="n"/>
      <c r="G30" s="48" t="n">
        <v>980.83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7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44" t="n">
        <v>46239</v>
      </c>
      <c r="B32" s="45" t="inlineStr">
        <is>
          <t>Tarifa Pacote de Tarifas</t>
        </is>
      </c>
      <c r="C32" s="45" t="n"/>
      <c r="D32" s="46" t="n"/>
      <c r="E32" s="45" t="n"/>
      <c r="F32" s="47" t="n"/>
      <c r="G32" s="48" t="n">
        <v>52.5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Correios</t>
        </is>
      </c>
      <c r="C33" s="18" t="n"/>
      <c r="D33" s="27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44" t="n">
        <v>46240</v>
      </c>
      <c r="B34" s="45" t="inlineStr">
        <is>
          <t>Silvania Mota</t>
        </is>
      </c>
      <c r="C34" s="45" t="inlineStr">
        <is>
          <t>Refil Pro Life</t>
        </is>
      </c>
      <c r="D34" s="46" t="n">
        <v>140</v>
      </c>
      <c r="E34" s="45" t="inlineStr">
        <is>
          <t>Pix</t>
        </is>
      </c>
      <c r="F34" s="47" t="n"/>
      <c r="G34" s="48" t="n"/>
      <c r="H34" s="49" t="n"/>
      <c r="I34" s="45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7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44" t="n">
        <v>46240</v>
      </c>
      <c r="B36" s="45" t="inlineStr">
        <is>
          <t>Correios</t>
        </is>
      </c>
      <c r="C36" s="45" t="n"/>
      <c r="D36" s="46" t="n"/>
      <c r="E36" s="45" t="n"/>
      <c r="F36" s="47" t="n"/>
      <c r="G36" s="48" t="n">
        <v>167.8</v>
      </c>
      <c r="H36" s="49" t="inlineStr">
        <is>
          <t>Transporte e Entregas</t>
        </is>
      </c>
      <c r="I36" s="45" t="n"/>
    </row>
    <row r="37">
      <c r="A37" s="17" t="n">
        <v>46240</v>
      </c>
      <c r="B37" s="18" t="inlineStr">
        <is>
          <t>Comissão Wiliam</t>
        </is>
      </c>
      <c r="C37" s="18" t="n"/>
      <c r="D37" s="27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44" t="n">
        <v>46241</v>
      </c>
      <c r="B38" s="45" t="inlineStr">
        <is>
          <t>Cliente Consumidor Final</t>
        </is>
      </c>
      <c r="C38" s="45" t="inlineStr">
        <is>
          <t>Refil Everest</t>
        </is>
      </c>
      <c r="D38" s="46" t="n">
        <v>130</v>
      </c>
      <c r="E38" s="45" t="inlineStr">
        <is>
          <t>Crédito Parcelado</t>
        </is>
      </c>
      <c r="F38" s="47" t="n">
        <v>9.08</v>
      </c>
      <c r="G38" s="48" t="n"/>
      <c r="H38" s="49" t="n"/>
      <c r="I38" s="45" t="n"/>
    </row>
    <row r="39" ht="15.75" customHeight="1" s="157">
      <c r="A39" s="17" t="n">
        <v>46241</v>
      </c>
      <c r="B39" s="18" t="inlineStr">
        <is>
          <t>Comissão Wiliam</t>
        </is>
      </c>
      <c r="C39" s="18" t="n"/>
      <c r="D39" s="27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44" t="n">
        <v>46244</v>
      </c>
      <c r="B40" s="45" t="inlineStr">
        <is>
          <t>Andrea Lopes dos Santos</t>
        </is>
      </c>
      <c r="C40" s="45" t="inlineStr">
        <is>
          <t>Refil Pro Life + Mangueira + Registro</t>
        </is>
      </c>
      <c r="D40" s="46" t="n">
        <v>180</v>
      </c>
      <c r="E40" s="45" t="inlineStr">
        <is>
          <t>Débito</t>
        </is>
      </c>
      <c r="F40" s="47" t="n">
        <v>2.61</v>
      </c>
      <c r="G40" s="48" t="n"/>
      <c r="H40" s="49" t="n"/>
      <c r="I40" s="45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7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7">
      <c r="A42" s="44" t="n">
        <v>46254</v>
      </c>
      <c r="B42" s="45" t="inlineStr">
        <is>
          <t>Clinica da Mulher - MR Valois Serviços</t>
        </is>
      </c>
      <c r="C42" s="45" t="inlineStr">
        <is>
          <t>3x Refil Everest</t>
        </is>
      </c>
      <c r="D42" s="46" t="n">
        <v>420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20/08/2026</t>
        </is>
      </c>
      <c r="J42" s="45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7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44" t="n">
        <v>46244</v>
      </c>
      <c r="B44" s="45" t="inlineStr">
        <is>
          <t>Cliente Consumidor Final</t>
        </is>
      </c>
      <c r="C44" s="45" t="inlineStr">
        <is>
          <t>Refil C+3</t>
        </is>
      </c>
      <c r="D44" s="46" t="n">
        <v>115</v>
      </c>
      <c r="E44" s="45" t="inlineStr">
        <is>
          <t>Débito</t>
        </is>
      </c>
      <c r="F44" s="47" t="n">
        <v>1.67</v>
      </c>
      <c r="G44" s="48" t="n"/>
      <c r="H44" s="49" t="n"/>
      <c r="I44" s="45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7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44" t="n">
        <v>46244</v>
      </c>
      <c r="B46" s="45" t="inlineStr">
        <is>
          <t>Everest Refrigeração</t>
        </is>
      </c>
      <c r="C46" s="45" t="n"/>
      <c r="D46" s="46" t="n"/>
      <c r="E46" s="45" t="n"/>
      <c r="F46" s="47" t="n"/>
      <c r="G46" s="48" t="n">
        <v>725.5</v>
      </c>
      <c r="H46" s="49" t="inlineStr">
        <is>
          <t>Fornecedores / Mercadoria</t>
        </is>
      </c>
      <c r="I46" s="45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45" t="n"/>
    </row>
    <row r="47">
      <c r="A47" s="17" t="n">
        <v>46244</v>
      </c>
      <c r="B47" s="18" t="inlineStr">
        <is>
          <t>Eversoft</t>
        </is>
      </c>
      <c r="C47" s="18" t="n"/>
      <c r="D47" s="27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7">
      <c r="A48" s="44" t="n">
        <v>46254</v>
      </c>
      <c r="B48" s="45" t="inlineStr">
        <is>
          <t>Clinica da Mulher - MR Valois Serviços</t>
        </is>
      </c>
      <c r="C48" s="45" t="inlineStr">
        <is>
          <t>Refil Plissado + Carcaça 9" 3/4</t>
        </is>
      </c>
      <c r="D48" s="46" t="n">
        <v>180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7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44" t="n">
        <v>46245</v>
      </c>
      <c r="B50" s="45" t="inlineStr">
        <is>
          <t>Nlx Comercio e Serviços Subway - Alexandre Neder</t>
        </is>
      </c>
      <c r="C50" s="45" t="inlineStr">
        <is>
          <t>Refil Everest</t>
        </is>
      </c>
      <c r="D50" s="46" t="n">
        <v>140</v>
      </c>
      <c r="E50" s="45" t="inlineStr">
        <is>
          <t>Dinheiro</t>
        </is>
      </c>
      <c r="F50" s="47" t="n"/>
      <c r="G50" s="48" t="n"/>
      <c r="H50" s="49" t="n"/>
      <c r="I50" s="45" t="n"/>
      <c r="J50" s="45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7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44" t="n">
        <v>46259</v>
      </c>
      <c r="B52" s="45" t="inlineStr">
        <is>
          <t>Tropical Motos LTDA</t>
        </is>
      </c>
      <c r="C52" s="45" t="inlineStr">
        <is>
          <t>3x Refil Everest + Refil Pro Life + 3x Pré Filtro + Válvula Reguladora de Pressão</t>
        </is>
      </c>
      <c r="D52" s="46" t="n">
        <v>820</v>
      </c>
      <c r="E52" s="45" t="inlineStr">
        <is>
          <t>Pix</t>
        </is>
      </c>
      <c r="F52" s="47" t="n"/>
      <c r="G52" s="48" t="n"/>
      <c r="H52" s="49" t="n"/>
      <c r="I52" s="45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7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7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44" t="n">
        <v>46253</v>
      </c>
      <c r="B54" s="45" t="inlineStr">
        <is>
          <t>Condominio Ilha do Ouro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Venda de 11/08/2026 — pagamento recebido em 19/08/2026</t>
        </is>
      </c>
      <c r="J54" s="45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7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44" t="n">
        <v>46245</v>
      </c>
      <c r="B56" s="45" t="inlineStr">
        <is>
          <t>Crédito Celular da Loja</t>
        </is>
      </c>
      <c r="C56" s="45" t="n"/>
      <c r="D56" s="46" t="n"/>
      <c r="E56" s="45" t="n"/>
      <c r="F56" s="47" t="n"/>
      <c r="G56" s="48" t="n">
        <v>25</v>
      </c>
      <c r="H56" s="49" t="inlineStr">
        <is>
          <t>Outras Despesas</t>
        </is>
      </c>
      <c r="I56" s="45" t="n"/>
    </row>
    <row r="57">
      <c r="A57" s="17" t="n">
        <v>46245</v>
      </c>
      <c r="B57" s="18" t="inlineStr">
        <is>
          <t>Crédito Celular de Edilânia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44" t="n">
        <v>46245</v>
      </c>
      <c r="B58" s="45" t="inlineStr">
        <is>
          <t>Acerto de Armando</t>
        </is>
      </c>
      <c r="C58" s="45" t="n"/>
      <c r="D58" s="46" t="n">
        <v>2000</v>
      </c>
      <c r="E58" s="45" t="inlineStr">
        <is>
          <t>Pix</t>
        </is>
      </c>
      <c r="F58" s="47" t="n"/>
      <c r="G58" s="48" t="n"/>
      <c r="H58" s="49" t="n"/>
      <c r="I58" s="45" t="n"/>
    </row>
    <row r="59">
      <c r="A59" s="17" t="n">
        <v>46245</v>
      </c>
      <c r="B59" s="18" t="inlineStr">
        <is>
          <t>Pro Labore Edilânia</t>
        </is>
      </c>
      <c r="C59" s="18" t="n"/>
      <c r="D59" s="27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44" t="n">
        <v>46245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504.34</v>
      </c>
      <c r="H60" s="49" t="inlineStr">
        <is>
          <t>Fornecedores / Mercadoria</t>
        </is>
      </c>
      <c r="I60" s="45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7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44" t="n">
        <v>46247</v>
      </c>
      <c r="B62" s="45" t="inlineStr">
        <is>
          <t>Cliente Consumidor Final</t>
        </is>
      </c>
      <c r="C62" s="45" t="inlineStr">
        <is>
          <t>Mangueira</t>
        </is>
      </c>
      <c r="D62" s="46" t="n">
        <v>20</v>
      </c>
      <c r="E62" s="45" t="inlineStr">
        <is>
          <t>Dinheiro</t>
        </is>
      </c>
      <c r="F62" s="47" t="n"/>
      <c r="G62" s="48" t="n"/>
      <c r="H62" s="49" t="n"/>
      <c r="I62" s="45" t="n"/>
      <c r="J62" s="45" t="n"/>
    </row>
    <row r="63" ht="15.75" customHeight="1" s="157">
      <c r="A63" s="17" t="n">
        <v>46247</v>
      </c>
      <c r="B63" s="18" t="inlineStr">
        <is>
          <t>Acerto de Armando</t>
        </is>
      </c>
      <c r="C63" s="18" t="n"/>
      <c r="D63" s="27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44" t="n">
        <v>46247</v>
      </c>
      <c r="B64" s="45" t="inlineStr">
        <is>
          <t>Elio Pereira dos Santos</t>
        </is>
      </c>
      <c r="C64" s="45" t="inlineStr">
        <is>
          <t>Refil Everest</t>
        </is>
      </c>
      <c r="D64" s="46" t="n">
        <v>135</v>
      </c>
      <c r="E64" s="45" t="inlineStr">
        <is>
          <t>Pix</t>
        </is>
      </c>
      <c r="F64" s="47" t="n"/>
      <c r="G64" s="48" t="n"/>
      <c r="H64" s="49" t="n"/>
      <c r="I64" s="45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7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44" t="n">
        <v>46248</v>
      </c>
      <c r="B66" s="45" t="inlineStr">
        <is>
          <t>Marsilia Marmores e Granitos Erelli</t>
        </is>
      </c>
      <c r="C66" s="45" t="inlineStr">
        <is>
          <t>Refil E3</t>
        </is>
      </c>
      <c r="D66" s="46" t="n">
        <v>110</v>
      </c>
      <c r="E66" s="45" t="inlineStr">
        <is>
          <t>Pix</t>
        </is>
      </c>
      <c r="F66" s="47" t="n"/>
      <c r="G66" s="48" t="n"/>
      <c r="H66" s="49" t="n"/>
      <c r="I66" s="45" t="n"/>
      <c r="J66" s="45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7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44" t="n">
        <v>46247</v>
      </c>
      <c r="B68" s="45" t="inlineStr">
        <is>
          <t>Lilian Patrícia</t>
        </is>
      </c>
      <c r="C68" s="45" t="inlineStr">
        <is>
          <t>2x Refil Everest</t>
        </is>
      </c>
      <c r="D68" s="46" t="n">
        <v>280</v>
      </c>
      <c r="E68" s="45" t="inlineStr">
        <is>
          <t>Crédito Parcelado</t>
        </is>
      </c>
      <c r="F68" s="47" t="n">
        <v>22.37</v>
      </c>
      <c r="G68" s="48" t="n"/>
      <c r="H68" s="49" t="n"/>
      <c r="I68" s="45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7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44" t="n">
        <v>46247</v>
      </c>
      <c r="B70" s="45" t="inlineStr">
        <is>
          <t>Joelma Almeida</t>
        </is>
      </c>
      <c r="C70" s="45" t="inlineStr">
        <is>
          <t>Refil Everest + Pré Filtro</t>
        </is>
      </c>
      <c r="D70" s="46" t="n">
        <v>200</v>
      </c>
      <c r="E70" s="45" t="inlineStr">
        <is>
          <t>Crédito Parcelado</t>
        </is>
      </c>
      <c r="F70" s="47" t="n">
        <v>13.98</v>
      </c>
      <c r="G70" s="48" t="n"/>
      <c r="H70" s="49" t="n"/>
      <c r="I70" s="45" t="n"/>
      <c r="J70" s="45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7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44" t="n">
        <v>46248</v>
      </c>
      <c r="B72" s="45" t="inlineStr">
        <is>
          <t>Ivanilton</t>
        </is>
      </c>
      <c r="C72" s="45" t="inlineStr">
        <is>
          <t>Refil Everest + Engate + Serviço</t>
        </is>
      </c>
      <c r="D72" s="46" t="n">
        <v>240</v>
      </c>
      <c r="E72" s="45" t="inlineStr">
        <is>
          <t>Débito</t>
        </is>
      </c>
      <c r="F72" s="47" t="n">
        <v>6.34</v>
      </c>
      <c r="G72" s="48" t="n"/>
      <c r="H72" s="49" t="n"/>
      <c r="I72" s="45" t="n"/>
      <c r="J72" t="inlineStr">
        <is>
          <t>CLI-0401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7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44" t="n">
        <v>46249</v>
      </c>
      <c r="B74" s="45" t="inlineStr">
        <is>
          <t>Maria Conceição Dias Da Silva</t>
        </is>
      </c>
      <c r="C74" s="45" t="inlineStr">
        <is>
          <t>Termostato</t>
        </is>
      </c>
      <c r="D74" s="46" t="n">
        <v>160</v>
      </c>
      <c r="E74" s="45" t="inlineStr">
        <is>
          <t>Pix</t>
        </is>
      </c>
      <c r="F74" s="47" t="n"/>
      <c r="G74" s="48" t="n"/>
      <c r="H74" s="49" t="n"/>
      <c r="I74" s="45" t="n"/>
      <c r="J74" s="45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7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44" t="n">
        <v>46251</v>
      </c>
      <c r="B76" s="45" t="inlineStr">
        <is>
          <t>Fracione Transportes</t>
        </is>
      </c>
      <c r="C76" s="45" t="n"/>
      <c r="D76" s="46" t="n"/>
      <c r="E76" s="45" t="n"/>
      <c r="F76" s="47" t="n"/>
      <c r="G76" s="48" t="n">
        <v>400.01</v>
      </c>
      <c r="H76" s="49" t="inlineStr">
        <is>
          <t>Transporte e Entregas</t>
        </is>
      </c>
      <c r="I76" s="45" t="n"/>
    </row>
    <row r="77">
      <c r="A77" s="17" t="n">
        <v>46251</v>
      </c>
      <c r="B77" s="18" t="inlineStr">
        <is>
          <t>Everest Refrigeração</t>
        </is>
      </c>
      <c r="C77" s="18" t="n"/>
      <c r="D77" s="27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865.5</v>
      </c>
      <c r="H78" s="49" t="inlineStr">
        <is>
          <t>Fornecedores / Mercadoria</t>
        </is>
      </c>
      <c r="I78" s="45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44" t="n">
        <v>46251</v>
      </c>
      <c r="B80" s="45" t="inlineStr">
        <is>
          <t>Eversoft</t>
        </is>
      </c>
      <c r="C80" s="45" t="n"/>
      <c r="D80" s="46" t="n"/>
      <c r="E80" s="45" t="n"/>
      <c r="F80" s="47" t="n"/>
      <c r="G80" s="48" t="n">
        <v>980.83</v>
      </c>
      <c r="H80" s="49" t="inlineStr">
        <is>
          <t>Fornecedores / Mercadoria</t>
        </is>
      </c>
      <c r="I80" s="45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7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44" t="n">
        <v>46251</v>
      </c>
      <c r="B82" s="45" t="inlineStr">
        <is>
          <t>Tarcisio Oliveira Lima</t>
        </is>
      </c>
      <c r="C82" s="45" t="n"/>
      <c r="D82" s="46" t="n"/>
      <c r="E82" s="45" t="n"/>
      <c r="F82" s="47" t="n"/>
      <c r="G82" s="48" t="n">
        <v>486.32</v>
      </c>
      <c r="H82" s="49" t="inlineStr">
        <is>
          <t>Contabilidade</t>
        </is>
      </c>
      <c r="I82" s="45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7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44" t="n">
        <v>46252</v>
      </c>
      <c r="B84" s="45" t="inlineStr">
        <is>
          <t>Caroline Rios</t>
        </is>
      </c>
      <c r="C84" s="45" t="inlineStr">
        <is>
          <t>Refil Everest</t>
        </is>
      </c>
      <c r="D84" s="46" t="n">
        <v>150</v>
      </c>
      <c r="E84" s="45" t="inlineStr">
        <is>
          <t>Crédito Parcelado</t>
        </is>
      </c>
      <c r="F84" s="47" t="n">
        <v>10.48</v>
      </c>
      <c r="G84" s="48" t="n"/>
      <c r="H84" s="49" t="n"/>
      <c r="I84" s="45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7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44" t="n">
        <v>46252</v>
      </c>
      <c r="B86" s="45" t="inlineStr">
        <is>
          <t>Orlanete Souza</t>
        </is>
      </c>
      <c r="C86" s="45" t="inlineStr">
        <is>
          <t>Refil Everest</t>
        </is>
      </c>
      <c r="D86" s="46" t="n">
        <v>150</v>
      </c>
      <c r="E86" s="45" t="inlineStr">
        <is>
          <t>Crédito à Vista</t>
        </is>
      </c>
      <c r="F86" s="47" t="n">
        <v>5.27</v>
      </c>
      <c r="G86" s="48" t="n"/>
      <c r="H86" s="49" t="n"/>
      <c r="I86" s="45" t="n"/>
      <c r="J86" s="45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7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44" t="n">
        <v>46252</v>
      </c>
      <c r="B88" s="45" t="inlineStr">
        <is>
          <t>Maria Madalena Nunes de Oliveira - Marijane</t>
        </is>
      </c>
      <c r="C88" s="45" t="inlineStr">
        <is>
          <t>Refil Pro Life + Pré Filtro</t>
        </is>
      </c>
      <c r="D88" s="46" t="n">
        <v>200</v>
      </c>
      <c r="E88" s="45" t="inlineStr">
        <is>
          <t>Crédito Parcelado</t>
        </is>
      </c>
      <c r="F88" s="47" t="n">
        <v>13.98</v>
      </c>
      <c r="G88" s="48" t="n"/>
      <c r="H88" s="49" t="n"/>
      <c r="I88" s="45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7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44" t="n">
        <v>46253</v>
      </c>
      <c r="B90" s="45" t="inlineStr">
        <is>
          <t>Roup Mania</t>
        </is>
      </c>
      <c r="C90" s="45" t="inlineStr">
        <is>
          <t>2x Refil Everest</t>
        </is>
      </c>
      <c r="D90" s="46" t="n">
        <v>270</v>
      </c>
      <c r="E90" s="45" t="inlineStr">
        <is>
          <t>Pix</t>
        </is>
      </c>
      <c r="F90" s="47" t="n"/>
      <c r="G90" s="48" t="n"/>
      <c r="H90" s="49" t="n"/>
      <c r="I90" s="45" t="n"/>
      <c r="J90" s="45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7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44" t="n">
        <v>46253</v>
      </c>
      <c r="B92" s="45" t="inlineStr">
        <is>
          <t>Dona Rute (Limpeza)</t>
        </is>
      </c>
      <c r="C92" s="45" t="n"/>
      <c r="D92" s="46" t="n"/>
      <c r="E92" s="45" t="n"/>
      <c r="F92" s="47" t="n"/>
      <c r="G92" s="48" t="n">
        <v>50</v>
      </c>
      <c r="H92" s="49" t="inlineStr">
        <is>
          <t>Salários, Comissões e Encargos</t>
        </is>
      </c>
      <c r="I92" s="45" t="n"/>
    </row>
    <row r="93">
      <c r="A93" s="17" t="n">
        <v>46253</v>
      </c>
      <c r="B93" s="18" t="inlineStr">
        <is>
          <t>Gasolina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44" t="n">
        <v>46253</v>
      </c>
      <c r="B94" s="45" t="inlineStr">
        <is>
          <t>Dm Contabilidade Acessoria e Consultoria</t>
        </is>
      </c>
      <c r="C94" s="45" t="inlineStr">
        <is>
          <t>Refil Pro Life</t>
        </is>
      </c>
      <c r="D94" s="46" t="n">
        <v>140</v>
      </c>
      <c r="E94" s="45" t="inlineStr">
        <is>
          <t>Crédito à Vista</t>
        </is>
      </c>
      <c r="F94" s="47" t="n"/>
      <c r="G94" s="48" t="n"/>
      <c r="H94" s="49" t="n"/>
      <c r="I94" s="45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44" t="n">
        <v>46253</v>
      </c>
      <c r="B96" s="45" t="inlineStr">
        <is>
          <t>Filtros Planeta Água</t>
        </is>
      </c>
      <c r="C96" s="45" t="n"/>
      <c r="D96" s="46" t="n"/>
      <c r="E96" s="45" t="n"/>
      <c r="F96" s="47" t="n"/>
      <c r="G96" s="48" t="n">
        <v>1385.85</v>
      </c>
      <c r="H96" s="49" t="inlineStr">
        <is>
          <t>Fornecedores / Mercadoria</t>
        </is>
      </c>
      <c r="I96" s="45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45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7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44" t="n">
        <v>46253</v>
      </c>
      <c r="B98" s="45" t="inlineStr">
        <is>
          <t>Canetas e Tesoura</t>
        </is>
      </c>
      <c r="C98" s="45" t="n"/>
      <c r="D98" s="46" t="n"/>
      <c r="E98" s="45" t="n"/>
      <c r="F98" s="47" t="n"/>
      <c r="G98" s="48" t="n">
        <v>10</v>
      </c>
      <c r="H98" s="49" t="inlineStr">
        <is>
          <t>Material de Limpeza e Escritório</t>
        </is>
      </c>
      <c r="I98" s="45" t="n"/>
      <c r="J98" s="45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7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7">
      <c r="A100" s="44" t="n">
        <v>46254</v>
      </c>
      <c r="B100" s="45" t="inlineStr">
        <is>
          <t>Pedro Sangalo</t>
        </is>
      </c>
      <c r="C100" s="45" t="inlineStr">
        <is>
          <t>Refil Everest + Mangueira + Revisão/Manutenção</t>
        </is>
      </c>
      <c r="D100" s="46" t="n">
        <v>210</v>
      </c>
      <c r="E100" s="45" t="inlineStr">
        <is>
          <t>Pix</t>
        </is>
      </c>
      <c r="F100" s="47" t="n"/>
      <c r="G100" s="48" t="n"/>
      <c r="H100" s="49" t="n"/>
      <c r="I100" s="45" t="inlineStr">
        <is>
          <t>Recebido via Pix de Arena Daniel 73 LTDA — DOC 71208662 (20/08/2026)</t>
        </is>
      </c>
      <c r="J100" s="45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7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7">
      <c r="A102" s="44" t="n">
        <v>46255</v>
      </c>
      <c r="B102" s="45" t="inlineStr">
        <is>
          <t>Salão de Luciana</t>
        </is>
      </c>
      <c r="C102" s="45" t="inlineStr">
        <is>
          <t>Refil Everest + Refil Carbon 9"</t>
        </is>
      </c>
      <c r="D102" s="46" t="n">
        <v>225</v>
      </c>
      <c r="E102" s="45" t="inlineStr">
        <is>
          <t>Crédito Parcelado</t>
        </is>
      </c>
      <c r="F102" s="47" t="n">
        <v>17.98</v>
      </c>
      <c r="G102" s="48" t="n"/>
      <c r="H102" s="49" t="n"/>
      <c r="I102" s="45" t="n"/>
      <c r="J102" s="45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7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7">
      <c r="A104" s="44" t="n">
        <v>46254</v>
      </c>
      <c r="B104" s="45" t="inlineStr">
        <is>
          <t>FGTS</t>
        </is>
      </c>
      <c r="C104" s="45" t="n"/>
      <c r="D104" s="46" t="n"/>
      <c r="E104" s="45" t="n"/>
      <c r="F104" s="47" t="n"/>
      <c r="G104" s="48" t="n">
        <v>136</v>
      </c>
      <c r="H104" s="49" t="inlineStr">
        <is>
          <t>Impostos e Taxas</t>
        </is>
      </c>
      <c r="I104" s="45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7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44" t="n">
        <v>46255</v>
      </c>
      <c r="B106" s="45" t="inlineStr">
        <is>
          <t>Luana Mesquita Victoria</t>
        </is>
      </c>
      <c r="C106" s="45" t="inlineStr">
        <is>
          <t>Purificador Everest Foz Grafite</t>
        </is>
      </c>
      <c r="D106" s="46" t="n">
        <v>1689</v>
      </c>
      <c r="E106" s="45" t="inlineStr">
        <is>
          <t>Crédito Parcelado</t>
        </is>
      </c>
      <c r="F106" s="47" t="n">
        <v>236.29</v>
      </c>
      <c r="G106" s="48" t="n"/>
      <c r="H106" s="49" t="n"/>
      <c r="I106" s="45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7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44" t="n">
        <v>46255</v>
      </c>
      <c r="B108" s="45" t="inlineStr">
        <is>
          <t>Colégio Armando Xavier de Oliveira</t>
        </is>
      </c>
      <c r="C108" s="45" t="inlineStr">
        <is>
          <t>Refil Plissado + Refil Carbon 9"</t>
        </is>
      </c>
      <c r="D108" s="46" t="n">
        <v>150</v>
      </c>
      <c r="E108" s="45" t="inlineStr">
        <is>
          <t>Dinheiro</t>
        </is>
      </c>
      <c r="F108" s="47" t="n"/>
      <c r="G108" s="48" t="n"/>
      <c r="H108" s="49" t="n"/>
      <c r="I108" s="45" t="n"/>
    </row>
    <row r="109">
      <c r="A109" s="17" t="n">
        <v>46255</v>
      </c>
      <c r="B109" s="18" t="inlineStr">
        <is>
          <t>Diarista Eva</t>
        </is>
      </c>
      <c r="C109" s="18" t="n"/>
      <c r="D109" s="27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44" t="n">
        <v>46255</v>
      </c>
      <c r="B110" s="45" t="inlineStr">
        <is>
          <t>Gasolina</t>
        </is>
      </c>
      <c r="C110" s="45" t="n"/>
      <c r="D110" s="46" t="n"/>
      <c r="E110" s="45" t="n"/>
      <c r="F110" s="47" t="n"/>
      <c r="G110" s="48" t="n">
        <v>20</v>
      </c>
      <c r="H110" s="49" t="inlineStr">
        <is>
          <t>Transporte e Entregas</t>
        </is>
      </c>
      <c r="I110" s="45" t="n"/>
    </row>
    <row r="111">
      <c r="A111" s="17" t="n">
        <v>46255</v>
      </c>
      <c r="B111" s="18" t="inlineStr">
        <is>
          <t>Everest</t>
        </is>
      </c>
      <c r="C111" s="18" t="n"/>
      <c r="D111" s="27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44" t="n">
        <v>46261</v>
      </c>
      <c r="B112" s="45" t="inlineStr">
        <is>
          <t>Hospital e Clinica Santa Barbara</t>
        </is>
      </c>
      <c r="C112" s="45" t="inlineStr">
        <is>
          <t>Purificador Everest Foz Branco</t>
        </is>
      </c>
      <c r="D112" s="46" t="n">
        <v>1489</v>
      </c>
      <c r="E112" s="45" t="inlineStr">
        <is>
          <t>Pix</t>
        </is>
      </c>
      <c r="F112" s="47" t="n"/>
      <c r="G112" s="48" t="n"/>
      <c r="H112" s="49" t="n"/>
      <c r="I112" s="45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7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44" t="n">
        <v>46256</v>
      </c>
      <c r="B114" s="45" t="inlineStr">
        <is>
          <t>Academia Diego Cesar</t>
        </is>
      </c>
      <c r="C114" s="45" t="inlineStr">
        <is>
          <t>Refil Carbon Tech 9"</t>
        </is>
      </c>
      <c r="D114" s="46" t="n">
        <v>90</v>
      </c>
      <c r="E114" s="45" t="inlineStr">
        <is>
          <t>Pix</t>
        </is>
      </c>
      <c r="F114" s="47" t="n"/>
      <c r="G114" s="48" t="n"/>
      <c r="H114" s="49" t="n"/>
      <c r="I114" s="45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7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44" t="n">
        <v>46254</v>
      </c>
      <c r="B116" s="45" t="inlineStr">
        <is>
          <t>Tarifa Pix</t>
        </is>
      </c>
      <c r="C116" s="45" t="n"/>
      <c r="D116" s="46" t="n"/>
      <c r="E116" s="45" t="n"/>
      <c r="F116" s="47" t="n"/>
      <c r="G116" s="48" t="n">
        <v>1</v>
      </c>
      <c r="H116" s="49" t="inlineStr">
        <is>
          <t>Tarifas Bancárias e Cartão</t>
        </is>
      </c>
      <c r="I116" s="45" t="inlineStr">
        <is>
          <t>Extrato: TAR PIX PAGTO TRANSFERENC — DOC 70819916 (20/08/2026)</t>
        </is>
      </c>
      <c r="J116" s="45" t="n"/>
    </row>
    <row r="117">
      <c r="A117" s="17" t="n">
        <v>46256</v>
      </c>
      <c r="B117" s="18" t="inlineStr">
        <is>
          <t>Comissão Wiliam</t>
        </is>
      </c>
      <c r="C117" s="18" t="n"/>
      <c r="D117" s="27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44" t="n">
        <v>46258</v>
      </c>
      <c r="B118" s="45" t="inlineStr">
        <is>
          <t>UNIFG Brumado (Brumado/BA)</t>
        </is>
      </c>
      <c r="C118" s="45" t="inlineStr">
        <is>
          <t>3x Refil E3 + 3x Refil Pré E3 + 2x Refil Carbon Tech 5" + 2x Refil FP4 + 2x Refil Multifilter</t>
        </is>
      </c>
      <c r="D118" s="46" t="n">
        <v>1358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7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44" t="n">
        <v>46258</v>
      </c>
      <c r="B120" s="45" t="inlineStr">
        <is>
          <t>UNP Salgado Filho (Natal/RN)</t>
        </is>
      </c>
      <c r="C120" s="45" t="inlineStr">
        <is>
          <t>8x Refil E3 + 8x Refil Pré E3 + 6x Refil Carbon Tech 9"</t>
        </is>
      </c>
      <c r="D120" s="46" t="n">
        <v>2948.8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7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44" t="n">
        <v>46258</v>
      </c>
      <c r="B122" s="45" t="inlineStr">
        <is>
          <t>FPB João Pessoa (João Pessoa/PB)</t>
        </is>
      </c>
      <c r="C122" s="45" t="inlineStr">
        <is>
          <t>10x Refil E3 + 10x Refil Pré E3 + 4x Refil BAG + 2x Refil Pro Life</t>
        </is>
      </c>
      <c r="D122" s="46" t="n">
        <v>3181.6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7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44" t="n">
        <v>46238</v>
      </c>
      <c r="B124" s="45" t="inlineStr">
        <is>
          <t>Vaz Comércio de Cosméticos</t>
        </is>
      </c>
      <c r="C124" s="45" t="n"/>
      <c r="D124" s="46" t="n"/>
      <c r="E124" s="45" t="n"/>
      <c r="F124" s="47" t="n"/>
      <c r="G124" s="48" t="n">
        <v>10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7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2.4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1.2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44" t="n">
        <v>46245</v>
      </c>
      <c r="B130" s="45" t="inlineStr">
        <is>
          <t>Claudina dos Santos Morais</t>
        </is>
      </c>
      <c r="C130" s="45" t="n"/>
      <c r="D130" s="46" t="n"/>
      <c r="E130" s="45" t="n"/>
      <c r="F130" s="47" t="n"/>
      <c r="G130" s="48" t="n">
        <v>120</v>
      </c>
      <c r="H130" s="49" t="inlineStr">
        <is>
          <t>Pro Labore Edilânia</t>
        </is>
      </c>
      <c r="I130" s="45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7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46246</v>
      </c>
      <c r="B132" s="45" t="inlineStr">
        <is>
          <t>Malena Lorrane Santos do Nascimento</t>
        </is>
      </c>
      <c r="C132" s="45" t="n"/>
      <c r="D132" s="46" t="n"/>
      <c r="E132" s="45" t="n"/>
      <c r="F132" s="47" t="n"/>
      <c r="G132" s="48" t="n">
        <v>40</v>
      </c>
      <c r="H132" s="49" t="inlineStr">
        <is>
          <t>Pro Labore Edilânia</t>
        </is>
      </c>
      <c r="I132" s="45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7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44" t="n">
        <v>46247</v>
      </c>
      <c r="B134" s="45" t="inlineStr">
        <is>
          <t>Luciana Cruz Freire Santos</t>
        </is>
      </c>
      <c r="C134" s="45" t="n"/>
      <c r="D134" s="46" t="n"/>
      <c r="E134" s="45" t="n"/>
      <c r="F134" s="47" t="n"/>
      <c r="G134" s="48" t="n">
        <v>130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7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44" t="n">
        <v>46251</v>
      </c>
      <c r="B136" s="45" t="inlineStr">
        <is>
          <t>Daniel Barbosa dos Santos (Moto Táxi)</t>
        </is>
      </c>
      <c r="C136" s="45" t="n"/>
      <c r="D136" s="46" t="n"/>
      <c r="E136" s="45" t="n"/>
      <c r="F136" s="47" t="n"/>
      <c r="G136" s="48" t="n">
        <v>16</v>
      </c>
      <c r="H136" s="49" t="inlineStr">
        <is>
          <t>Transporte e Entregas</t>
        </is>
      </c>
      <c r="I136" s="45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7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44" t="n">
        <v>46252</v>
      </c>
      <c r="B138" s="45" t="inlineStr">
        <is>
          <t>L. A. Moreira Gráfica e Informática</t>
        </is>
      </c>
      <c r="C138" s="45" t="n"/>
      <c r="D138" s="46" t="n"/>
      <c r="E138" s="45" t="n"/>
      <c r="F138" s="47" t="n"/>
      <c r="G138" s="48" t="n">
        <v>18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7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46253</v>
      </c>
      <c r="B140" s="45" t="inlineStr">
        <is>
          <t>Pampet Club</t>
        </is>
      </c>
      <c r="C140" s="45" t="n"/>
      <c r="D140" s="46" t="n"/>
      <c r="E140" s="45" t="n"/>
      <c r="F140" s="47" t="n"/>
      <c r="G140" s="48" t="n">
        <v>28</v>
      </c>
      <c r="H140" s="49" t="inlineStr">
        <is>
          <t>Pro Labore Edilânia</t>
        </is>
      </c>
      <c r="I140" s="45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7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44" t="n">
        <v>46258</v>
      </c>
      <c r="B142" s="45" t="inlineStr">
        <is>
          <t>Estacionamento (Pagar.me)</t>
        </is>
      </c>
      <c r="C142" s="45" t="n"/>
      <c r="D142" s="46" t="n"/>
      <c r="E142" s="45" t="n"/>
      <c r="F142" s="47" t="n"/>
      <c r="G142" s="48" t="n">
        <v>2.4</v>
      </c>
      <c r="H142" s="49" t="inlineStr">
        <is>
          <t>Transporte e Entregas</t>
        </is>
      </c>
      <c r="I142" s="45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7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Cliente Consumidor Final</t>
        </is>
      </c>
      <c r="C144" s="45" t="inlineStr">
        <is>
          <t>Refil Universal</t>
        </is>
      </c>
      <c r="D144" s="46" t="n">
        <v>30</v>
      </c>
      <c r="E144" s="45" t="inlineStr">
        <is>
          <t>Crédito à Vista</t>
        </is>
      </c>
      <c r="F144" s="47" t="n">
        <v>1.05</v>
      </c>
      <c r="G144" s="48" t="n"/>
      <c r="H144" s="49" t="n"/>
      <c r="I144" s="45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7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44" t="n">
        <v>46259</v>
      </c>
      <c r="B146" s="45" t="inlineStr">
        <is>
          <t>Cristiane Lima Procopio</t>
        </is>
      </c>
      <c r="C146" s="45" t="inlineStr">
        <is>
          <t>Refil Everest + Pré Filtro</t>
        </is>
      </c>
      <c r="D146" s="50" t="n">
        <v>200</v>
      </c>
      <c r="E146" s="45" t="inlineStr">
        <is>
          <t>Pix</t>
        </is>
      </c>
      <c r="F146" s="47" t="n"/>
      <c r="G146" s="47" t="n"/>
      <c r="H146" s="49" t="n"/>
      <c r="I146" s="45" t="inlineStr">
        <is>
          <t>Venda de 24/08/2026 — pagamento recebido via Pix em 25/08/2026</t>
        </is>
      </c>
      <c r="J146" s="45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34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44" t="n">
        <v>46259</v>
      </c>
      <c r="B148" s="45" t="inlineStr">
        <is>
          <t>Clinica Sao Lucas (Caém)</t>
        </is>
      </c>
      <c r="C148" s="45" t="inlineStr">
        <is>
          <t>Refil Pro Life + Mangueira</t>
        </is>
      </c>
      <c r="D148" s="50" t="n">
        <v>130</v>
      </c>
      <c r="E148" s="45" t="inlineStr">
        <is>
          <t>Crédito Parcelado</t>
        </is>
      </c>
      <c r="F148" s="47" t="n">
        <v>9.09</v>
      </c>
      <c r="G148" s="47" t="n"/>
      <c r="H148" s="49" t="n"/>
      <c r="I148" s="45" t="n"/>
    </row>
    <row r="149" ht="15.75" customHeight="1" s="157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34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44" t="n">
        <v>46259</v>
      </c>
      <c r="B150" s="45" t="inlineStr">
        <is>
          <t>Filtros Planeta Água</t>
        </is>
      </c>
      <c r="C150" s="45" t="n"/>
      <c r="D150" s="50" t="n"/>
      <c r="E150" s="45" t="n"/>
      <c r="F150" s="47" t="n"/>
      <c r="G150" s="47" t="n">
        <v>504.34</v>
      </c>
      <c r="H150" s="49" t="inlineStr">
        <is>
          <t>Fornecedores / Mercadoria</t>
        </is>
      </c>
      <c r="I150" s="45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45" t="n"/>
    </row>
    <row r="151">
      <c r="A151" s="17" t="n">
        <v>46259</v>
      </c>
      <c r="B151" s="18" t="inlineStr">
        <is>
          <t>Fix English School</t>
        </is>
      </c>
      <c r="C151" s="18" t="n"/>
      <c r="D151" s="134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44" t="n">
        <v>46251</v>
      </c>
      <c r="B152" s="45" t="inlineStr">
        <is>
          <t>Retirada Complementar — Despesas de 17/08</t>
        </is>
      </c>
      <c r="C152" s="45" t="n"/>
      <c r="D152" s="50" t="n"/>
      <c r="E152" s="45" t="n"/>
      <c r="F152" s="47" t="n"/>
      <c r="G152" s="47" t="n">
        <v>250</v>
      </c>
      <c r="H152" s="49" t="inlineStr">
        <is>
          <t>Outras Despesas</t>
        </is>
      </c>
      <c r="I152" s="45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34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44" t="n">
        <v>46260</v>
      </c>
      <c r="B154" s="45" t="inlineStr">
        <is>
          <t>Luana Mesquita Victoria</t>
        </is>
      </c>
      <c r="C154" s="45" t="inlineStr">
        <is>
          <t>Pré Filtro</t>
        </is>
      </c>
      <c r="D154" s="50" t="n">
        <v>60</v>
      </c>
      <c r="E154" s="45" t="inlineStr">
        <is>
          <t>Pix</t>
        </is>
      </c>
      <c r="F154" s="47" t="n"/>
      <c r="G154" s="47" t="n"/>
      <c r="H154" s="49" t="n"/>
      <c r="I154" s="45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34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44" t="n">
        <v>46262</v>
      </c>
      <c r="B156" s="45" t="inlineStr">
        <is>
          <t>Promotoria Regional de Jacobina</t>
        </is>
      </c>
      <c r="C156" s="45" t="inlineStr">
        <is>
          <t>2x Carcaça 9" + 2x Refil Plissado 9" + Conexão Reta Rosca</t>
        </is>
      </c>
      <c r="D156" s="50" t="n">
        <v>270</v>
      </c>
      <c r="E156" s="45" t="inlineStr">
        <is>
          <t>Pix</t>
        </is>
      </c>
      <c r="F156" s="47" t="n"/>
      <c r="G156" s="47" t="n"/>
      <c r="H156" s="49" t="n"/>
      <c r="I156" s="45" t="inlineStr">
        <is>
          <t>Venda única de R$ 470,00 (27/08/2026), paga em 28/08/2026 em duas formas: R$ 270,00 Pix (esta linha) + R$ 200,00 crédito 2x (linha seguinte). Os produtos estão listados só aqui.</t>
        </is>
      </c>
      <c r="J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34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44" t="n">
        <v>46261</v>
      </c>
      <c r="B158" s="45" t="inlineStr">
        <is>
          <t>Acerto de Armando</t>
        </is>
      </c>
      <c r="C158" s="45" t="n"/>
      <c r="D158" s="50" t="n">
        <v>1000</v>
      </c>
      <c r="E158" s="45" t="inlineStr">
        <is>
          <t>Dinheiro</t>
        </is>
      </c>
      <c r="F158" s="47" t="n"/>
      <c r="G158" s="47" t="n"/>
      <c r="H158" s="49" t="n"/>
      <c r="I158" s="45" t="n"/>
    </row>
    <row r="159">
      <c r="A159" s="17" t="n">
        <v>46261</v>
      </c>
      <c r="B159" s="18" t="inlineStr">
        <is>
          <t>A E G Calçados LTDA</t>
        </is>
      </c>
      <c r="C159" s="18" t="n"/>
      <c r="D159" s="134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44" t="n">
        <v>46261</v>
      </c>
      <c r="B160" s="45" t="inlineStr">
        <is>
          <t>Queite Almeida Duarte</t>
        </is>
      </c>
      <c r="C160" s="45" t="n"/>
      <c r="D160" s="50" t="n"/>
      <c r="E160" s="45" t="n"/>
      <c r="F160" s="47" t="n"/>
      <c r="G160" s="47" t="n">
        <v>100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34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44" t="n">
        <v>46260</v>
      </c>
      <c r="B162" s="45" t="inlineStr">
        <is>
          <t>Estacionamento (Pagar.me)</t>
        </is>
      </c>
      <c r="C162" s="45" t="n"/>
      <c r="D162" s="50" t="n"/>
      <c r="E162" s="45" t="n"/>
      <c r="F162" s="47" t="n"/>
      <c r="G162" s="47" t="n">
        <v>1.2</v>
      </c>
      <c r="H162" s="49" t="inlineStr">
        <is>
          <t>Transporte e Entregas</t>
        </is>
      </c>
      <c r="I162" s="45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34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44" t="n">
        <v>46261</v>
      </c>
      <c r="B164" s="45" t="inlineStr">
        <is>
          <t>FG Boa Vista (Recife/PE)</t>
        </is>
      </c>
      <c r="C164" s="45" t="inlineStr">
        <is>
          <t>Refis — troca de julho/2026</t>
        </is>
      </c>
      <c r="D164" s="46" t="n">
        <v>1008.8</v>
      </c>
      <c r="E164" s="45" t="inlineStr">
        <is>
          <t>Pix</t>
        </is>
      </c>
      <c r="F164" s="47" t="n"/>
      <c r="G164" s="48" t="n"/>
      <c r="H164" s="49" t="n"/>
      <c r="I164" s="45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7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44" t="n">
        <v>46261</v>
      </c>
      <c r="B166" s="45" t="inlineStr">
        <is>
          <t>UNP Zona Norte (Natal/RN)</t>
        </is>
      </c>
      <c r="C166" s="45" t="inlineStr">
        <is>
          <t>Refis — troca de julho/2026</t>
        </is>
      </c>
      <c r="D166" s="46" t="n">
        <v>870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APECPO00019432 · NF 000.004.282 de 28/07/2026 · prazo 30 dias · vencimento 27/08/2026 · Pago em 27/08/2026 (confirmado via Pix APEC no extrato bancário)</t>
        </is>
      </c>
      <c r="K166" s="42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7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31" t="n"/>
      <c r="L167" s="31" t="n"/>
    </row>
    <row r="168">
      <c r="A168" s="44" t="n">
        <v>46262</v>
      </c>
      <c r="B168" s="45" t="inlineStr">
        <is>
          <t>Produtos de Higiene</t>
        </is>
      </c>
      <c r="C168" s="45" t="n"/>
      <c r="D168" s="46" t="n"/>
      <c r="E168" s="45" t="n"/>
      <c r="F168" s="47" t="n"/>
      <c r="G168" s="48" t="n">
        <v>19.85</v>
      </c>
      <c r="H168" s="49" t="inlineStr">
        <is>
          <t>Material de Limpeza e Escritório</t>
        </is>
      </c>
      <c r="I168" s="45" t="n"/>
      <c r="K168" s="31" t="n"/>
      <c r="L168" s="31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7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44" t="n">
        <v>46265</v>
      </c>
      <c r="B170" s="45" t="inlineStr">
        <is>
          <t>Eversoft</t>
        </is>
      </c>
      <c r="C170" s="45" t="n"/>
      <c r="D170" s="46" t="n"/>
      <c r="E170" s="45" t="n"/>
      <c r="F170" s="47" t="n"/>
      <c r="G170" s="48" t="n">
        <v>878.9299999999999</v>
      </c>
      <c r="H170" s="49" t="inlineStr">
        <is>
          <t>Fornecedores / Mercadoria</t>
        </is>
      </c>
      <c r="I170" s="45" t="inlineStr">
        <is>
          <t>NF 72153 de 02/04/2026 · parcela 5/5 (venc. 30/08/2026) · compra total R$ 4.394,61: 100x Refil Everest</t>
        </is>
      </c>
      <c r="J170" s="45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7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44" t="n">
        <v>46265</v>
      </c>
      <c r="B172" s="45" t="inlineStr">
        <is>
          <t>Salário Erick (Estagiário)</t>
        </is>
      </c>
      <c r="C172" s="45" t="n"/>
      <c r="D172" s="46" t="n"/>
      <c r="E172" s="45" t="n"/>
      <c r="F172" s="47" t="n"/>
      <c r="G172" s="48" t="n">
        <v>600</v>
      </c>
      <c r="H172" s="49" t="inlineStr">
        <is>
          <t>Salários, Comissões e Encargos</t>
        </is>
      </c>
      <c r="I172" s="45" t="n"/>
    </row>
    <row r="173" ht="15.75" customHeight="1" s="157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7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44" t="n">
        <v>46265</v>
      </c>
      <c r="B174" s="45" t="inlineStr">
        <is>
          <t>Raiane Melo do Rosario</t>
        </is>
      </c>
      <c r="C174" s="45" t="inlineStr">
        <is>
          <t>Refil Everest + Pré Filtro</t>
        </is>
      </c>
      <c r="D174" s="50" t="n">
        <v>200</v>
      </c>
      <c r="E174" s="45" t="inlineStr">
        <is>
          <t>Crédito Parcelado</t>
        </is>
      </c>
      <c r="F174" s="47" t="n">
        <v>15.98</v>
      </c>
      <c r="G174" s="47" t="n"/>
      <c r="H174" s="49" t="n"/>
      <c r="I174" s="45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34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7">
      <c r="A176" s="44" t="n">
        <v>46265</v>
      </c>
      <c r="B176" s="45" t="inlineStr">
        <is>
          <t>Tarifa Pix (14 lançamentos)</t>
        </is>
      </c>
      <c r="C176" s="45" t="n"/>
      <c r="D176" s="50" t="n"/>
      <c r="E176" s="45" t="n"/>
      <c r="F176" s="47" t="n"/>
      <c r="G176" s="47" t="n">
        <v>48.25</v>
      </c>
      <c r="H176" s="49" t="inlineStr">
        <is>
          <t>Tarifas Bancárias e Cartão</t>
        </is>
      </c>
      <c r="I176" s="45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34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44" t="n">
        <v>46265</v>
      </c>
      <c r="B178" s="45" t="inlineStr">
        <is>
          <t>Compras p/Loja (2 lançamentos)</t>
        </is>
      </c>
      <c r="C178" s="45" t="n"/>
      <c r="D178" s="50" t="n"/>
      <c r="E178" s="45" t="n"/>
      <c r="F178" s="47" t="n"/>
      <c r="G178" s="47" t="n">
        <v>131.29</v>
      </c>
      <c r="H178" s="49" t="inlineStr">
        <is>
          <t>Fornecedores / Mercadoria</t>
        </is>
      </c>
      <c r="I178" s="45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34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44" t="n">
        <v>46265</v>
      </c>
      <c r="B180" s="45" t="inlineStr">
        <is>
          <t>Gasolina</t>
        </is>
      </c>
      <c r="C180" s="45" t="n"/>
      <c r="D180" s="50" t="n"/>
      <c r="E180" s="45" t="n"/>
      <c r="F180" s="47" t="n"/>
      <c r="G180" s="47" t="n">
        <v>30</v>
      </c>
      <c r="H180" s="49" t="inlineStr">
        <is>
          <t>Transporte e Entregas</t>
        </is>
      </c>
      <c r="I180" s="45" t="n"/>
    </row>
    <row r="181">
      <c r="A181" s="17" t="n">
        <v>46251</v>
      </c>
      <c r="B181" s="18" t="inlineStr">
        <is>
          <t>Cliente de Armando</t>
        </is>
      </c>
      <c r="C181" s="18" t="n"/>
      <c r="D181" s="134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44" t="n">
        <v>46252</v>
      </c>
      <c r="B182" s="45" t="inlineStr">
        <is>
          <t>Cliente de Armando</t>
        </is>
      </c>
      <c r="C182" s="45" t="n"/>
      <c r="D182" s="50" t="n">
        <v>200</v>
      </c>
      <c r="E182" s="45" t="inlineStr">
        <is>
          <t>Crédito Parcelado</t>
        </is>
      </c>
      <c r="F182" s="47" t="n">
        <v>13.98</v>
      </c>
      <c r="G182" s="47" t="n"/>
      <c r="H182" s="49" t="n"/>
      <c r="I182" s="45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34" t="n"/>
      <c r="E183" s="18" t="n"/>
      <c r="F183" s="19" t="n"/>
      <c r="G183" s="20" t="n"/>
      <c r="H183" s="21" t="n"/>
      <c r="I183" s="18" t="n"/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46316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46315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Tania Dourado - Eduardo Dourado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CLI-0525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7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44" t="n">
        <v>46315</v>
      </c>
      <c r="B160" s="45" t="inlineStr">
        <is>
          <t>Filtros Planeta Água</t>
        </is>
      </c>
      <c r="C160" s="45" t="n"/>
      <c r="D160" s="46" t="n"/>
      <c r="E160" s="45" t="n"/>
      <c r="F160" s="47" t="n"/>
      <c r="G160" s="48" t="n">
        <v>537.9299999999999</v>
      </c>
      <c r="H160" s="49" t="inlineStr">
        <is>
          <t>Fornecedores / Mercadoria</t>
        </is>
      </c>
      <c r="I160" s="45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7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44" t="n">
        <v>46316</v>
      </c>
      <c r="B162" s="45" t="inlineStr">
        <is>
          <t>Consumidor Final</t>
        </is>
      </c>
      <c r="C162" s="45" t="inlineStr">
        <is>
          <t>Conexão Reta Rosca</t>
        </is>
      </c>
      <c r="D162" s="46" t="n">
        <v>25</v>
      </c>
      <c r="E162" s="45" t="inlineStr">
        <is>
          <t>Pix</t>
        </is>
      </c>
      <c r="F162" s="47" t="n"/>
      <c r="G162" s="48" t="n"/>
      <c r="H162" s="49" t="n"/>
      <c r="I162" s="45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7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44" t="n">
        <v>46318</v>
      </c>
      <c r="B164" s="45" t="inlineStr">
        <is>
          <t>Alessandra Carvalho Vieira - Paulo Sergio</t>
        </is>
      </c>
      <c r="C164" s="45" t="inlineStr">
        <is>
          <t>Refil Everest + Mangueira</t>
        </is>
      </c>
      <c r="D164" s="46" t="n">
        <v>150</v>
      </c>
      <c r="E164" s="45" t="inlineStr">
        <is>
          <t>Pix</t>
        </is>
      </c>
      <c r="F164" s="47" t="n"/>
      <c r="G164" s="48" t="n"/>
      <c r="H164" s="49" t="n"/>
      <c r="I164" s="45" t="n"/>
      <c r="J164" t="inlineStr">
        <is>
          <t>CLI-0586</t>
        </is>
      </c>
    </row>
    <row r="165">
      <c r="A165" s="17" t="n">
        <v>46318</v>
      </c>
      <c r="B165" s="18" t="inlineStr">
        <is>
          <t>Rita Mesquita</t>
        </is>
      </c>
      <c r="C165" s="18" t="inlineStr">
        <is>
          <t>Refil Everest</t>
        </is>
      </c>
      <c r="D165" s="27" t="n">
        <v>140</v>
      </c>
      <c r="E165" s="18" t="inlineStr">
        <is>
          <t>Crédito à Vista</t>
        </is>
      </c>
      <c r="F165" s="19" t="n">
        <v>4.91</v>
      </c>
      <c r="G165" s="19" t="n"/>
      <c r="H165" s="21" t="n"/>
      <c r="I165" s="18" t="n"/>
      <c r="J165" s="18" t="inlineStr">
        <is>
          <t>CLI-0554</t>
        </is>
      </c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2026-10-23T14:56:50Z</dcterms:modified>
  <cp:lastModifiedBy>Planeta</cp:lastModifiedBy>
  <cp:revision>1</cp:revision>
</cp:coreProperties>
</file>