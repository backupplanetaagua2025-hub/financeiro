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7755" tabRatio="500" firstSheet="1" activeTab="2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RE Simplificado" sheetId="3" state="visible" r:id="rId3"/>
    <sheet xmlns:r="http://schemas.openxmlformats.org/officeDocument/2006/relationships" name="Contas a Pagar e Receber" sheetId="4" state="visible" r:id="rId4"/>
    <sheet xmlns:r="http://schemas.openxmlformats.org/officeDocument/2006/relationships" name="Capital de Giro (BB)" sheetId="5" state="visible" r:id="rId5"/>
    <sheet xmlns:r="http://schemas.openxmlformats.org/officeDocument/2006/relationships" name="Ponto de Equilíbrio" sheetId="6" state="visible" r:id="rId6"/>
    <sheet xmlns:r="http://schemas.openxmlformats.org/officeDocument/2006/relationships" name="Fluxo de Caixa Projetado" sheetId="7" state="visible" r:id="rId7"/>
    <sheet xmlns:r="http://schemas.openxmlformats.org/officeDocument/2006/relationships" name="Reserva e Impostos" sheetId="8" state="visible" r:id="rId8"/>
    <sheet xmlns:r="http://schemas.openxmlformats.org/officeDocument/2006/relationships" name="Orçado vs Realizado" sheetId="9" state="visible" r:id="rId9"/>
    <sheet xmlns:r="http://schemas.openxmlformats.org/officeDocument/2006/relationships" name="Precificação e Margem" sheetId="10" state="visible" r:id="rId10"/>
    <sheet xmlns:r="http://schemas.openxmlformats.org/officeDocument/2006/relationships" name="Conciliação Bancária" sheetId="11" state="visible" r:id="rId11"/>
    <sheet xmlns:r="http://schemas.openxmlformats.org/officeDocument/2006/relationships" name="Cadastro Clientes-Fornec" sheetId="12" state="visible" r:id="rId12"/>
    <sheet xmlns:r="http://schemas.openxmlformats.org/officeDocument/2006/relationships" name="Jan 2026" sheetId="13" state="visible" r:id="rId13"/>
    <sheet xmlns:r="http://schemas.openxmlformats.org/officeDocument/2006/relationships" name="Fev 2026" sheetId="14" state="visible" r:id="rId14"/>
    <sheet xmlns:r="http://schemas.openxmlformats.org/officeDocument/2006/relationships" name="Mar 2026" sheetId="15" state="visible" r:id="rId15"/>
    <sheet xmlns:r="http://schemas.openxmlformats.org/officeDocument/2006/relationships" name="Abr 2026" sheetId="16" state="visible" r:id="rId16"/>
    <sheet xmlns:r="http://schemas.openxmlformats.org/officeDocument/2006/relationships" name="Mai 2026" sheetId="17" state="visible" r:id="rId17"/>
    <sheet xmlns:r="http://schemas.openxmlformats.org/officeDocument/2006/relationships" name="Jun 2026" sheetId="18" state="visible" r:id="rId18"/>
    <sheet xmlns:r="http://schemas.openxmlformats.org/officeDocument/2006/relationships" name="Jul 2026" sheetId="19" state="visible" r:id="rId19"/>
    <sheet xmlns:r="http://schemas.openxmlformats.org/officeDocument/2006/relationships" name="Ago 2026" sheetId="20" state="visible" r:id="rId20"/>
    <sheet xmlns:r="http://schemas.openxmlformats.org/officeDocument/2006/relationships" name="Set 2026" sheetId="21" state="visible" r:id="rId21"/>
    <sheet xmlns:r="http://schemas.openxmlformats.org/officeDocument/2006/relationships" name="Out 2026" sheetId="22" state="visible" r:id="rId22"/>
    <sheet xmlns:r="http://schemas.openxmlformats.org/officeDocument/2006/relationships" name="Nov 2026" sheetId="23" state="visible" r:id="rId23"/>
    <sheet xmlns:r="http://schemas.openxmlformats.org/officeDocument/2006/relationships" name="Dez 2026" sheetId="24" state="visible" r:id="rId24"/>
  </sheets>
  <definedNames/>
  <calcPr calcId="152511" fullCalcOnLoad="1" iterateDelta="0.0001"/>
</workbook>
</file>

<file path=xl/styles.xml><?xml version="1.0" encoding="utf-8"?>
<styleSheet xmlns="http://schemas.openxmlformats.org/spreadsheetml/2006/main">
  <numFmts count="4">
    <numFmt numFmtId="164" formatCode="&quot;R$ &quot;#,##0.00"/>
    <numFmt numFmtId="165" formatCode="0.0%"/>
    <numFmt numFmtId="166" formatCode="0.0"/>
    <numFmt numFmtId="167" formatCode="&quot;R$ &quot;#,##0.00;[Red]&quot;−R$ &quot;#,##0.00"/>
  </numFmts>
  <fonts count="78">
    <font>
      <name val="Calibri"/>
      <charset val="1"/>
      <family val="2"/>
      <color theme="1"/>
      <sz val="11"/>
    </font>
    <font>
      <name val="Calibri"/>
      <charset val="1"/>
      <b val="1"/>
      <color rgb="FF1F3864"/>
      <sz val="20"/>
    </font>
    <font>
      <name val="Calibri"/>
      <charset val="1"/>
      <i val="1"/>
      <color rgb="FF666666"/>
      <sz val="11"/>
    </font>
    <font>
      <name val="Calibri"/>
      <charset val="1"/>
      <b val="1"/>
      <color rgb="FFFFFFFF"/>
      <sz val="9"/>
    </font>
    <font>
      <name val="Calibri"/>
      <charset val="1"/>
      <b val="1"/>
      <color rgb="FF0F9D8B"/>
      <sz val="15"/>
    </font>
    <font>
      <name val="Calibri"/>
      <charset val="1"/>
      <b val="1"/>
      <color rgb="FFC0392B"/>
      <sz val="15"/>
    </font>
    <font>
      <name val="Calibri"/>
      <charset val="1"/>
      <b val="1"/>
      <color rgb="FF1E7B34"/>
      <sz val="15"/>
    </font>
    <font>
      <name val="Calibri"/>
      <charset val="1"/>
      <b val="1"/>
      <color rgb="FFB7862C"/>
      <sz val="15"/>
    </font>
    <font>
      <name val="Calibri"/>
      <charset val="1"/>
      <b val="1"/>
      <color rgb="FF5B4B8A"/>
      <sz val="15"/>
    </font>
    <font>
      <name val="Calibri"/>
      <charset val="1"/>
      <b val="1"/>
      <color rgb="FF1F3864"/>
      <sz val="12"/>
    </font>
    <font>
      <name val="Calibri"/>
      <charset val="1"/>
      <color rgb="FF333333"/>
      <sz val="10.5"/>
    </font>
    <font>
      <name val="Calibri"/>
      <charset val="1"/>
      <i val="1"/>
      <color rgb="FFB7862C"/>
      <sz val="9"/>
    </font>
    <font>
      <name val="Calibri"/>
      <charset val="1"/>
      <i val="1"/>
      <color rgb="FF777777"/>
      <sz val="9"/>
    </font>
    <font>
      <name val="Calibri"/>
      <charset val="1"/>
      <b val="1"/>
      <color rgb="FFFFFFFF"/>
      <sz val="11"/>
    </font>
    <font>
      <name val="Calibri"/>
      <charset val="1"/>
      <sz val="10.5"/>
    </font>
    <font>
      <name val="Calibri"/>
      <charset val="1"/>
      <b val="1"/>
      <color rgb="FF1F3864"/>
      <sz val="11"/>
    </font>
    <font>
      <name val="Calibri"/>
      <charset val="1"/>
      <b val="1"/>
      <color rgb="FF1F3864"/>
      <sz val="16"/>
    </font>
    <font>
      <name val="Calibri"/>
      <charset val="1"/>
      <i val="1"/>
      <color rgb="FF666666"/>
      <sz val="10"/>
    </font>
    <font>
      <name val="Calibri"/>
      <charset val="1"/>
      <color rgb="FFC0392B"/>
      <sz val="10.5"/>
    </font>
    <font>
      <name val="Calibri"/>
      <charset val="1"/>
      <color rgb="FF1E7B34"/>
      <sz val="10.5"/>
    </font>
    <font>
      <name val="Calibri"/>
      <charset val="1"/>
      <b val="1"/>
      <color rgb="FFFFFFFF"/>
      <sz val="12"/>
    </font>
    <font>
      <name val="Calibri"/>
      <sz val="11"/>
    </font>
    <font>
      <name val="Calibri"/>
      <b val="1"/>
      <color rgb="FFFFFFFF"/>
      <sz val="9"/>
    </font>
    <font>
      <name val="Calibri"/>
      <b val="1"/>
      <color rgb="FF0F9D8B"/>
      <sz val="15"/>
    </font>
    <font>
      <name val="Calibri"/>
      <b val="1"/>
      <color rgb="FFC0392B"/>
      <sz val="15"/>
    </font>
    <font>
      <name val="Calibri"/>
      <b val="1"/>
      <color rgb="FF1E7B34"/>
      <sz val="15"/>
    </font>
    <font>
      <name val="Calibri"/>
      <b val="1"/>
      <color rgb="FFB7791F"/>
      <sz val="15"/>
    </font>
    <font>
      <name val="Calibri"/>
      <b val="1"/>
      <color rgb="FF1F3864"/>
      <sz val="16"/>
    </font>
    <font>
      <name val="Calibri"/>
      <i val="1"/>
      <color rgb="FF666666"/>
      <sz val="10"/>
    </font>
    <font>
      <name val="Calibri"/>
      <b val="1"/>
      <color rgb="FF1F3864"/>
      <sz val="15"/>
    </font>
    <font>
      <name val="Calibri"/>
      <b val="1"/>
      <color rgb="FFFFFFFF"/>
      <sz val="11"/>
    </font>
    <font>
      <name val="Calibri"/>
      <sz val="10.5"/>
    </font>
    <font>
      <name val="Calibri"/>
      <color rgb="FF1E7B34"/>
      <sz val="10.5"/>
    </font>
    <font>
      <name val="Calibri"/>
      <b val="1"/>
      <sz val="10.5"/>
    </font>
    <font>
      <name val="Calibri"/>
      <b val="1"/>
      <sz val="10"/>
    </font>
    <font>
      <name val="Calibri"/>
      <i val="1"/>
      <color rgb="FF666666"/>
      <sz val="9"/>
    </font>
    <font>
      <name val="Calibri"/>
      <color rgb="FF666666"/>
      <sz val="10"/>
    </font>
    <font>
      <name val="Calibri"/>
      <color rgb="FF666666"/>
      <sz val="9.5"/>
    </font>
    <font>
      <name val="Calibri"/>
      <b val="1"/>
      <color rgb="FF1F3864"/>
      <sz val="11"/>
    </font>
    <font>
      <name val="Calibri"/>
      <b val="1"/>
      <color rgb="FF1F3864"/>
      <sz val="10.5"/>
    </font>
    <font>
      <name val="Calibri"/>
      <b val="1"/>
      <color rgb="FF1F3864"/>
      <sz val="12"/>
    </font>
    <font>
      <name val="Calibri"/>
      <b val="1"/>
      <color rgb="FF1F3864"/>
      <sz val="16"/>
    </font>
    <font>
      <name val="Calibri"/>
      <color rgb="FF666666"/>
      <sz val="10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1F3864"/>
      <sz val="11"/>
    </font>
    <font>
      <name val="Calibri"/>
      <i val="1"/>
      <color rgb="FF666666"/>
      <sz val="10"/>
    </font>
    <font>
      <name val="Calibri"/>
      <b val="1"/>
      <color rgb="FF1F3864"/>
      <sz val="10"/>
    </font>
    <font>
      <name val="Calibri"/>
      <b val="1"/>
      <color rgb="FFFFFFFF"/>
      <sz val="9"/>
    </font>
    <font>
      <name val="Calibri"/>
      <b val="1"/>
      <color rgb="FF0F9D8B"/>
      <sz val="15"/>
    </font>
    <font>
      <name val="Calibri"/>
      <b val="1"/>
      <color rgb="FFC0392B"/>
      <sz val="15"/>
    </font>
    <font>
      <name val="Calibri"/>
      <b val="1"/>
      <color rgb="FF1E7B34"/>
      <sz val="15"/>
    </font>
    <font>
      <name val="Calibri"/>
      <b val="1"/>
      <color rgb="FFB7791F"/>
      <sz val="15"/>
    </font>
    <font>
      <name val="Calibri"/>
      <b val="1"/>
      <color rgb="FF1F3864"/>
      <sz val="18"/>
    </font>
    <font>
      <name val="Calibri"/>
      <b val="1"/>
      <color rgb="FF1F3864"/>
      <sz val="11"/>
    </font>
    <font>
      <name val="Calibri"/>
      <b val="1"/>
      <color rgb="FFC0392B"/>
      <sz val="10"/>
    </font>
    <font>
      <name val="Calibri"/>
      <b val="1"/>
      <color rgb="FFFFFFFF"/>
      <sz val="12"/>
    </font>
    <font>
      <name val="Calibri"/>
      <b val="1"/>
      <color rgb="FF666666"/>
      <sz val="11"/>
    </font>
    <font>
      <name val="Calibri"/>
      <color rgb="FF666666"/>
      <sz val="9"/>
    </font>
    <font>
      <name val="Calibri"/>
      <b val="1"/>
      <color rgb="FF666666"/>
      <sz val="9"/>
    </font>
    <font>
      <name val="Calibri"/>
      <b val="1"/>
      <color rgb="FFFFFFFF"/>
      <sz val="10"/>
    </font>
    <font>
      <name val="Calibri"/>
      <i val="1"/>
      <color rgb="FF666666"/>
      <sz val="9"/>
    </font>
    <font>
      <name val="Calibri"/>
      <b val="1"/>
      <i val="1"/>
      <color rgb="FF666666"/>
      <sz val="10"/>
    </font>
    <font>
      <name val="Calibri"/>
      <b val="1"/>
      <color rgb="FF1F3864"/>
      <sz val="24"/>
    </font>
    <font>
      <name val="Calibri"/>
      <color rgb="FF666666"/>
      <sz val="11"/>
    </font>
    <font>
      <name val="Calibri"/>
      <b val="1"/>
      <color rgb="FFFFFFFF"/>
      <sz val="11"/>
    </font>
    <font>
      <name val="Calibri"/>
      <b val="1"/>
      <color rgb="FFFFFFFF"/>
      <sz val="8"/>
    </font>
    <font>
      <name val="Calibri"/>
      <b val="1"/>
      <color rgb="FF0F9D8B"/>
      <sz val="13"/>
    </font>
    <font>
      <name val="Calibri"/>
      <b val="1"/>
      <color rgb="FFC0392B"/>
      <sz val="13"/>
    </font>
    <font>
      <name val="Calibri"/>
      <b val="1"/>
      <color rgb="FF1E7B34"/>
      <sz val="13"/>
    </font>
    <font>
      <name val="Calibri"/>
      <b val="1"/>
      <color rgb="FFB7791F"/>
      <sz val="13"/>
    </font>
    <font>
      <name val="Calibri"/>
      <b val="1"/>
      <color rgb="FF1F3864"/>
      <sz val="13"/>
    </font>
    <font>
      <name val="Calibri"/>
      <b val="1"/>
      <color rgb="FF0563C1"/>
      <sz val="11"/>
      <u val="single"/>
    </font>
    <font>
      <name val="Calibri"/>
      <b val="1"/>
      <color rgb="FF0563C1"/>
      <sz val="9"/>
      <u val="single"/>
    </font>
    <font>
      <name val="Calibri"/>
      <i val="1"/>
      <color rgb="FFB7791F"/>
      <sz val="10"/>
    </font>
    <font>
      <name val="Calibri"/>
      <b val="1"/>
      <i val="1"/>
      <color rgb="FFB7791F"/>
      <sz val="10"/>
    </font>
    <font>
      <name val="Calibri"/>
      <b val="1"/>
      <color rgb="FF6B46C1"/>
      <sz val="15"/>
    </font>
    <font>
      <name val="Calibri"/>
      <b val="1"/>
      <color rgb="FF6B46C1"/>
      <sz val="13"/>
    </font>
  </fonts>
  <fills count="24">
    <fill>
      <patternFill/>
    </fill>
    <fill>
      <patternFill patternType="gray125"/>
    </fill>
    <fill>
      <patternFill patternType="solid">
        <fgColor rgb="FF0F9D8B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1E7B34"/>
        <bgColor rgb="FF008080"/>
      </patternFill>
    </fill>
    <fill>
      <patternFill patternType="solid">
        <fgColor rgb="FFB7862C"/>
        <bgColor rgb="FF878787"/>
      </patternFill>
    </fill>
    <fill>
      <patternFill patternType="solid">
        <fgColor rgb="FF5B4B8A"/>
        <bgColor rgb="FF666666"/>
      </patternFill>
    </fill>
    <fill>
      <patternFill patternType="solid">
        <fgColor rgb="FFFAFAFA"/>
        <bgColor rgb="FFF9F9F9"/>
      </patternFill>
    </fill>
    <fill>
      <patternFill patternType="solid">
        <fgColor rgb="FF1F3864"/>
        <bgColor rgb="FF333333"/>
      </patternFill>
    </fill>
    <fill>
      <patternFill patternType="solid">
        <fgColor rgb="FFF3F4F6"/>
        <bgColor rgb="FFF9F9F9"/>
      </patternFill>
    </fill>
    <fill>
      <patternFill patternType="solid">
        <fgColor rgb="FFD9E2F3"/>
        <bgColor rgb="FFD9D9D9"/>
      </patternFill>
    </fill>
    <fill>
      <patternFill patternType="solid">
        <fgColor rgb="FF0F9D8B"/>
      </patternFill>
    </fill>
    <fill>
      <patternFill patternType="solid">
        <fgColor rgb="FFFAFAFA"/>
      </patternFill>
    </fill>
    <fill>
      <patternFill patternType="solid">
        <fgColor rgb="FFC0392B"/>
      </patternFill>
    </fill>
    <fill>
      <patternFill patternType="solid">
        <fgColor rgb="FF1E7B34"/>
      </patternFill>
    </fill>
    <fill>
      <patternFill patternType="solid">
        <fgColor rgb="FFB7791F"/>
      </patternFill>
    </fill>
    <fill>
      <patternFill patternType="solid">
        <fgColor rgb="FF1F3864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666666"/>
      </patternFill>
    </fill>
    <fill>
      <patternFill patternType="solid">
        <fgColor rgb="FF6B46C1"/>
      </patternFill>
    </fill>
    <fill>
      <patternFill patternType="solid">
        <fgColor rgb="FFFDF3E2"/>
      </patternFill>
    </fill>
  </fills>
  <borders count="1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</borders>
  <cellStyleXfs count="1">
    <xf numFmtId="0" fontId="0" fillId="0" borderId="9"/>
  </cellStyleXfs>
  <cellXfs count="253">
    <xf numFmtId="0" fontId="0" fillId="0" borderId="0" pivotButton="0" quotePrefix="0" xfId="0"/>
    <xf numFmtId="0" fontId="13" fillId="8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/>
    </xf>
    <xf numFmtId="164" fontId="14" fillId="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/>
    </xf>
    <xf numFmtId="164" fontId="14" fillId="9" borderId="1" applyAlignment="1" pivotButton="0" quotePrefix="0" xfId="0">
      <alignment horizontal="center" vertical="center"/>
    </xf>
    <xf numFmtId="165" fontId="14" fillId="9" borderId="1" applyAlignment="1" pivotButton="0" quotePrefix="0" xfId="0">
      <alignment horizontal="center" vertical="center"/>
    </xf>
    <xf numFmtId="164" fontId="15" fillId="10" borderId="1" pivotButton="0" quotePrefix="0" xfId="0"/>
    <xf numFmtId="165" fontId="15" fillId="10" borderId="1" pivotButton="0" quotePrefix="0" xfId="0"/>
    <xf numFmtId="0" fontId="14" fillId="0" borderId="1" pivotButton="0" quotePrefix="0" xfId="0"/>
    <xf numFmtId="164" fontId="14" fillId="0" borderId="1" pivotButton="0" quotePrefix="0" xfId="0"/>
    <xf numFmtId="165" fontId="14" fillId="0" borderId="1" pivotButton="0" quotePrefix="0" xfId="0"/>
    <xf numFmtId="0" fontId="14" fillId="9" borderId="1" pivotButton="0" quotePrefix="0" xfId="0"/>
    <xf numFmtId="164" fontId="14" fillId="9" borderId="1" pivotButton="0" quotePrefix="0" xfId="0"/>
    <xf numFmtId="165" fontId="14" fillId="9" borderId="1" pivotButton="0" quotePrefix="0" xfId="0"/>
    <xf numFmtId="165" fontId="0" fillId="10" borderId="1" pivotButton="0" quotePrefix="0" xfId="0"/>
    <xf numFmtId="14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164" fontId="14" fillId="0" borderId="1" applyAlignment="1" pivotButton="0" quotePrefix="0" xfId="0">
      <alignment horizontal="right" vertical="center"/>
    </xf>
    <xf numFmtId="164" fontId="18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center" vertical="center"/>
    </xf>
    <xf numFmtId="14" fontId="14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164" fontId="19" fillId="9" borderId="1" applyAlignment="1" pivotButton="0" quotePrefix="0" xfId="0">
      <alignment horizontal="right" vertical="center"/>
    </xf>
    <xf numFmtId="164" fontId="14" fillId="9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center" vertical="center"/>
    </xf>
    <xf numFmtId="164" fontId="19" fillId="0" borderId="1" applyAlignment="1" pivotButton="0" quotePrefix="0" xfId="0">
      <alignment horizontal="right" vertical="center"/>
    </xf>
    <xf numFmtId="164" fontId="18" fillId="9" borderId="1" applyAlignment="1" pivotButton="0" quotePrefix="0" xfId="0">
      <alignment horizontal="right" vertical="center"/>
    </xf>
    <xf numFmtId="0" fontId="0" fillId="10" borderId="1" pivotButton="0" quotePrefix="0" xfId="0"/>
    <xf numFmtId="0" fontId="0" fillId="2" borderId="0" pivotButton="0" quotePrefix="0" xfId="0"/>
    <xf numFmtId="0" fontId="21" fillId="0" borderId="0" pivotButton="0" quotePrefix="0" xfId="0"/>
    <xf numFmtId="164" fontId="0" fillId="0" borderId="0" pivotButton="0" quotePrefix="0" xfId="0"/>
    <xf numFmtId="0" fontId="30" fillId="16" borderId="6" applyAlignment="1" pivotButton="0" quotePrefix="0" xfId="0">
      <alignment horizontal="center" vertical="center"/>
    </xf>
    <xf numFmtId="0" fontId="31" fillId="0" borderId="6" applyAlignment="1" pivotButton="0" quotePrefix="0" xfId="0">
      <alignment horizontal="left" vertical="center"/>
    </xf>
    <xf numFmtId="164" fontId="32" fillId="0" borderId="6" applyAlignment="1" pivotButton="0" quotePrefix="0" xfId="0">
      <alignment horizontal="right" vertical="center"/>
    </xf>
    <xf numFmtId="0" fontId="33" fillId="0" borderId="6" applyAlignment="1" pivotButton="0" quotePrefix="0" xfId="0">
      <alignment horizontal="center" vertical="center"/>
    </xf>
    <xf numFmtId="0" fontId="31" fillId="17" borderId="6" applyAlignment="1" pivotButton="0" quotePrefix="0" xfId="0">
      <alignment horizontal="left" vertical="center"/>
    </xf>
    <xf numFmtId="164" fontId="32" fillId="17" borderId="6" applyAlignment="1" pivotButton="0" quotePrefix="0" xfId="0">
      <alignment horizontal="right" vertical="center"/>
    </xf>
    <xf numFmtId="0" fontId="33" fillId="17" borderId="6" applyAlignment="1" pivotButton="0" quotePrefix="0" xfId="0">
      <alignment horizontal="center" vertical="center"/>
    </xf>
    <xf numFmtId="14" fontId="31" fillId="0" borderId="6" applyAlignment="1" pivotButton="0" quotePrefix="0" xfId="0">
      <alignment horizontal="center" vertical="center"/>
    </xf>
    <xf numFmtId="14" fontId="31" fillId="17" borderId="6" applyAlignment="1" pivotButton="0" quotePrefix="0" xfId="0">
      <alignment horizontal="center" vertical="center"/>
    </xf>
    <xf numFmtId="0" fontId="15" fillId="10" borderId="1" pivotButton="0" quotePrefix="0" xfId="0"/>
    <xf numFmtId="0" fontId="15" fillId="10" borderId="1" applyAlignment="1" pivotButton="0" quotePrefix="0" xfId="0">
      <alignment horizontal="right"/>
    </xf>
    <xf numFmtId="14" fontId="14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/>
    </xf>
    <xf numFmtId="164" fontId="32" fillId="17" borderId="1" applyAlignment="1" pivotButton="0" quotePrefix="0" xfId="0">
      <alignment horizontal="right" vertical="center"/>
    </xf>
    <xf numFmtId="164" fontId="14" fillId="17" borderId="1" applyAlignment="1" pivotButton="0" quotePrefix="0" xfId="0">
      <alignment horizontal="right" vertical="center"/>
    </xf>
    <xf numFmtId="164" fontId="18" fillId="17" borderId="1" applyAlignment="1" pivotButton="0" quotePrefix="0" xfId="0">
      <alignment horizontal="right" vertical="center"/>
    </xf>
    <xf numFmtId="0" fontId="14" fillId="17" borderId="1" applyAlignment="1" pivotButton="0" quotePrefix="0" xfId="0">
      <alignment horizontal="center" vertical="center"/>
    </xf>
    <xf numFmtId="164" fontId="19" fillId="17" borderId="1" applyAlignment="1" pivotButton="0" quotePrefix="0" xfId="0">
      <alignment horizontal="right" vertical="center"/>
    </xf>
    <xf numFmtId="0" fontId="30" fillId="16" borderId="7" applyAlignment="1" pivotButton="0" quotePrefix="0" xfId="0">
      <alignment horizontal="center" vertical="center" wrapText="1"/>
    </xf>
    <xf numFmtId="0" fontId="31" fillId="0" borderId="7" pivotButton="0" quotePrefix="0" xfId="0"/>
    <xf numFmtId="0" fontId="31" fillId="18" borderId="7" pivotButton="0" quotePrefix="0" xfId="0"/>
    <xf numFmtId="0" fontId="31" fillId="17" borderId="7" pivotButton="0" quotePrefix="0" xfId="0"/>
    <xf numFmtId="164" fontId="31" fillId="0" borderId="7" pivotButton="0" quotePrefix="0" xfId="0"/>
    <xf numFmtId="0" fontId="31" fillId="0" borderId="7" applyAlignment="1" pivotButton="0" quotePrefix="0" xfId="0">
      <alignment horizontal="center"/>
    </xf>
    <xf numFmtId="164" fontId="31" fillId="17" borderId="7" pivotButton="0" quotePrefix="0" xfId="0"/>
    <xf numFmtId="0" fontId="31" fillId="17" borderId="7" applyAlignment="1" pivotButton="0" quotePrefix="0" xfId="0">
      <alignment horizontal="center"/>
    </xf>
    <xf numFmtId="0" fontId="38" fillId="19" borderId="7" pivotButton="0" quotePrefix="0" xfId="0"/>
    <xf numFmtId="164" fontId="38" fillId="19" borderId="7" pivotButton="0" quotePrefix="0" xfId="0"/>
    <xf numFmtId="0" fontId="39" fillId="0" borderId="7" pivotButton="0" quotePrefix="0" xfId="0"/>
    <xf numFmtId="164" fontId="39" fillId="0" borderId="7" pivotButton="0" quotePrefix="0" xfId="0"/>
    <xf numFmtId="165" fontId="31" fillId="0" borderId="7" pivotButton="0" quotePrefix="0" xfId="0"/>
    <xf numFmtId="165" fontId="31" fillId="17" borderId="7" pivotButton="0" quotePrefix="0" xfId="0"/>
    <xf numFmtId="164" fontId="31" fillId="18" borderId="7" pivotButton="0" quotePrefix="0" xfId="0"/>
    <xf numFmtId="0" fontId="40" fillId="0" borderId="0" pivotButton="0" quotePrefix="0" xfId="0"/>
    <xf numFmtId="164" fontId="39" fillId="17" borderId="7" pivotButton="0" quotePrefix="0" xfId="0"/>
    <xf numFmtId="0" fontId="38" fillId="19" borderId="7" applyAlignment="1" pivotButton="0" quotePrefix="0" xfId="0">
      <alignment horizontal="center"/>
    </xf>
    <xf numFmtId="165" fontId="31" fillId="18" borderId="7" pivotButton="0" quotePrefix="0" xfId="0"/>
    <xf numFmtId="1" fontId="31" fillId="18" borderId="7" pivotButton="0" quotePrefix="0" xfId="0"/>
    <xf numFmtId="165" fontId="39" fillId="0" borderId="7" pivotButton="0" quotePrefix="0" xfId="0"/>
    <xf numFmtId="165" fontId="38" fillId="19" borderId="7" pivotButton="0" quotePrefix="0" xfId="0"/>
    <xf numFmtId="14" fontId="31" fillId="17" borderId="7" pivotButton="0" quotePrefix="0" xfId="0"/>
    <xf numFmtId="14" fontId="31" fillId="0" borderId="7" pivotButton="0" quotePrefix="0" xfId="0"/>
    <xf numFmtId="166" fontId="31" fillId="0" borderId="7" pivotButton="0" quotePrefix="0" xfId="0"/>
    <xf numFmtId="0" fontId="43" fillId="16" borderId="0" applyAlignment="1" pivotButton="0" quotePrefix="0" xfId="0">
      <alignment horizontal="center" vertical="center" wrapText="1"/>
    </xf>
    <xf numFmtId="14" fontId="44" fillId="0" borderId="8" applyAlignment="1" pivotButton="0" quotePrefix="0" xfId="0">
      <alignment horizontal="center"/>
    </xf>
    <xf numFmtId="0" fontId="44" fillId="0" borderId="8" pivotButton="0" quotePrefix="0" xfId="0"/>
    <xf numFmtId="164" fontId="44" fillId="0" borderId="8" applyAlignment="1" pivotButton="0" quotePrefix="0" xfId="0">
      <alignment horizontal="right"/>
    </xf>
    <xf numFmtId="164" fontId="44" fillId="0" borderId="8" pivotButton="0" quotePrefix="0" xfId="0"/>
    <xf numFmtId="14" fontId="44" fillId="17" borderId="8" applyAlignment="1" pivotButton="0" quotePrefix="0" xfId="0">
      <alignment horizontal="center"/>
    </xf>
    <xf numFmtId="0" fontId="44" fillId="17" borderId="8" pivotButton="0" quotePrefix="0" xfId="0"/>
    <xf numFmtId="164" fontId="44" fillId="17" borderId="8" applyAlignment="1" pivotButton="0" quotePrefix="0" xfId="0">
      <alignment horizontal="right"/>
    </xf>
    <xf numFmtId="0" fontId="46" fillId="0" borderId="8" pivotButton="0" quotePrefix="0" xfId="0"/>
    <xf numFmtId="164" fontId="46" fillId="0" borderId="8" pivotButton="0" quotePrefix="0" xfId="0"/>
    <xf numFmtId="0" fontId="47" fillId="19" borderId="8" pivotButton="0" quotePrefix="0" xfId="0"/>
    <xf numFmtId="164" fontId="47" fillId="19" borderId="8" pivotButton="0" quotePrefix="0" xfId="0"/>
    <xf numFmtId="0" fontId="46" fillId="12" borderId="8" pivotButton="0" quotePrefix="0" xfId="0"/>
    <xf numFmtId="164" fontId="46" fillId="12" borderId="8" pivotButton="0" quotePrefix="0" xfId="0"/>
    <xf numFmtId="0" fontId="45" fillId="19" borderId="8" pivotButton="0" quotePrefix="0" xfId="0"/>
    <xf numFmtId="164" fontId="45" fillId="19" borderId="8" pivotButton="0" quotePrefix="0" xfId="0"/>
    <xf numFmtId="0" fontId="43" fillId="11" borderId="8" pivotButton="0" quotePrefix="0" xfId="0"/>
    <xf numFmtId="164" fontId="43" fillId="11" borderId="8" pivotButton="0" quotePrefix="0" xfId="0"/>
    <xf numFmtId="0" fontId="47" fillId="0" borderId="0" applyAlignment="1" pivotButton="0" quotePrefix="0" xfId="0">
      <alignment horizontal="center"/>
    </xf>
    <xf numFmtId="0" fontId="54" fillId="19" borderId="8" applyAlignment="1" pivotButton="0" quotePrefix="0" xfId="0">
      <alignment horizontal="left" vertical="center"/>
    </xf>
    <xf numFmtId="164" fontId="54" fillId="19" borderId="8" applyAlignment="1" pivotButton="0" quotePrefix="0" xfId="0">
      <alignment horizontal="right" vertical="center"/>
    </xf>
    <xf numFmtId="0" fontId="44" fillId="0" borderId="8" applyAlignment="1" pivotButton="0" quotePrefix="0" xfId="0">
      <alignment horizontal="left" vertical="center"/>
    </xf>
    <xf numFmtId="164" fontId="44" fillId="0" borderId="8" applyAlignment="1" pivotButton="0" quotePrefix="0" xfId="0">
      <alignment horizontal="right" vertical="center"/>
    </xf>
    <xf numFmtId="0" fontId="55" fillId="12" borderId="8" applyAlignment="1" pivotButton="0" quotePrefix="0" xfId="0">
      <alignment horizontal="left" vertical="center"/>
    </xf>
    <xf numFmtId="164" fontId="55" fillId="12" borderId="8" applyAlignment="1" pivotButton="0" quotePrefix="0" xfId="0">
      <alignment horizontal="right" vertical="center"/>
    </xf>
    <xf numFmtId="0" fontId="46" fillId="0" borderId="8" applyAlignment="1" pivotButton="0" quotePrefix="0" xfId="0">
      <alignment horizontal="left" vertical="center"/>
    </xf>
    <xf numFmtId="165" fontId="46" fillId="0" borderId="8" applyAlignment="1" pivotButton="0" quotePrefix="0" xfId="0">
      <alignment horizontal="right" vertical="center"/>
    </xf>
    <xf numFmtId="0" fontId="56" fillId="11" borderId="8" applyAlignment="1" pivotButton="0" quotePrefix="0" xfId="0">
      <alignment horizontal="left" vertical="center"/>
    </xf>
    <xf numFmtId="164" fontId="56" fillId="11" borderId="8" applyAlignment="1" pivotButton="0" quotePrefix="0" xfId="0">
      <alignment horizontal="right" vertical="center"/>
    </xf>
    <xf numFmtId="0" fontId="57" fillId="0" borderId="9" applyAlignment="1" pivotButton="0" quotePrefix="0" xfId="0">
      <alignment horizontal="left" vertical="center"/>
    </xf>
    <xf numFmtId="164" fontId="57" fillId="0" borderId="9" applyAlignment="1" pivotButton="0" quotePrefix="0" xfId="0">
      <alignment horizontal="right" vertical="center"/>
    </xf>
    <xf numFmtId="0" fontId="46" fillId="17" borderId="8" applyAlignment="1" pivotButton="0" quotePrefix="0" xfId="0">
      <alignment horizontal="left" vertical="center"/>
    </xf>
    <xf numFmtId="164" fontId="46" fillId="17" borderId="8" applyAlignment="1" pivotButton="0" quotePrefix="0" xfId="0">
      <alignment horizontal="right" vertical="center"/>
    </xf>
    <xf numFmtId="164" fontId="31" fillId="18" borderId="8" pivotButton="0" quotePrefix="0" xfId="0"/>
    <xf numFmtId="1" fontId="31" fillId="18" borderId="8" pivotButton="0" quotePrefix="0" xfId="0"/>
    <xf numFmtId="0" fontId="60" fillId="16" borderId="0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/>
    </xf>
    <xf numFmtId="0" fontId="44" fillId="17" borderId="8" applyAlignment="1" pivotButton="0" quotePrefix="0" xfId="0">
      <alignment horizontal="center"/>
    </xf>
    <xf numFmtId="14" fontId="47" fillId="19" borderId="8" applyAlignment="1" pivotButton="0" quotePrefix="0" xfId="0">
      <alignment horizontal="center"/>
    </xf>
    <xf numFmtId="164" fontId="47" fillId="19" borderId="8" applyAlignment="1" pivotButton="0" quotePrefix="0" xfId="0">
      <alignment horizontal="right"/>
    </xf>
    <xf numFmtId="0" fontId="47" fillId="19" borderId="8" applyAlignment="1" pivotButton="0" quotePrefix="0" xfId="0">
      <alignment horizontal="center"/>
    </xf>
    <xf numFmtId="0" fontId="66" fillId="11" borderId="0" applyAlignment="1" pivotButton="0" quotePrefix="0" xfId="0">
      <alignment horizontal="center" vertical="center" wrapText="1"/>
    </xf>
    <xf numFmtId="0" fontId="66" fillId="13" borderId="0" applyAlignment="1" pivotButton="0" quotePrefix="0" xfId="0">
      <alignment horizontal="center" vertical="center" wrapText="1"/>
    </xf>
    <xf numFmtId="0" fontId="66" fillId="14" borderId="0" applyAlignment="1" pivotButton="0" quotePrefix="0" xfId="0">
      <alignment horizontal="center" vertical="center" wrapText="1"/>
    </xf>
    <xf numFmtId="0" fontId="66" fillId="15" borderId="0" applyAlignment="1" pivotButton="0" quotePrefix="0" xfId="0">
      <alignment horizontal="center" vertical="center" wrapText="1"/>
    </xf>
    <xf numFmtId="0" fontId="66" fillId="16" borderId="0" applyAlignment="1" pivotButton="0" quotePrefix="0" xfId="0">
      <alignment horizontal="center" vertical="center" wrapText="1"/>
    </xf>
    <xf numFmtId="164" fontId="67" fillId="12" borderId="8" applyAlignment="1" pivotButton="0" quotePrefix="0" xfId="0">
      <alignment horizontal="center" vertical="center"/>
    </xf>
    <xf numFmtId="164" fontId="68" fillId="12" borderId="8" applyAlignment="1" pivotButton="0" quotePrefix="0" xfId="0">
      <alignment horizontal="center" vertical="center"/>
    </xf>
    <xf numFmtId="164" fontId="69" fillId="12" borderId="8" applyAlignment="1" pivotButton="0" quotePrefix="0" xfId="0">
      <alignment horizontal="center" vertical="center"/>
    </xf>
    <xf numFmtId="164" fontId="70" fillId="12" borderId="8" applyAlignment="1" pivotButton="0" quotePrefix="0" xfId="0">
      <alignment horizontal="center" vertical="center"/>
    </xf>
    <xf numFmtId="165" fontId="71" fillId="12" borderId="8" applyAlignment="1" pivotButton="0" quotePrefix="0" xfId="0">
      <alignment horizontal="center" vertical="center"/>
    </xf>
    <xf numFmtId="0" fontId="73" fillId="0" borderId="0" pivotButton="0" quotePrefix="0" xfId="0"/>
    <xf numFmtId="0" fontId="15" fillId="10" borderId="6" pivotButton="0" quotePrefix="0" xfId="0"/>
    <xf numFmtId="0" fontId="35" fillId="0" borderId="0" pivotButton="0" quotePrefix="0" xfId="0"/>
    <xf numFmtId="0" fontId="39" fillId="0" borderId="0" pivotButton="0" quotePrefix="0" xfId="0"/>
    <xf numFmtId="0" fontId="37" fillId="0" borderId="0" pivotButton="0" quotePrefix="0" xfId="0"/>
    <xf numFmtId="164" fontId="20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right"/>
    </xf>
    <xf numFmtId="164" fontId="32" fillId="0" borderId="1" applyAlignment="1" pivotButton="0" quotePrefix="0" xfId="0">
      <alignment horizontal="right" vertical="center"/>
    </xf>
    <xf numFmtId="0" fontId="65" fillId="14" borderId="9" applyAlignment="1" pivotButton="0" quotePrefix="0" xfId="0">
      <alignment vertical="center" indent="1"/>
    </xf>
    <xf numFmtId="0" fontId="65" fillId="22" borderId="9" applyAlignment="1" pivotButton="0" quotePrefix="0" xfId="0">
      <alignment vertical="center" indent="1"/>
    </xf>
    <xf numFmtId="10" fontId="31" fillId="0" borderId="7" pivotButton="0" quotePrefix="0" xfId="0"/>
    <xf numFmtId="10" fontId="31" fillId="17" borderId="7" pivotButton="0" quotePrefix="0" xfId="0"/>
    <xf numFmtId="0" fontId="74" fillId="23" borderId="8" pivotButton="0" quotePrefix="0" xfId="0"/>
    <xf numFmtId="14" fontId="74" fillId="23" borderId="8" applyAlignment="1" pivotButton="0" quotePrefix="0" xfId="0">
      <alignment horizontal="center"/>
    </xf>
    <xf numFmtId="164" fontId="74" fillId="23" borderId="8" applyAlignment="1" pivotButton="0" quotePrefix="0" xfId="0">
      <alignment horizontal="right"/>
    </xf>
    <xf numFmtId="0" fontId="75" fillId="23" borderId="8" applyAlignment="1" pivotButton="0" quotePrefix="0" xfId="0">
      <alignment horizontal="center"/>
    </xf>
    <xf numFmtId="0" fontId="74" fillId="23" borderId="8" applyAlignment="1" pivotButton="0" quotePrefix="0" xfId="0">
      <alignment horizontal="center"/>
    </xf>
    <xf numFmtId="0" fontId="75" fillId="23" borderId="8" pivotButton="0" quotePrefix="0" xfId="0"/>
    <xf numFmtId="14" fontId="75" fillId="23" borderId="8" applyAlignment="1" pivotButton="0" quotePrefix="0" xfId="0">
      <alignment horizontal="center"/>
    </xf>
    <xf numFmtId="164" fontId="75" fillId="23" borderId="8" applyAlignment="1" pivotButton="0" quotePrefix="0" xfId="0">
      <alignment horizontal="right"/>
    </xf>
    <xf numFmtId="0" fontId="0" fillId="0" borderId="0" pivotButton="0" quotePrefix="0" xfId="0"/>
    <xf numFmtId="0" fontId="42" fillId="17" borderId="8" applyAlignment="1" pivotButton="0" quotePrefix="0" xfId="0">
      <alignment vertical="center"/>
    </xf>
    <xf numFmtId="0" fontId="0" fillId="0" borderId="10" pivotButton="0" quotePrefix="0" xfId="0"/>
    <xf numFmtId="0" fontId="0" fillId="0" borderId="3" pivotButton="0" quotePrefix="0" xfId="0"/>
    <xf numFmtId="0" fontId="72" fillId="17" borderId="8" applyAlignment="1" pivotButton="0" quotePrefix="0" xfId="0">
      <alignment vertical="center" indent="1"/>
    </xf>
    <xf numFmtId="0" fontId="72" fillId="20" borderId="8" applyAlignment="1" pivotButton="0" quotePrefix="0" xfId="0">
      <alignment vertical="center" indent="1"/>
    </xf>
    <xf numFmtId="0" fontId="42" fillId="0" borderId="9" applyAlignment="1" pivotButton="0" quotePrefix="0" xfId="0">
      <alignment vertical="center" indent="1"/>
    </xf>
    <xf numFmtId="0" fontId="58" fillId="0" borderId="9" pivotButton="0" quotePrefix="0" xfId="0"/>
    <xf numFmtId="0" fontId="0" fillId="0" borderId="9" pivotButton="0" quotePrefix="0" xfId="0"/>
    <xf numFmtId="0" fontId="63" fillId="0" borderId="9" pivotButton="0" quotePrefix="0" xfId="0"/>
    <xf numFmtId="0" fontId="0" fillId="0" borderId="0" pivotButton="0" quotePrefix="0" xfId="0"/>
    <xf numFmtId="0" fontId="42" fillId="17" borderId="8" applyAlignment="1" pivotButton="0" quotePrefix="0" xfId="0">
      <alignment vertical="center"/>
    </xf>
    <xf numFmtId="0" fontId="0" fillId="0" borderId="10" pivotButton="0" quotePrefix="0" xfId="0"/>
    <xf numFmtId="0" fontId="0" fillId="0" borderId="3" pivotButton="0" quotePrefix="0" xfId="0"/>
    <xf numFmtId="0" fontId="65" fillId="15" borderId="9" applyAlignment="1" pivotButton="0" quotePrefix="0" xfId="0">
      <alignment vertical="center" indent="1"/>
    </xf>
    <xf numFmtId="0" fontId="42" fillId="20" borderId="8" applyAlignment="1" pivotButton="0" quotePrefix="0" xfId="0">
      <alignment vertical="center"/>
    </xf>
    <xf numFmtId="0" fontId="65" fillId="16" borderId="9" applyAlignment="1" pivotButton="0" quotePrefix="0" xfId="0">
      <alignment vertical="center" indent="1"/>
    </xf>
    <xf numFmtId="0" fontId="0" fillId="0" borderId="9" pivotButton="0" quotePrefix="0" xfId="0"/>
    <xf numFmtId="0" fontId="65" fillId="21" borderId="9" applyAlignment="1" pivotButton="0" quotePrefix="0" xfId="0">
      <alignment vertical="center" indent="1"/>
    </xf>
    <xf numFmtId="0" fontId="72" fillId="20" borderId="8" applyAlignment="1" pivotButton="0" quotePrefix="0" xfId="0">
      <alignment vertical="center" indent="1"/>
    </xf>
    <xf numFmtId="0" fontId="42" fillId="0" borderId="9" applyAlignment="1" pivotButton="0" quotePrefix="0" xfId="0">
      <alignment vertical="center" indent="1"/>
    </xf>
    <xf numFmtId="0" fontId="64" fillId="0" borderId="9" pivotButton="0" quotePrefix="0" xfId="0"/>
    <xf numFmtId="0" fontId="54" fillId="0" borderId="9" pivotButton="0" quotePrefix="0" xfId="0"/>
    <xf numFmtId="0" fontId="11" fillId="0" borderId="9" applyAlignment="1" pivotButton="0" quotePrefix="0" xfId="0">
      <alignment vertical="top" wrapText="1"/>
    </xf>
    <xf numFmtId="0" fontId="12" fillId="0" borderId="9" applyAlignment="1" pivotButton="0" quotePrefix="0" xfId="0">
      <alignment vertical="top" wrapText="1"/>
    </xf>
    <xf numFmtId="164" fontId="4" fillId="7" borderId="8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165" fontId="7" fillId="7" borderId="8" applyAlignment="1" pivotButton="0" quotePrefix="0" xfId="0">
      <alignment horizontal="center" vertical="center"/>
    </xf>
    <xf numFmtId="164" fontId="8" fillId="7" borderId="8" applyAlignment="1" pivotButton="0" quotePrefix="0" xfId="0">
      <alignment horizontal="center" vertical="center"/>
    </xf>
    <xf numFmtId="0" fontId="10" fillId="0" borderId="9" pivotButton="0" quotePrefix="0" xfId="0"/>
    <xf numFmtId="0" fontId="3" fillId="3" borderId="8" applyAlignment="1" pivotButton="0" quotePrefix="0" xfId="0">
      <alignment horizontal="center" vertical="center" wrapText="1"/>
    </xf>
    <xf numFmtId="0" fontId="1" fillId="0" borderId="9" pivotButton="0" quotePrefix="0" xfId="0"/>
    <xf numFmtId="0" fontId="3" fillId="4" borderId="8" applyAlignment="1" pivotButton="0" quotePrefix="0" xfId="0">
      <alignment horizontal="center" vertical="center" wrapText="1"/>
    </xf>
    <xf numFmtId="0" fontId="58" fillId="0" borderId="9" applyAlignment="1" pivotButton="0" quotePrefix="0" xfId="0">
      <alignment vertical="top" wrapText="1"/>
    </xf>
    <xf numFmtId="0" fontId="9" fillId="0" borderId="9" pivotButton="0" quotePrefix="0" xfId="0"/>
    <xf numFmtId="0" fontId="2" fillId="0" borderId="9" pivotButton="0" quotePrefix="0" xfId="0"/>
    <xf numFmtId="0" fontId="55" fillId="0" borderId="9" applyAlignment="1" pivotButton="0" quotePrefix="0" xfId="0">
      <alignment vertical="center" wrapText="1"/>
    </xf>
    <xf numFmtId="164" fontId="5" fillId="7" borderId="8" applyAlignment="1" pivotButton="0" quotePrefix="0" xfId="0">
      <alignment horizontal="center" vertical="center"/>
    </xf>
    <xf numFmtId="0" fontId="15" fillId="10" borderId="8" pivotButton="0" quotePrefix="0" xfId="0"/>
    <xf numFmtId="164" fontId="6" fillId="7" borderId="8" applyAlignment="1" pivotButton="0" quotePrefix="0" xfId="0">
      <alignment horizontal="center" vertical="center"/>
    </xf>
    <xf numFmtId="164" fontId="50" fillId="12" borderId="9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6" borderId="8" applyAlignment="1" pivotButton="0" quotePrefix="0" xfId="0">
      <alignment horizontal="center" vertical="center" wrapText="1"/>
    </xf>
    <xf numFmtId="0" fontId="48" fillId="13" borderId="9" applyAlignment="1" pivotButton="0" quotePrefix="0" xfId="0">
      <alignment horizontal="center" vertical="center" wrapText="1"/>
    </xf>
    <xf numFmtId="0" fontId="61" fillId="0" borderId="9" pivotButton="0" quotePrefix="0" xfId="0"/>
    <xf numFmtId="0" fontId="42" fillId="0" borderId="9" pivotButton="0" quotePrefix="0" xfId="0"/>
    <xf numFmtId="0" fontId="59" fillId="0" borderId="9" applyAlignment="1" pivotButton="0" quotePrefix="0" xfId="0">
      <alignment vertical="top" wrapText="1"/>
    </xf>
    <xf numFmtId="0" fontId="53" fillId="0" borderId="9" pivotButton="0" quotePrefix="0" xfId="0"/>
    <xf numFmtId="0" fontId="48" fillId="13" borderId="9" applyAlignment="1" pivotButton="0" quotePrefix="0" xfId="0">
      <alignment horizontal="center" vertical="center"/>
    </xf>
    <xf numFmtId="0" fontId="48" fillId="14" borderId="9" applyAlignment="1" pivotButton="0" quotePrefix="0" xfId="0">
      <alignment horizontal="center" vertical="center"/>
    </xf>
    <xf numFmtId="0" fontId="56" fillId="15" borderId="9" applyAlignment="1" pivotButton="0" quotePrefix="0" xfId="0">
      <alignment horizontal="left" vertical="center" indent="1"/>
    </xf>
    <xf numFmtId="0" fontId="56" fillId="13" borderId="9" applyAlignment="1" pivotButton="0" quotePrefix="0" xfId="0">
      <alignment horizontal="left" vertical="center" indent="1"/>
    </xf>
    <xf numFmtId="0" fontId="62" fillId="12" borderId="8" pivotButton="0" quotePrefix="0" xfId="0"/>
    <xf numFmtId="0" fontId="58" fillId="0" borderId="9" pivotButton="0" quotePrefix="0" xfId="0"/>
    <xf numFmtId="164" fontId="52" fillId="12" borderId="9" applyAlignment="1" pivotButton="0" quotePrefix="0" xfId="0">
      <alignment horizontal="center" vertical="center"/>
    </xf>
    <xf numFmtId="164" fontId="51" fillId="12" borderId="9" applyAlignment="1" pivotButton="0" quotePrefix="0" xfId="0">
      <alignment horizontal="center" vertical="center"/>
    </xf>
    <xf numFmtId="0" fontId="48" fillId="15" borderId="9" applyAlignment="1" pivotButton="0" quotePrefix="0" xfId="0">
      <alignment horizontal="center" vertical="center"/>
    </xf>
    <xf numFmtId="0" fontId="22" fillId="15" borderId="9" applyAlignment="1" pivotButton="0" quotePrefix="0" xfId="0">
      <alignment horizontal="center" vertical="center"/>
    </xf>
    <xf numFmtId="0" fontId="22" fillId="16" borderId="9" applyAlignment="1" pivotButton="0" quotePrefix="0" xfId="0">
      <alignment horizontal="center" vertical="center"/>
    </xf>
    <xf numFmtId="0" fontId="27" fillId="0" borderId="9" pivotButton="0" quotePrefix="0" xfId="0"/>
    <xf numFmtId="0" fontId="34" fillId="0" borderId="9" pivotButton="0" quotePrefix="0" xfId="0"/>
    <xf numFmtId="0" fontId="35" fillId="0" borderId="9" pivotButton="0" quotePrefix="0" xfId="0"/>
    <xf numFmtId="164" fontId="26" fillId="12" borderId="9" applyAlignment="1" pivotButton="0" quotePrefix="0" xfId="0">
      <alignment horizontal="center" vertical="center"/>
    </xf>
    <xf numFmtId="0" fontId="0" fillId="15" borderId="9" pivotButton="0" quotePrefix="0" xfId="0"/>
    <xf numFmtId="0" fontId="28" fillId="0" borderId="9" pivotButton="0" quotePrefix="0" xfId="0"/>
    <xf numFmtId="164" fontId="29" fillId="12" borderId="9" applyAlignment="1" pivotButton="0" quotePrefix="0" xfId="0">
      <alignment horizontal="center" vertical="center"/>
    </xf>
    <xf numFmtId="0" fontId="0" fillId="15" borderId="9" applyAlignment="1" pivotButton="0" quotePrefix="0" xfId="0">
      <alignment horizontal="center" vertical="center"/>
    </xf>
    <xf numFmtId="0" fontId="39" fillId="0" borderId="9" pivotButton="0" quotePrefix="0" xfId="0"/>
    <xf numFmtId="0" fontId="36" fillId="0" borderId="9" pivotButton="0" quotePrefix="0" xfId="0"/>
    <xf numFmtId="0" fontId="37" fillId="0" borderId="9" pivotButton="0" quotePrefix="0" xfId="0"/>
    <xf numFmtId="0" fontId="55" fillId="0" borderId="9" pivotButton="0" quotePrefix="0" xfId="0"/>
    <xf numFmtId="0" fontId="22" fillId="14" borderId="9" applyAlignment="1" pivotButton="0" quotePrefix="0" xfId="0">
      <alignment horizontal="center" vertical="center"/>
    </xf>
    <xf numFmtId="0" fontId="13" fillId="8" borderId="9" pivotButton="0" quotePrefix="0" xfId="0"/>
    <xf numFmtId="0" fontId="16" fillId="0" borderId="9" pivotButton="0" quotePrefix="0" xfId="0"/>
    <xf numFmtId="0" fontId="22" fillId="11" borderId="9" applyAlignment="1" pivotButton="0" quotePrefix="0" xfId="0">
      <alignment horizontal="center" vertical="center"/>
    </xf>
    <xf numFmtId="164" fontId="20" fillId="2" borderId="9" applyAlignment="1" pivotButton="0" quotePrefix="0" xfId="0">
      <alignment horizontal="center" vertical="center"/>
    </xf>
    <xf numFmtId="0" fontId="13" fillId="2" borderId="9" applyAlignment="1" pivotButton="0" quotePrefix="0" xfId="0">
      <alignment horizontal="right"/>
    </xf>
    <xf numFmtId="0" fontId="15" fillId="10" borderId="8" applyAlignment="1" pivotButton="0" quotePrefix="0" xfId="0">
      <alignment horizontal="right"/>
    </xf>
    <xf numFmtId="0" fontId="17" fillId="0" borderId="9" pivotButton="0" quotePrefix="0" xfId="0"/>
    <xf numFmtId="164" fontId="23" fillId="12" borderId="9" applyAlignment="1" pivotButton="0" quotePrefix="0" xfId="0">
      <alignment horizontal="center" vertical="center"/>
    </xf>
    <xf numFmtId="164" fontId="25" fillId="12" borderId="9" applyAlignment="1" pivotButton="0" quotePrefix="0" xfId="0">
      <alignment horizontal="center" vertical="center"/>
    </xf>
    <xf numFmtId="164" fontId="24" fillId="12" borderId="9" applyAlignment="1" pivotButton="0" quotePrefix="0" xfId="0">
      <alignment horizontal="center" vertical="center"/>
    </xf>
    <xf numFmtId="0" fontId="22" fillId="13" borderId="9" applyAlignment="1" pivotButton="0" quotePrefix="0" xfId="0">
      <alignment horizontal="center" vertical="center"/>
    </xf>
    <xf numFmtId="0" fontId="13" fillId="8" borderId="8" applyAlignment="1" pivotButton="0" quotePrefix="0" xfId="0">
      <alignment horizontal="left" vertical="center"/>
    </xf>
    <xf numFmtId="0" fontId="41" fillId="0" borderId="9" pivotButton="0" quotePrefix="0" xfId="0"/>
    <xf numFmtId="0" fontId="43" fillId="16" borderId="9" applyAlignment="1" pivotButton="0" quotePrefix="0" xfId="0">
      <alignment horizontal="center"/>
    </xf>
    <xf numFmtId="164" fontId="49" fillId="12" borderId="9" applyAlignment="1" pivotButton="0" quotePrefix="0" xfId="0">
      <alignment horizontal="center" vertical="center"/>
    </xf>
    <xf numFmtId="0" fontId="48" fillId="11" borderId="9" applyAlignment="1" pivotButton="0" quotePrefix="0" xfId="0">
      <alignment horizontal="center" vertical="center"/>
    </xf>
    <xf numFmtId="0" fontId="66" fillId="22" borderId="0" applyAlignment="1" pivotButton="0" quotePrefix="0" xfId="0">
      <alignment horizontal="center" vertical="center" wrapText="1"/>
    </xf>
    <xf numFmtId="164" fontId="77" fillId="12" borderId="8" applyAlignment="1" pivotButton="0" quotePrefix="0" xfId="0">
      <alignment horizontal="center" vertical="center"/>
    </xf>
    <xf numFmtId="0" fontId="42" fillId="0" borderId="9" applyAlignment="1" pivotButton="0" quotePrefix="0" xfId="0">
      <alignment vertical="top" wrapText="1"/>
    </xf>
    <xf numFmtId="0" fontId="13" fillId="8" borderId="1" applyAlignment="1" pivotButton="0" quotePrefix="0" xfId="0">
      <alignment horizontal="center" vertical="center" wrapText="1"/>
    </xf>
    <xf numFmtId="0" fontId="56" fillId="16" borderId="8" applyAlignment="1" pivotButton="0" quotePrefix="0" xfId="0">
      <alignment horizontal="left" vertical="center"/>
    </xf>
    <xf numFmtId="164" fontId="56" fillId="16" borderId="8" applyAlignment="1" pivotButton="0" quotePrefix="0" xfId="0">
      <alignment horizontal="right" vertical="center"/>
    </xf>
    <xf numFmtId="167" fontId="46" fillId="0" borderId="8" applyAlignment="1" pivotButton="0" quotePrefix="0" xfId="0">
      <alignment horizontal="right" vertical="center"/>
    </xf>
    <xf numFmtId="1" fontId="46" fillId="0" borderId="8" applyAlignment="1" pivotButton="0" quotePrefix="0" xfId="0">
      <alignment horizontal="center"/>
    </xf>
    <xf numFmtId="0" fontId="33" fillId="0" borderId="7" pivotButton="0" quotePrefix="0" xfId="0"/>
    <xf numFmtId="164" fontId="33" fillId="0" borderId="7" pivotButton="0" quotePrefix="0" xfId="0"/>
    <xf numFmtId="0" fontId="37" fillId="0" borderId="9" applyAlignment="1" pivotButton="0" quotePrefix="0" xfId="0">
      <alignment vertical="top" wrapText="1"/>
    </xf>
    <xf numFmtId="0" fontId="22" fillId="22" borderId="9" applyAlignment="1" pivotButton="0" quotePrefix="0" xfId="0">
      <alignment horizontal="center" vertical="center"/>
    </xf>
    <xf numFmtId="164" fontId="76" fillId="12" borderId="9" applyAlignment="1" pivotButton="0" quotePrefix="0" xfId="0">
      <alignment horizontal="center" vertical="center"/>
    </xf>
    <xf numFmtId="0" fontId="48" fillId="22" borderId="9" applyAlignment="1" pivotButton="0" quotePrefix="0" xfId="0">
      <alignment horizontal="center" vertical="center"/>
    </xf>
    <xf numFmtId="0" fontId="48" fillId="16" borderId="9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b val="1"/>
        <color rgb="FFC0392B"/>
      </font>
    </dxf>
    <dxf>
      <font>
        <b val="1"/>
        <color rgb="FFFFFFFF"/>
      </font>
      <fill>
        <patternFill patternType="solid">
          <fgColor rgb="FFC0392B"/>
          <bgColor rgb="FFC039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B7862C"/>
      <rgbColor rgb="FF800080"/>
      <rgbColor rgb="FF008080"/>
      <rgbColor rgb="FFB0B0B0"/>
      <rgbColor rgb="FF878787"/>
      <rgbColor rgb="FF9999FF"/>
      <rgbColor rgb="FF993366"/>
      <rgbColor rgb="FFF9F9F9"/>
      <rgbColor rgb="FFF3F4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FAFAFA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66"/>
      <rgbColor rgb="FF777777"/>
      <rgbColor rgb="FF1F3864"/>
      <rgbColor rgb="FF0F9D8B"/>
      <rgbColor rgb="FF003300"/>
      <rgbColor rgb="FF333300"/>
      <rgbColor rgb="FFC0392B"/>
      <rgbColor rgb="FF993366"/>
      <rgbColor rgb="FF5B4B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Entradas x Saídas por Mês (Jan–Jul/2026)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Dashboard!$B$23</f>
              <strCache>
                <ptCount val="1"/>
                <pt idx="0">
                  <v>Entradas (R$)</v>
                </pt>
              </strCache>
            </strRef>
          </tx>
          <spPr>
            <a:solidFill xmlns:a="http://schemas.openxmlformats.org/drawingml/2006/main">
              <a:srgbClr val="0F9D8B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Dashboard!$A$24:$A$30</f>
              <strCache>
                <ptCount val="7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</strCache>
            </strRef>
          </cat>
          <val>
            <numRef>
              <f>Dashboard!$B$24:$B$30</f>
              <numCache>
                <formatCode>"R$ "#,##0.00</formatCode>
                <ptCount val="7"/>
                <pt idx="0">
                  <v>22694</v>
                </pt>
                <pt idx="1">
                  <v>24956.56</v>
                </pt>
                <pt idx="2">
                  <v>27360</v>
                </pt>
                <pt idx="3">
                  <v>22291.99</v>
                </pt>
                <pt idx="4">
                  <v>16232</v>
                </pt>
                <pt idx="5">
                  <v>18108</v>
                </pt>
                <pt idx="6">
                  <v>23849.43</v>
                </pt>
              </numCache>
            </numRef>
          </val>
        </ser>
        <ser>
          <idx val="1"/>
          <order val="1"/>
          <tx>
            <strRef>
              <f>Dashboard!$C$23</f>
              <strCache>
                <ptCount val="1"/>
                <pt idx="0">
                  <v>Saídas (R$)</v>
                </pt>
              </strCache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Dashboard!$A$24:$A$30</f>
              <strCache>
                <ptCount val="7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</strCache>
            </strRef>
          </cat>
          <val>
            <numRef>
              <f>Dashboard!$C$24:$C$30</f>
              <numCache>
                <formatCode>"R$ "#,##0.00</formatCode>
                <ptCount val="7"/>
                <pt idx="0">
                  <v>23137.06</v>
                </pt>
                <pt idx="1">
                  <v>20349.76</v>
                </pt>
                <pt idx="2">
                  <v>21729.3</v>
                </pt>
                <pt idx="3">
                  <v>16900.55</v>
                </pt>
                <pt idx="4">
                  <v>22268.27</v>
                </pt>
                <pt idx="5">
                  <v>22151.51</v>
                </pt>
                <pt idx="6">
                  <v>22226.48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-560538736"/>
        <axId val="-560537104"/>
      </barChart>
      <catAx>
        <axId val="-560538736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-560537104"/>
        <crosses val="autoZero"/>
        <auto val="1"/>
        <lblAlgn val="ctr"/>
        <lblOffset val="100"/>
        <noMultiLvlLbl val="0"/>
      </catAx>
      <valAx>
        <axId val="-56053710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R$ &quot;#,##0.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-5605387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Evolução do Lucro Mensal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Dashboard!$D$23</f>
              <strCache>
                <ptCount val="1"/>
                <pt idx="0">
                  <v>Lucro (R$)</v>
                </pt>
              </strCache>
            </strRef>
          </tx>
          <spPr>
            <a:ln xmlns:a="http://schemas.openxmlformats.org/drawingml/2006/main" w="24840">
              <a:solidFill>
                <a:srgbClr val="1F3864"/>
              </a:solidFill>
              <a:prstDash val="solid"/>
              <a:round/>
            </a:ln>
          </spPr>
          <marker>
            <symbol val="circle"/>
            <size val="7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Dashboard!$A$24:$A$30</f>
              <strCache>
                <ptCount val="7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</strCache>
            </strRef>
          </cat>
          <val>
            <numRef>
              <f>Dashboard!$D$24:$D$30</f>
              <numCache>
                <formatCode>"R$ "#,##0.00</formatCode>
                <ptCount val="7"/>
                <pt idx="0">
                  <v>-443.0599999999977</v>
                </pt>
                <pt idx="1">
                  <v>4606.799999999996</v>
                </pt>
                <pt idx="2">
                  <v>5630.699999999997</v>
                </pt>
                <pt idx="3">
                  <v>5391.439999999999</v>
                </pt>
                <pt idx="4">
                  <v>-6036.27</v>
                </pt>
                <pt idx="5">
                  <v>-4043.510000000002</v>
                </pt>
                <pt idx="6">
                  <v>1622.950000000001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-560538192"/>
        <axId val="-560527312"/>
      </lineChart>
      <catAx>
        <axId val="-560538192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-560527312"/>
        <crosses val="autoZero"/>
        <auto val="1"/>
        <lblAlgn val="ctr"/>
        <lblOffset val="100"/>
        <noMultiLvlLbl val="0"/>
      </catAx>
      <valAx>
        <axId val="-56052731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R$ &quot;#,##0.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-560538192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Saídas por Categoria (Jan–Jul/2026)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Dashboard!$B$35</f>
              <strCache>
                <ptCount val="1"/>
                <pt idx="0">
                  <v>R$ 0,00</v>
                </pt>
              </strCache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Dashboard!$A$36:$A$47</f>
              <strCache>
                <ptCount val="12"/>
                <pt idx="0">
                  <v>TOTAL / MÉDIA</v>
                </pt>
                <pt idx="3">
                  <v>Saídas por Categoria (Ano 2026)</v>
                </pt>
                <pt idx="4">
                  <v>Categoria</v>
                </pt>
                <pt idx="5">
                  <v>Fornecedores / Mercadoria</v>
                </pt>
                <pt idx="6">
                  <v>Aluguel</v>
                </pt>
                <pt idx="7">
                  <v>Água, Energia e Internet</v>
                </pt>
                <pt idx="8">
                  <v>Impostos e Taxas</v>
                </pt>
                <pt idx="9">
                  <v>Tarifas Bancárias e Cartão</v>
                </pt>
                <pt idx="10">
                  <v>Transporte e Entregas</v>
                </pt>
                <pt idx="11">
                  <v>Salários, Comissões e Encargos</v>
                </pt>
              </strCache>
            </strRef>
          </cat>
          <val>
            <numRef>
              <f>Dashboard!$B$36:$B$47</f>
              <numCache>
                <formatCode>General</formatCode>
                <ptCount val="12"/>
                <pt idx="0">
                  <formatCode>"R$ "#,##0.00</formatCode>
                  <v>230631.81</v>
                </pt>
                <pt idx="4">
                  <v>0</v>
                </pt>
                <pt idx="5">
                  <formatCode>"R$ "#,##0.00</formatCode>
                  <v>103478.76</v>
                </pt>
                <pt idx="6">
                  <formatCode>"R$ "#,##0.00</formatCode>
                  <v>8730</v>
                </pt>
                <pt idx="7">
                  <formatCode>"R$ "#,##0.00</formatCode>
                  <v>1452.1</v>
                </pt>
                <pt idx="8">
                  <formatCode>"R$ "#,##0.00</formatCode>
                  <v>35875.84</v>
                </pt>
                <pt idx="9">
                  <formatCode>"R$ "#,##0.00</formatCode>
                  <v>527.1799999999999</v>
                </pt>
                <pt idx="10">
                  <formatCode>"R$ "#,##0.00</formatCode>
                  <v>6315.68</v>
                </pt>
                <pt idx="11">
                  <formatCode>"R$ "#,##0.00</formatCode>
                  <v>28170.13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-560535472"/>
        <axId val="-560534928"/>
      </barChart>
      <catAx>
        <axId val="-56053547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-560534928"/>
        <crosses val="autoZero"/>
        <auto val="1"/>
        <lblAlgn val="ctr"/>
        <lblOffset val="100"/>
        <noMultiLvlLbl val="0"/>
      </catAx>
      <valAx>
        <axId val="-560534928"/>
        <scaling>
          <orientation val="minMax"/>
        </scaling>
        <delete val="0"/>
        <axPos val="b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R$ &quot;#,##0.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pt-BR"/>
          </a:p>
        </txPr>
        <crossAx val="-560535472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69</row>
      <rowOff>0</rowOff>
    </from>
    <to>
      <col>5</col>
      <colOff>1168349</colOff>
      <row>86</row>
      <rowOff>1080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10</col>
      <colOff>0</colOff>
      <row>69</row>
      <rowOff>0</rowOff>
    </from>
    <to>
      <col>23</col>
      <colOff>2932</colOff>
      <row>86</row>
      <rowOff>1080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88</row>
      <rowOff>0</rowOff>
    </from>
    <to>
      <col>5</col>
      <colOff>1168349</colOff>
      <row>110</row>
      <rowOff>128520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2:G51"/>
  <sheetViews>
    <sheetView showGridLines="0" topLeftCell="A32" zoomScale="85" zoomScaleNormal="85" workbookViewId="0">
      <selection activeCell="B47" sqref="B47:G47"/>
    </sheetView>
  </sheetViews>
  <sheetFormatPr baseColWidth="8" defaultRowHeight="15"/>
  <cols>
    <col width="3" customWidth="1" style="157" min="1" max="1"/>
    <col width="34" customWidth="1" style="157" min="2" max="2"/>
    <col width="62" customWidth="1" style="157" min="3" max="3"/>
    <col width="20" customWidth="1" style="157" min="4" max="7"/>
    <col width="3" customWidth="1" style="157" min="8" max="8"/>
  </cols>
  <sheetData>
    <row r="2" ht="32.1" customHeight="1" s="157">
      <c r="B2" s="156" t="inlineStr">
        <is>
          <t>RELATÓRIO FINANCEIRO 2026 — LOJA PLANETA ÁGUA</t>
        </is>
      </c>
    </row>
    <row r="3">
      <c r="B3" s="168" t="inlineStr">
        <is>
          <t>Clique no nome de qualquer aba abaixo para ir direto até ela. Em toda aba há um link "← Início" para voltar.</t>
        </is>
      </c>
    </row>
    <row r="5" ht="21.95" customHeight="1" s="157">
      <c r="B5" s="163" t="inlineStr">
        <is>
          <t>NÚMEROS DO ANO</t>
        </is>
      </c>
    </row>
    <row r="6" ht="26" customHeight="1" s="157">
      <c r="B6" s="117" t="inlineStr">
        <is>
          <t>ENTRADAS (ANO)</t>
        </is>
      </c>
      <c r="C6" s="118" t="inlineStr">
        <is>
          <t>SAÍDAS DA LOJA (ANO)</t>
        </is>
      </c>
      <c r="D6" s="119" t="inlineStr">
        <is>
          <t>SOBRA FINAL (DEPOIS DO PRÓ-LABORE)</t>
        </is>
      </c>
      <c r="E6" s="120" t="inlineStr">
        <is>
          <t>A RECEBER</t>
        </is>
      </c>
      <c r="F6" s="118" t="inlineStr">
        <is>
          <t>DÍVIDA BB</t>
        </is>
      </c>
      <c r="G6" s="121" t="inlineStr">
        <is>
          <t>MARGEM FINAL DO ANO</t>
        </is>
      </c>
    </row>
    <row r="7" ht="30" customHeight="1" s="157">
      <c r="B7" s="122">
        <f>Dashboard!A5</f>
        <v/>
      </c>
      <c r="C7" s="123">
        <f>Dashboard!C5</f>
        <v/>
      </c>
      <c r="D7" s="124">
        <f>Dashboard!E5</f>
        <v/>
      </c>
      <c r="E7" s="125">
        <f>Dashboard!I5</f>
        <v/>
      </c>
      <c r="F7" s="123">
        <f>Dashboard!K5</f>
        <v/>
      </c>
      <c r="G7" s="126">
        <f>Dashboard!G5</f>
        <v/>
      </c>
    </row>
    <row r="9" ht="21.95" customHeight="1" s="157">
      <c r="B9" s="163" t="inlineStr">
        <is>
          <t>SAÚDE FINANCEIRA DA LOJA (MÉDIA MENSAL)</t>
        </is>
      </c>
    </row>
    <row r="10" ht="26" customHeight="1" s="157">
      <c r="B10" s="117" t="inlineStr">
        <is>
          <t>CUSTO FIXO MÉDIO/MÊS</t>
        </is>
      </c>
      <c r="C10" s="118" t="inlineStr">
        <is>
          <t>CUSTO VARIÁVEL MÉDIO/MÊS</t>
        </is>
      </c>
      <c r="D10" s="119" t="inlineStr">
        <is>
          <t>PRÓ-LABORE EDILÂNIA (ANO)</t>
        </is>
      </c>
      <c r="E10" s="120" t="inlineStr">
        <is>
          <t>PONTO DE EQUILÍBRIO (FAT. MÍN./MÊS)</t>
        </is>
      </c>
      <c r="F10" s="238" t="inlineStr">
        <is>
          <t>PRÓ-LABORE COMBINADO/MÊS</t>
        </is>
      </c>
      <c r="G10" s="117" t="inlineStr">
        <is>
          <t>SOBRA MÉDIA/MÊS DEPOIS DO PRÓ-LABORE</t>
        </is>
      </c>
    </row>
    <row r="11" ht="18.95" customHeight="1" s="157">
      <c r="B11" s="122">
        <f>'DRE Simplificado'!O23</f>
        <v/>
      </c>
      <c r="C11" s="123">
        <f>'DRE Simplificado'!O10</f>
        <v/>
      </c>
      <c r="D11" s="124">
        <f>Dashboard!B53</f>
        <v/>
      </c>
      <c r="E11" s="125">
        <f>'Ponto de Equilíbrio'!B12</f>
        <v/>
      </c>
      <c r="F11" s="239">
        <f>'Ponto de Equilíbrio'!$B$10</f>
        <v/>
      </c>
      <c r="G11" s="122">
        <f>'Ponto de Equilíbrio'!B14</f>
        <v/>
      </c>
    </row>
    <row r="13" ht="21.95" customHeight="1" s="157">
      <c r="B13" s="163" t="inlineStr">
        <is>
          <t>COMECE AQUI — visão geral</t>
        </is>
      </c>
    </row>
    <row r="14" ht="18.95" customHeight="1" s="157">
      <c r="B14" s="166" t="inlineStr">
        <is>
          <t>Dashboard</t>
        </is>
      </c>
      <c r="C14" s="162" t="inlineStr">
        <is>
          <t>Resumo do ano: entradas, saídas, lucro, insights automáticos e ranking de produtos.</t>
        </is>
      </c>
      <c r="D14" s="159" t="n"/>
      <c r="E14" s="159" t="n"/>
      <c r="F14" s="159" t="n"/>
      <c r="G14" s="160" t="n"/>
    </row>
    <row r="15" ht="18.95" customHeight="1" s="157">
      <c r="B15" s="151" t="inlineStr">
        <is>
          <t>DRE Simplificado</t>
        </is>
      </c>
      <c r="C15" s="158" t="inlineStr">
        <is>
          <t>O resultado mês a mês, separando custo variável de custo fixo. Mostra se a operação se paga.</t>
        </is>
      </c>
      <c r="D15" s="159" t="n"/>
      <c r="E15" s="159" t="n"/>
      <c r="F15" s="159" t="n"/>
      <c r="G15" s="160" t="n"/>
    </row>
    <row r="17" ht="21.95" customHeight="1" s="157">
      <c r="B17" s="161" t="inlineStr">
        <is>
          <t>DINHEIRO A ENTRAR E A SAIR</t>
        </is>
      </c>
    </row>
    <row r="18" ht="18.95" customHeight="1" s="157">
      <c r="B18" s="166" t="inlineStr">
        <is>
          <t>Contas a Pagar e Receber</t>
        </is>
      </c>
      <c r="C18" s="162" t="inlineStr">
        <is>
          <t>Quem ainda deve para a loja e o que a loja ainda deve. Totais automáticos.</t>
        </is>
      </c>
      <c r="D18" s="159" t="n"/>
      <c r="E18" s="159" t="n"/>
      <c r="F18" s="159" t="n"/>
      <c r="G18" s="160" t="n"/>
    </row>
    <row r="19" ht="18.95" customHeight="1" s="157">
      <c r="B19" s="151" t="inlineStr">
        <is>
          <t>Capital de Giro (BB)</t>
        </is>
      </c>
      <c r="C19" s="158" t="inlineStr">
        <is>
          <t>Contas da loja pagas com o empréstimo do Banco do Brasil e quanto falta devolver.</t>
        </is>
      </c>
      <c r="D19" s="159" t="n"/>
      <c r="E19" s="159" t="n"/>
      <c r="F19" s="159" t="n"/>
      <c r="G19" s="160" t="n"/>
    </row>
    <row r="20" ht="18.95" customHeight="1" s="157">
      <c r="C20" s="164" t="n"/>
    </row>
    <row r="21" ht="18.95" customHeight="1" s="157">
      <c r="B21" s="135" t="inlineStr">
        <is>
          <t>PLANEJAMENTO</t>
        </is>
      </c>
      <c r="C21" s="164" t="n"/>
    </row>
    <row r="22" ht="18.95" customHeight="1" s="157">
      <c r="B22" s="166" t="inlineStr">
        <is>
          <t>Ponto de Equilíbrio</t>
        </is>
      </c>
      <c r="C22" s="162" t="inlineStr">
        <is>
          <t>Quanto precisa faturar por mês só para não ter prejuízo — e para lucrar o que quiser.</t>
        </is>
      </c>
      <c r="D22" s="159" t="n"/>
      <c r="E22" s="159" t="n"/>
      <c r="F22" s="159" t="n"/>
      <c r="G22" s="160" t="n"/>
    </row>
    <row r="23">
      <c r="B23" s="151" t="inlineStr">
        <is>
          <t>Fluxo de Caixa Projetado</t>
        </is>
      </c>
      <c r="C23" s="158" t="inlineStr">
        <is>
          <t>Projeção do saldo de setembro a dezembro no ritmo atual.</t>
        </is>
      </c>
      <c r="D23" s="159" t="n"/>
      <c r="E23" s="159" t="n"/>
      <c r="F23" s="159" t="n"/>
      <c r="G23" s="160" t="n"/>
    </row>
    <row r="24" ht="21.95" customHeight="1" s="157">
      <c r="B24" s="166" t="inlineStr">
        <is>
          <t>Reserva e Impostos</t>
        </is>
      </c>
      <c r="C24" s="159" t="n"/>
      <c r="D24" s="159" t="n"/>
      <c r="E24" s="159" t="n"/>
      <c r="F24" s="159" t="n"/>
      <c r="G24" s="160" t="n"/>
    </row>
    <row r="25" ht="18.95" customHeight="1" s="157">
      <c r="B25" s="151" t="inlineStr">
        <is>
          <t>Orçado vs Realizado</t>
        </is>
      </c>
      <c r="C25" s="158" t="inlineStr">
        <is>
          <t>Meta do mês contra o que realmente aconteceu, categoria por categoria.</t>
        </is>
      </c>
      <c r="D25" s="159" t="n"/>
      <c r="E25" s="159" t="n"/>
      <c r="F25" s="159" t="n"/>
      <c r="G25" s="160" t="n"/>
    </row>
    <row r="26" ht="18.95" customHeight="1" s="157">
      <c r="B26" s="166" t="inlineStr">
        <is>
          <t>Precificação e Margem</t>
        </is>
      </c>
      <c r="C26" s="162" t="inlineStr">
        <is>
          <t>Quanto sobra de verdade em cada produto depois de custo, comissão, taxa e imposto.</t>
        </is>
      </c>
      <c r="D26" s="159" t="n"/>
      <c r="E26" s="159" t="n"/>
      <c r="F26" s="159" t="n"/>
      <c r="G26" s="160" t="n"/>
    </row>
    <row r="28" ht="21.95" customHeight="1" s="157">
      <c r="B28" s="165" t="inlineStr">
        <is>
          <t>APOIO</t>
        </is>
      </c>
    </row>
    <row r="29" ht="18.95" customHeight="1" s="157">
      <c r="B29" s="166" t="inlineStr">
        <is>
          <t>Conciliação Bancária</t>
        </is>
      </c>
      <c r="C29" s="162" t="inlineStr">
        <is>
          <t>Confere lançamento por lançamento contra o extrato do banco.</t>
        </is>
      </c>
      <c r="D29" s="159" t="n"/>
      <c r="E29" s="159" t="n"/>
      <c r="F29" s="159" t="n"/>
      <c r="G29" s="160" t="n"/>
    </row>
    <row r="30" ht="18.95" customHeight="1" s="157">
      <c r="B30" s="151" t="inlineStr">
        <is>
          <t>Cadastro Clientes-Fornec</t>
        </is>
      </c>
      <c r="C30" s="158" t="inlineStr">
        <is>
          <t>Base única de nomes, documentos e contatos.</t>
        </is>
      </c>
      <c r="D30" s="159" t="n"/>
      <c r="E30" s="159" t="n"/>
      <c r="F30" s="159" t="n"/>
      <c r="G30" s="160" t="n"/>
    </row>
    <row r="31" ht="18.95" customHeight="1" s="157">
      <c r="C31" s="164" t="n"/>
    </row>
    <row r="32" ht="18.95" customHeight="1" s="157">
      <c r="B32" s="136" t="inlineStr">
        <is>
          <t>LANÇAMENTOS MÊS A MÊS</t>
        </is>
      </c>
      <c r="C32" s="164" t="n"/>
    </row>
    <row r="33" ht="18.95" customHeight="1" s="157">
      <c r="B33" s="166" t="inlineStr">
        <is>
          <t>Jan 2026</t>
        </is>
      </c>
      <c r="C33" s="162" t="inlineStr">
        <is>
          <t>Entradas pelas notas fiscais (XML do DigiSat) com cliente e produto · saídas do Livro Caixa</t>
        </is>
      </c>
      <c r="D33" s="159" t="n"/>
      <c r="E33" s="159" t="n"/>
      <c r="F33" s="159" t="n"/>
      <c r="G33" s="160" t="n"/>
    </row>
    <row r="34" ht="18.95" customHeight="1" s="157">
      <c r="B34" s="151" t="inlineStr">
        <is>
          <t>Fev 2026</t>
        </is>
      </c>
      <c r="C34" s="158" t="inlineStr">
        <is>
          <t>Entradas pelas notas fiscais (XML do DigiSat) com cliente e produto · saídas do Livro Caixa</t>
        </is>
      </c>
      <c r="D34" s="159" t="n"/>
      <c r="E34" s="159" t="n"/>
      <c r="F34" s="159" t="n"/>
      <c r="G34" s="160" t="n"/>
    </row>
    <row r="35" ht="18.95" customHeight="1" s="157">
      <c r="B35" s="166" t="inlineStr">
        <is>
          <t>Mar 2026</t>
        </is>
      </c>
      <c r="C35" s="162" t="inlineStr">
        <is>
          <t>Entradas pelas notas fiscais (XML do DigiSat) com cliente e produto · saídas do Livro Caixa</t>
        </is>
      </c>
      <c r="D35" s="159" t="n"/>
      <c r="E35" s="159" t="n"/>
      <c r="F35" s="159" t="n"/>
      <c r="G35" s="160" t="n"/>
    </row>
    <row r="36" ht="18.95" customHeight="1" s="157">
      <c r="B36" s="151" t="inlineStr">
        <is>
          <t>Abr 2026</t>
        </is>
      </c>
      <c r="C36" s="158" t="inlineStr">
        <is>
          <t>Entradas pelas notas fiscais (XML do DigiSat) com cliente e produto · saídas do Livro Caixa</t>
        </is>
      </c>
      <c r="D36" s="159" t="n"/>
      <c r="E36" s="159" t="n"/>
      <c r="F36" s="159" t="n"/>
      <c r="G36" s="160" t="n"/>
    </row>
    <row r="37" ht="18.95" customHeight="1" s="157">
      <c r="B37" s="166" t="inlineStr">
        <is>
          <t>Mai 2026</t>
        </is>
      </c>
      <c r="C37" s="162" t="inlineStr">
        <is>
          <t>Entradas pelas notas fiscais (XML do DigiSat) com cliente e produto · saídas do Livro Caixa</t>
        </is>
      </c>
      <c r="D37" s="159" t="n"/>
      <c r="E37" s="159" t="n"/>
      <c r="F37" s="159" t="n"/>
      <c r="G37" s="160" t="n"/>
    </row>
    <row r="38" ht="18.95" customHeight="1" s="157">
      <c r="B38" s="151" t="inlineStr">
        <is>
          <t>Jun 2026</t>
        </is>
      </c>
      <c r="C38" s="158" t="inlineStr">
        <is>
          <t>Entradas pelas notas fiscais (XML do DigiSat) com cliente e produto · saídas do Livro Caixa</t>
        </is>
      </c>
      <c r="D38" s="159" t="n"/>
      <c r="E38" s="159" t="n"/>
      <c r="F38" s="159" t="n"/>
      <c r="G38" s="160" t="n"/>
    </row>
    <row r="39" ht="18.95" customHeight="1" s="157">
      <c r="B39" s="166" t="inlineStr">
        <is>
          <t>Jul 2026</t>
        </is>
      </c>
      <c r="C39" s="162" t="inlineStr">
        <is>
          <t>Entradas pelas notas fiscais (XML do DigiSat) com cliente e produto · saídas do Livro Caixa</t>
        </is>
      </c>
      <c r="D39" s="159" t="n"/>
      <c r="E39" s="159" t="n"/>
      <c r="F39" s="159" t="n"/>
      <c r="G39" s="160" t="n"/>
    </row>
    <row r="40" ht="18.95" customHeight="1" s="157">
      <c r="B40" s="151" t="inlineStr">
        <is>
          <t>Ago 2026</t>
        </is>
      </c>
      <c r="C40" s="158" t="inlineStr">
        <is>
          <t>Lançamento manual, com forma de pagamento e taxa da máquina</t>
        </is>
      </c>
      <c r="D40" s="159" t="n"/>
      <c r="E40" s="159" t="n"/>
      <c r="F40" s="159" t="n"/>
      <c r="G40" s="160" t="n"/>
    </row>
    <row r="41">
      <c r="B41" s="166" t="inlineStr">
        <is>
          <t>Set 2026</t>
        </is>
      </c>
      <c r="C41" s="162" t="inlineStr">
        <is>
          <t>MÊS ATUAL — lançamento manual, com forma de pagamento e taxa da máquina</t>
        </is>
      </c>
      <c r="D41" s="159" t="n"/>
      <c r="E41" s="159" t="n"/>
      <c r="F41" s="159" t="n"/>
      <c r="G41" s="160" t="n"/>
    </row>
    <row r="42">
      <c r="B42" s="151" t="inlineStr">
        <is>
          <t>Out 2026</t>
        </is>
      </c>
      <c r="C42" s="158" t="inlineStr">
        <is>
          <t>Pronto para lançar</t>
        </is>
      </c>
      <c r="D42" s="159" t="n"/>
      <c r="E42" s="159" t="n"/>
      <c r="F42" s="159" t="n"/>
      <c r="G42" s="160" t="n"/>
    </row>
    <row r="43">
      <c r="B43" s="151" t="inlineStr">
        <is>
          <t>Nov 2026</t>
        </is>
      </c>
      <c r="C43" s="158" t="inlineStr">
        <is>
          <t>Pronto para lançar</t>
        </is>
      </c>
      <c r="D43" s="159" t="n"/>
      <c r="E43" s="159" t="n"/>
      <c r="F43" s="159" t="n"/>
      <c r="G43" s="160" t="n"/>
    </row>
    <row r="44">
      <c r="B44" s="151" t="inlineStr">
        <is>
          <t>Dez 2026</t>
        </is>
      </c>
      <c r="C44" s="158" t="inlineStr">
        <is>
          <t>Pronto para lançar</t>
        </is>
      </c>
      <c r="D44" s="159" t="n"/>
      <c r="E44" s="159" t="n"/>
      <c r="F44" s="159" t="n"/>
      <c r="G44" s="160" t="n"/>
    </row>
    <row r="45">
      <c r="B45" s="164" t="n"/>
    </row>
    <row r="46">
      <c r="B46" s="169" t="inlineStr">
        <is>
          <t>Como usar no dia a dia</t>
        </is>
      </c>
    </row>
    <row r="47">
      <c r="B47" s="167" t="inlineStr">
        <is>
          <t>1. Lance cada venda e cada despesa na aba do mês (ex.: "Ago 2026") — uma linha por lançamento.</t>
        </is>
      </c>
    </row>
    <row r="48">
      <c r="B48" s="167" t="inlineStr">
        <is>
          <t>2. Venda ainda não paga: escolha "Aguardando Pagamento" na coluna Forma de Pagamento. Ela aparece sozinha no cartão A RECEBER e na aba Contas a Pagar e Receber.</t>
        </is>
      </c>
    </row>
    <row r="49">
      <c r="B49" s="167" t="inlineStr">
        <is>
          <t>3. Quando o cliente pagar, troque a forma de pagamento pelo método real. Todo o resto recalcula sozinho.</t>
        </is>
      </c>
    </row>
    <row r="50" ht="44" customHeight="1" s="157">
      <c r="B50" s="240" t="inlineStr">
        <is>
          <t>4. Tudo o que a Edilânia gasta do dinheiro da loja (contas da casa, Pix pessoais, mercado, diarista...): categoria "Pro Labore Edilânia". Isso é o pró-labore dela — combinado em R$ 4.000,00/mês (valor na aba Ponto de Equilíbrio, B10). Cada mês mostra quanto ela já gastou, quanto ainda pode gastar e a SOBRA FINAL da loja.</t>
        </is>
      </c>
    </row>
    <row r="51">
      <c r="B51" s="167" t="inlineStr">
        <is>
          <t>5. Dashboard e DRE não precisam ser preenchidos: puxam tudo das abas dos meses.</t>
        </is>
      </c>
    </row>
  </sheetData>
  <mergeCells count="37">
    <mergeCell ref="B2:G2"/>
    <mergeCell ref="C30:G30"/>
    <mergeCell ref="C34:G34"/>
    <mergeCell ref="C42:G42"/>
    <mergeCell ref="B17:G17"/>
    <mergeCell ref="C15:G15"/>
    <mergeCell ref="C33:G33"/>
    <mergeCell ref="B13:G13"/>
    <mergeCell ref="C14:G14"/>
    <mergeCell ref="C26:G26"/>
    <mergeCell ref="C29:G29"/>
    <mergeCell ref="C35:G35"/>
    <mergeCell ref="C20:G20"/>
    <mergeCell ref="B28:G28"/>
    <mergeCell ref="B9:G9"/>
    <mergeCell ref="C25:G25"/>
    <mergeCell ref="C44:G44"/>
    <mergeCell ref="C41:G41"/>
    <mergeCell ref="C31:G31"/>
    <mergeCell ref="C22:G22"/>
    <mergeCell ref="C40:G40"/>
    <mergeCell ref="B24:G24"/>
    <mergeCell ref="C21:G21"/>
    <mergeCell ref="C43:G43"/>
    <mergeCell ref="B5:G5"/>
    <mergeCell ref="B45:G45"/>
    <mergeCell ref="B50:G50"/>
    <mergeCell ref="C36:G36"/>
    <mergeCell ref="C39:G39"/>
    <mergeCell ref="B47:G47"/>
    <mergeCell ref="B3:G3"/>
    <mergeCell ref="B46:G46"/>
    <mergeCell ref="C32:G32"/>
    <mergeCell ref="C38:G38"/>
    <mergeCell ref="C19:G19"/>
    <mergeCell ref="C37:G37"/>
    <mergeCell ref="C18:G18"/>
  </mergeCells>
  <hyperlinks>
    <hyperlink ref="B14" location="'Dashboard'!A1" display="Dashboard"/>
    <hyperlink ref="B15" location="'DRE Simplificado'!A1" display="DRE Simplificado"/>
    <hyperlink ref="B18" location="'Contas a Pagar e Receber'!A1" display="Contas a Pagar e Receber"/>
    <hyperlink ref="B19" location="'Capital de Giro (BB)'!A1" display="Capital de Giro (BB)"/>
    <hyperlink ref="B22" location="'Ponto de Equilíbrio'!A1" display="Ponto de Equilíbrio"/>
    <hyperlink ref="B23" location="'Fluxo de Caixa Projetado'!A1" display="Fluxo de Caixa Projetado"/>
    <hyperlink ref="B24" location="'Reserva e Impostos'!A1" display="Reserva e Impostos"/>
    <hyperlink ref="B25" location="'Orçado vs Realizado'!A1" display="Orçado vs Realizado"/>
    <hyperlink ref="B26" location="'Precificação e Margem'!A1" display="Precificação e Margem"/>
    <hyperlink ref="B29" location="'Conciliação Bancária'!A1" display="Conciliação Bancária"/>
    <hyperlink ref="B30" location="'Cadastro Clientes-Fornec'!A1" display="Cadastro Clientes-Fornec"/>
    <hyperlink ref="B33" location="'Jan 2026'!A1" display="Jan 2026"/>
    <hyperlink ref="B34" location="'Fev 2026'!A1" display="Fev 2026"/>
    <hyperlink ref="B35" location="'Mar 2026'!A1" display="Mar 2026"/>
    <hyperlink ref="B36" location="'Abr 2026'!A1" display="Abr 2026"/>
    <hyperlink ref="B37" location="'Mai 2026'!A1" display="Mai 2026"/>
    <hyperlink ref="B38" location="'Jun 2026'!A1" display="Jun 2026"/>
    <hyperlink ref="B39" location="'Jul 2026'!A1" display="Jul 2026"/>
    <hyperlink ref="B40" location="'Ago 2026'!A1" display="Ago 2026"/>
    <hyperlink ref="B41" location="'Set 2026'!A1" display="Set 2026"/>
    <hyperlink ref="B42" location="'Out 2026'!A1" display="Out 2026"/>
    <hyperlink ref="B43" location="'Nov 2026'!A1" display="Nov 2026"/>
    <hyperlink ref="B44" location="'Dez 2026'!A1" display="Dez 20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F3864"/>
    <outlinePr summaryBelow="1" summaryRight="1"/>
    <pageSetUpPr/>
  </sheetPr>
  <dimension ref="A1:N72"/>
  <sheetViews>
    <sheetView showGridLines="0" zoomScale="70" zoomScaleNormal="70" workbookViewId="0">
      <pane ySplit="3" topLeftCell="A16" activePane="bottomLeft" state="frozen"/>
      <selection pane="bottomLeft" activeCell="A1" sqref="A1:N1"/>
    </sheetView>
  </sheetViews>
  <sheetFormatPr baseColWidth="8" defaultColWidth="8.7109375" defaultRowHeight="15"/>
  <cols>
    <col width="16" customWidth="1" style="157" min="1" max="1"/>
    <col width="40" customWidth="1" style="157" min="2" max="2"/>
    <col width="13.7109375" bestFit="1" customWidth="1" style="157" min="3" max="3"/>
    <col width="12" customWidth="1" style="157" min="4" max="4"/>
    <col width="14" customWidth="1" style="157" min="5" max="5"/>
    <col width="34" customWidth="1" style="157" min="6" max="6"/>
    <col width="14" customWidth="1" style="157" min="7" max="8"/>
    <col width="14" customWidth="1" style="157" min="11" max="12"/>
  </cols>
  <sheetData>
    <row r="1" ht="30" customHeight="1" s="157">
      <c r="A1" s="180" t="inlineStr">
        <is>
          <t>DASHBOARD FINANCEIRO — LOJA DE FILTROS  |  2026</t>
        </is>
      </c>
    </row>
    <row r="2">
      <c r="A2" s="184" t="inlineStr">
        <is>
          <t>Jan–Dez: lançamentos das abas dos meses. Entradas = faturamento recebido (líquido de taxa de máquina e sem vendas pendentes); saídas = despesas da loja (sem o pró-labore e sem as contas pagas pelo Capital de Giro do BB). O pró-labore da Edilânia aparece separado e é descontado na coluna "Sobra final". Vendas ainda não recebidas ficam na tabela "Contas a Receber".</t>
        </is>
      </c>
    </row>
    <row r="3">
      <c r="A3" s="127" t="inlineStr">
        <is>
          <t>← Início</t>
        </is>
      </c>
    </row>
    <row r="4" ht="25.5" customHeight="1" s="157">
      <c r="A4" s="190" t="inlineStr">
        <is>
          <t>ENTRADAS (ANO)</t>
        </is>
      </c>
      <c r="B4" s="160" t="n"/>
      <c r="C4" s="179" t="inlineStr">
        <is>
          <t>SAÍDAS (ANO)</t>
        </is>
      </c>
      <c r="D4" s="160" t="n"/>
      <c r="E4" s="181" t="inlineStr">
        <is>
          <t>SOBRA FINAL (DEPOIS DO PRÓ-LABORE)</t>
        </is>
      </c>
      <c r="F4" s="160" t="n"/>
      <c r="G4" s="191" t="inlineStr">
        <is>
          <t>MARGEM FINAL DO ANO</t>
        </is>
      </c>
      <c r="H4" s="160" t="n"/>
      <c r="I4" s="192" t="inlineStr">
        <is>
          <t>A RECEBER (ANO)</t>
        </is>
      </c>
      <c r="J4" s="160" t="n"/>
      <c r="K4" s="193" t="inlineStr">
        <is>
          <t>DÍVIDA — CAPITAL DE GIRO (BB)</t>
        </is>
      </c>
    </row>
    <row r="5" ht="19.5" customHeight="1" s="157">
      <c r="A5" s="172">
        <f>SUM(B24:B35)</f>
        <v/>
      </c>
      <c r="B5" s="173" t="n"/>
      <c r="C5" s="186">
        <f>SUM(C24:C35)</f>
        <v/>
      </c>
      <c r="D5" s="173" t="n"/>
      <c r="E5" s="188">
        <f>SUM(G24:G35)</f>
        <v/>
      </c>
      <c r="F5" s="173" t="n"/>
      <c r="G5" s="176">
        <f>IF(B36=0,0,G36/B36)</f>
        <v/>
      </c>
      <c r="H5" s="173" t="n"/>
      <c r="I5" s="177">
        <f>H46</f>
        <v/>
      </c>
      <c r="J5" s="173" t="n"/>
      <c r="K5" s="189">
        <f>'Capital de Giro (BB)'!C5</f>
        <v/>
      </c>
    </row>
    <row r="6" ht="19.5" customHeight="1" s="157">
      <c r="A6" s="174" t="n"/>
      <c r="B6" s="175" t="n"/>
      <c r="C6" s="174" t="n"/>
      <c r="D6" s="175" t="n"/>
      <c r="E6" s="174" t="n"/>
      <c r="F6" s="175" t="n"/>
      <c r="G6" s="174" t="n"/>
      <c r="H6" s="175" t="n"/>
      <c r="I6" s="174" t="n"/>
      <c r="J6" s="175" t="n"/>
    </row>
    <row r="8" ht="15.75" customHeight="1" s="157">
      <c r="A8" s="183" t="inlineStr">
        <is>
          <t>INSIGHTS AUTOMÁTICOS</t>
        </is>
      </c>
    </row>
    <row r="9">
      <c r="A9" s="178">
        <f>"Melhor mês (sobra final, depois do pró-labore): "&amp;INDEX(A24:A35,MATCH(MAX(G24:G35),G24:G35,0))&amp;" ("&amp;TEXT(MAX(G24:G35),"R$ #,##0.00")&amp;")"</f>
        <v/>
      </c>
    </row>
    <row r="10">
      <c r="A10" s="178">
        <f>"Mês mais fraco (sobra final, depois do pró-labore): "&amp;INDEX(A24:A35,MATCH(_xlfn.MINIFS(G24:G35,B24:B35,"&lt;&gt;0"),G24:G35,0))&amp;" ("&amp;TEXT(_xlfn.MINIFS(G24:G35,B24:B35,"&lt;&gt;0"),"R$ #,##0.00")&amp;")"</f>
        <v/>
      </c>
    </row>
    <row r="11">
      <c r="A11" s="178">
        <f>"Meses que fecharam no negativo depois do pró-labore: "&amp;COUNTIF(G24:G35,"&lt;0")&amp;" de "&amp;COUNTIF(B24:B35,"&lt;&gt;0")&amp;" meses com dados  ·  pró-labore do ano: "&amp;TEXT(F36,"R$ #,##0.00")&amp;" (combinado: "&amp;TEXT('Ponto de Equilíbrio'!$B$10,"R$ #,##0.00")&amp;"/mês)"</f>
        <v/>
      </c>
    </row>
    <row r="12">
      <c r="A12" s="178">
        <f>"Total a receber (vendas pendentes Ago–Dez): "&amp;TEXT(H46,"R$ #,##0.00")</f>
        <v/>
      </c>
    </row>
    <row r="13" ht="30" customHeight="1" s="157">
      <c r="A13" s="185">
        <f>"Atenção em Agosto: "&amp;TEXT('Ago 2026'!L19,"R$ #,##0.00")&amp;" de despesas da loja foram pagas com o empréstimo do Banco do Brasil e por isso NÃO entram nas Saídas acima. Sem esse alívio, o lucro de agosto seria "&amp;TEXT(D31-'Ago 2026'!L19,"R$ #,##0.00")&amp;". "&amp;IF('Capital de Giro (BB)'!C5=0,"Esse valor já foi devolvido integralmente.","Esse valor ainda precisa ser devolvido.")</f>
        <v/>
      </c>
    </row>
    <row r="14" ht="13.5" customHeight="1" s="157">
      <c r="A14" s="170" t="inlineStr">
        <is>
          <t>⚠ Limitações dos dados de origem (relatórios DigiSat/G6, não planilhas de fluxo de caixa):</t>
        </is>
      </c>
    </row>
    <row r="15" ht="25.5" customHeight="1" s="157">
      <c r="A15" s="171" t="inlineStr">
        <is>
          <t>• O Livro Caixa não registra a forma de pagamento (dinheiro/cartão/Pix) de cada venda — por isso não há aba de 'Entradas por Forma de Pagamento' neste arquivo.</t>
        </is>
      </c>
    </row>
    <row r="16" ht="25.5" customHeight="1" s="157">
      <c r="A16" s="171" t="inlineStr">
        <is>
          <t>• O relatório 'Itens vendidos' traz apenas totais agregados de Jan–Jul/2026 por produto, sem data nem cliente — não é possível vincular cada item a uma venda ou mês específico. Por isso os produtos aparecem apenas como referência anual no Dashboard, não em cada aba mensal.</t>
        </is>
      </c>
    </row>
    <row r="17" ht="25.5" customHeight="1" s="157">
      <c r="A17" s="171" t="inlineStr">
        <is>
          <t>• 'Contas a pagar pendentes' vêm da Lista de Pagamentos (situação 'Pendente') e ainda não aparecem como saída no Livro Caixa, pois não foram pagas até 27/07/2026.</t>
        </is>
      </c>
    </row>
    <row r="18" ht="25.5" customHeight="1" s="157">
      <c r="A18" s="171" t="inlineStr">
        <is>
          <t>• O saldo acumulado do Livro Caixa foi ignorado, conforme solicitado — os totais aqui são apenas de entradas e saídas de cada mês.</t>
        </is>
      </c>
    </row>
    <row r="19" ht="26.1" customHeight="1" s="157">
      <c r="A19" s="182" t="inlineStr">
        <is>
          <t>• Este Dashboard é CAIXA (dinheiro que entrou e saiu de fato). A aba "DRE Simplificado" é COMPETÊNCIA (considera a despesa no mês em que ela ocorreu, inclusive as pagas pelo Capital de Giro). Por isso o lucro das duas abas não é igual — as duas estão certas, medem coisas diferentes.</t>
        </is>
      </c>
    </row>
    <row r="23" ht="30" customHeight="1" s="157">
      <c r="A23" s="241" t="inlineStr">
        <is>
          <t>Mês</t>
        </is>
      </c>
      <c r="B23" s="241" t="inlineStr">
        <is>
          <t>Entradas (R$)</t>
        </is>
      </c>
      <c r="C23" s="241" t="inlineStr">
        <is>
          <t>Saídas (R$)</t>
        </is>
      </c>
      <c r="D23" s="241" t="inlineStr">
        <is>
          <t>Lucro da loja (R$)</t>
        </is>
      </c>
      <c r="E23" s="241" t="inlineStr">
        <is>
          <t>Margem da loja (%)</t>
        </is>
      </c>
      <c r="F23" s="241" t="inlineStr">
        <is>
          <t>Pró-labore Edilânia (R$)</t>
        </is>
      </c>
      <c r="G23" s="241" t="inlineStr">
        <is>
          <t>Sobra final (R$)</t>
        </is>
      </c>
    </row>
    <row r="24">
      <c r="A24" s="2" t="inlineStr">
        <is>
          <t>Janeiro</t>
        </is>
      </c>
      <c r="B24" s="3">
        <f>SUMIF('Jan 2026'!A5:A500,"&lt;&gt;",'Jan 2026'!D5:D500)-SUMIF('Jan 2026'!A5:A500,"&lt;&gt;",'Jan 2026'!F5:F500)-'Jan 2026'!T5</f>
        <v/>
      </c>
      <c r="C24" s="3">
        <f>'Jan 2026'!L18-'Jan 2026'!L19</f>
        <v/>
      </c>
      <c r="D24" s="3">
        <f>B24-C24</f>
        <v/>
      </c>
      <c r="E24" s="4">
        <f>IF(B24=0,0,D24/B24)</f>
        <v/>
      </c>
      <c r="F24" s="3">
        <f>'Jan 2026'!L17</f>
        <v/>
      </c>
      <c r="G24" s="3">
        <f>D24-F24</f>
        <v/>
      </c>
    </row>
    <row r="25">
      <c r="A25" s="5" t="inlineStr">
        <is>
          <t>Fevereiro</t>
        </is>
      </c>
      <c r="B25" s="6">
        <f>SUMIF('Fev 2026'!A5:A500,"&lt;&gt;",'Fev 2026'!D5:D500)-SUMIF('Fev 2026'!A5:A500,"&lt;&gt;",'Fev 2026'!F5:F500)-'Fev 2026'!T5</f>
        <v/>
      </c>
      <c r="C25" s="6">
        <f>'Fev 2026'!L18-'Fev 2026'!L19</f>
        <v/>
      </c>
      <c r="D25" s="6">
        <f>B25-C25</f>
        <v/>
      </c>
      <c r="E25" s="7">
        <f>IF(B25=0,0,D25/B25)</f>
        <v/>
      </c>
      <c r="F25" s="6">
        <f>'Fev 2026'!L17</f>
        <v/>
      </c>
      <c r="G25" s="6">
        <f>D25-F25</f>
        <v/>
      </c>
    </row>
    <row r="26">
      <c r="A26" s="2" t="inlineStr">
        <is>
          <t>Março</t>
        </is>
      </c>
      <c r="B26" s="3">
        <f>SUMIF('Mar 2026'!A5:A500,"&lt;&gt;",'Mar 2026'!D5:D500)-SUMIF('Mar 2026'!A5:A500,"&lt;&gt;",'Mar 2026'!F5:F500)-'Mar 2026'!T5</f>
        <v/>
      </c>
      <c r="C26" s="3">
        <f>'Mar 2026'!L18-'Mar 2026'!L19</f>
        <v/>
      </c>
      <c r="D26" s="3">
        <f>B26-C26</f>
        <v/>
      </c>
      <c r="E26" s="4">
        <f>IF(B26=0,0,D26/B26)</f>
        <v/>
      </c>
      <c r="F26" s="3">
        <f>'Mar 2026'!L17</f>
        <v/>
      </c>
      <c r="G26" s="3">
        <f>D26-F26</f>
        <v/>
      </c>
    </row>
    <row r="27">
      <c r="A27" s="5" t="inlineStr">
        <is>
          <t>Abril</t>
        </is>
      </c>
      <c r="B27" s="6">
        <f>SUMIF('Abr 2026'!A5:A500,"&lt;&gt;",'Abr 2026'!D5:D500)-SUMIF('Abr 2026'!A5:A500,"&lt;&gt;",'Abr 2026'!F5:F500)-'Abr 2026'!T5</f>
        <v/>
      </c>
      <c r="C27" s="6">
        <f>'Abr 2026'!L18-'Abr 2026'!L19</f>
        <v/>
      </c>
      <c r="D27" s="6">
        <f>B27-C27</f>
        <v/>
      </c>
      <c r="E27" s="7">
        <f>IF(B27=0,0,D27/B27)</f>
        <v/>
      </c>
      <c r="F27" s="6">
        <f>'Abr 2026'!L17</f>
        <v/>
      </c>
      <c r="G27" s="6">
        <f>D27-F27</f>
        <v/>
      </c>
    </row>
    <row r="28">
      <c r="A28" s="2" t="inlineStr">
        <is>
          <t>Maio</t>
        </is>
      </c>
      <c r="B28" s="3">
        <f>SUMIF('Mai 2026'!A5:A500,"&lt;&gt;",'Mai 2026'!D5:D500)-SUMIF('Mai 2026'!A5:A500,"&lt;&gt;",'Mai 2026'!F5:F500)-'Mai 2026'!T5</f>
        <v/>
      </c>
      <c r="C28" s="3">
        <f>'Mai 2026'!L18-'Mai 2026'!L19</f>
        <v/>
      </c>
      <c r="D28" s="3">
        <f>B28-C28</f>
        <v/>
      </c>
      <c r="E28" s="4">
        <f>IF(B28=0,0,D28/B28)</f>
        <v/>
      </c>
      <c r="F28" s="3">
        <f>'Mai 2026'!L17</f>
        <v/>
      </c>
      <c r="G28" s="3">
        <f>D28-F28</f>
        <v/>
      </c>
    </row>
    <row r="29">
      <c r="A29" s="5" t="inlineStr">
        <is>
          <t>Junho</t>
        </is>
      </c>
      <c r="B29" s="6">
        <f>SUMIF('Jun 2026'!A5:A500,"&lt;&gt;",'Jun 2026'!D5:D500)-SUMIF('Jun 2026'!A5:A500,"&lt;&gt;",'Jun 2026'!F5:F500)-'Jun 2026'!T5</f>
        <v/>
      </c>
      <c r="C29" s="6">
        <f>'Jun 2026'!L18-'Jun 2026'!L19</f>
        <v/>
      </c>
      <c r="D29" s="6">
        <f>B29-C29</f>
        <v/>
      </c>
      <c r="E29" s="7">
        <f>IF(B29=0,0,D29/B29)</f>
        <v/>
      </c>
      <c r="F29" s="6">
        <f>'Jun 2026'!L17</f>
        <v/>
      </c>
      <c r="G29" s="6">
        <f>D29-F29</f>
        <v/>
      </c>
    </row>
    <row r="30">
      <c r="A30" s="2" t="inlineStr">
        <is>
          <t>Julho</t>
        </is>
      </c>
      <c r="B30" s="3">
        <f>SUMIF('Jul 2026'!A5:A500,"&lt;&gt;",'Jul 2026'!D5:D500)-SUMIF('Jul 2026'!A5:A500,"&lt;&gt;",'Jul 2026'!F5:F500)-'Jul 2026'!T5</f>
        <v/>
      </c>
      <c r="C30" s="3">
        <f>'Jul 2026'!L18-'Jul 2026'!L19</f>
        <v/>
      </c>
      <c r="D30" s="3">
        <f>B30-C30</f>
        <v/>
      </c>
      <c r="E30" s="4">
        <f>IF(B30=0,0,D30/B30)</f>
        <v/>
      </c>
      <c r="F30" s="3">
        <f>'Jul 2026'!L17</f>
        <v/>
      </c>
      <c r="G30" s="3">
        <f>D30-F30</f>
        <v/>
      </c>
    </row>
    <row r="31">
      <c r="A31" s="5" t="inlineStr">
        <is>
          <t>Agosto</t>
        </is>
      </c>
      <c r="B31" s="6">
        <f>SUMIF('Ago 2026'!E5:E500,"&lt;&gt;",'Ago 2026'!D5:D500)-SUMIF('Ago 2026'!E5:E500,"&lt;&gt;",'Ago 2026'!F5:F500)-SUMIF('Ago 2026'!E5:E500,"Aguardando Pagamento",'Ago 2026'!D5:D500)</f>
        <v/>
      </c>
      <c r="C31" s="6">
        <f>'Ago 2026'!L18-'Ago 2026'!L19</f>
        <v/>
      </c>
      <c r="D31" s="6">
        <f>B31-C31</f>
        <v/>
      </c>
      <c r="E31" s="7">
        <f>IF(B31=0,0,D31/B31)</f>
        <v/>
      </c>
      <c r="F31" s="6">
        <f>'Ago 2026'!L17</f>
        <v/>
      </c>
      <c r="G31" s="6">
        <f>D31-F31</f>
        <v/>
      </c>
    </row>
    <row r="32">
      <c r="A32" s="2" t="inlineStr">
        <is>
          <t>Setembro</t>
        </is>
      </c>
      <c r="B32" s="3">
        <f>SUMIF('Set 2026'!E5:E500,"&lt;&gt;",'Set 2026'!D5:D500)-SUMIF('Set 2026'!E5:E500,"&lt;&gt;",'Set 2026'!F5:F500)-SUMIF('Set 2026'!E5:E500,"Aguardando Pagamento",'Set 2026'!D5:D500)</f>
        <v/>
      </c>
      <c r="C32" s="3">
        <f>'Set 2026'!L18-'Set 2026'!L19</f>
        <v/>
      </c>
      <c r="D32" s="3">
        <f>B32-C32</f>
        <v/>
      </c>
      <c r="E32" s="4">
        <f>IF(B32=0,0,D32/B32)</f>
        <v/>
      </c>
      <c r="F32" s="3">
        <f>'Set 2026'!L17</f>
        <v/>
      </c>
      <c r="G32" s="3">
        <f>D32-F32</f>
        <v/>
      </c>
    </row>
    <row r="33">
      <c r="A33" s="5" t="inlineStr">
        <is>
          <t>Outubro</t>
        </is>
      </c>
      <c r="B33" s="6">
        <f>SUMIF('Out 2026'!E5:E500,"&lt;&gt;",'Out 2026'!D5:D500)-SUMIF('Out 2026'!E5:E500,"&lt;&gt;",'Out 2026'!F5:F500)-SUMIF('Out 2026'!E5:E500,"Aguardando Pagamento",'Out 2026'!D5:D500)</f>
        <v/>
      </c>
      <c r="C33" s="6">
        <f>'Out 2026'!L18-'Out 2026'!L19</f>
        <v/>
      </c>
      <c r="D33" s="6">
        <f>B33-C33</f>
        <v/>
      </c>
      <c r="E33" s="7">
        <f>IF(B33=0,0,D33/B33)</f>
        <v/>
      </c>
      <c r="F33" s="6">
        <f>'Out 2026'!L17</f>
        <v/>
      </c>
      <c r="G33" s="6">
        <f>D33-F33</f>
        <v/>
      </c>
    </row>
    <row r="34" ht="15.75" customHeight="1" s="157">
      <c r="A34" s="2" t="inlineStr">
        <is>
          <t>Novembro</t>
        </is>
      </c>
      <c r="B34" s="3">
        <f>SUMIF('Nov 2026'!E5:E500,"&lt;&gt;",'Nov 2026'!D5:D500)-SUMIF('Nov 2026'!E5:E500,"&lt;&gt;",'Nov 2026'!F5:F500)-SUMIF('Nov 2026'!E5:E500,"Aguardando Pagamento",'Nov 2026'!D5:D500)</f>
        <v/>
      </c>
      <c r="C34" s="3">
        <f>'Nov 2026'!L18-'Nov 2026'!L19</f>
        <v/>
      </c>
      <c r="D34" s="3">
        <f>B34-C34</f>
        <v/>
      </c>
      <c r="E34" s="4">
        <f>IF(B34=0,0,D34/B34)</f>
        <v/>
      </c>
      <c r="F34" s="3">
        <f>'Nov 2026'!L17</f>
        <v/>
      </c>
      <c r="G34" s="3">
        <f>D34-F34</f>
        <v/>
      </c>
    </row>
    <row r="35">
      <c r="A35" s="5" t="inlineStr">
        <is>
          <t>Dezembro</t>
        </is>
      </c>
      <c r="B35" s="6">
        <f>SUMIF('Dez 2026'!E5:E500,"&lt;&gt;",'Dez 2026'!D5:D500)-SUMIF('Dez 2026'!E5:E500,"&lt;&gt;",'Dez 2026'!F5:F500)-SUMIF('Dez 2026'!E5:E500,"Aguardando Pagamento",'Dez 2026'!D5:D500)</f>
        <v/>
      </c>
      <c r="C35" s="6">
        <f>'Dez 2026'!L18-'Dez 2026'!L19</f>
        <v/>
      </c>
      <c r="D35" s="6">
        <f>B35-C35</f>
        <v/>
      </c>
      <c r="E35" s="7">
        <f>IF(B35=0,0,D35/B35)</f>
        <v/>
      </c>
      <c r="F35" s="6">
        <f>'Dez 2026'!L17</f>
        <v/>
      </c>
      <c r="G35" s="6">
        <f>D35-F35</f>
        <v/>
      </c>
    </row>
    <row r="36">
      <c r="A36" s="42" t="inlineStr">
        <is>
          <t>TOTAL / MÉDIA</t>
        </is>
      </c>
      <c r="B36" s="8">
        <f>SUM(B24:B35)</f>
        <v/>
      </c>
      <c r="C36" s="8">
        <f>SUM(C24:C35)</f>
        <v/>
      </c>
      <c r="D36" s="8">
        <f>SUM(D24:D35)</f>
        <v/>
      </c>
      <c r="E36" s="9">
        <f>IF(B36=0,0,D36/B36)</f>
        <v/>
      </c>
      <c r="F36" s="8">
        <f>SUM(F24:F35)</f>
        <v/>
      </c>
      <c r="G36" s="8">
        <f>SUM(G24:G35)</f>
        <v/>
      </c>
    </row>
    <row r="39" ht="15.75" customHeight="1" s="157">
      <c r="A39" s="183" t="inlineStr">
        <is>
          <t>Saídas por Categoria (Ano 2026)</t>
        </is>
      </c>
      <c r="F39" s="183" t="inlineStr">
        <is>
          <t>Contas a Receber — Vendas Pendentes (Ago–Dez/2026)</t>
        </is>
      </c>
    </row>
    <row r="40">
      <c r="A40" s="1" t="inlineStr">
        <is>
          <t>Categoria</t>
        </is>
      </c>
      <c r="B40" s="1" t="inlineStr">
        <is>
          <t>Valor (R$)</t>
        </is>
      </c>
      <c r="C40" s="1" t="inlineStr">
        <is>
          <t>% do Total</t>
        </is>
      </c>
      <c r="F40" s="1" t="inlineStr">
        <is>
          <t>Mês</t>
        </is>
      </c>
      <c r="G40" s="1" t="n"/>
      <c r="H40" s="1" t="inlineStr">
        <is>
          <t>Valor (R$)</t>
        </is>
      </c>
    </row>
    <row r="41">
      <c r="A41" s="10" t="inlineStr">
        <is>
          <t>Fornecedores / Mercadoria</t>
        </is>
      </c>
      <c r="B41" s="11">
        <f>SUMIF('Jan 2026'!H5:H500,$A41,'Jan 2026'!G5:G500)+SUMIF('Fev 2026'!H5:H500,$A41,'Fev 2026'!G5:G500)+SUMIF('Mar 2026'!H5:H500,$A41,'Mar 2026'!G5:G500)+SUMIF('Abr 2026'!H5:H500,$A41,'Abr 2026'!G5:G500)+SUMIF('Mai 2026'!H5:H500,$A41,'Mai 2026'!G5:G500)+SUMIF('Jun 2026'!H5:H500,$A41,'Jun 2026'!G5:G500)+SUMIF('Jul 2026'!H5:H500,$A41,'Jul 2026'!G5:G500)+SUMIF('Ago 2026'!H5:H500,$A41,'Ago 2026'!G5:G500)+SUMIF('Set 2026'!H5:H500,$A41,'Set 2026'!G5:G500)+SUMIF('Out 2026'!H5:H500,$A41,'Out 2026'!G5:G500)+SUMIF('Nov 2026'!H5:H500,$A41,'Nov 2026'!G5:G500)+SUMIF('Dez 2026'!H5:H500,$A41,'Dez 2026'!G5:G500)</f>
        <v/>
      </c>
      <c r="C41" s="12">
        <f>IF($B$54=0,0,B41/$B$54)</f>
        <v/>
      </c>
      <c r="F41" s="10" t="inlineStr">
        <is>
          <t>Agosto</t>
        </is>
      </c>
      <c r="G41" s="11" t="n"/>
      <c r="H41" s="11">
        <f>SUMIF('Ago 2026'!E5:E500,"Aguardando Pagamento",'Ago 2026'!D5:D500)</f>
        <v/>
      </c>
    </row>
    <row r="42">
      <c r="A42" s="13" t="inlineStr">
        <is>
          <t>Aluguel</t>
        </is>
      </c>
      <c r="B42" s="14">
        <f>SUMIF('Jan 2026'!H5:H500,$A42,'Jan 2026'!G5:G500)+SUMIF('Fev 2026'!H5:H500,$A42,'Fev 2026'!G5:G500)+SUMIF('Mar 2026'!H5:H500,$A42,'Mar 2026'!G5:G500)+SUMIF('Abr 2026'!H5:H500,$A42,'Abr 2026'!G5:G500)+SUMIF('Mai 2026'!H5:H500,$A42,'Mai 2026'!G5:G500)+SUMIF('Jun 2026'!H5:H500,$A42,'Jun 2026'!G5:G500)+SUMIF('Jul 2026'!H5:H500,$A42,'Jul 2026'!G5:G500)+SUMIF('Ago 2026'!H5:H500,$A42,'Ago 2026'!G5:G500)+SUMIF('Set 2026'!H5:H500,$A42,'Set 2026'!G5:G500)+SUMIF('Out 2026'!H5:H500,$A42,'Out 2026'!G5:G500)+SUMIF('Nov 2026'!H5:H500,$A42,'Nov 2026'!G5:G500)+SUMIF('Dez 2026'!H5:H500,$A42,'Dez 2026'!G5:G500)</f>
        <v/>
      </c>
      <c r="C42" s="15">
        <f>IF($B$54=0,0,B42/$B$54)</f>
        <v/>
      </c>
      <c r="F42" s="13" t="inlineStr">
        <is>
          <t>Setembro</t>
        </is>
      </c>
      <c r="G42" s="14" t="n"/>
      <c r="H42" s="14">
        <f>SUMIF('Set 2026'!E5:E500,"Aguardando Pagamento",'Set 2026'!D5:D500)</f>
        <v/>
      </c>
    </row>
    <row r="43">
      <c r="A43" s="10" t="inlineStr">
        <is>
          <t>Água, Energia e Internet</t>
        </is>
      </c>
      <c r="B43" s="11">
        <f>SUMIF('Jan 2026'!H5:H500,$A43,'Jan 2026'!G5:G500)+SUMIF('Fev 2026'!H5:H500,$A43,'Fev 2026'!G5:G500)+SUMIF('Mar 2026'!H5:H500,$A43,'Mar 2026'!G5:G500)+SUMIF('Abr 2026'!H5:H500,$A43,'Abr 2026'!G5:G500)+SUMIF('Mai 2026'!H5:H500,$A43,'Mai 2026'!G5:G500)+SUMIF('Jun 2026'!H5:H500,$A43,'Jun 2026'!G5:G500)+SUMIF('Jul 2026'!H5:H500,$A43,'Jul 2026'!G5:G500)+SUMIF('Ago 2026'!H5:H500,$A43,'Ago 2026'!G5:G500)+SUMIF('Set 2026'!H5:H500,$A43,'Set 2026'!G5:G500)+SUMIF('Out 2026'!H5:H500,$A43,'Out 2026'!G5:G500)+SUMIF('Nov 2026'!H5:H500,$A43,'Nov 2026'!G5:G500)+SUMIF('Dez 2026'!H5:H500,$A43,'Dez 2026'!G5:G500)</f>
        <v/>
      </c>
      <c r="C43" s="12">
        <f>IF($B$54=0,0,B43/$B$54)</f>
        <v/>
      </c>
      <c r="F43" s="10" t="inlineStr">
        <is>
          <t>Outubro</t>
        </is>
      </c>
      <c r="G43" s="11" t="n"/>
      <c r="H43" s="11">
        <f>SUMIF('Out 2026'!E5:E500,"Aguardando Pagamento",'Out 2026'!D5:D500)</f>
        <v/>
      </c>
    </row>
    <row r="44">
      <c r="A44" s="13" t="inlineStr">
        <is>
          <t>Impostos e Taxas</t>
        </is>
      </c>
      <c r="B44" s="14">
        <f>SUMIF('Jan 2026'!H5:H500,$A44,'Jan 2026'!G5:G500)+SUMIF('Fev 2026'!H5:H500,$A44,'Fev 2026'!G5:G500)+SUMIF('Mar 2026'!H5:H500,$A44,'Mar 2026'!G5:G500)+SUMIF('Abr 2026'!H5:H500,$A44,'Abr 2026'!G5:G500)+SUMIF('Mai 2026'!H5:H500,$A44,'Mai 2026'!G5:G500)+SUMIF('Jun 2026'!H5:H500,$A44,'Jun 2026'!G5:G500)+SUMIF('Jul 2026'!H5:H500,$A44,'Jul 2026'!G5:G500)+SUMIF('Ago 2026'!H5:H500,$A44,'Ago 2026'!G5:G500)+SUMIF('Set 2026'!H5:H500,$A44,'Set 2026'!G5:G500)+SUMIF('Out 2026'!H5:H500,$A44,'Out 2026'!G5:G500)+SUMIF('Nov 2026'!H5:H500,$A44,'Nov 2026'!G5:G500)+SUMIF('Dez 2026'!H5:H500,$A44,'Dez 2026'!G5:G500)</f>
        <v/>
      </c>
      <c r="C44" s="15">
        <f>IF($B$54=0,0,B44/$B$54)</f>
        <v/>
      </c>
      <c r="F44" s="13" t="inlineStr">
        <is>
          <t>Novembro</t>
        </is>
      </c>
      <c r="G44" s="14" t="n"/>
      <c r="H44" s="14">
        <f>SUMIF('Nov 2026'!E5:E500,"Aguardando Pagamento",'Nov 2026'!D5:D500)</f>
        <v/>
      </c>
    </row>
    <row r="45">
      <c r="A45" s="10" t="inlineStr">
        <is>
          <t>Tarifas Bancárias e Cartão</t>
        </is>
      </c>
      <c r="B45" s="11">
        <f>SUMIF('Jan 2026'!H5:H500,$A45,'Jan 2026'!G5:G500)+SUMIF('Fev 2026'!H5:H500,$A45,'Fev 2026'!G5:G500)+SUMIF('Mar 2026'!H5:H500,$A45,'Mar 2026'!G5:G500)+SUMIF('Abr 2026'!H5:H500,$A45,'Abr 2026'!G5:G500)+SUMIF('Mai 2026'!H5:H500,$A45,'Mai 2026'!G5:G500)+SUMIF('Jun 2026'!H5:H500,$A45,'Jun 2026'!G5:G500)+SUMIF('Jul 2026'!H5:H500,$A45,'Jul 2026'!G5:G500)+SUMIF('Ago 2026'!H5:H500,$A45,'Ago 2026'!G5:G500)+SUMIF('Set 2026'!H5:H500,$A45,'Set 2026'!G5:G500)+SUMIF('Out 2026'!H5:H500,$A45,'Out 2026'!G5:G500)+SUMIF('Nov 2026'!H5:H500,$A45,'Nov 2026'!G5:G500)+SUMIF('Dez 2026'!H5:H500,$A45,'Dez 2026'!G5:G500)</f>
        <v/>
      </c>
      <c r="C45" s="12">
        <f>IF($B$54=0,0,B45/$B$54)</f>
        <v/>
      </c>
      <c r="F45" s="10" t="inlineStr">
        <is>
          <t>Dezembro</t>
        </is>
      </c>
      <c r="G45" s="11" t="n"/>
      <c r="H45" s="11">
        <f>SUMIF('Dez 2026'!E5:E500,"Aguardando Pagamento",'Dez 2026'!D5:D500)</f>
        <v/>
      </c>
    </row>
    <row r="46">
      <c r="A46" s="13" t="inlineStr">
        <is>
          <t>Transporte e Entregas</t>
        </is>
      </c>
      <c r="B46" s="14">
        <f>SUMIF('Jan 2026'!H5:H500,$A46,'Jan 2026'!G5:G500)+SUMIF('Fev 2026'!H5:H500,$A46,'Fev 2026'!G5:G500)+SUMIF('Mar 2026'!H5:H500,$A46,'Mar 2026'!G5:G500)+SUMIF('Abr 2026'!H5:H500,$A46,'Abr 2026'!G5:G500)+SUMIF('Mai 2026'!H5:H500,$A46,'Mai 2026'!G5:G500)+SUMIF('Jun 2026'!H5:H500,$A46,'Jun 2026'!G5:G500)+SUMIF('Jul 2026'!H5:H500,$A46,'Jul 2026'!G5:G500)+SUMIF('Ago 2026'!H5:H500,$A46,'Ago 2026'!G5:G500)+SUMIF('Set 2026'!H5:H500,$A46,'Set 2026'!G5:G500)+SUMIF('Out 2026'!H5:H500,$A46,'Out 2026'!G5:G500)+SUMIF('Nov 2026'!H5:H500,$A46,'Nov 2026'!G5:G500)+SUMIF('Dez 2026'!H5:H500,$A46,'Dez 2026'!G5:G500)</f>
        <v/>
      </c>
      <c r="C46" s="15">
        <f>IF($B$54=0,0,B46/$B$54)</f>
        <v/>
      </c>
      <c r="F46" s="187" t="inlineStr">
        <is>
          <t>Total a Receber</t>
        </is>
      </c>
      <c r="G46" s="160" t="n"/>
      <c r="H46" s="8">
        <f>SUM(H41:H45)</f>
        <v/>
      </c>
    </row>
    <row r="47">
      <c r="A47" s="10" t="inlineStr">
        <is>
          <t>Salários, Comissões e Encargos</t>
        </is>
      </c>
      <c r="B47" s="11">
        <f>SUMIF('Jan 2026'!H5:H500,$A47,'Jan 2026'!G5:G500)+SUMIF('Fev 2026'!H5:H500,$A47,'Fev 2026'!G5:G500)+SUMIF('Mar 2026'!H5:H500,$A47,'Mar 2026'!G5:G500)+SUMIF('Abr 2026'!H5:H500,$A47,'Abr 2026'!G5:G500)+SUMIF('Mai 2026'!H5:H500,$A47,'Mai 2026'!G5:G500)+SUMIF('Jun 2026'!H5:H500,$A47,'Jun 2026'!G5:G500)+SUMIF('Jul 2026'!H5:H500,$A47,'Jul 2026'!G5:G500)+SUMIF('Ago 2026'!H5:H500,$A47,'Ago 2026'!G5:G500)+SUMIF('Set 2026'!H5:H500,$A47,'Set 2026'!G5:G500)+SUMIF('Out 2026'!H5:H500,$A47,'Out 2026'!G5:G500)+SUMIF('Nov 2026'!H5:H500,$A47,'Nov 2026'!G5:G500)+SUMIF('Dez 2026'!H5:H500,$A47,'Dez 2026'!G5:G500)</f>
        <v/>
      </c>
      <c r="C47" s="12">
        <f>IF($B$54=0,0,B47/$B$54)</f>
        <v/>
      </c>
      <c r="F47" s="10" t="n"/>
      <c r="G47" s="10" t="n"/>
      <c r="H47" s="10" t="n"/>
    </row>
    <row r="48">
      <c r="A48" s="13" t="inlineStr">
        <is>
          <t>Contabilidade</t>
        </is>
      </c>
      <c r="B48" s="14">
        <f>SUMIF('Jan 2026'!H5:H500,$A48,'Jan 2026'!G5:G500)+SUMIF('Fev 2026'!H5:H500,$A48,'Fev 2026'!G5:G500)+SUMIF('Mar 2026'!H5:H500,$A48,'Mar 2026'!G5:G500)+SUMIF('Abr 2026'!H5:H500,$A48,'Abr 2026'!G5:G500)+SUMIF('Mai 2026'!H5:H500,$A48,'Mai 2026'!G5:G500)+SUMIF('Jun 2026'!H5:H500,$A48,'Jun 2026'!G5:G500)+SUMIF('Jul 2026'!H5:H500,$A48,'Jul 2026'!G5:G500)+SUMIF('Ago 2026'!H5:H500,$A48,'Ago 2026'!G5:G500)+SUMIF('Set 2026'!H5:H500,$A48,'Set 2026'!G5:G500)+SUMIF('Out 2026'!H5:H500,$A48,'Out 2026'!G5:G500)+SUMIF('Nov 2026'!H5:H500,$A48,'Nov 2026'!G5:G500)+SUMIF('Dez 2026'!H5:H500,$A48,'Dez 2026'!G5:G500)</f>
        <v/>
      </c>
      <c r="C48" s="15">
        <f>IF($B$54=0,0,B48/$B$54)</f>
        <v/>
      </c>
      <c r="F48" s="13" t="n"/>
      <c r="G48" s="13" t="n"/>
      <c r="H48" s="13" t="n"/>
    </row>
    <row r="49">
      <c r="A49" s="10" t="inlineStr">
        <is>
          <t>Manutenção e Reparos</t>
        </is>
      </c>
      <c r="B49" s="11">
        <f>SUMIF('Jan 2026'!H5:H500,$A49,'Jan 2026'!G5:G500)+SUMIF('Fev 2026'!H5:H500,$A49,'Fev 2026'!G5:G500)+SUMIF('Mar 2026'!H5:H500,$A49,'Mar 2026'!G5:G500)+SUMIF('Abr 2026'!H5:H500,$A49,'Abr 2026'!G5:G500)+SUMIF('Mai 2026'!H5:H500,$A49,'Mai 2026'!G5:G500)+SUMIF('Jun 2026'!H5:H500,$A49,'Jun 2026'!G5:G500)+SUMIF('Jul 2026'!H5:H500,$A49,'Jul 2026'!G5:G500)+SUMIF('Ago 2026'!H5:H500,$A49,'Ago 2026'!G5:G500)+SUMIF('Set 2026'!H5:H500,$A49,'Set 2026'!G5:G500)+SUMIF('Out 2026'!H5:H500,$A49,'Out 2026'!G5:G500)+SUMIF('Nov 2026'!H5:H500,$A49,'Nov 2026'!G5:G500)+SUMIF('Dez 2026'!H5:H500,$A49,'Dez 2026'!G5:G500)</f>
        <v/>
      </c>
      <c r="C49" s="12">
        <f>IF($B$54=0,0,B49/$B$54)</f>
        <v/>
      </c>
      <c r="F49" s="10" t="n"/>
      <c r="G49" s="10" t="n"/>
      <c r="H49" s="10" t="n"/>
    </row>
    <row r="50">
      <c r="A50" s="13" t="inlineStr">
        <is>
          <t>Material de Limpeza e Escritório</t>
        </is>
      </c>
      <c r="B50" s="14">
        <f>SUMIF('Jan 2026'!H5:H500,$A50,'Jan 2026'!G5:G500)+SUMIF('Fev 2026'!H5:H500,$A50,'Fev 2026'!G5:G500)+SUMIF('Mar 2026'!H5:H500,$A50,'Mar 2026'!G5:G500)+SUMIF('Abr 2026'!H5:H500,$A50,'Abr 2026'!G5:G500)+SUMIF('Mai 2026'!H5:H500,$A50,'Mai 2026'!G5:G500)+SUMIF('Jun 2026'!H5:H500,$A50,'Jun 2026'!G5:G500)+SUMIF('Jul 2026'!H5:H500,$A50,'Jul 2026'!G5:G500)+SUMIF('Ago 2026'!H5:H500,$A50,'Ago 2026'!G5:G500)+SUMIF('Set 2026'!H5:H500,$A50,'Set 2026'!G5:G500)+SUMIF('Out 2026'!H5:H500,$A50,'Out 2026'!G5:G500)+SUMIF('Nov 2026'!H5:H500,$A50,'Nov 2026'!G5:G500)+SUMIF('Dez 2026'!H5:H500,$A50,'Dez 2026'!G5:G500)</f>
        <v/>
      </c>
      <c r="C50" s="15">
        <f>IF($B$54=0,0,B50/$B$54)</f>
        <v/>
      </c>
      <c r="F50" s="128" t="n"/>
      <c r="H50" s="42" t="n"/>
    </row>
    <row r="51" ht="15.75" customHeight="1" s="157">
      <c r="A51" s="10" t="inlineStr">
        <is>
          <t>Estornos de Vendas (Cancelamentos)</t>
        </is>
      </c>
      <c r="B51" s="11">
        <f>SUMIF('Jan 2026'!H5:H500,$A51,'Jan 2026'!G5:G500)+SUMIF('Fev 2026'!H5:H500,$A51,'Fev 2026'!G5:G500)+SUMIF('Mar 2026'!H5:H500,$A51,'Mar 2026'!G5:G500)+SUMIF('Abr 2026'!H5:H500,$A51,'Abr 2026'!G5:G500)+SUMIF('Mai 2026'!H5:H500,$A51,'Mai 2026'!G5:G500)+SUMIF('Jun 2026'!H5:H500,$A51,'Jun 2026'!G5:G500)+SUMIF('Jul 2026'!H5:H500,$A51,'Jul 2026'!G5:G500)+SUMIF('Ago 2026'!H5:H500,$A51,'Ago 2026'!G5:G500)+SUMIF('Set 2026'!H5:H500,$A51,'Set 2026'!G5:G500)+SUMIF('Out 2026'!H5:H500,$A51,'Out 2026'!G5:G500)+SUMIF('Nov 2026'!H5:H500,$A51,'Nov 2026'!G5:G500)+SUMIF('Dez 2026'!H5:H500,$A51,'Dez 2026'!G5:G500)</f>
        <v/>
      </c>
      <c r="C51" s="12">
        <f>IF($B$54=0,0,B51/$B$54)</f>
        <v/>
      </c>
    </row>
    <row r="52">
      <c r="A52" s="13" t="inlineStr">
        <is>
          <t>Outras Despesas</t>
        </is>
      </c>
      <c r="B52" s="14">
        <f>SUMIF('Jan 2026'!H5:H500,$A52,'Jan 2026'!G5:G500)+SUMIF('Fev 2026'!H5:H500,$A52,'Fev 2026'!G5:G500)+SUMIF('Mar 2026'!H5:H500,$A52,'Mar 2026'!G5:G500)+SUMIF('Abr 2026'!H5:H500,$A52,'Abr 2026'!G5:G500)+SUMIF('Mai 2026'!H5:H500,$A52,'Mai 2026'!G5:G500)+SUMIF('Jun 2026'!H5:H500,$A52,'Jun 2026'!G5:G500)+SUMIF('Jul 2026'!H5:H500,$A52,'Jul 2026'!G5:G500)+SUMIF('Ago 2026'!H5:H500,$A52,'Ago 2026'!G5:G500)+SUMIF('Set 2026'!H5:H500,$A52,'Set 2026'!G5:G500)+SUMIF('Out 2026'!H5:H500,$A52,'Out 2026'!G5:G500)+SUMIF('Nov 2026'!H5:H500,$A52,'Nov 2026'!G5:G500)+SUMIF('Dez 2026'!H5:H500,$A52,'Dez 2026'!G5:G500)</f>
        <v/>
      </c>
      <c r="C52" s="15">
        <f>IF($B$54=0,0,B52/$B$54)</f>
        <v/>
      </c>
    </row>
    <row r="53">
      <c r="A53" s="10" t="inlineStr">
        <is>
          <t>Pro Labore Edilânia</t>
        </is>
      </c>
      <c r="B53" s="11">
        <f>SUMIF('Jan 2026'!H5:H500,$A53,'Jan 2026'!G5:G500)+SUMIF('Fev 2026'!H5:H500,$A53,'Fev 2026'!G5:G500)+SUMIF('Mar 2026'!H5:H500,$A53,'Mar 2026'!G5:G500)+SUMIF('Abr 2026'!H5:H500,$A53,'Abr 2026'!G5:G500)+SUMIF('Mai 2026'!H5:H500,$A53,'Mai 2026'!G5:G500)+SUMIF('Jun 2026'!H5:H500,$A53,'Jun 2026'!G5:G500)+SUMIF('Jul 2026'!H5:H500,$A53,'Jul 2026'!G5:G500)+SUMIF('Ago 2026'!H5:H500,$A53,'Ago 2026'!G5:G500)+SUMIF('Set 2026'!H5:H500,$A53,'Set 2026'!G5:G500)+SUMIF('Out 2026'!H5:H500,$A53,'Out 2026'!G5:G500)+SUMIF('Nov 2026'!H5:H500,$A53,'Nov 2026'!G5:G500)+SUMIF('Dez 2026'!H5:H500,$A53,'Dez 2026'!G5:G500)</f>
        <v/>
      </c>
      <c r="C53" s="12">
        <f>IF($B$54=0,0,B53/$B$54)</f>
        <v/>
      </c>
    </row>
    <row r="54">
      <c r="A54" s="42" t="inlineStr">
        <is>
          <t>Total</t>
        </is>
      </c>
      <c r="B54" s="8">
        <f>SUM(B41:B52)</f>
        <v/>
      </c>
      <c r="C54" s="16" t="n">
        <v>1</v>
      </c>
    </row>
    <row r="56" ht="15.75" customHeight="1" s="157">
      <c r="A56" s="183" t="inlineStr">
        <is>
          <t>Top 15 Produtos Mais Vendidos (Jan–Jul/2026, agregado — sem detalhamento por mês/cliente)</t>
        </is>
      </c>
    </row>
    <row r="57">
      <c r="A57" s="1" t="inlineStr">
        <is>
          <t>Código</t>
        </is>
      </c>
      <c r="B57" s="1" t="inlineStr">
        <is>
          <t>Descrição</t>
        </is>
      </c>
      <c r="C57" s="1" t="inlineStr">
        <is>
          <t>Qtd. Vendida</t>
        </is>
      </c>
      <c r="D57" s="1" t="inlineStr">
        <is>
          <t>Nº Vendas</t>
        </is>
      </c>
      <c r="E57" s="1" t="inlineStr">
        <is>
          <t>Total (R$)</t>
        </is>
      </c>
    </row>
    <row r="58">
      <c r="A58" s="10" t="inlineStr">
        <is>
          <t>51750</t>
        </is>
      </c>
      <c r="B58" s="10" t="inlineStr">
        <is>
          <t>REFIL ORIGINAL EVEREST</t>
        </is>
      </c>
      <c r="C58" s="10" t="n">
        <v>382</v>
      </c>
      <c r="D58" s="10" t="n">
        <v>285</v>
      </c>
      <c r="E58" s="11" t="n">
        <v>48297.42</v>
      </c>
    </row>
    <row r="59">
      <c r="A59" s="13" t="inlineStr">
        <is>
          <t>1013A</t>
        </is>
      </c>
      <c r="B59" s="13" t="inlineStr">
        <is>
          <t>REFIL PRO LIFE ESPECIAL OC</t>
        </is>
      </c>
      <c r="C59" s="13" t="n">
        <v>97</v>
      </c>
      <c r="D59" s="13" t="n">
        <v>91</v>
      </c>
      <c r="E59" s="14" t="n">
        <v>13379.01</v>
      </c>
    </row>
    <row r="60">
      <c r="A60" s="10" t="inlineStr">
        <is>
          <t>51606</t>
        </is>
      </c>
      <c r="B60" s="10" t="inlineStr">
        <is>
          <t>PURIFICADOR DE AGUA EVEREST STAR 220V/60HZ BRANCO</t>
        </is>
      </c>
      <c r="C60" s="10" t="n">
        <v>7</v>
      </c>
      <c r="D60" s="10" t="n">
        <v>7</v>
      </c>
      <c r="E60" s="11" t="n">
        <v>9322</v>
      </c>
    </row>
    <row r="61">
      <c r="A61" s="13" t="inlineStr">
        <is>
          <t>51624</t>
        </is>
      </c>
      <c r="B61" s="13" t="inlineStr">
        <is>
          <t>PURIFICADOR DE AGUA EVEREST PLUS 220V/60HZ PRATA</t>
        </is>
      </c>
      <c r="C61" s="13" t="n">
        <v>4</v>
      </c>
      <c r="D61" s="13" t="n">
        <v>4</v>
      </c>
      <c r="E61" s="14" t="n">
        <v>5839.56</v>
      </c>
    </row>
    <row r="62">
      <c r="A62" s="10" t="inlineStr">
        <is>
          <t>1100A</t>
        </is>
      </c>
      <c r="B62" s="10" t="inlineStr">
        <is>
          <t>REFIL IBBL/PREC+3</t>
        </is>
      </c>
      <c r="C62" s="10" t="n">
        <v>42</v>
      </c>
      <c r="D62" s="10" t="n">
        <v>5</v>
      </c>
      <c r="E62" s="11" t="n">
        <v>5800</v>
      </c>
    </row>
    <row r="63">
      <c r="A63" s="13" t="inlineStr">
        <is>
          <t>51679</t>
        </is>
      </c>
      <c r="B63" s="13" t="inlineStr">
        <is>
          <t>PURIFICADOR DE AGUA EVEREST FIT 220V/60HZ BRANCO</t>
        </is>
      </c>
      <c r="C63" s="13" t="n">
        <v>4</v>
      </c>
      <c r="D63" s="13" t="n">
        <v>4</v>
      </c>
      <c r="E63" s="14" t="n">
        <v>5296</v>
      </c>
    </row>
    <row r="64">
      <c r="A64" s="10" t="inlineStr">
        <is>
          <t>51647</t>
        </is>
      </c>
      <c r="B64" s="10" t="inlineStr">
        <is>
          <t>PURIFICADOR DE AGUA EVEREST SLIM 220V/60HZ BRANCO</t>
        </is>
      </c>
      <c r="C64" s="10" t="n">
        <v>4</v>
      </c>
      <c r="D64" s="10" t="n">
        <v>4</v>
      </c>
      <c r="E64" s="11" t="n">
        <v>5294</v>
      </c>
    </row>
    <row r="65">
      <c r="A65" s="13" t="inlineStr">
        <is>
          <t>51750</t>
        </is>
      </c>
      <c r="B65" s="13" t="inlineStr">
        <is>
          <t>Filtro para bebedouro Soft by everest 2 em 1</t>
        </is>
      </c>
      <c r="C65" s="13" t="n">
        <v>91</v>
      </c>
      <c r="D65" s="13" t="n">
        <v>12</v>
      </c>
      <c r="E65" s="14" t="n">
        <v>5241.91</v>
      </c>
    </row>
    <row r="66">
      <c r="A66" s="10" t="inlineStr">
        <is>
          <t>51810</t>
        </is>
      </c>
      <c r="B66" s="10" t="inlineStr">
        <is>
          <t>PRE FILTRO</t>
        </is>
      </c>
      <c r="C66" s="10" t="n">
        <v>87</v>
      </c>
      <c r="D66" s="10" t="n">
        <v>78</v>
      </c>
      <c r="E66" s="11" t="n">
        <v>5051.19</v>
      </c>
    </row>
    <row r="67">
      <c r="A67" s="13" t="inlineStr">
        <is>
          <t>51669</t>
        </is>
      </c>
      <c r="B67" s="13" t="inlineStr">
        <is>
          <t>PURIFICADOR DE AGUA EVEREST PLUS 220V/60HZ BRANCO</t>
        </is>
      </c>
      <c r="C67" s="13" t="n">
        <v>3</v>
      </c>
      <c r="D67" s="13" t="n">
        <v>3</v>
      </c>
      <c r="E67" s="14" t="n">
        <v>4496</v>
      </c>
    </row>
    <row r="68">
      <c r="A68" s="10" t="inlineStr">
        <is>
          <t>51639</t>
        </is>
      </c>
      <c r="B68" s="10" t="inlineStr">
        <is>
          <t>PURIFICADOR DE AGUA EVEREST FIT 220V/60HZ PRETO</t>
        </is>
      </c>
      <c r="C68" s="10" t="n">
        <v>3</v>
      </c>
      <c r="D68" s="10" t="n">
        <v>3</v>
      </c>
      <c r="E68" s="11" t="n">
        <v>4346</v>
      </c>
    </row>
    <row r="69">
      <c r="A69" s="13" t="inlineStr">
        <is>
          <t>51618</t>
        </is>
      </c>
      <c r="B69" s="13" t="inlineStr">
        <is>
          <t>PURIFICADOR DE AGUA EVEREST SLIM 220V/60HZ PRATA</t>
        </is>
      </c>
      <c r="C69" s="13" t="n">
        <v>3</v>
      </c>
      <c r="D69" s="13" t="n">
        <v>3</v>
      </c>
      <c r="E69" s="14" t="n">
        <v>4246</v>
      </c>
    </row>
    <row r="70">
      <c r="A70" s="10" t="inlineStr">
        <is>
          <t>24010005</t>
        </is>
      </c>
      <c r="B70" s="10" t="inlineStr">
        <is>
          <t>REFIL IBBL/PREC+3</t>
        </is>
      </c>
      <c r="C70" s="10" t="n">
        <v>29</v>
      </c>
      <c r="D70" s="10" t="n">
        <v>3</v>
      </c>
      <c r="E70" s="11" t="n">
        <v>4240</v>
      </c>
    </row>
    <row r="71">
      <c r="A71" s="13" t="inlineStr">
        <is>
          <t>4456868</t>
        </is>
      </c>
      <c r="B71" s="13" t="inlineStr">
        <is>
          <t>REFIL IBBL/PREC+3</t>
        </is>
      </c>
      <c r="C71" s="13" t="n">
        <v>29</v>
      </c>
      <c r="D71" s="13" t="n">
        <v>4</v>
      </c>
      <c r="E71" s="14" t="n">
        <v>4140</v>
      </c>
    </row>
    <row r="72">
      <c r="A72" s="10" t="inlineStr">
        <is>
          <t>51622</t>
        </is>
      </c>
      <c r="B72" s="10" t="inlineStr">
        <is>
          <t>PURIFICADOR DE AGUA EVEREST FIT 220V/60HZ PRATA</t>
        </is>
      </c>
      <c r="C72" s="10" t="n">
        <v>3</v>
      </c>
      <c r="D72" s="10" t="n">
        <v>3</v>
      </c>
      <c r="E72" s="11" t="n">
        <v>4098</v>
      </c>
    </row>
  </sheetData>
  <mergeCells count="30">
    <mergeCell ref="A14:M14"/>
    <mergeCell ref="A17:M17"/>
    <mergeCell ref="A5:B6"/>
    <mergeCell ref="G5:H6"/>
    <mergeCell ref="I5:J6"/>
    <mergeCell ref="A12:L12"/>
    <mergeCell ref="C4:D4"/>
    <mergeCell ref="A1:N1"/>
    <mergeCell ref="E4:F4"/>
    <mergeCell ref="A19:M19"/>
    <mergeCell ref="A8:L8"/>
    <mergeCell ref="A15:M15"/>
    <mergeCell ref="F39:H39"/>
    <mergeCell ref="A56:E56"/>
    <mergeCell ref="A10:L10"/>
    <mergeCell ref="A2:N2"/>
    <mergeCell ref="A13:L13"/>
    <mergeCell ref="C5:D6"/>
    <mergeCell ref="F46:G46"/>
    <mergeCell ref="E5:F6"/>
    <mergeCell ref="K5:L6"/>
    <mergeCell ref="A9:L9"/>
    <mergeCell ref="A39:C39"/>
    <mergeCell ref="A16:M16"/>
    <mergeCell ref="A4:B4"/>
    <mergeCell ref="G4:H4"/>
    <mergeCell ref="I4:J4"/>
    <mergeCell ref="A11:L11"/>
    <mergeCell ref="A18:M18"/>
    <mergeCell ref="K4:L4"/>
  </mergeCells>
  <conditionalFormatting sqref="G24:G36">
    <cfRule type="cellIs" priority="1" operator="lessThan" dxfId="0">
      <formula>0</formula>
    </cfRule>
  </conditionalFormatting>
  <hyperlinks>
    <hyperlink ref="A3" location="'Início'!A1" display="← Início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1F3864"/>
    <outlinePr summaryBelow="1" summaryRight="1"/>
    <pageSetUpPr/>
  </sheetPr>
  <dimension ref="A1:O38"/>
  <sheetViews>
    <sheetView showGridLines="0" zoomScale="85" zoomScaleNormal="85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157" min="1" max="1"/>
    <col width="13" customWidth="1" style="157" min="2" max="13"/>
    <col width="15" customWidth="1" style="157" min="14" max="15"/>
  </cols>
  <sheetData>
    <row r="1" ht="23.25" customHeight="1" s="157">
      <c r="A1" s="197" t="inlineStr">
        <is>
          <t>DRE SIMPLIFICADO — 2026</t>
        </is>
      </c>
    </row>
    <row r="2">
      <c r="A2" s="195" t="inlineStr">
        <is>
          <t>Receita − Custos Variáveis = Margem de Contribuição.  Margem − Custos Fixos = Resultado da loja.  Resultado da loja − Pró-labore da Edilânia = SOBRA FINAL. Puxa tudo das abas mensais, sem digitação.</t>
        </is>
      </c>
    </row>
    <row r="3">
      <c r="A3" s="127" t="inlineStr">
        <is>
          <t>← Início</t>
        </is>
      </c>
      <c r="B3" s="94">
        <f>SUM(B38:M38)</f>
        <v/>
      </c>
      <c r="C3" s="194" t="inlineStr">
        <is>
          <t>← meses já fechados (o mês em andamento fica fora); é a base da coluna "Média/mês"</t>
        </is>
      </c>
    </row>
    <row r="4" ht="27.95" customHeight="1" s="157">
      <c r="A4" s="76" t="inlineStr">
        <is>
          <t>Conta</t>
        </is>
      </c>
      <c r="B4" s="76" t="inlineStr">
        <is>
          <t>Janeiro</t>
        </is>
      </c>
      <c r="C4" s="76" t="inlineStr">
        <is>
          <t>Fevereiro</t>
        </is>
      </c>
      <c r="D4" s="76" t="inlineStr">
        <is>
          <t>Março</t>
        </is>
      </c>
      <c r="E4" s="76" t="inlineStr">
        <is>
          <t>Abril</t>
        </is>
      </c>
      <c r="F4" s="76" t="inlineStr">
        <is>
          <t>Maio</t>
        </is>
      </c>
      <c r="G4" s="76" t="inlineStr">
        <is>
          <t>Junho</t>
        </is>
      </c>
      <c r="H4" s="76" t="inlineStr">
        <is>
          <t>Julho</t>
        </is>
      </c>
      <c r="I4" s="76" t="inlineStr">
        <is>
          <t>Agosto</t>
        </is>
      </c>
      <c r="J4" s="76" t="inlineStr">
        <is>
          <t>Setembro</t>
        </is>
      </c>
      <c r="K4" s="76" t="inlineStr">
        <is>
          <t>Outubro</t>
        </is>
      </c>
      <c r="L4" s="76" t="inlineStr">
        <is>
          <t>Novembro</t>
        </is>
      </c>
      <c r="M4" s="76" t="inlineStr">
        <is>
          <t>Dezembro</t>
        </is>
      </c>
      <c r="N4" s="76" t="inlineStr">
        <is>
          <t>Total</t>
        </is>
      </c>
      <c r="O4" s="76" t="inlineStr">
        <is>
          <t>Média/mês</t>
        </is>
      </c>
    </row>
    <row r="5">
      <c r="A5" s="95" t="inlineStr">
        <is>
          <t>RECEITA LÍQUIDA (vendas recebidas)</t>
        </is>
      </c>
      <c r="B5" s="96">
        <f>SUMIF('Jan 2026'!A5:A500,"&lt;&gt;",'Jan 2026'!D5:D500)-SUMIF('Jan 2026'!A5:A500,"&lt;&gt;",'Jan 2026'!F5:F500)-'Jan 2026'!T5</f>
        <v/>
      </c>
      <c r="C5" s="96">
        <f>SUMIF('Fev 2026'!A5:A500,"&lt;&gt;",'Fev 2026'!D5:D500)-SUMIF('Fev 2026'!A5:A500,"&lt;&gt;",'Fev 2026'!F5:F500)-'Fev 2026'!T5</f>
        <v/>
      </c>
      <c r="D5" s="96">
        <f>SUMIF('Mar 2026'!A5:A500,"&lt;&gt;",'Mar 2026'!D5:D500)-SUMIF('Mar 2026'!A5:A500,"&lt;&gt;",'Mar 2026'!F5:F500)-'Mar 2026'!T5</f>
        <v/>
      </c>
      <c r="E5" s="96">
        <f>SUMIF('Abr 2026'!A5:A500,"&lt;&gt;",'Abr 2026'!D5:D500)-SUMIF('Abr 2026'!A5:A500,"&lt;&gt;",'Abr 2026'!F5:F500)-'Abr 2026'!T5</f>
        <v/>
      </c>
      <c r="F5" s="96">
        <f>SUMIF('Mai 2026'!A5:A500,"&lt;&gt;",'Mai 2026'!D5:D500)-SUMIF('Mai 2026'!A5:A500,"&lt;&gt;",'Mai 2026'!F5:F500)-'Mai 2026'!T5</f>
        <v/>
      </c>
      <c r="G5" s="96">
        <f>SUMIF('Jun 2026'!A5:A500,"&lt;&gt;",'Jun 2026'!D5:D500)-SUMIF('Jun 2026'!A5:A500,"&lt;&gt;",'Jun 2026'!F5:F500)-'Jun 2026'!T5</f>
        <v/>
      </c>
      <c r="H5" s="96">
        <f>SUMIF('Jul 2026'!A5:A500,"&lt;&gt;",'Jul 2026'!D5:D500)-SUMIF('Jul 2026'!A5:A500,"&lt;&gt;",'Jul 2026'!F5:F500)-'Jul 2026'!T5</f>
        <v/>
      </c>
      <c r="I5" s="96">
        <f>SUMIF('Ago 2026'!E5:E500,"&lt;&gt;",'Ago 2026'!D5:D500)-SUMIF('Ago 2026'!E5:E500,"&lt;&gt;",'Ago 2026'!F5:F500)-'Ago 2026'!T5</f>
        <v/>
      </c>
      <c r="J5" s="96">
        <f>SUMIF('Set 2026'!E5:E500,"&lt;&gt;",'Set 2026'!D5:D500)-SUMIF('Set 2026'!E5:E500,"&lt;&gt;",'Set 2026'!F5:F500)-'Set 2026'!T5</f>
        <v/>
      </c>
      <c r="K5" s="96">
        <f>SUMIF('Out 2026'!E5:E500,"&lt;&gt;",'Out 2026'!D5:D500)-SUMIF('Out 2026'!E5:E500,"&lt;&gt;",'Out 2026'!F5:F500)-'Out 2026'!T5</f>
        <v/>
      </c>
      <c r="L5" s="96">
        <f>SUMIF('Nov 2026'!E5:E500,"&lt;&gt;",'Nov 2026'!D5:D500)-SUMIF('Nov 2026'!E5:E500,"&lt;&gt;",'Nov 2026'!F5:F500)-'Nov 2026'!T5</f>
        <v/>
      </c>
      <c r="M5" s="96">
        <f>SUMIF('Dez 2026'!E5:E500,"&lt;&gt;",'Dez 2026'!D5:D500)-SUMIF('Dez 2026'!E5:E500,"&lt;&gt;",'Dez 2026'!F5:F500)-'Dez 2026'!T5</f>
        <v/>
      </c>
      <c r="N5" s="96">
        <f>SUM(B5:M5)</f>
        <v/>
      </c>
      <c r="O5" s="96">
        <f>IF($B$3=0,0,SUMPRODUCT(B5:M5,$B$38:$M$38)/$B$3)</f>
        <v/>
      </c>
    </row>
    <row r="6">
      <c r="A6" s="97" t="inlineStr">
        <is>
          <t xml:space="preserve">   (−) Fornecedores / Mercadoria</t>
        </is>
      </c>
      <c r="B6" s="98">
        <f>'Jan 2026'!L5</f>
        <v/>
      </c>
      <c r="C6" s="98">
        <f>'Fev 2026'!L5</f>
        <v/>
      </c>
      <c r="D6" s="98">
        <f>'Mar 2026'!L5</f>
        <v/>
      </c>
      <c r="E6" s="98">
        <f>'Abr 2026'!L5</f>
        <v/>
      </c>
      <c r="F6" s="98">
        <f>'Mai 2026'!L5</f>
        <v/>
      </c>
      <c r="G6" s="98">
        <f>'Jun 2026'!L5</f>
        <v/>
      </c>
      <c r="H6" s="98">
        <f>'Jul 2026'!L5</f>
        <v/>
      </c>
      <c r="I6" s="98">
        <f>'Ago 2026'!L5</f>
        <v/>
      </c>
      <c r="J6" s="98">
        <f>'Set 2026'!L5</f>
        <v/>
      </c>
      <c r="K6" s="98">
        <f>'Out 2026'!L5</f>
        <v/>
      </c>
      <c r="L6" s="98">
        <f>'Nov 2026'!L5</f>
        <v/>
      </c>
      <c r="M6" s="98">
        <f>'Dez 2026'!L5</f>
        <v/>
      </c>
      <c r="N6" s="98">
        <f>SUM(B6:M6)</f>
        <v/>
      </c>
      <c r="O6" s="98">
        <f>IF($B$3=0,0,SUMPRODUCT(B6:M6,$B$38:$M$38)/$B$3)</f>
        <v/>
      </c>
    </row>
    <row r="7">
      <c r="A7" s="97" t="inlineStr">
        <is>
          <t xml:space="preserve">   (−) Impostos e Taxas</t>
        </is>
      </c>
      <c r="B7" s="98">
        <f>'Jan 2026'!L8</f>
        <v/>
      </c>
      <c r="C7" s="98">
        <f>'Fev 2026'!L8</f>
        <v/>
      </c>
      <c r="D7" s="98">
        <f>'Mar 2026'!L8</f>
        <v/>
      </c>
      <c r="E7" s="98">
        <f>'Abr 2026'!L8</f>
        <v/>
      </c>
      <c r="F7" s="98">
        <f>'Mai 2026'!L8</f>
        <v/>
      </c>
      <c r="G7" s="98">
        <f>'Jun 2026'!L8</f>
        <v/>
      </c>
      <c r="H7" s="98">
        <f>'Jul 2026'!L8</f>
        <v/>
      </c>
      <c r="I7" s="98">
        <f>'Ago 2026'!L8</f>
        <v/>
      </c>
      <c r="J7" s="98">
        <f>'Set 2026'!L8</f>
        <v/>
      </c>
      <c r="K7" s="98">
        <f>'Out 2026'!L8</f>
        <v/>
      </c>
      <c r="L7" s="98">
        <f>'Nov 2026'!L8</f>
        <v/>
      </c>
      <c r="M7" s="98">
        <f>'Dez 2026'!L8</f>
        <v/>
      </c>
      <c r="N7" s="98">
        <f>SUM(B7:M7)</f>
        <v/>
      </c>
      <c r="O7" s="98">
        <f>IF($B$3=0,0,SUMPRODUCT(B7:M7,$B$38:$M$38)/$B$3)</f>
        <v/>
      </c>
    </row>
    <row r="8">
      <c r="A8" s="97" t="inlineStr">
        <is>
          <t xml:space="preserve">   (−) Transporte e Entregas (frete, gasolina, moto táxi)</t>
        </is>
      </c>
      <c r="B8" s="98">
        <f>'Jan 2026'!L10-B21</f>
        <v/>
      </c>
      <c r="C8" s="98">
        <f>'Fev 2026'!L10-C21</f>
        <v/>
      </c>
      <c r="D8" s="98">
        <f>'Mar 2026'!L10-D21</f>
        <v/>
      </c>
      <c r="E8" s="98">
        <f>'Abr 2026'!L10-E21</f>
        <v/>
      </c>
      <c r="F8" s="98">
        <f>'Mai 2026'!L10-F21</f>
        <v/>
      </c>
      <c r="G8" s="98">
        <f>'Jun 2026'!L10-G21</f>
        <v/>
      </c>
      <c r="H8" s="98">
        <f>'Jul 2026'!L10-H21</f>
        <v/>
      </c>
      <c r="I8" s="98">
        <f>'Ago 2026'!L10-I21</f>
        <v/>
      </c>
      <c r="J8" s="98">
        <f>'Set 2026'!L10-J21</f>
        <v/>
      </c>
      <c r="K8" s="98">
        <f>'Out 2026'!L10-K21</f>
        <v/>
      </c>
      <c r="L8" s="98">
        <f>'Nov 2026'!L10-L21</f>
        <v/>
      </c>
      <c r="M8" s="98">
        <f>'Dez 2026'!L10-M21</f>
        <v/>
      </c>
      <c r="N8" s="98">
        <f>SUM(B8:M8)</f>
        <v/>
      </c>
      <c r="O8" s="98">
        <f>IF($B$3=0,0,SUMPRODUCT(B8:M8,$B$38:$M$38)/$B$3)</f>
        <v/>
      </c>
    </row>
    <row r="9" s="157">
      <c r="A9" s="97" t="inlineStr">
        <is>
          <t xml:space="preserve">   (−) Comissões (Wiliam — por troca/instalação)</t>
        </is>
      </c>
      <c r="B9" s="98">
        <f>SUMIFS('Jan 2026'!G5:G500,'Jan 2026'!B5:B500,"Comissão*",'Jan 2026'!H5:H500,"Salários, Comissões e Encargos")</f>
        <v/>
      </c>
      <c r="C9" s="98">
        <f>SUMIFS('Fev 2026'!G5:G500,'Fev 2026'!B5:B500,"Comissão*",'Fev 2026'!H5:H500,"Salários, Comissões e Encargos")</f>
        <v/>
      </c>
      <c r="D9" s="98">
        <f>SUMIFS('Mar 2026'!G5:G500,'Mar 2026'!B5:B500,"Comissão*",'Mar 2026'!H5:H500,"Salários, Comissões e Encargos")</f>
        <v/>
      </c>
      <c r="E9" s="98">
        <f>SUMIFS('Abr 2026'!G5:G500,'Abr 2026'!B5:B500,"Comissão*",'Abr 2026'!H5:H500,"Salários, Comissões e Encargos")</f>
        <v/>
      </c>
      <c r="F9" s="98">
        <f>SUMIFS('Mai 2026'!G5:G500,'Mai 2026'!B5:B500,"Comissão*",'Mai 2026'!H5:H500,"Salários, Comissões e Encargos")</f>
        <v/>
      </c>
      <c r="G9" s="98">
        <f>SUMIFS('Jun 2026'!G5:G500,'Jun 2026'!B5:B500,"Comissão*",'Jun 2026'!H5:H500,"Salários, Comissões e Encargos")</f>
        <v/>
      </c>
      <c r="H9" s="98">
        <f>SUMIFS('Jul 2026'!G5:G500,'Jul 2026'!B5:B500,"Comissão*",'Jul 2026'!H5:H500,"Salários, Comissões e Encargos")</f>
        <v/>
      </c>
      <c r="I9" s="98">
        <f>SUMIFS('Ago 2026'!G5:G500,'Ago 2026'!B5:B500,"Comissão*",'Ago 2026'!H5:H500,"Salários, Comissões e Encargos")</f>
        <v/>
      </c>
      <c r="J9" s="98">
        <f>SUMIFS('Set 2026'!G5:G500,'Set 2026'!B5:B500,"Comissão*",'Set 2026'!H5:H500,"Salários, Comissões e Encargos")</f>
        <v/>
      </c>
      <c r="K9" s="98">
        <f>SUMIFS('Out 2026'!G5:G500,'Out 2026'!B5:B500,"Comissão*",'Out 2026'!H5:H500,"Salários, Comissões e Encargos")</f>
        <v/>
      </c>
      <c r="L9" s="98">
        <f>SUMIFS('Nov 2026'!G5:G500,'Nov 2026'!B5:B500,"Comissão*",'Nov 2026'!H5:H500,"Salários, Comissões e Encargos")</f>
        <v/>
      </c>
      <c r="M9" s="98">
        <f>SUMIFS('Dez 2026'!G5:G500,'Dez 2026'!B5:B500,"Comissão*",'Dez 2026'!H5:H500,"Salários, Comissões e Encargos")</f>
        <v/>
      </c>
      <c r="N9" s="98">
        <f>SUM(B9:M9)</f>
        <v/>
      </c>
      <c r="O9" s="98">
        <f>IF($B$3=0,0,SUMPRODUCT(B9:M9,$B$38:$M$38)/$B$3)</f>
        <v/>
      </c>
    </row>
    <row r="10" s="157">
      <c r="A10" s="99" t="inlineStr">
        <is>
          <t>(=) CUSTOS VARIÁVEIS</t>
        </is>
      </c>
      <c r="B10" s="100">
        <f>SUM(B6:B9)</f>
        <v/>
      </c>
      <c r="C10" s="100">
        <f>SUM(C6:C9)</f>
        <v/>
      </c>
      <c r="D10" s="100">
        <f>SUM(D6:D9)</f>
        <v/>
      </c>
      <c r="E10" s="100">
        <f>SUM(E6:E9)</f>
        <v/>
      </c>
      <c r="F10" s="100">
        <f>SUM(F6:F9)</f>
        <v/>
      </c>
      <c r="G10" s="100">
        <f>SUM(G6:G9)</f>
        <v/>
      </c>
      <c r="H10" s="100">
        <f>SUM(H6:H9)</f>
        <v/>
      </c>
      <c r="I10" s="100">
        <f>SUM(I6:I9)</f>
        <v/>
      </c>
      <c r="J10" s="100">
        <f>SUM(J6:J9)</f>
        <v/>
      </c>
      <c r="K10" s="100">
        <f>SUM(K6:K9)</f>
        <v/>
      </c>
      <c r="L10" s="100">
        <f>SUM(L6:L9)</f>
        <v/>
      </c>
      <c r="M10" s="100">
        <f>SUM(M6:M9)</f>
        <v/>
      </c>
      <c r="N10" s="100">
        <f>SUM(B10:M10)</f>
        <v/>
      </c>
      <c r="O10" s="100">
        <f>IF($B$3=0,0,SUMPRODUCT(B10:M10,$B$38:$M$38)/$B$3)</f>
        <v/>
      </c>
    </row>
    <row r="11" s="157">
      <c r="A11" s="95" t="inlineStr">
        <is>
          <t>(=) MARGEM DE CONTRIBUIÇÃO</t>
        </is>
      </c>
      <c r="B11" s="96">
        <f>B5-B10</f>
        <v/>
      </c>
      <c r="C11" s="96">
        <f>C5-C10</f>
        <v/>
      </c>
      <c r="D11" s="96">
        <f>D5-D10</f>
        <v/>
      </c>
      <c r="E11" s="96">
        <f>E5-E10</f>
        <v/>
      </c>
      <c r="F11" s="96">
        <f>F5-F10</f>
        <v/>
      </c>
      <c r="G11" s="96">
        <f>G5-G10</f>
        <v/>
      </c>
      <c r="H11" s="96">
        <f>H5-H10</f>
        <v/>
      </c>
      <c r="I11" s="96">
        <f>I5-I10</f>
        <v/>
      </c>
      <c r="J11" s="96">
        <f>J5-J10</f>
        <v/>
      </c>
      <c r="K11" s="96">
        <f>K5-K10</f>
        <v/>
      </c>
      <c r="L11" s="96">
        <f>L5-L10</f>
        <v/>
      </c>
      <c r="M11" s="96">
        <f>M5-M10</f>
        <v/>
      </c>
      <c r="N11" s="96">
        <f>SUM(B11:M11)</f>
        <v/>
      </c>
      <c r="O11" s="96">
        <f>IF($B$3=0,0,SUMPRODUCT(B11:M11,$B$38:$M$38)/$B$3)</f>
        <v/>
      </c>
    </row>
    <row r="12" s="157">
      <c r="A12" s="101" t="inlineStr">
        <is>
          <t xml:space="preserve">      Margem de Contribuição (%)</t>
        </is>
      </c>
      <c r="B12" s="102">
        <f>IF(B5=0,"",B11/B5)</f>
        <v/>
      </c>
      <c r="C12" s="102">
        <f>IF(C5=0,"",C11/C5)</f>
        <v/>
      </c>
      <c r="D12" s="102">
        <f>IF(D5=0,"",D11/D5)</f>
        <v/>
      </c>
      <c r="E12" s="102">
        <f>IF(E5=0,"",E11/E5)</f>
        <v/>
      </c>
      <c r="F12" s="102">
        <f>IF(F5=0,"",F11/F5)</f>
        <v/>
      </c>
      <c r="G12" s="102">
        <f>IF(G5=0,"",G11/G5)</f>
        <v/>
      </c>
      <c r="H12" s="102">
        <f>IF(H5=0,"",H11/H5)</f>
        <v/>
      </c>
      <c r="I12" s="102">
        <f>IF(I5=0,"",I11/I5)</f>
        <v/>
      </c>
      <c r="J12" s="102">
        <f>IF(J5=0,"",J11/J5)</f>
        <v/>
      </c>
      <c r="K12" s="102">
        <f>IF(K5=0,"",K11/K5)</f>
        <v/>
      </c>
      <c r="L12" s="102">
        <f>IF(L5=0,"",L11/L5)</f>
        <v/>
      </c>
      <c r="M12" s="102">
        <f>IF(M5=0,"",M11/M5)</f>
        <v/>
      </c>
      <c r="N12" s="102">
        <f>IF(N5=0,"",N11/N5)</f>
        <v/>
      </c>
      <c r="O12" s="102">
        <f>IF(O5=0,"",O11/O5)</f>
        <v/>
      </c>
    </row>
    <row r="13" s="157">
      <c r="A13" s="97" t="inlineStr">
        <is>
          <t xml:space="preserve">   (−) Aluguel</t>
        </is>
      </c>
      <c r="B13" s="98">
        <f>'Jan 2026'!L6</f>
        <v/>
      </c>
      <c r="C13" s="98">
        <f>'Fev 2026'!L6</f>
        <v/>
      </c>
      <c r="D13" s="98">
        <f>'Mar 2026'!L6</f>
        <v/>
      </c>
      <c r="E13" s="98">
        <f>'Abr 2026'!L6</f>
        <v/>
      </c>
      <c r="F13" s="98">
        <f>'Mai 2026'!L6</f>
        <v/>
      </c>
      <c r="G13" s="98">
        <f>'Jun 2026'!L6</f>
        <v/>
      </c>
      <c r="H13" s="98">
        <f>'Jul 2026'!L6</f>
        <v/>
      </c>
      <c r="I13" s="98">
        <f>'Ago 2026'!L6</f>
        <v/>
      </c>
      <c r="J13" s="98">
        <f>'Set 2026'!L6</f>
        <v/>
      </c>
      <c r="K13" s="98">
        <f>'Out 2026'!L6</f>
        <v/>
      </c>
      <c r="L13" s="98">
        <f>'Nov 2026'!L6</f>
        <v/>
      </c>
      <c r="M13" s="98">
        <f>'Dez 2026'!L6</f>
        <v/>
      </c>
      <c r="N13" s="98">
        <f>SUM(B13:M13)</f>
        <v/>
      </c>
      <c r="O13" s="98">
        <f>IF($B$3=0,0,SUMPRODUCT(B13:M13,$B$38:$M$38)/$B$3)</f>
        <v/>
      </c>
    </row>
    <row r="14" s="157">
      <c r="A14" s="97" t="inlineStr">
        <is>
          <t xml:space="preserve">   (−) Água, Energia e Internet</t>
        </is>
      </c>
      <c r="B14" s="98">
        <f>'Jan 2026'!L7</f>
        <v/>
      </c>
      <c r="C14" s="98">
        <f>'Fev 2026'!L7</f>
        <v/>
      </c>
      <c r="D14" s="98">
        <f>'Mar 2026'!L7</f>
        <v/>
      </c>
      <c r="E14" s="98">
        <f>'Abr 2026'!L7</f>
        <v/>
      </c>
      <c r="F14" s="98">
        <f>'Mai 2026'!L7</f>
        <v/>
      </c>
      <c r="G14" s="98">
        <f>'Jun 2026'!L7</f>
        <v/>
      </c>
      <c r="H14" s="98">
        <f>'Jul 2026'!L7</f>
        <v/>
      </c>
      <c r="I14" s="98">
        <f>'Ago 2026'!L7</f>
        <v/>
      </c>
      <c r="J14" s="98">
        <f>'Set 2026'!L7</f>
        <v/>
      </c>
      <c r="K14" s="98">
        <f>'Out 2026'!L7</f>
        <v/>
      </c>
      <c r="L14" s="98">
        <f>'Nov 2026'!L7</f>
        <v/>
      </c>
      <c r="M14" s="98">
        <f>'Dez 2026'!L7</f>
        <v/>
      </c>
      <c r="N14" s="98">
        <f>SUM(B14:M14)</f>
        <v/>
      </c>
      <c r="O14" s="98">
        <f>IF($B$3=0,0,SUMPRODUCT(B14:M14,$B$38:$M$38)/$B$3)</f>
        <v/>
      </c>
    </row>
    <row r="15" s="157">
      <c r="A15" s="97" t="inlineStr">
        <is>
          <t xml:space="preserve">   (−) Tarifas Bancárias e Cartão</t>
        </is>
      </c>
      <c r="B15" s="98">
        <f>'Jan 2026'!L9</f>
        <v/>
      </c>
      <c r="C15" s="98">
        <f>'Fev 2026'!L9</f>
        <v/>
      </c>
      <c r="D15" s="98">
        <f>'Mar 2026'!L9</f>
        <v/>
      </c>
      <c r="E15" s="98">
        <f>'Abr 2026'!L9</f>
        <v/>
      </c>
      <c r="F15" s="98">
        <f>'Mai 2026'!L9</f>
        <v/>
      </c>
      <c r="G15" s="98">
        <f>'Jun 2026'!L9</f>
        <v/>
      </c>
      <c r="H15" s="98">
        <f>'Jul 2026'!L9</f>
        <v/>
      </c>
      <c r="I15" s="98">
        <f>'Ago 2026'!L9</f>
        <v/>
      </c>
      <c r="J15" s="98">
        <f>'Set 2026'!L9</f>
        <v/>
      </c>
      <c r="K15" s="98">
        <f>'Out 2026'!L9</f>
        <v/>
      </c>
      <c r="L15" s="98">
        <f>'Nov 2026'!L9</f>
        <v/>
      </c>
      <c r="M15" s="98">
        <f>'Dez 2026'!L9</f>
        <v/>
      </c>
      <c r="N15" s="98">
        <f>SUM(B15:M15)</f>
        <v/>
      </c>
      <c r="O15" s="98">
        <f>IF($B$3=0,0,SUMPRODUCT(B15:M15,$B$38:$M$38)/$B$3)</f>
        <v/>
      </c>
    </row>
    <row r="16" s="157">
      <c r="A16" s="97" t="inlineStr">
        <is>
          <t xml:space="preserve">   (−) Salários e Encargos (sem as comissões)</t>
        </is>
      </c>
      <c r="B16" s="98">
        <f>'Jan 2026'!L11-B9</f>
        <v/>
      </c>
      <c r="C16" s="98">
        <f>'Fev 2026'!L11-C9</f>
        <v/>
      </c>
      <c r="D16" s="98">
        <f>'Mar 2026'!L11-D9</f>
        <v/>
      </c>
      <c r="E16" s="98">
        <f>'Abr 2026'!L11-E9</f>
        <v/>
      </c>
      <c r="F16" s="98">
        <f>'Mai 2026'!L11-F9</f>
        <v/>
      </c>
      <c r="G16" s="98">
        <f>'Jun 2026'!L11-G9</f>
        <v/>
      </c>
      <c r="H16" s="98">
        <f>'Jul 2026'!L11-H9</f>
        <v/>
      </c>
      <c r="I16" s="98">
        <f>'Ago 2026'!L11-I9</f>
        <v/>
      </c>
      <c r="J16" s="98">
        <f>'Set 2026'!L11-J9</f>
        <v/>
      </c>
      <c r="K16" s="98">
        <f>'Out 2026'!L11-K9</f>
        <v/>
      </c>
      <c r="L16" s="98">
        <f>'Nov 2026'!L11-L9</f>
        <v/>
      </c>
      <c r="M16" s="98">
        <f>'Dez 2026'!L11-M9</f>
        <v/>
      </c>
      <c r="N16" s="98">
        <f>SUM(B16:M16)</f>
        <v/>
      </c>
      <c r="O16" s="98">
        <f>IF($B$3=0,0,SUMPRODUCT(B16:M16,$B$38:$M$38)/$B$3)</f>
        <v/>
      </c>
    </row>
    <row r="17" s="157">
      <c r="A17" s="97" t="inlineStr">
        <is>
          <t xml:space="preserve">   (−) Contabilidade</t>
        </is>
      </c>
      <c r="B17" s="98">
        <f>'Jan 2026'!L12</f>
        <v/>
      </c>
      <c r="C17" s="98">
        <f>'Fev 2026'!L12</f>
        <v/>
      </c>
      <c r="D17" s="98">
        <f>'Mar 2026'!L12</f>
        <v/>
      </c>
      <c r="E17" s="98">
        <f>'Abr 2026'!L12</f>
        <v/>
      </c>
      <c r="F17" s="98">
        <f>'Mai 2026'!L12</f>
        <v/>
      </c>
      <c r="G17" s="98">
        <f>'Jun 2026'!L12</f>
        <v/>
      </c>
      <c r="H17" s="98">
        <f>'Jul 2026'!L12</f>
        <v/>
      </c>
      <c r="I17" s="98">
        <f>'Ago 2026'!L12</f>
        <v/>
      </c>
      <c r="J17" s="98">
        <f>'Set 2026'!L12</f>
        <v/>
      </c>
      <c r="K17" s="98">
        <f>'Out 2026'!L12</f>
        <v/>
      </c>
      <c r="L17" s="98">
        <f>'Nov 2026'!L12</f>
        <v/>
      </c>
      <c r="M17" s="98">
        <f>'Dez 2026'!L12</f>
        <v/>
      </c>
      <c r="N17" s="98">
        <f>SUM(B17:M17)</f>
        <v/>
      </c>
      <c r="O17" s="98">
        <f>IF($B$3=0,0,SUMPRODUCT(B17:M17,$B$38:$M$38)/$B$3)</f>
        <v/>
      </c>
    </row>
    <row r="18" s="157">
      <c r="A18" s="97" t="inlineStr">
        <is>
          <t xml:space="preserve">   (−) Manutenção e Reparos</t>
        </is>
      </c>
      <c r="B18" s="98">
        <f>'Jan 2026'!L13</f>
        <v/>
      </c>
      <c r="C18" s="98">
        <f>'Fev 2026'!L13</f>
        <v/>
      </c>
      <c r="D18" s="98">
        <f>'Mar 2026'!L13</f>
        <v/>
      </c>
      <c r="E18" s="98">
        <f>'Abr 2026'!L13</f>
        <v/>
      </c>
      <c r="F18" s="98">
        <f>'Mai 2026'!L13</f>
        <v/>
      </c>
      <c r="G18" s="98">
        <f>'Jun 2026'!L13</f>
        <v/>
      </c>
      <c r="H18" s="98">
        <f>'Jul 2026'!L13</f>
        <v/>
      </c>
      <c r="I18" s="98">
        <f>'Ago 2026'!L13</f>
        <v/>
      </c>
      <c r="J18" s="98">
        <f>'Set 2026'!L13</f>
        <v/>
      </c>
      <c r="K18" s="98">
        <f>'Out 2026'!L13</f>
        <v/>
      </c>
      <c r="L18" s="98">
        <f>'Nov 2026'!L13</f>
        <v/>
      </c>
      <c r="M18" s="98">
        <f>'Dez 2026'!L13</f>
        <v/>
      </c>
      <c r="N18" s="98">
        <f>SUM(B18:M18)</f>
        <v/>
      </c>
      <c r="O18" s="98">
        <f>IF($B$3=0,0,SUMPRODUCT(B18:M18,$B$38:$M$38)/$B$3)</f>
        <v/>
      </c>
    </row>
    <row r="19" s="157">
      <c r="A19" s="97" t="inlineStr">
        <is>
          <t xml:space="preserve">   (−) Material de Limpeza e Escritório</t>
        </is>
      </c>
      <c r="B19" s="98">
        <f>'Jan 2026'!L14</f>
        <v/>
      </c>
      <c r="C19" s="98">
        <f>'Fev 2026'!L14</f>
        <v/>
      </c>
      <c r="D19" s="98">
        <f>'Mar 2026'!L14</f>
        <v/>
      </c>
      <c r="E19" s="98">
        <f>'Abr 2026'!L14</f>
        <v/>
      </c>
      <c r="F19" s="98">
        <f>'Mai 2026'!L14</f>
        <v/>
      </c>
      <c r="G19" s="98">
        <f>'Jun 2026'!L14</f>
        <v/>
      </c>
      <c r="H19" s="98">
        <f>'Jul 2026'!L14</f>
        <v/>
      </c>
      <c r="I19" s="98">
        <f>'Ago 2026'!L14</f>
        <v/>
      </c>
      <c r="J19" s="98">
        <f>'Set 2026'!L14</f>
        <v/>
      </c>
      <c r="K19" s="98">
        <f>'Out 2026'!L14</f>
        <v/>
      </c>
      <c r="L19" s="98">
        <f>'Nov 2026'!L14</f>
        <v/>
      </c>
      <c r="M19" s="98">
        <f>'Dez 2026'!L14</f>
        <v/>
      </c>
      <c r="N19" s="98">
        <f>SUM(B19:M19)</f>
        <v/>
      </c>
      <c r="O19" s="98">
        <f>IF($B$3=0,0,SUMPRODUCT(B19:M19,$B$38:$M$38)/$B$3)</f>
        <v/>
      </c>
    </row>
    <row r="20" s="157">
      <c r="A20" s="97" t="inlineStr">
        <is>
          <t xml:space="preserve">   (−) Estornos de Vendas (Cancelamentos)</t>
        </is>
      </c>
      <c r="B20" s="98">
        <f>'Jan 2026'!L15</f>
        <v/>
      </c>
      <c r="C20" s="98">
        <f>'Fev 2026'!L15</f>
        <v/>
      </c>
      <c r="D20" s="98">
        <f>'Mar 2026'!L15</f>
        <v/>
      </c>
      <c r="E20" s="98">
        <f>'Abr 2026'!L15</f>
        <v/>
      </c>
      <c r="F20" s="98">
        <f>'Mai 2026'!L15</f>
        <v/>
      </c>
      <c r="G20" s="98">
        <f>'Jun 2026'!L15</f>
        <v/>
      </c>
      <c r="H20" s="98">
        <f>'Jul 2026'!L15</f>
        <v/>
      </c>
      <c r="I20" s="98">
        <f>'Ago 2026'!L15</f>
        <v/>
      </c>
      <c r="J20" s="98">
        <f>'Set 2026'!L15</f>
        <v/>
      </c>
      <c r="K20" s="98">
        <f>'Out 2026'!L15</f>
        <v/>
      </c>
      <c r="L20" s="98">
        <f>'Nov 2026'!L15</f>
        <v/>
      </c>
      <c r="M20" s="98">
        <f>'Dez 2026'!L15</f>
        <v/>
      </c>
      <c r="N20" s="98">
        <f>SUM(B20:M20)</f>
        <v/>
      </c>
      <c r="O20" s="98">
        <f>IF($B$3=0,0,SUMPRODUCT(B20:M20,$B$38:$M$38)/$B$3)</f>
        <v/>
      </c>
    </row>
    <row r="21" s="157">
      <c r="A21" s="97" t="inlineStr">
        <is>
          <t xml:space="preserve">   (−) Estacionamento (dentro de Transporte e Entregas)</t>
        </is>
      </c>
      <c r="B21" s="98">
        <f>SUMIF('Jan 2026'!B5:B500,"Estacionamento*",'Jan 2026'!G5:G500)</f>
        <v/>
      </c>
      <c r="C21" s="98">
        <f>SUMIF('Fev 2026'!B5:B500,"Estacionamento*",'Fev 2026'!G5:G500)</f>
        <v/>
      </c>
      <c r="D21" s="98">
        <f>SUMIF('Mar 2026'!B5:B500,"Estacionamento*",'Mar 2026'!G5:G500)</f>
        <v/>
      </c>
      <c r="E21" s="98">
        <f>SUMIF('Abr 2026'!B5:B500,"Estacionamento*",'Abr 2026'!G5:G500)</f>
        <v/>
      </c>
      <c r="F21" s="98">
        <f>SUMIF('Mai 2026'!B5:B500,"Estacionamento*",'Mai 2026'!G5:G500)</f>
        <v/>
      </c>
      <c r="G21" s="98">
        <f>SUMIF('Jun 2026'!B5:B500,"Estacionamento*",'Jun 2026'!G5:G500)</f>
        <v/>
      </c>
      <c r="H21" s="98">
        <f>SUMIF('Jul 2026'!B5:B500,"Estacionamento*",'Jul 2026'!G5:G500)</f>
        <v/>
      </c>
      <c r="I21" s="98">
        <f>SUMIF('Ago 2026'!B5:B500,"Estacionamento*",'Ago 2026'!G5:G500)</f>
        <v/>
      </c>
      <c r="J21" s="98">
        <f>SUMIF('Set 2026'!B5:B500,"Estacionamento*",'Set 2026'!G5:G500)</f>
        <v/>
      </c>
      <c r="K21" s="98">
        <f>SUMIF('Out 2026'!B5:B500,"Estacionamento*",'Out 2026'!G5:G500)</f>
        <v/>
      </c>
      <c r="L21" s="98">
        <f>SUMIF('Nov 2026'!B5:B500,"Estacionamento*",'Nov 2026'!G5:G500)</f>
        <v/>
      </c>
      <c r="M21" s="98">
        <f>SUMIF('Dez 2026'!B5:B500,"Estacionamento*",'Dez 2026'!G5:G500)</f>
        <v/>
      </c>
      <c r="N21" s="98">
        <f>SUM(B21:M21)</f>
        <v/>
      </c>
      <c r="O21" s="98">
        <f>IF($B$3=0,0,SUMPRODUCT(B21:M21,$B$38:$M$38)/$B$3)</f>
        <v/>
      </c>
    </row>
    <row r="22" s="157">
      <c r="A22" s="97" t="inlineStr">
        <is>
          <t xml:space="preserve">   (−) Outras Despesas</t>
        </is>
      </c>
      <c r="B22" s="98">
        <f>'Jan 2026'!L16</f>
        <v/>
      </c>
      <c r="C22" s="98">
        <f>'Fev 2026'!L16</f>
        <v/>
      </c>
      <c r="D22" s="98">
        <f>'Mar 2026'!L16</f>
        <v/>
      </c>
      <c r="E22" s="98">
        <f>'Abr 2026'!L16</f>
        <v/>
      </c>
      <c r="F22" s="98">
        <f>'Mai 2026'!L16</f>
        <v/>
      </c>
      <c r="G22" s="98">
        <f>'Jun 2026'!L16</f>
        <v/>
      </c>
      <c r="H22" s="98">
        <f>'Jul 2026'!L16</f>
        <v/>
      </c>
      <c r="I22" s="98">
        <f>'Ago 2026'!L16</f>
        <v/>
      </c>
      <c r="J22" s="98">
        <f>'Set 2026'!L16</f>
        <v/>
      </c>
      <c r="K22" s="98">
        <f>'Out 2026'!L16</f>
        <v/>
      </c>
      <c r="L22" s="98">
        <f>'Nov 2026'!L16</f>
        <v/>
      </c>
      <c r="M22" s="98">
        <f>'Dez 2026'!L16</f>
        <v/>
      </c>
      <c r="N22" s="98">
        <f>SUM(B22:M22)</f>
        <v/>
      </c>
      <c r="O22" s="98">
        <f>IF($B$3=0,0,SUMPRODUCT(B22:M22,$B$38:$M$38)/$B$3)</f>
        <v/>
      </c>
    </row>
    <row r="23" s="157">
      <c r="A23" s="99" t="inlineStr">
        <is>
          <t>(=) CUSTOS FIXOS</t>
        </is>
      </c>
      <c r="B23" s="100">
        <f>SUM(B13:B22)</f>
        <v/>
      </c>
      <c r="C23" s="100">
        <f>SUM(C13:C22)</f>
        <v/>
      </c>
      <c r="D23" s="100">
        <f>SUM(D13:D22)</f>
        <v/>
      </c>
      <c r="E23" s="100">
        <f>SUM(E13:E22)</f>
        <v/>
      </c>
      <c r="F23" s="100">
        <f>SUM(F13:F22)</f>
        <v/>
      </c>
      <c r="G23" s="100">
        <f>SUM(G13:G22)</f>
        <v/>
      </c>
      <c r="H23" s="100">
        <f>SUM(H13:H22)</f>
        <v/>
      </c>
      <c r="I23" s="100">
        <f>SUM(I13:I22)</f>
        <v/>
      </c>
      <c r="J23" s="100">
        <f>SUM(J13:J22)</f>
        <v/>
      </c>
      <c r="K23" s="100">
        <f>SUM(K13:K22)</f>
        <v/>
      </c>
      <c r="L23" s="100">
        <f>SUM(L13:L22)</f>
        <v/>
      </c>
      <c r="M23" s="100">
        <f>SUM(M13:M22)</f>
        <v/>
      </c>
      <c r="N23" s="100">
        <f>SUM(B23:M23)</f>
        <v/>
      </c>
      <c r="O23" s="100">
        <f>IF($B$3=0,0,SUMPRODUCT(B23:M23,$B$38:$M$38)/$B$3)</f>
        <v/>
      </c>
    </row>
    <row r="24" ht="15.75" customHeight="1" s="157">
      <c r="A24" s="103" t="inlineStr">
        <is>
          <t>(=) RESULTADO DA LOJA (antes do pró-labore)</t>
        </is>
      </c>
      <c r="B24" s="104">
        <f>B11-B23</f>
        <v/>
      </c>
      <c r="C24" s="104">
        <f>C11-C23</f>
        <v/>
      </c>
      <c r="D24" s="104">
        <f>D11-D23</f>
        <v/>
      </c>
      <c r="E24" s="104">
        <f>E11-E23</f>
        <v/>
      </c>
      <c r="F24" s="104">
        <f>F11-F23</f>
        <v/>
      </c>
      <c r="G24" s="104">
        <f>G11-G23</f>
        <v/>
      </c>
      <c r="H24" s="104">
        <f>H11-H23</f>
        <v/>
      </c>
      <c r="I24" s="104">
        <f>I11-I23</f>
        <v/>
      </c>
      <c r="J24" s="104">
        <f>J11-J23</f>
        <v/>
      </c>
      <c r="K24" s="104">
        <f>K11-K23</f>
        <v/>
      </c>
      <c r="L24" s="104">
        <f>L11-L23</f>
        <v/>
      </c>
      <c r="M24" s="104">
        <f>M11-M23</f>
        <v/>
      </c>
      <c r="N24" s="104">
        <f>SUM(B24:M24)</f>
        <v/>
      </c>
      <c r="O24" s="104">
        <f>IF($B$3=0,0,SUMPRODUCT(B24:M24,$B$38:$M$38)/$B$3)</f>
        <v/>
      </c>
    </row>
    <row r="25" s="157">
      <c r="A25" s="101" t="inlineStr">
        <is>
          <t xml:space="preserve">      Margem Líquida (%)</t>
        </is>
      </c>
      <c r="B25" s="102">
        <f>IF(B5=0,"",B24/B5)</f>
        <v/>
      </c>
      <c r="C25" s="102">
        <f>IF(C5=0,"",C24/C5)</f>
        <v/>
      </c>
      <c r="D25" s="102">
        <f>IF(D5=0,"",D24/D5)</f>
        <v/>
      </c>
      <c r="E25" s="102">
        <f>IF(E5=0,"",E24/E5)</f>
        <v/>
      </c>
      <c r="F25" s="102">
        <f>IF(F5=0,"",F24/F5)</f>
        <v/>
      </c>
      <c r="G25" s="102">
        <f>IF(G5=0,"",G24/G5)</f>
        <v/>
      </c>
      <c r="H25" s="102">
        <f>IF(H5=0,"",H24/H5)</f>
        <v/>
      </c>
      <c r="I25" s="102">
        <f>IF(I5=0,"",I24/I5)</f>
        <v/>
      </c>
      <c r="J25" s="102">
        <f>IF(J5=0,"",J24/J5)</f>
        <v/>
      </c>
      <c r="K25" s="102">
        <f>IF(K5=0,"",K24/K5)</f>
        <v/>
      </c>
      <c r="L25" s="102">
        <f>IF(L5=0,"",L24/L5)</f>
        <v/>
      </c>
      <c r="M25" s="102">
        <f>IF(M5=0,"",M24/M5)</f>
        <v/>
      </c>
      <c r="N25" s="102">
        <f>IF(N5=0,"",N24/N5)</f>
        <v/>
      </c>
      <c r="O25" s="102">
        <f>IF(O5=0,"",O24/O5)</f>
        <v/>
      </c>
    </row>
    <row r="26">
      <c r="A26" s="97" t="inlineStr">
        <is>
          <t xml:space="preserve">   (−) Pró-labore Edilânia (tudo o que ela gastou do dinheiro da loja)</t>
        </is>
      </c>
      <c r="B26" s="98">
        <f>'Jan 2026'!L17</f>
        <v/>
      </c>
      <c r="C26" s="98">
        <f>'Fev 2026'!L17</f>
        <v/>
      </c>
      <c r="D26" s="98">
        <f>'Mar 2026'!L17</f>
        <v/>
      </c>
      <c r="E26" s="98">
        <f>'Abr 2026'!L17</f>
        <v/>
      </c>
      <c r="F26" s="98">
        <f>'Mai 2026'!L17</f>
        <v/>
      </c>
      <c r="G26" s="98">
        <f>'Jun 2026'!L17</f>
        <v/>
      </c>
      <c r="H26" s="98">
        <f>'Jul 2026'!L17</f>
        <v/>
      </c>
      <c r="I26" s="98">
        <f>'Ago 2026'!L17</f>
        <v/>
      </c>
      <c r="J26" s="98">
        <f>'Set 2026'!L17</f>
        <v/>
      </c>
      <c r="K26" s="98">
        <f>'Out 2026'!L17</f>
        <v/>
      </c>
      <c r="L26" s="98">
        <f>'Nov 2026'!L17</f>
        <v/>
      </c>
      <c r="M26" s="98">
        <f>'Dez 2026'!L17</f>
        <v/>
      </c>
      <c r="N26" s="98">
        <f>SUM(B26:M26)</f>
        <v/>
      </c>
      <c r="O26" s="98">
        <f>IF($B$3=0,0,SUMPRODUCT(B26:M26,$B$38:$M$38)/$B$3)</f>
        <v/>
      </c>
    </row>
    <row r="27">
      <c r="A27" s="242" t="inlineStr">
        <is>
          <t>(=) SOBRA FINAL (depois do pró-labore)</t>
        </is>
      </c>
      <c r="B27" s="243">
        <f>B24-B26</f>
        <v/>
      </c>
      <c r="C27" s="243">
        <f>C24-C26</f>
        <v/>
      </c>
      <c r="D27" s="243">
        <f>D24-D26</f>
        <v/>
      </c>
      <c r="E27" s="243">
        <f>E24-E26</f>
        <v/>
      </c>
      <c r="F27" s="243">
        <f>F24-F26</f>
        <v/>
      </c>
      <c r="G27" s="243">
        <f>G24-G26</f>
        <v/>
      </c>
      <c r="H27" s="243">
        <f>H24-H26</f>
        <v/>
      </c>
      <c r="I27" s="243">
        <f>I24-I26</f>
        <v/>
      </c>
      <c r="J27" s="243">
        <f>J24-J26</f>
        <v/>
      </c>
      <c r="K27" s="243">
        <f>K24-K26</f>
        <v/>
      </c>
      <c r="L27" s="243">
        <f>L24-L26</f>
        <v/>
      </c>
      <c r="M27" s="243">
        <f>M24-M26</f>
        <v/>
      </c>
      <c r="N27" s="243">
        <f>SUM(B27:M27)</f>
        <v/>
      </c>
      <c r="O27" s="243">
        <f>IF($B$3=0,0,SUMPRODUCT(B27:M27,$B$38:$M$38)/$B$3)</f>
        <v/>
      </c>
    </row>
    <row r="28">
      <c r="A28" s="101" t="inlineStr">
        <is>
          <t xml:space="preserve">      Combinado com ela: sobrou (+) ou passou (−) do combinado</t>
        </is>
      </c>
      <c r="B28" s="244">
        <f>IF(B5=0,"",'Ponto de Equilíbrio'!$B$10-B26)</f>
        <v/>
      </c>
      <c r="C28" s="244">
        <f>IF(C5=0,"",'Ponto de Equilíbrio'!$B$10-C26)</f>
        <v/>
      </c>
      <c r="D28" s="244">
        <f>IF(D5=0,"",'Ponto de Equilíbrio'!$B$10-D26)</f>
        <v/>
      </c>
      <c r="E28" s="244">
        <f>IF(E5=0,"",'Ponto de Equilíbrio'!$B$10-E26)</f>
        <v/>
      </c>
      <c r="F28" s="244">
        <f>IF(F5=0,"",'Ponto de Equilíbrio'!$B$10-F26)</f>
        <v/>
      </c>
      <c r="G28" s="244">
        <f>IF(G5=0,"",'Ponto de Equilíbrio'!$B$10-G26)</f>
        <v/>
      </c>
      <c r="H28" s="244">
        <f>IF(H5=0,"",'Ponto de Equilíbrio'!$B$10-H26)</f>
        <v/>
      </c>
      <c r="I28" s="244">
        <f>IF(I5=0,"",'Ponto de Equilíbrio'!$B$10-I26)</f>
        <v/>
      </c>
      <c r="J28" s="244">
        <f>IF(J5=0,"",'Ponto de Equilíbrio'!$B$10-J26)</f>
        <v/>
      </c>
      <c r="K28" s="244">
        <f>IF(K5=0,"",'Ponto de Equilíbrio'!$B$10-K26)</f>
        <v/>
      </c>
      <c r="L28" s="244">
        <f>IF(L5=0,"",'Ponto de Equilíbrio'!$B$10-L26)</f>
        <v/>
      </c>
      <c r="M28" s="244">
        <f>IF(M5=0,"",'Ponto de Equilíbrio'!$B$10-M26)</f>
        <v/>
      </c>
      <c r="N28" s="244">
        <f>SUM(B28:M28)</f>
        <v/>
      </c>
      <c r="O28" s="244">
        <f>IF($B$3=0,0,SUMPRODUCT(B28:M28,$B$38:$M$38)/$B$3)</f>
        <v/>
      </c>
    </row>
    <row r="30" ht="27.95" customHeight="1" s="157">
      <c r="A30" s="105" t="inlineStr">
        <is>
          <t>MEMÓRIA (não entra no resultado)</t>
        </is>
      </c>
    </row>
    <row r="31" ht="27.95" customHeight="1" s="157">
      <c r="A31" s="107" t="inlineStr">
        <is>
          <t xml:space="preserve">   Despesas da loja pagas com Capital de Giro (BB) — dívida a devolver</t>
        </is>
      </c>
      <c r="B31" s="108">
        <f>'Jan 2026'!L19</f>
        <v/>
      </c>
      <c r="C31" s="108">
        <f>'Fev 2026'!L19</f>
        <v/>
      </c>
      <c r="D31" s="108">
        <f>'Mar 2026'!L19</f>
        <v/>
      </c>
      <c r="E31" s="108">
        <f>'Abr 2026'!L19</f>
        <v/>
      </c>
      <c r="F31" s="108">
        <f>'Mai 2026'!L19</f>
        <v/>
      </c>
      <c r="G31" s="108">
        <f>'Jun 2026'!L19</f>
        <v/>
      </c>
      <c r="H31" s="108">
        <f>'Jul 2026'!L19</f>
        <v/>
      </c>
      <c r="I31" s="108">
        <f>'Ago 2026'!L19</f>
        <v/>
      </c>
      <c r="J31" s="108">
        <f>'Set 2026'!L19</f>
        <v/>
      </c>
      <c r="K31" s="108">
        <f>'Out 2026'!L19</f>
        <v/>
      </c>
      <c r="L31" s="108">
        <f>'Nov 2026'!L19</f>
        <v/>
      </c>
      <c r="M31" s="108">
        <f>'Dez 2026'!L19</f>
        <v/>
      </c>
      <c r="N31" s="108">
        <f>SUM(B31:M31)</f>
        <v/>
      </c>
      <c r="O31" s="108">
        <f>IF($B$3=0,0,SUMPRODUCT(B31:M31,$B$38:$M$38)/$B$3)</f>
        <v/>
      </c>
    </row>
    <row r="32" ht="27.95" customHeight="1" s="157"/>
    <row r="33" ht="28" customHeight="1" s="157">
      <c r="A33" s="182" t="inlineStr">
        <is>
          <t>Custos Variáveis = sobem/descem com o volume vendido: mercadoria, imposto sobre faturamento (DAS), transporte ligado ao serviço e as comissões do Wiliam (só existem quando tem troca/instalação). Custos Fixos = o que a loja paga mesmo vendendo pouco (aluguel, energia, salários, contabilidade, tarifas e o estacionamento, contratado no mês).</t>
        </is>
      </c>
    </row>
    <row r="34" ht="28" customHeight="1" s="157">
      <c r="A34" s="182" t="inlineStr">
        <is>
          <t>A Receita de Ago–Dez já está líquida: descontadas as taxas de máquina e as vendas ainda não recebidas (A Receber).</t>
        </is>
      </c>
    </row>
    <row r="35" ht="28" customHeight="1" s="157">
      <c r="A35" s="182" t="inlineStr">
        <is>
          <t>A "Média/mês" divide só pelos meses JÁ FECHADOS (linha 38 = 1). O mês em andamento fica fora da média até terminar, para um mês pela metade não puxar o número para baixo.</t>
        </is>
      </c>
    </row>
    <row r="36" ht="28" customHeight="1" s="157">
      <c r="A36" s="182" t="inlineStr">
        <is>
          <t>ATENÇÃO — este DRE é por COMPETÊNCIA: considera a despesa no mês em que ela aconteceu, mesmo que tenha sido paga pelo Capital de Giro do BB. Por isso o Resultado aqui é menor que o cartão SALDO da aba do mês e que o Lucro do Dashboard, que são CAIXA puro. A diferença está na linha 28.</t>
        </is>
      </c>
    </row>
    <row r="37" ht="28" customHeight="1" s="157">
      <c r="A37" s="182" t="inlineStr">
        <is>
          <t>PRÓ-LABORE: tudo o que a Edilânia gasta do dinheiro da loja (contas da casa, Pix pessoais, mercado, diarista...) é o pró-labore dela. O combinado é o valor da célula B10 da aba "Ponto de Equilíbrio" (R$ 4.000,00/mês desde 05/10/2026). A linha 28 mostra, mês a mês, se sobrou ou se passou do combinado.</t>
        </is>
      </c>
    </row>
    <row r="38">
      <c r="A38" s="101" t="inlineStr">
        <is>
          <t>Entra na média? (1 = mês já fechado e com movimento)</t>
        </is>
      </c>
      <c r="B38" s="245">
        <f>IF(AND(B5&gt;0,1&lt;IF(YEAR(TODAY())&gt;2026,13,MONTH(TODAY()))),1,0)</f>
        <v/>
      </c>
      <c r="C38" s="245">
        <f>IF(AND(C5&gt;0,2&lt;IF(YEAR(TODAY())&gt;2026,13,MONTH(TODAY()))),1,0)</f>
        <v/>
      </c>
      <c r="D38" s="245">
        <f>IF(AND(D5&gt;0,3&lt;IF(YEAR(TODAY())&gt;2026,13,MONTH(TODAY()))),1,0)</f>
        <v/>
      </c>
      <c r="E38" s="245">
        <f>IF(AND(E5&gt;0,4&lt;IF(YEAR(TODAY())&gt;2026,13,MONTH(TODAY()))),1,0)</f>
        <v/>
      </c>
      <c r="F38" s="245">
        <f>IF(AND(F5&gt;0,5&lt;IF(YEAR(TODAY())&gt;2026,13,MONTH(TODAY()))),1,0)</f>
        <v/>
      </c>
      <c r="G38" s="245">
        <f>IF(AND(G5&gt;0,6&lt;IF(YEAR(TODAY())&gt;2026,13,MONTH(TODAY()))),1,0)</f>
        <v/>
      </c>
      <c r="H38" s="245">
        <f>IF(AND(H5&gt;0,7&lt;IF(YEAR(TODAY())&gt;2026,13,MONTH(TODAY()))),1,0)</f>
        <v/>
      </c>
      <c r="I38" s="245">
        <f>IF(AND(I5&gt;0,8&lt;IF(YEAR(TODAY())&gt;2026,13,MONTH(TODAY()))),1,0)</f>
        <v/>
      </c>
      <c r="J38" s="245">
        <f>IF(AND(J5&gt;0,9&lt;IF(YEAR(TODAY())&gt;2026,13,MONTH(TODAY()))),1,0)</f>
        <v/>
      </c>
      <c r="K38" s="245">
        <f>IF(AND(K5&gt;0,10&lt;IF(YEAR(TODAY())&gt;2026,13,MONTH(TODAY()))),1,0)</f>
        <v/>
      </c>
      <c r="L38" s="245">
        <f>IF(AND(L5&gt;0,11&lt;IF(YEAR(TODAY())&gt;2026,13,MONTH(TODAY()))),1,0)</f>
        <v/>
      </c>
      <c r="M38" s="245">
        <f>IF(AND(M5&gt;0,12&lt;IF(YEAR(TODAY())&gt;2026,13,MONTH(TODAY()))),1,0)</f>
        <v/>
      </c>
    </row>
  </sheetData>
  <mergeCells count="8">
    <mergeCell ref="A35:O35"/>
    <mergeCell ref="C3:F3"/>
    <mergeCell ref="A2:O2"/>
    <mergeCell ref="A36:O36"/>
    <mergeCell ref="A33:O33"/>
    <mergeCell ref="A1:O1"/>
    <mergeCell ref="A37:O37"/>
    <mergeCell ref="A34:O34"/>
  </mergeCells>
  <hyperlinks>
    <hyperlink ref="A3" location="'Início'!A1" display="← Início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B7791F"/>
    <outlinePr summaryBelow="1" summaryRight="1"/>
    <pageSetUpPr/>
  </sheetPr>
  <dimension ref="A1:G166"/>
  <sheetViews>
    <sheetView showGridLines="0" zoomScale="70" zoomScaleNormal="70" workbookViewId="0">
      <pane ySplit="9" topLeftCell="A10" activePane="bottomLeft" state="frozen"/>
      <selection pane="bottomLeft" activeCell="A1" sqref="A1:G1"/>
    </sheetView>
  </sheetViews>
  <sheetFormatPr baseColWidth="8" defaultRowHeight="15"/>
  <cols>
    <col width="46" customWidth="1" style="157" min="1" max="1"/>
    <col width="40" customWidth="1" style="157" min="2" max="2"/>
    <col width="16" customWidth="1" style="157" min="3" max="4"/>
    <col width="18" customWidth="1" style="157" min="5" max="5"/>
    <col width="14" customWidth="1" style="157" min="6" max="6"/>
    <col width="42" customWidth="1" style="157" min="7" max="7"/>
  </cols>
  <sheetData>
    <row r="1" ht="23.25" customHeight="1" s="157">
      <c r="A1" s="197" t="inlineStr">
        <is>
          <t>CONTAS A PAGAR E A RECEBER</t>
        </is>
      </c>
    </row>
    <row r="2">
      <c r="A2" s="195" t="inlineStr">
        <is>
          <t>Compromissos em aberto e vendas ainda não recebidas. "Dias em Atraso" é calculado sozinho. O total a receber é puxado automaticamente das abas dos meses — não precisa somar à mão.</t>
        </is>
      </c>
    </row>
    <row r="3">
      <c r="A3" s="127" t="inlineStr">
        <is>
          <t>← Início</t>
        </is>
      </c>
    </row>
    <row r="4">
      <c r="A4" s="198" t="inlineStr">
        <is>
          <t>TOTAL A PAGAR (EM ABERTO)</t>
        </is>
      </c>
      <c r="C4" s="206" t="inlineStr">
        <is>
          <t>TOTAL A RECEBER (AUTOMÁTICO)</t>
        </is>
      </c>
      <c r="E4" s="199" t="inlineStr">
        <is>
          <t>SALDO (RECEBER − PAGAR)</t>
        </is>
      </c>
    </row>
    <row r="5">
      <c r="A5" s="189">
        <f>D97</f>
        <v/>
      </c>
      <c r="C5" s="204">
        <f>'Jan 2026'!T5+'Fev 2026'!T5+'Mar 2026'!T5+'Abr 2026'!T5+'Mai 2026'!T5+'Jun 2026'!T5+'Jul 2026'!T5+'Ago 2026'!T5+'Set 2026'!T5+'Out 2026'!T5+'Nov 2026'!T5+'Dez 2026'!T5</f>
        <v/>
      </c>
      <c r="E5" s="205">
        <f>C5-A5</f>
        <v/>
      </c>
    </row>
    <row r="6"/>
    <row r="9" ht="21.95" customHeight="1" s="157">
      <c r="A9" s="201" t="inlineStr">
        <is>
          <t>CONTAS A PAGAR  —  o que a loja ainda deve</t>
        </is>
      </c>
    </row>
    <row r="10" ht="26.1" customHeight="1" s="157">
      <c r="A10" s="111" t="inlineStr">
        <is>
          <t>Fornecedor / Pessoa</t>
        </is>
      </c>
      <c r="B10" s="111" t="inlineStr">
        <is>
          <t>Descrição</t>
        </is>
      </c>
      <c r="C10" s="111" t="inlineStr">
        <is>
          <t>Vencimento</t>
        </is>
      </c>
      <c r="D10" s="111" t="inlineStr">
        <is>
          <t>Valor (R$)</t>
        </is>
      </c>
      <c r="E10" s="111" t="inlineStr">
        <is>
          <t>Status</t>
        </is>
      </c>
      <c r="F10" s="111" t="inlineStr">
        <is>
          <t>Dias em Atraso</t>
        </is>
      </c>
      <c r="G10" s="111" t="inlineStr">
        <is>
          <t>Observações</t>
        </is>
      </c>
    </row>
    <row r="11">
      <c r="A11" s="78" t="inlineStr">
        <is>
          <t>Capital de Giro (BB) — saldo a devolver à reserva</t>
        </is>
      </c>
      <c r="B11" s="78" t="inlineStr">
        <is>
          <t>Dinheiro da reserva (Banco do Brasil) usado para pagar contas da loja</t>
        </is>
      </c>
      <c r="C11" s="77" t="n"/>
      <c r="D11" s="79">
        <f>'Capital de Giro (BB)'!C5</f>
        <v/>
      </c>
      <c r="E11" s="112" t="inlineStr">
        <is>
          <t>Pendente</t>
        </is>
      </c>
      <c r="F11" s="112">
        <f>IF(OR($E11="Pago",$C11=""),"",MAX(0,TODAY()-$C11))</f>
        <v/>
      </c>
      <c r="G11" s="78" t="inlineStr">
        <is>
          <t>Detalhe na aba Capital de Giro (BB). Ago/2026 quitado em 31/08/2026. Em 30/09/2026 a reserva pagou R$ 3.272,00 à Knox (2 bebedouros industriais) — a devolver.</t>
        </is>
      </c>
    </row>
    <row r="12">
      <c r="A12" s="82" t="inlineStr">
        <is>
          <t>Eversoft Ind e Com de Plasticos Ltda</t>
        </is>
      </c>
      <c r="B12" s="82" t="inlineStr">
        <is>
          <t>Mercadoria — doc. 72153 (emissão 02/04/2026)</t>
        </is>
      </c>
      <c r="C12" s="81" t="n">
        <v>46264</v>
      </c>
      <c r="D12" s="83" t="n">
        <v>878.9299999999999</v>
      </c>
      <c r="E12" s="113" t="inlineStr">
        <is>
          <t>Pago</t>
        </is>
      </c>
      <c r="F12" s="113">
        <f>IF(OR($E12="Pago",$C12=""),"",MAX(0,TODAY()-$C12))</f>
        <v/>
      </c>
      <c r="G12" s="82" t="inlineStr">
        <is>
          <t>Categoria: Fornecedores / Mercadoria. Pago em 31/08/2026 — lançado em "Ago 2026" como "Eversoft" (R$ 878,93).</t>
        </is>
      </c>
    </row>
    <row r="13">
      <c r="A13" s="78" t="inlineStr">
        <is>
          <t>Empresa Baiana de Aguas e Saneamento SA (Embasa)</t>
        </is>
      </c>
      <c r="B13" s="78" t="inlineStr">
        <is>
          <t>Conta de água — despesa pessoal do dono (não é da loja)</t>
        </is>
      </c>
      <c r="C13" s="77" t="n">
        <v>46266</v>
      </c>
      <c r="D13" s="79" t="n">
        <v>50.08</v>
      </c>
      <c r="E13" s="112" t="inlineStr">
        <is>
          <t>Pago</t>
        </is>
      </c>
      <c r="F13" s="112">
        <f>IF(OR($E13="Pago",$C13=""),"",MAX(0,TODAY()-$C13))</f>
        <v/>
      </c>
      <c r="G13" s="78" t="inlineStr">
        <is>
          <t>Categoria: Pro Labore Edilânia. Pago em 01/09/2026 — lançado em Set 2026 como "Conta de Água Adriano".</t>
        </is>
      </c>
    </row>
    <row r="14">
      <c r="A14" s="82" t="inlineStr">
        <is>
          <t>Vitoria Maria F Santos</t>
        </is>
      </c>
      <c r="B14" s="82" t="inlineStr">
        <is>
          <t>Aluguel da loja — setembro/2026</t>
        </is>
      </c>
      <c r="C14" s="81" t="n">
        <v>46266</v>
      </c>
      <c r="D14" s="83" t="n">
        <v>880</v>
      </c>
      <c r="E14" s="113" t="inlineStr">
        <is>
          <t>Pago</t>
        </is>
      </c>
      <c r="F14" s="113">
        <f>IF(OR($E14="Pago",$C14=""),"",MAX(0,TODAY()-$C14))</f>
        <v/>
      </c>
      <c r="G14" s="82" t="inlineStr">
        <is>
          <t>Categoria: Aluguel. Pago em 01/09/2026 — lançado em Set 2026 como "Vitoria Maria F Santos".</t>
        </is>
      </c>
    </row>
    <row r="15">
      <c r="A15" s="78" t="inlineStr">
        <is>
          <t>Wiliam Pinto Bispo</t>
        </is>
      </c>
      <c r="B15" s="78" t="inlineStr">
        <is>
          <t>Salário + comissões</t>
        </is>
      </c>
      <c r="C15" s="77" t="n">
        <v>46266</v>
      </c>
      <c r="D15" s="79" t="n">
        <v>1571.32</v>
      </c>
      <c r="E15" s="112" t="inlineStr">
        <is>
          <t>Pago</t>
        </is>
      </c>
      <c r="F15" s="112">
        <f>IF(OR($E15="Pago",$C15=""),"",MAX(0,TODAY()-$C15))</f>
        <v/>
      </c>
      <c r="G15" s="78" t="inlineStr">
        <is>
          <t>Categoria: Salários, Comissões e Encargos. Pago em 31/08/2026 (segunda-feira) — lançado em "Ago 2026" como "Salário Wiliam".</t>
        </is>
      </c>
    </row>
    <row r="16">
      <c r="A16" s="82" t="inlineStr">
        <is>
          <t>Erick Feitosa Evangelista</t>
        </is>
      </c>
      <c r="B16" s="82" t="inlineStr">
        <is>
          <t>Salário do estagiário</t>
        </is>
      </c>
      <c r="C16" s="81" t="n">
        <v>46266</v>
      </c>
      <c r="D16" s="83" t="n">
        <v>600</v>
      </c>
      <c r="E16" s="113" t="inlineStr">
        <is>
          <t>Pago</t>
        </is>
      </c>
      <c r="F16" s="113">
        <f>IF(OR($E16="Pago",$C16=""),"",MAX(0,TODAY()-$C16))</f>
        <v/>
      </c>
      <c r="G16" s="82" t="inlineStr">
        <is>
          <t>Categoria: Salários, Comissões e Encargos. Pago em 31/08/2026 — lançado em "Ago 2026" como "Salário Erick (Estagiário)".</t>
        </is>
      </c>
    </row>
    <row r="17">
      <c r="A17" s="78" t="inlineStr">
        <is>
          <t>Filtros Planeta Agua Ind e Com Ltda</t>
        </is>
      </c>
      <c r="B17" s="78" t="inlineStr">
        <is>
          <t>Mercadoria — doc. 131997 (emissão 08/07/2026)</t>
        </is>
      </c>
      <c r="C17" s="77" t="n">
        <v>46267</v>
      </c>
      <c r="D17" s="79" t="n">
        <v>1385.85</v>
      </c>
      <c r="E17" s="112" t="inlineStr">
        <is>
          <t>Pago</t>
        </is>
      </c>
      <c r="F17" s="112">
        <f>IF(OR($E17="Pago",$C17=""),"",MAX(0,TODAY()-$C17))</f>
        <v/>
      </c>
      <c r="G17" s="78" t="inlineStr">
        <is>
          <t>Categoria: Fornecedores / Mercadoria. Pago em 02/09/2026 — lançado em "Set 2026" como "Filtros Planeta Água".</t>
        </is>
      </c>
    </row>
    <row r="18">
      <c r="A18" s="82" t="inlineStr">
        <is>
          <t>Everest Refrigeracao e Industria</t>
        </is>
      </c>
      <c r="B18" s="82" t="inlineStr">
        <is>
          <t>Mercadoria — doc. 374271 (emissão 06/04/2026)</t>
        </is>
      </c>
      <c r="C18" s="81" t="n">
        <v>46268</v>
      </c>
      <c r="D18" s="83" t="n">
        <v>706.67</v>
      </c>
      <c r="E18" s="113" t="inlineStr">
        <is>
          <t>Pago</t>
        </is>
      </c>
      <c r="F18" s="113">
        <f>IF(OR($E18="Pago",$C18=""),"",MAX(0,TODAY()-$C18))</f>
        <v/>
      </c>
      <c r="G18" s="82" t="inlineStr">
        <is>
          <t>Categoria: Fornecedores / Mercadoria. Pago em 03/09/2026 — lançado em "Set 2026" como "Everest Refrigeração".</t>
        </is>
      </c>
    </row>
    <row r="19">
      <c r="A19" s="78" t="inlineStr">
        <is>
          <t>Eversoft Ind e Com de Plasticos Ltda</t>
        </is>
      </c>
      <c r="B19" s="78" t="inlineStr">
        <is>
          <t>Mercadoria — doc. 72869 (emissão 07/05/2026)</t>
        </is>
      </c>
      <c r="C19" s="77" t="n">
        <v>46269</v>
      </c>
      <c r="D19" s="79" t="n">
        <v>980.83</v>
      </c>
      <c r="E19" s="112" t="inlineStr">
        <is>
          <t>Pago</t>
        </is>
      </c>
      <c r="F19" s="112">
        <f>IF(OR($E19="Pago",$C19=""),"",MAX(0,TODAY()-$C19))</f>
        <v/>
      </c>
      <c r="G19" s="78" t="inlineStr">
        <is>
          <t>Categoria: Fornecedores / Mercadoria. Pago em 04/09/2026 pelo Banco do Nordeste (DOC 5301) — lançado em "Set 2026" como "Eversoft" (R$ 980,83).</t>
        </is>
      </c>
    </row>
    <row r="20">
      <c r="A20" s="82" t="inlineStr">
        <is>
          <t>Neoenergia Coelba</t>
        </is>
      </c>
      <c r="B20" s="82" t="inlineStr">
        <is>
          <t>Energia elétrica da loja — REF 08/2026 (fatura em nome de Vitória Maria / Planeta Água)</t>
        </is>
      </c>
      <c r="C20" s="81" t="n">
        <v>46273</v>
      </c>
      <c r="D20" s="83" t="n">
        <v>150.06</v>
      </c>
      <c r="E20" s="113" t="inlineStr">
        <is>
          <t>Pago</t>
        </is>
      </c>
      <c r="F20" s="113">
        <f>IF(OR($E20="Pago",$C20=""),"",MAX(0,TODAY()-$C20))</f>
        <v/>
      </c>
      <c r="G20" s="82" t="inlineStr">
        <is>
          <t>Categoria: Água, Energia e Internet. Pago em 08/09/2026 — lançado em Set 2026 como "Conta de Energia Loja".</t>
        </is>
      </c>
    </row>
    <row r="21">
      <c r="A21" s="78" t="inlineStr">
        <is>
          <t>Eversoft Ind e Com de Plasticos Ltda</t>
        </is>
      </c>
      <c r="B21" s="78" t="inlineStr">
        <is>
          <t>Mercadoria — doc. 73636 (emissão 10/06/2026)</t>
        </is>
      </c>
      <c r="C21" s="77" t="n">
        <v>46273</v>
      </c>
      <c r="D21" s="79" t="n">
        <v>878.92</v>
      </c>
      <c r="E21" s="112" t="inlineStr">
        <is>
          <t>Pago</t>
        </is>
      </c>
      <c r="F21" s="112">
        <f>IF(OR($E21="Pago",$C21=""),"",MAX(0,TODAY()-$C21))</f>
        <v/>
      </c>
      <c r="G21" s="78" t="inlineStr">
        <is>
          <t>Categoria: Fornecedores / Mercadoria. Pago em 08/09/2026 — lançado em Set 2026 como "Eversoft".</t>
        </is>
      </c>
    </row>
    <row r="22">
      <c r="A22" s="82" t="inlineStr">
        <is>
          <t>Filtros Planeta Agua Ind e Com Ltda</t>
        </is>
      </c>
      <c r="B22" s="82" t="inlineStr">
        <is>
          <t>Mercadoria — doc. 133138/1 (emissão 12/08/2026)</t>
        </is>
      </c>
      <c r="C22" s="81" t="n">
        <v>46274</v>
      </c>
      <c r="D22" s="83" t="n">
        <v>649.83</v>
      </c>
      <c r="E22" s="113" t="inlineStr">
        <is>
          <t>Pago</t>
        </is>
      </c>
      <c r="F22" s="113">
        <f>IF(OR($E22="Pago",$C22=""),"",MAX(0,TODAY()-$C22))</f>
        <v/>
      </c>
      <c r="G22" s="82" t="inlineStr">
        <is>
          <t>Categoria: Fornecedores / Mercadoria. Boleto Itaú 341-7, nosso número 109/00257849-8. Pago em 09/09/2026 — lançado em "Set 2026" como "Filtros Planeta Água".</t>
        </is>
      </c>
    </row>
    <row r="23">
      <c r="A23" s="78" t="inlineStr">
        <is>
          <t>Sindicato dos Empregados no Comércio de Jacobina</t>
        </is>
      </c>
      <c r="B23" s="78" t="inlineStr">
        <is>
          <t>Contribuição assistencial — competência junho/2026</t>
        </is>
      </c>
      <c r="C23" s="77" t="n">
        <v>46275</v>
      </c>
      <c r="D23" s="79" t="n">
        <v>59.5</v>
      </c>
      <c r="E23" s="112" t="inlineStr">
        <is>
          <t>Pago</t>
        </is>
      </c>
      <c r="F23" s="112">
        <f>IF(OR($E23="Pago",$C23=""),"",MAX(0,TODAY()-$C23))</f>
        <v/>
      </c>
      <c r="G23" s="78" t="inlineStr">
        <is>
          <t>Categoria: Impostos e Taxas. Pago em 09/09/2026 (antecipado, venc. 10/09) — lançado em "Set 2026" como "Sindicato dos Empregados no Comércio de Jacobina".</t>
        </is>
      </c>
    </row>
    <row r="24">
      <c r="A24" s="82" t="inlineStr">
        <is>
          <t>Tarcisio Oliveira Lima</t>
        </is>
      </c>
      <c r="B24" s="82" t="inlineStr">
        <is>
          <t>Boleto Banco do Brasil — serviço contábil (doc. 38/0926)</t>
        </is>
      </c>
      <c r="C24" s="81" t="n">
        <v>46280</v>
      </c>
      <c r="D24" s="83" t="n">
        <v>486.32</v>
      </c>
      <c r="E24" s="113" t="inlineStr">
        <is>
          <t>Pago</t>
        </is>
      </c>
      <c r="F24" s="113">
        <f>IF(OR($E24="Pago",$C24=""),"",MAX(0,TODAY()-$C24))</f>
        <v/>
      </c>
      <c r="G24" s="82" t="inlineStr">
        <is>
          <t>Categoria: Contabilidade. Pago em 15/09/2026 pelo Banco do Nordeste (DOC 91632428) — lançado em "Set 2026" como "Tarcisio Oliveira Lima".</t>
        </is>
      </c>
    </row>
    <row r="25">
      <c r="A25" s="78" t="inlineStr">
        <is>
          <t>Patrus Transportes Ltda</t>
        </is>
      </c>
      <c r="B25" s="78" t="inlineStr">
        <is>
          <t>Frete — fatura 26-08-913041 (CT-e 2117850, remetente Eversoft, NF 75472)</t>
        </is>
      </c>
      <c r="C25" s="77" t="n">
        <v>46281</v>
      </c>
      <c r="D25" s="79" t="n">
        <v>292.68</v>
      </c>
      <c r="E25" s="112" t="inlineStr">
        <is>
          <t>Pago</t>
        </is>
      </c>
      <c r="F25" s="113">
        <f>IF(OR($E25="Pago",$C25=""),"",MAX(0,TODAY()-$C25))</f>
        <v/>
      </c>
      <c r="G25" s="78" t="inlineStr">
        <is>
          <t>Categoria: Transporte e Entregas. Boleto Bradesco 237-2, nosso número 34840262224-4, cedente 6348-/017737-7. Frete da fatura 26-08-913041 (CT-e 2117850, remetente Eversoft, NF 75472). Pago em 16/09/2026 — lançado em "Set 2026" como "Patrus Transportes".</t>
        </is>
      </c>
    </row>
    <row r="26">
      <c r="A26" s="82" t="inlineStr">
        <is>
          <t>FGTS Digital (GFD)</t>
        </is>
      </c>
      <c r="B26" s="82" t="inlineStr">
        <is>
          <t>FGTS mensal — competência 08/2026</t>
        </is>
      </c>
      <c r="C26" s="81" t="n">
        <v>46283</v>
      </c>
      <c r="D26" s="83" t="n">
        <v>136</v>
      </c>
      <c r="E26" s="113" t="inlineStr">
        <is>
          <t>Pago</t>
        </is>
      </c>
      <c r="F26" s="113">
        <f>IF(OR($E26="Pago",$C26=""),"",MAX(0,TODAY()-$C26))</f>
        <v/>
      </c>
      <c r="G26" s="82" t="inlineStr">
        <is>
          <t>Categoria: Impostos e Taxas. Pago em 16/09/2026 (antecipado, venc. 18/09) — lançado em "Set 2026" como "FGTS Digital (GFD)".</t>
        </is>
      </c>
    </row>
    <row r="27">
      <c r="A27" s="78" t="inlineStr">
        <is>
          <t>Receita Federal</t>
        </is>
      </c>
      <c r="B27" s="78" t="inlineStr">
        <is>
          <t>DARF / INSS — período de apuração agosto/2026</t>
        </is>
      </c>
      <c r="C27" s="77" t="n">
        <v>46283</v>
      </c>
      <c r="D27" s="79" t="n">
        <v>306.99</v>
      </c>
      <c r="E27" s="112" t="inlineStr">
        <is>
          <t>Pago</t>
        </is>
      </c>
      <c r="F27" s="112">
        <f>IF(OR($E27="Pago",$C27=""),"",MAX(0,TODAY()-$C27))</f>
        <v/>
      </c>
      <c r="G27" s="78" t="inlineStr">
        <is>
          <t>Categoria: Impostos e Taxas. Pago em 16/09/2026 (antecipado, venc. 18/09) — lançado em "Set 2026" como "Receita Federal — DARF / INSS".</t>
        </is>
      </c>
    </row>
    <row r="28">
      <c r="A28" s="82" t="inlineStr">
        <is>
          <t>Eversoft Ind e Com de Plasticos Ltda</t>
        </is>
      </c>
      <c r="B28" s="82" t="inlineStr">
        <is>
          <t>Mercadoria — doc. 74454 (emissão 17/07/2026) · parcela 2/5</t>
        </is>
      </c>
      <c r="C28" s="81" t="n">
        <v>46280</v>
      </c>
      <c r="D28" s="83" t="n">
        <v>980.83</v>
      </c>
      <c r="E28" s="113" t="inlineStr">
        <is>
          <t>Pago</t>
        </is>
      </c>
      <c r="F28" s="113">
        <f>IF(OR($E28="Pago",$C28=""),"",MAX(0,TODAY()-$C28))</f>
        <v/>
      </c>
      <c r="G28" s="82" t="inlineStr">
        <is>
          <t>Categoria: Fornecedores / Mercadoria. Boleto Itaú 341-7 (Eversoft, CNPJ 08.782.043/0001-88). Nosso número 112/28638767-8. Linha digitável 34191.12283 63876.780303 55679.010003 5 15700000098083. Pago em 15/09/2026 pelo Banco do Nordeste (DOC 91607814) — lançado em "Set 2026" como "Eversoft".</t>
        </is>
      </c>
    </row>
    <row r="29">
      <c r="A29" s="78" t="inlineStr">
        <is>
          <t>Eversoft Ind e Com de Plasticos Ltda</t>
        </is>
      </c>
      <c r="B29" s="78" t="inlineStr">
        <is>
          <t>Mercadoria — doc. 75472 (emissão 26/08/2026) · parcela 1/5</t>
        </is>
      </c>
      <c r="C29" s="77" t="n">
        <v>46290</v>
      </c>
      <c r="D29" s="79" t="n">
        <v>940.0599999999999</v>
      </c>
      <c r="E29" s="112" t="inlineStr">
        <is>
          <t>Pago</t>
        </is>
      </c>
      <c r="F29" s="112">
        <f>IF(OR($E29="Pago",$C29=""),"",MAX(0,TODAY()-$C29))</f>
        <v/>
      </c>
      <c r="G29" s="78" t="inlineStr">
        <is>
          <t>Categoria: Fornecedores / Mercadoria. Boleto Itaú 341-7 (Eversoft, CNPJ 08.782.043/0001-88). Nosso número 112/33604587-0. Linha digitável 34191.12333 60458.700303 55679.010003 3 15800000094006. Após o vencimento: juros ao dia + multa de 2%. Pago em 24/09/2026 (antecipado, venc. 25/09) — lançado em "Set 2026" como "Eversoft".</t>
        </is>
      </c>
    </row>
    <row r="30">
      <c r="A30" s="82" t="inlineStr">
        <is>
          <t>Eversoft Ind e Com de Plasticos Ltda</t>
        </is>
      </c>
      <c r="B30" s="82" t="inlineStr">
        <is>
          <t>Mercadoria — doc. 72869 (emissão 07/05/2026) · parcela 5/5 (última)</t>
        </is>
      </c>
      <c r="C30" s="81" t="n">
        <v>46299</v>
      </c>
      <c r="D30" s="83" t="n">
        <v>980.8099999999999</v>
      </c>
      <c r="E30" s="113" t="inlineStr">
        <is>
          <t>Pago</t>
        </is>
      </c>
      <c r="F30" s="113">
        <f>IF(OR($E30="Pago",$C30=""),"",MAX(0,TODAY()-$C30))</f>
        <v/>
      </c>
      <c r="G30" s="82" t="inlineStr">
        <is>
          <t>Pago em 05/10/2026 — lançado em "Out 2026" como "Eversoft" (R$ 980,81). Categoria quando pagar: Fornecedores / Mercadoria. Boleto Itaú 341-7 (Eversoft, CNPJ 08.782.043/0001-88). Nosso número 112/19915315-9. Linha digitável 34191.12192 91531.590304 55679.010003 3 15890000098081. Após o vencimento: juros ao dia + multa de 2%. | Conferido com o XML da NF-e nº 72869 (emissão 07/05/2026): EVERSOFT INDUSTRIA E COMERCIO DE PLASTICOS LTDA, CNPJ 08.782.043/0001-88, RUA CARDOSO QUINTAO, 671, TOMAS COELHO, RIO DE JANEIRO/RJ. Valor total da nota R$ 4.904,13 em 5 parcelas. Frete FOB (frete por conta da loja), transportadora FRACIONE TRANSPORTES EIRELI - ME. Chave da NF-e 33260508782043000188550060000728691612874239.</t>
        </is>
      </c>
    </row>
    <row r="31">
      <c r="A31" s="78" t="inlineStr">
        <is>
          <t>Eversoft Ind e Com de Plasticos Ltda</t>
        </is>
      </c>
      <c r="B31" s="78" t="inlineStr">
        <is>
          <t>Mercadoria — doc. 73636 (emissão 10/06/2026) · parcela 4/5</t>
        </is>
      </c>
      <c r="C31" s="77" t="n">
        <v>46303</v>
      </c>
      <c r="D31" s="79" t="n">
        <v>878.92</v>
      </c>
      <c r="E31" s="112" t="inlineStr">
        <is>
          <t>Pago</t>
        </is>
      </c>
      <c r="F31" s="112">
        <f>IF(OR($E31="Pago",$C31=""),"",MAX(0,TODAY()-$C31))</f>
        <v/>
      </c>
      <c r="G31" s="78" t="inlineStr">
        <is>
          <t>Categoria: Fornecedores / Mercadoria. Pago em 08/10/2026 — lançado em Out 2026 como "Eversoft". Boleto Itaú 341-7 (Eversoft, CNPJ 08.782.043/0001-88). Nosso número 112/24142201-6. Linha digitável 34191.12242 14220.160304 55679.010003 7 15930000087892. Após o vencimento: juros ao dia + multa de 2%. | Conferido com o XML da NF-e nº 73636 (emissão 10/06/2026): EVERSOFT INDUSTRIA E COMERCIO DE PLASTICOS LTDA, CNPJ 08.782.043/0001-88, RUA CARDOSO QUINTAO, 671, TOMAS COELHO, RIO DE JANEIRO/RJ. Valor total da nota R$ 4.394,61 em 5 parcelas. Frete FOB (frete por conta da loja), transportadora FRACIONE TRANSPORTES EIRELI - ME. Chave da NF-e 33260608782043000188550060000736361998873394.</t>
        </is>
      </c>
    </row>
    <row r="32">
      <c r="A32" s="82" t="inlineStr">
        <is>
          <t>Eversoft Ind e Com de Plasticos Ltda</t>
        </is>
      </c>
      <c r="B32" s="82" t="inlineStr">
        <is>
          <t>Mercadoria — doc. 74454 (emissão 17/07/2026) · parcela 3/5</t>
        </is>
      </c>
      <c r="C32" s="81" t="n">
        <v>46310</v>
      </c>
      <c r="D32" s="83" t="n">
        <v>980.83</v>
      </c>
      <c r="E32" s="113" t="inlineStr">
        <is>
          <t>Pago</t>
        </is>
      </c>
      <c r="F32" s="113">
        <f>IF(OR($E32="Pago",$C32=""),"",MAX(0,TODAY()-$C32))</f>
        <v/>
      </c>
      <c r="G32" s="82" t="inlineStr">
        <is>
          <t>Categoria quando pagar: Fornecedores / Mercadoria. Boleto Itaú 341-7 (Eversoft, CNPJ 08.782.043/0001-88). Nosso número 112/28638818-9. Linha digitável 34191.12283 63881.890303 55679.010003 2 16000000098083. Após o vencimento: juros ao dia + multa de 2%. | Conferido com o XML da NF-e nº 74454 (emissão 17/07/2026): EVERSOFT INDUSTRIA E COMERCIO DE PLASTICOS LTDA, CNPJ 08.782.043/0001-88, RUA CARDOSO QUINTAO, 671, TOMAS COELHO, RIO DE JANEIRO/RJ. Valor total da nota R$ 4.904,13 em 5 parcelas. Frete FOB (frete por conta da loja), transportadora FRACIONE TRANSPORTES EIRELI - ME. Chave da NF-e 33260708782043000188550060000744541603671381. Pago em 15/10/2026 — lançado em "Out 2026" como "Eversoft".</t>
        </is>
      </c>
    </row>
    <row r="33">
      <c r="A33" s="78" t="inlineStr">
        <is>
          <t>Eversoft Ind e Com de Plasticos Ltda</t>
        </is>
      </c>
      <c r="B33" s="78" t="inlineStr">
        <is>
          <t>Mercadoria — doc. 75472 (emissão 26/08/2026) · parcela 2/5</t>
        </is>
      </c>
      <c r="C33" s="77" t="n">
        <v>46320</v>
      </c>
      <c r="D33" s="79" t="n">
        <v>940.0599999999999</v>
      </c>
      <c r="E33" s="112" t="inlineStr">
        <is>
          <t>Pendente</t>
        </is>
      </c>
      <c r="F33" s="112">
        <f>IF(OR($E33="Pago",$C33=""),"",MAX(0,TODAY()-$C33))</f>
        <v/>
      </c>
      <c r="G33" s="78" t="inlineStr">
        <is>
          <t>Categoria quando pagar: Fornecedores / Mercadoria. Boleto Itaú 341-7 (Eversoft, CNPJ 08.782.043/0001-88). Nosso número 112/33604663-9. Linha digitável 34191.12333 60466.390303 55679.010003 1 16100000094006. Após o vencimento: juros ao dia + multa de 2%. | Conferido com o XML da NF-e nº 75472 (emissão 26/08/2026): EVERSOFT INDUSTRIA E COMERCIO DE PLASTICOS LTDA, CNPJ 08.782.043/0001-88, RUA CARDOSO QUINTAO, 671, TOMAS COELHO, RIO DE JANEIRO/RJ. Valor total da nota R$ 4.700,32 em 5 parcelas. Frete FOB (frete por conta da loja), transportadora PATRUS TRANSPORTES URGENTES. Chave da NF-e 33260808782043000188550060000754721160252683.</t>
        </is>
      </c>
    </row>
    <row r="34">
      <c r="A34" s="82" t="inlineStr">
        <is>
          <t>Eversoft Ind e Com de Plasticos Ltda</t>
        </is>
      </c>
      <c r="B34" s="82" t="inlineStr">
        <is>
          <t>Mercadoria — doc. 73636 (emissão 10/06/2026) · parcela 5/5 (última)</t>
        </is>
      </c>
      <c r="C34" s="81" t="n">
        <v>46333</v>
      </c>
      <c r="D34" s="83" t="n">
        <v>878.9299999999999</v>
      </c>
      <c r="E34" s="113" t="inlineStr">
        <is>
          <t>Pendente</t>
        </is>
      </c>
      <c r="F34" s="113">
        <f>IF(OR($E34="Pago",$C34=""),"",MAX(0,TODAY()-$C34))</f>
        <v/>
      </c>
      <c r="G34" s="82" t="inlineStr">
        <is>
          <t>Categoria quando pagar: Fornecedores / Mercadoria. Boleto Itaú 341-7 (Eversoft, CNPJ 08.782.043/0001-88). Nosso número 112/24142177-8. Linha digitável 34191.12242 14217.780304 55679.010003 4 16230000087893. Após o vencimento: juros ao dia + multa de 2%. | Conferido com o XML da NF-e nº 73636 (emissão 10/06/2026): EVERSOFT INDUSTRIA E COMERCIO DE PLASTICOS LTDA, CNPJ 08.782.043/0001-88, RUA CARDOSO QUINTAO, 671, TOMAS COELHO, RIO DE JANEIRO/RJ. Valor total da nota R$ 4.394,61 em 5 parcelas. Frete FOB (frete por conta da loja), transportadora FRACIONE TRANSPORTES EIRELI - ME. Chave da NF-e 33260608782043000188550060000736361998873394.</t>
        </is>
      </c>
    </row>
    <row r="35">
      <c r="A35" s="78" t="inlineStr">
        <is>
          <t>Everest Refrigeracao e Industria</t>
        </is>
      </c>
      <c r="B35" s="78" t="inlineStr">
        <is>
          <t>Mercadoria — doc. 381554 (emissão 17/07/2026) · parcela 2/5</t>
        </is>
      </c>
      <c r="C35" s="77" t="n">
        <v>46280</v>
      </c>
      <c r="D35" s="79" t="n">
        <v>892.3</v>
      </c>
      <c r="E35" s="112" t="inlineStr">
        <is>
          <t>Pago</t>
        </is>
      </c>
      <c r="F35" s="112">
        <f>IF(OR($E35="Pago",$C35=""),"",MAX(0,TODAY()-$C35))</f>
        <v/>
      </c>
      <c r="G35" s="78" t="inlineStr">
        <is>
          <t>Categoria: Fornecedores / Mercadoria. Boleto Itaú 341-7. Nosso número 112/28638136-6. Linha digitável 34191.12283 63813.660303 52238.850003 1 15700000089230. Pago em 15/09/2026 pelo Banco do Nordeste (DOC 91630932) — lançado em "Set 2026" como "Everest Refrigeração".</t>
        </is>
      </c>
    </row>
    <row r="36">
      <c r="A36" s="82" t="inlineStr">
        <is>
          <t>Everest Refrigeracao e Industria</t>
        </is>
      </c>
      <c r="B36" s="82" t="inlineStr">
        <is>
          <t>Mercadoria — doc. 377737 (emissão 19/05/2026) · parcela 4/5</t>
        </is>
      </c>
      <c r="C36" s="81" t="n">
        <v>46281</v>
      </c>
      <c r="D36" s="83" t="n">
        <v>139.31</v>
      </c>
      <c r="E36" s="113" t="inlineStr">
        <is>
          <t>Pago</t>
        </is>
      </c>
      <c r="F36" s="113">
        <f>IF(OR($E36="Pago",$C36=""),"",MAX(0,TODAY()-$C36))</f>
        <v/>
      </c>
      <c r="G36" s="82" t="inlineStr">
        <is>
          <t>Categoria: Fornecedores / Mercadoria. Boleto Itaú 341-7. Nosso número 112/21336084-8. Pago em 16/09/2026 — lançado em "Set 2026" como "Everest Refrigeração".</t>
        </is>
      </c>
    </row>
    <row r="37">
      <c r="A37" s="78" t="inlineStr">
        <is>
          <t>Everest Refrigeracao e Industria</t>
        </is>
      </c>
      <c r="B37" s="78" t="inlineStr">
        <is>
          <t>Mercadoria — doc. 377738 (emissão 19/05/2026) · parcela 4/5</t>
        </is>
      </c>
      <c r="C37" s="77" t="n">
        <v>46281</v>
      </c>
      <c r="D37" s="79" t="n">
        <v>865.5</v>
      </c>
      <c r="E37" s="112" t="inlineStr">
        <is>
          <t>Pago</t>
        </is>
      </c>
      <c r="F37" s="112">
        <f>IF(OR($E37="Pago",$C37=""),"",MAX(0,TODAY()-$C37))</f>
        <v/>
      </c>
      <c r="G37" s="78" t="inlineStr">
        <is>
          <t>Categoria: Fornecedores / Mercadoria. Boleto Itaú 341-7. Nosso número 112/21336022-8. Pago em 16/09/2026 pelo Banco do Nordeste — lançado em "Set 2026" como "Everest Refrigeração".</t>
        </is>
      </c>
    </row>
    <row r="38">
      <c r="A38" s="82" t="inlineStr">
        <is>
          <t>Everest Refrigeracao e Industria</t>
        </is>
      </c>
      <c r="B38" s="82" t="inlineStr">
        <is>
          <t>Mercadoria — doc. 377739 (emissão 19/05/2026) · parcela 4/5</t>
        </is>
      </c>
      <c r="C38" s="81" t="n">
        <v>46281</v>
      </c>
      <c r="D38" s="83" t="n">
        <v>856.35</v>
      </c>
      <c r="E38" s="113" t="inlineStr">
        <is>
          <t>Pago</t>
        </is>
      </c>
      <c r="F38" s="113">
        <f>IF(OR($E38="Pago",$C38=""),"",MAX(0,TODAY()-$C38))</f>
        <v/>
      </c>
      <c r="G38" s="82" t="inlineStr">
        <is>
          <t>Categoria: Fornecedores / Mercadoria. Boleto Itaú 341-7. Nosso número 112/21336008-7. Pago em 16/09/2026 — lançado em "Set 2026" como "Everest Refrigeração".</t>
        </is>
      </c>
    </row>
    <row r="39" ht="21.95" customHeight="1" s="157">
      <c r="A39" s="78" t="inlineStr">
        <is>
          <t>Everest Refrigeracao e Industria</t>
        </is>
      </c>
      <c r="B39" s="78" t="inlineStr">
        <is>
          <t>Mercadoria — doc. 379826 (emissão 22/06/2026) · parcela 3/5</t>
        </is>
      </c>
      <c r="C39" s="77" t="n">
        <v>46285</v>
      </c>
      <c r="D39" s="79" t="n">
        <v>874.6799999999999</v>
      </c>
      <c r="E39" s="112" t="inlineStr">
        <is>
          <t>Pago</t>
        </is>
      </c>
      <c r="F39" s="112">
        <f>IF(OR($E39="Pago",$C39=""),"",MAX(0,TODAY()-$C39))</f>
        <v/>
      </c>
      <c r="G39" s="78" t="inlineStr">
        <is>
          <t>Categoria: Fornecedores / Mercadoria. Boleto Itaú 341-7. Nosso número 112/25528668-7. Linha digitável 34191.12259 52866.870307 52238.850003 7 15750000087468. Após o vencimento: juros ao dia + multa de 2%. Pago em 21/09/2026 pelo Banco do Nordeste — lançado em "Set 2026" como "Everest Refrigeração".</t>
        </is>
      </c>
    </row>
    <row r="40">
      <c r="A40" s="82" t="inlineStr">
        <is>
          <t>Everest Refrigeracao e Industria</t>
        </is>
      </c>
      <c r="B40" s="82" t="inlineStr">
        <is>
          <t>Mercadoria — doc. 381554 (emissão 17/07/2026) · parcela 3/5</t>
        </is>
      </c>
      <c r="C40" s="81" t="n">
        <v>46310</v>
      </c>
      <c r="D40" s="83" t="n">
        <v>892.3</v>
      </c>
      <c r="E40" s="113" t="inlineStr">
        <is>
          <t>Pago</t>
        </is>
      </c>
      <c r="F40" s="113">
        <f>IF(OR($E40="Pago",$C40=""),"",MAX(0,TODAY()-$C40))</f>
        <v/>
      </c>
      <c r="G40" s="82" t="inlineStr">
        <is>
          <t>Categoria quando pagar: Fornecedores / Mercadoria. Boleto Itaú 341-7. Nosso número 112/28637900-6. Linha digitável 34191.12283 63790.060303 52238.850003 9 16000000089230. Após o vencimento: juros ao dia + multa de 2%. | Conferido com o XML da NF-e nº 381554 (emissão 17/07/2026): EVEREST REFRIGERACAO INDUSTRIA E COMERCIO LTDA., CNPJ 33.079.641/0001-32, RUA CARDOSO QUINTAO, 914, TOMAS COELHO, RIO DE JANEIRO/RJ. Valor total da nota R$ 4.461,49 em 5 parcelas. Frete FOB (frete por conta da loja), transportadora FRACIONE TRANSPORTES EIRELI - ME. Chave da NF-e 33260733079641000132550020003815541993407325. Pago em 15/10/2026 — lançado em "Out 2026" como "Everest Refrigeração".</t>
        </is>
      </c>
    </row>
    <row r="41" ht="26.1" customHeight="1" s="157">
      <c r="A41" s="78" t="inlineStr">
        <is>
          <t>Everest Refrigeracao e Industria</t>
        </is>
      </c>
      <c r="B41" s="78" t="inlineStr">
        <is>
          <t>Mercadoria — doc. 377737 (emissão 19/05/2026) · parcela 5/5 (última)</t>
        </is>
      </c>
      <c r="C41" s="77" t="n">
        <v>46311</v>
      </c>
      <c r="D41" s="79" t="n">
        <v>139.32</v>
      </c>
      <c r="E41" s="112" t="inlineStr">
        <is>
          <t>Pago</t>
        </is>
      </c>
      <c r="F41" s="112">
        <f>IF(OR($E41="Pago",$C41=""),"",MAX(0,TODAY()-$C41))</f>
        <v/>
      </c>
      <c r="G41" s="78" t="inlineStr">
        <is>
          <t>Categoria quando pagar: Fornecedores / Mercadoria. Boleto Itaú 341-7. Nosso número 112/21335994-9. Linha digitável 34191.12218 33599.490308 52238.850003 1 16010000013932. Após o vencimento: juros ao dia + multa de 2%. | Conferido com o XML da NF-e nº 377737 (emissão 19/05/2026): EVEREST REFRIGERACAO INDUSTRIA E COMERCIO LTDA., CNPJ 33.079.641/0001-32, RUA CARDOSO QUINTAO, 914, TOMAS COELHO, RIO DE JANEIRO/RJ. Valor total da nota R$ 725,16 em 5 parcelas. Frete FOB (frete por conta da loja), transportadora FRACIONE TRANSPORTES EIRELI - ME. Chave da NF-e 33260533079641000132550020003777371117471168. Pago em 16/10/2026 — lançado em "Out 2026" como "Everest Refrigeração".</t>
        </is>
      </c>
    </row>
    <row r="42">
      <c r="A42" s="82" t="inlineStr">
        <is>
          <t>Everest Refrigeracao e Industria</t>
        </is>
      </c>
      <c r="B42" s="82" t="inlineStr">
        <is>
          <t>Mercadoria — doc. 377738 (emissão 19/05/2026) · parcela 5/5 (última)</t>
        </is>
      </c>
      <c r="C42" s="81" t="n">
        <v>46311</v>
      </c>
      <c r="D42" s="83" t="n">
        <v>865.52</v>
      </c>
      <c r="E42" s="113" t="inlineStr">
        <is>
          <t>Pago</t>
        </is>
      </c>
      <c r="F42" s="113">
        <f>IF(OR($E42="Pago",$C42=""),"",MAX(0,TODAY()-$C42))</f>
        <v/>
      </c>
      <c r="G42" s="82" t="inlineStr">
        <is>
          <t>Categoria quando pagar: Fornecedores / Mercadoria. Boleto Itaú 341-7. Nosso número 112/21335634-1. Linha digitável 34191.12218 33563.410308 52238.850003 5 16010000086552. Após o vencimento: juros ao dia + multa de 2%. | Conferido com o XML da NF-e nº 377738 (emissão 19/05/2026): EVEREST REFRIGERACAO INDUSTRIA E COMERCIO LTDA., CNPJ 33.079.641/0001-32, RUA CARDOSO QUINTAO, 914, TOMAS COELHO, RIO DE JANEIRO/RJ. Valor total da nota R$ 4.327,52 em 5 parcelas. Frete FOB (frete por conta da loja), transportadora FRACIONE TRANSPORTES EIRELI - ME. Chave da NF-e 33260533079641000132550020003777381143358478. Pago em 16/10/2026 — lançado em "Out 2026" como "Everest Refrigeração".</t>
        </is>
      </c>
    </row>
    <row r="43">
      <c r="A43" s="78" t="inlineStr">
        <is>
          <t>Everest Refrigeracao e Industria</t>
        </is>
      </c>
      <c r="B43" s="78" t="inlineStr">
        <is>
          <t>Mercadoria — doc. 377739 (emissão 19/05/2026) · parcela 5/5 (última)</t>
        </is>
      </c>
      <c r="C43" s="77" t="n">
        <v>46311</v>
      </c>
      <c r="D43" s="79" t="n">
        <v>856.34</v>
      </c>
      <c r="E43" s="112" t="inlineStr">
        <is>
          <t>Pago</t>
        </is>
      </c>
      <c r="F43" s="112">
        <f>IF(OR($E43="Pago",$C43=""),"",MAX(0,TODAY()-$C43))</f>
        <v/>
      </c>
      <c r="G43" s="78" t="inlineStr">
        <is>
          <t>Categoria quando pagar: Fornecedores / Mercadoria. Boleto Itaú 341-7. Nosso número 112/21335118-5. Linha digitável 34191.12218 33511.850308 52238.850003 9 16010000085634. Após o vencimento: juros ao dia + multa de 2%. | Conferido com o XML da NF-e nº 377739 (emissão 19/05/2026): EVEREST REFRIGERACAO INDUSTRIA E COMERCIO LTDA., CNPJ 33.079.641/0001-32, RUA CARDOSO QUINTAO, 914, TOMAS COELHO, RIO DE JANEIRO/RJ. Valor total da nota R$ 4.281,74 em 5 parcelas. Frete FOB (frete por conta da loja), transportadora FRACIONE TRANSPORTES EIRELI - ME. Chave da NF-e 33260533079641000132550020003777391313049192. Pago em 15/10/2026 (antecipado, venc. 16/10) — lançado em "Out 2026" como "Everest Refrigeração".</t>
        </is>
      </c>
    </row>
    <row r="44">
      <c r="A44" s="82" t="inlineStr">
        <is>
          <t>Everest Refrigeracao e Industria</t>
        </is>
      </c>
      <c r="B44" s="82" t="inlineStr">
        <is>
          <t>Mercadoria — doc. 379826 (emissão 22/06/2026) · parcela 4/5</t>
        </is>
      </c>
      <c r="C44" s="81" t="n">
        <v>46315</v>
      </c>
      <c r="D44" s="83" t="n">
        <v>874.6799999999999</v>
      </c>
      <c r="E44" s="113" t="inlineStr">
        <is>
          <t>Pago</t>
        </is>
      </c>
      <c r="F44" s="113">
        <f>IF(OR($E44="Pago",$C44=""),"",MAX(0,TODAY()-$C44))</f>
        <v/>
      </c>
      <c r="G44" s="82" t="inlineStr">
        <is>
          <t>Categoria: Fornecedores / Mercadoria. Boleto Itaú 341-7. Nosso número 112/25528695-0. Linha digitável 34191.12259 52869.500307 52238.850003 1 16050000087468. Após o vencimento: juros ao dia + multa de 2%. | Conferido com o XML da NF-e nº 379826 (emissão 22/06/2026): EVEREST REFRIGERACAO INDUSTRIA E COMERCIO LTDA., CNPJ 33.079.641/0001-32, RUA CARDOSO QUINTAO, 914, TOMAS COELHO, RIO DE JANEIRO/RJ. Valor total da nota R$ 4.373,40 em 5 parcelas. Frete FOB (frete por conta da loja), transportadora FRACIONE TRANSPORTES EIRELI - ME. Chave da NF-e 33260633079641000132550020003798261298066249. Pago em 20/10/2026 — lançado em "Out 2026" como "Everest Refrigeração".</t>
        </is>
      </c>
    </row>
    <row r="45">
      <c r="A45" s="139" t="inlineStr">
        <is>
          <t>Eversoft Ind e Com de Plasticos Ltda</t>
        </is>
      </c>
      <c r="B45" s="139" t="inlineStr">
        <is>
          <t>Mercadoria — doc. 74454 (emissão 17/07/2026) · parcela 4/5</t>
        </is>
      </c>
      <c r="C45" s="140" t="n">
        <v>46340</v>
      </c>
      <c r="D45" s="141" t="n">
        <v>980.83</v>
      </c>
      <c r="E45" s="142" t="inlineStr">
        <is>
          <t>Previsto</t>
        </is>
      </c>
      <c r="F45" s="143">
        <f>IF(OR($E45="Pago",$C45=""),"",MAX(0,TODAY()-$C45))</f>
        <v/>
      </c>
      <c r="G45" s="139" t="inlineStr">
        <is>
          <t>PREVISÃO (aguarda boleto) — o fornecedor ainda não emitiu este boleto. Valor e vencimento conforme as duplicatas da NF 74454 (emissão 17/07/2026). Categoria quando pagar: Fornecedores / Mercadoria. Conferir o boleto quando chegar. | Conferido com o XML da NF-e nº 74454 (emissão 17/07/2026): EVERSOFT INDUSTRIA E COMERCIO DE PLASTICOS LTDA, CNPJ 08.782.043/0001-88, RUA CARDOSO QUINTAO, 671, TOMAS COELHO, RIO DE JANEIRO/RJ. Valor total da nota R$ 4.904,13 em 5 parcelas. Frete FOB (frete por conta da loja), transportadora FRACIONE TRANSPORTES EIRELI - ME. Chave da NF-e 33260708782043000188550060000744541603671381.</t>
        </is>
      </c>
    </row>
    <row r="46">
      <c r="A46" s="139" t="inlineStr">
        <is>
          <t>Everest Refrigeracao e Industria</t>
        </is>
      </c>
      <c r="B46" s="139" t="inlineStr">
        <is>
          <t>Mercadoria — doc. 381554 (emissão 17/07/2026) · parcela 4/5</t>
        </is>
      </c>
      <c r="C46" s="140" t="n">
        <v>46340</v>
      </c>
      <c r="D46" s="141" t="n">
        <v>892.3</v>
      </c>
      <c r="E46" s="142" t="inlineStr">
        <is>
          <t>Previsto</t>
        </is>
      </c>
      <c r="F46" s="143">
        <f>IF(OR($E46="Pago",$C46=""),"",MAX(0,TODAY()-$C46))</f>
        <v/>
      </c>
      <c r="G46" s="139" t="inlineStr">
        <is>
          <t>PREVISÃO (aguarda boleto) — o fornecedor ainda não emitiu este boleto. Valor e vencimento conforme as duplicatas da NF 381554 (emissão 17/07/2026). Categoria quando pagar: Fornecedores / Mercadoria. Conferir o boleto quando chegar. | Conferido com o XML da NF-e nº 381554 (emissão 17/07/2026): EVEREST REFRIGERACAO INDUSTRIA E COMERCIO LTDA., CNPJ 33.079.641/0001-32, RUA CARDOSO QUINTAO, 914, TOMAS COELHO, RIO DE JANEIRO/RJ. Valor total da nota R$ 4.461,49 em 5 parcelas. Frete FOB (frete por conta da loja), transportadora FRACIONE TRANSPORTES EIRELI - ME. Chave da NF-e 33260733079641000132550020003815541993407325.</t>
        </is>
      </c>
    </row>
    <row r="47">
      <c r="A47" s="139" t="inlineStr">
        <is>
          <t>Everest Refrigeracao e Industria</t>
        </is>
      </c>
      <c r="B47" s="139" t="inlineStr">
        <is>
          <t>Mercadoria — doc. 379826 (emissão 22/06/2026) · parcela 5/5 (última)</t>
        </is>
      </c>
      <c r="C47" s="140" t="n">
        <v>46345</v>
      </c>
      <c r="D47" s="141" t="n">
        <v>874.6799999999999</v>
      </c>
      <c r="E47" s="142" t="inlineStr">
        <is>
          <t>Previsto</t>
        </is>
      </c>
      <c r="F47" s="143">
        <f>IF(OR($E47="Pago",$C47=""),"",MAX(0,TODAY()-$C47))</f>
        <v/>
      </c>
      <c r="G47" s="139" t="inlineStr">
        <is>
          <t>PREVISÃO (aguarda boleto) — o fornecedor ainda não emitiu este boleto. Valor e vencimento conforme as duplicatas da NF 379826 (emissão 22/06/2026). Categoria quando pagar: Fornecedores / Mercadoria. Conferir o boleto quando chegar. | Conferido com o XML da NF-e nº 379826 (emissão 22/06/2026): EVEREST REFRIGERACAO INDUSTRIA E COMERCIO LTDA., CNPJ 33.079.641/0001-32, RUA CARDOSO QUINTAO, 914, TOMAS COELHO, RIO DE JANEIRO/RJ. Valor total da nota R$ 4.373,40 em 5 parcelas. Frete FOB (frete por conta da loja), transportadora FRACIONE TRANSPORTES EIRELI - ME. Chave da NF-e 33260633079641000132550020003798261298066249.</t>
        </is>
      </c>
    </row>
    <row r="48">
      <c r="A48" s="139" t="inlineStr">
        <is>
          <t>Eversoft Ind e Com de Plasticos Ltda</t>
        </is>
      </c>
      <c r="B48" s="139" t="inlineStr">
        <is>
          <t>Mercadoria — doc. 75472 (emissão 26/08/2026) · parcela 3/5</t>
        </is>
      </c>
      <c r="C48" s="140" t="n">
        <v>46350</v>
      </c>
      <c r="D48" s="141" t="n">
        <v>940.0599999999999</v>
      </c>
      <c r="E48" s="142" t="inlineStr">
        <is>
          <t>Previsto</t>
        </is>
      </c>
      <c r="F48" s="143">
        <f>IF(OR($E48="Pago",$C48=""),"",MAX(0,TODAY()-$C48))</f>
        <v/>
      </c>
      <c r="G48" s="139" t="inlineStr">
        <is>
          <t>PREVISÃO (aguarda boleto) — o fornecedor ainda não emitiu este boleto. Valor e vencimento conforme as duplicatas da NF 75472 (emissão 26/08/2026). Categoria quando pagar: Fornecedores / Mercadoria. Conferir o boleto quando chegar. | Conferido com o XML da NF-e nº 75472 (emissão 26/08/2026): EVERSOFT INDUSTRIA E COMERCIO DE PLASTICOS LTDA, CNPJ 08.782.043/0001-88, RUA CARDOSO QUINTAO, 671, TOMAS COELHO, RIO DE JANEIRO/RJ. Valor total da nota R$ 4.700,32 em 5 parcelas. Frete FOB (frete por conta da loja), transportadora PATRUS TRANSPORTES URGENTES. Chave da NF-e 33260808782043000188550060000754721160252683.</t>
        </is>
      </c>
    </row>
    <row r="49">
      <c r="A49" s="139" t="inlineStr">
        <is>
          <t>Everest Refrigeracao e Industria</t>
        </is>
      </c>
      <c r="B49" s="139" t="inlineStr">
        <is>
          <t>Mercadoria — doc. 381554 (emissão 17/07/2026) · parcela 5/5 (última)</t>
        </is>
      </c>
      <c r="C49" s="140" t="n">
        <v>46370</v>
      </c>
      <c r="D49" s="141" t="n">
        <v>892.29</v>
      </c>
      <c r="E49" s="142" t="inlineStr">
        <is>
          <t>Previsto</t>
        </is>
      </c>
      <c r="F49" s="143">
        <f>IF(OR($E49="Pago",$C49=""),"",MAX(0,TODAY()-$C49))</f>
        <v/>
      </c>
      <c r="G49" s="139" t="inlineStr">
        <is>
          <t>PREVISÃO (aguarda boleto) — o fornecedor ainda não emitiu este boleto. Valor e vencimento conforme as duplicatas da NF 381554 (emissão 17/07/2026). Categoria quando pagar: Fornecedores / Mercadoria. Conferir o boleto quando chegar. | Conferido com o XML da NF-e nº 381554 (emissão 17/07/2026): EVEREST REFRIGERACAO INDUSTRIA E COMERCIO LTDA., CNPJ 33.079.641/0001-32, RUA CARDOSO QUINTAO, 914, TOMAS COELHO, RIO DE JANEIRO/RJ. Valor total da nota R$ 4.461,49 em 5 parcelas. Frete FOB (frete por conta da loja), transportadora FRACIONE TRANSPORTES EIRELI - ME. Chave da NF-e 33260733079641000132550020003815541993407325.</t>
        </is>
      </c>
    </row>
    <row r="50">
      <c r="A50" s="139" t="inlineStr">
        <is>
          <t>Eversoft Ind e Com de Plasticos Ltda</t>
        </is>
      </c>
      <c r="B50" s="139" t="inlineStr">
        <is>
          <t>Mercadoria — doc. 74454 (emissão 17/07/2026) · parcela 5/5 (última)</t>
        </is>
      </c>
      <c r="C50" s="140" t="n">
        <v>46370</v>
      </c>
      <c r="D50" s="141" t="n">
        <v>980.8099999999999</v>
      </c>
      <c r="E50" s="142" t="inlineStr">
        <is>
          <t>Previsto</t>
        </is>
      </c>
      <c r="F50" s="143">
        <f>IF(OR($E50="Pago",$C50=""),"",MAX(0,TODAY()-$C50))</f>
        <v/>
      </c>
      <c r="G50" s="139" t="inlineStr">
        <is>
          <t>PREVISÃO (aguarda boleto) — o fornecedor ainda não emitiu este boleto. Valor e vencimento conforme as duplicatas da NF 74454 (emissão 17/07/2026). Categoria quando pagar: Fornecedores / Mercadoria. Conferir o boleto quando chegar. | Conferido com o XML da NF-e nº 74454 (emissão 17/07/2026): EVERSOFT INDUSTRIA E COMERCIO DE PLASTICOS LTDA, CNPJ 08.782.043/0001-88, RUA CARDOSO QUINTAO, 671, TOMAS COELHO, RIO DE JANEIRO/RJ. Valor total da nota R$ 4.904,13 em 5 parcelas. Frete FOB (frete por conta da loja), transportadora FRACIONE TRANSPORTES EIRELI - ME. Chave da NF-e 33260708782043000188550060000744541603671381.</t>
        </is>
      </c>
    </row>
    <row r="51">
      <c r="A51" s="139" t="inlineStr">
        <is>
          <t>Eversoft Ind e Com de Plasticos Ltda</t>
        </is>
      </c>
      <c r="B51" s="139" t="inlineStr">
        <is>
          <t>Mercadoria — doc. 75472 (emissão 26/08/2026) · parcela 4/5</t>
        </is>
      </c>
      <c r="C51" s="140" t="n">
        <v>46380</v>
      </c>
      <c r="D51" s="141" t="n">
        <v>940.0599999999999</v>
      </c>
      <c r="E51" s="142" t="inlineStr">
        <is>
          <t>Previsto</t>
        </is>
      </c>
      <c r="F51" s="143">
        <f>IF(OR($E51="Pago",$C51=""),"",MAX(0,TODAY()-$C51))</f>
        <v/>
      </c>
      <c r="G51" s="139" t="inlineStr">
        <is>
          <t>PREVISÃO (aguarda boleto) — o fornecedor ainda não emitiu este boleto. Valor e vencimento conforme as duplicatas da NF 75472 (emissão 26/08/2026). Categoria quando pagar: Fornecedores / Mercadoria. Conferir o boleto quando chegar. | Conferido com o XML da NF-e nº 75472 (emissão 26/08/2026): EVERSOFT INDUSTRIA E COMERCIO DE PLASTICOS LTDA, CNPJ 08.782.043/0001-88, RUA CARDOSO QUINTAO, 671, TOMAS COELHO, RIO DE JANEIRO/RJ. Valor total da nota R$ 4.700,32 em 5 parcelas. Frete FOB (frete por conta da loja), transportadora PATRUS TRANSPORTES URGENTES. Chave da NF-e 33260808782043000188550060000754721160252683.</t>
        </is>
      </c>
    </row>
    <row r="52">
      <c r="A52" s="139" t="inlineStr">
        <is>
          <t>Eversoft Ind e Com de Plasticos Ltda</t>
        </is>
      </c>
      <c r="B52" s="139" t="inlineStr">
        <is>
          <t>Mercadoria — doc. 75472 (emissão 26/08/2026) · parcela 5/5 (última)</t>
        </is>
      </c>
      <c r="C52" s="140" t="n">
        <v>46410</v>
      </c>
      <c r="D52" s="141" t="n">
        <v>940.08</v>
      </c>
      <c r="E52" s="142" t="inlineStr">
        <is>
          <t>Previsto</t>
        </is>
      </c>
      <c r="F52" s="143">
        <f>IF(OR($E52="Pago",$C52=""),"",MAX(0,TODAY()-$C52))</f>
        <v/>
      </c>
      <c r="G52" s="139" t="inlineStr">
        <is>
          <t>PREVISÃO (aguarda boleto) — o fornecedor ainda não emitiu este boleto. Valor e vencimento conforme as duplicatas da NF 75472 (emissão 26/08/2026). Categoria quando pagar: Fornecedores / Mercadoria. Conferir o boleto quando chegar. | Conferido com o XML da NF-e nº 75472 (emissão 26/08/2026): EVERSOFT INDUSTRIA E COMERCIO DE PLASTICOS LTDA, CNPJ 08.782.043/0001-88, RUA CARDOSO QUINTAO, 671, TOMAS COELHO, RIO DE JANEIRO/RJ. Valor total da nota R$ 4.700,32 em 5 parcelas. Frete FOB (frete por conta da loja), transportadora PATRUS TRANSPORTES URGENTES. Chave da NF-e 33260808782043000188550060000754721160252683.</t>
        </is>
      </c>
    </row>
    <row r="53">
      <c r="A53" s="78" t="inlineStr">
        <is>
          <t>Filtros Planeta Agua Ind e Com Ltda</t>
        </is>
      </c>
      <c r="B53" s="78" t="inlineStr">
        <is>
          <t>Mercadoria — doc. 131997/4 (emissão 08/07/2026) · parcela 4/4 (última)</t>
        </is>
      </c>
      <c r="C53" s="77" t="n">
        <v>46281</v>
      </c>
      <c r="D53" s="79" t="n">
        <v>1385.85</v>
      </c>
      <c r="E53" s="112" t="inlineStr">
        <is>
          <t>Pago</t>
        </is>
      </c>
      <c r="F53" s="112">
        <f>IF(OR($E53="Pago",$C53=""),"",MAX(0,TODAY()-$C53))</f>
        <v/>
      </c>
      <c r="G53" s="78" t="inlineStr">
        <is>
          <t>Categoria: Fornecedores / Mercadoria. Boleto Itaú 341-7 (carteira 109). Nosso número 109/00255359-0. Pago em 16/09/2026 pelo Banco do Nordeste — lançado em "Set 2026" como "Filtros Planeta Água".</t>
        </is>
      </c>
    </row>
    <row r="54">
      <c r="A54" s="82" t="inlineStr">
        <is>
          <t>Instituto Euvaldo Lodi — Núcleo Regional da Bahia</t>
        </is>
      </c>
      <c r="B54" s="82" t="inlineStr">
        <is>
          <t>Contribuição do contrato de estágio — doc. A 000007329</t>
        </is>
      </c>
      <c r="C54" s="81" t="n">
        <v>46280</v>
      </c>
      <c r="D54" s="83" t="n">
        <v>75</v>
      </c>
      <c r="E54" s="113" t="inlineStr">
        <is>
          <t>Pago</t>
        </is>
      </c>
      <c r="F54" s="113">
        <f>IF(OR($E54="Pago",$C54=""),"",MAX(0,TODAY()-$C54))</f>
        <v/>
      </c>
      <c r="G54" s="82" t="inlineStr">
        <is>
          <t>Categoria: Salários, Comissões e Encargos. Boleto Banco do Brasil 001-0, nosso número 32190990000160501. Linha digitável 00190.00009 03219.099003 00160.501177 1 15700000007500. Pago em 15/09/2026 pelo Banco do Nordeste (DOC 91633744) — lançado em "Set 2026" como "Instituto Euvaldo Lodi".</t>
        </is>
      </c>
    </row>
    <row r="55">
      <c r="A55" s="78" t="inlineStr">
        <is>
          <t>Proxxima Telecomunicacoes S.A.</t>
        </is>
      </c>
      <c r="B55" s="78" t="inlineStr">
        <is>
          <t>Internet da loja — plano Turbinados 700 MB, contrato 578646</t>
        </is>
      </c>
      <c r="C55" s="77" t="n">
        <v>46280</v>
      </c>
      <c r="D55" s="79" t="n">
        <v>69.98999999999999</v>
      </c>
      <c r="E55" s="112" t="inlineStr">
        <is>
          <t>Pago</t>
        </is>
      </c>
      <c r="F55" s="112">
        <f>IF(OR($E55="Pago",$C55=""),"",MAX(0,TODAY()-$C55))</f>
        <v/>
      </c>
      <c r="G55" s="78" t="inlineStr">
        <is>
          <t>Categoria: Água, Energia e Internet. Fatura FAT26081721473042, boleto Bradesco 237. Linha digitável 23790.49303 90000.413329 63025.103001 5 15700000006999. A fatura sai em nome do sócio, mas o serviço é da loja. Pago em 15/09/2026 pelo Banco do Nordeste (DOC 91638140) — lançado em "Set 2026" como "Proxxima Telecomunicações".</t>
        </is>
      </c>
    </row>
    <row r="56">
      <c r="A56" s="82" t="inlineStr">
        <is>
          <t>Filtros Planeta Agua Ind e Com Ltda</t>
        </is>
      </c>
      <c r="B56" s="82" t="inlineStr">
        <is>
          <t>Mercadoria — doc. 133138/2 (emissão 12/08/2026) · parcela 2/4</t>
        </is>
      </c>
      <c r="C56" s="81" t="n">
        <v>46288</v>
      </c>
      <c r="D56" s="83" t="n">
        <v>537.9299999999999</v>
      </c>
      <c r="E56" s="113" t="inlineStr">
        <is>
          <t>Pago</t>
        </is>
      </c>
      <c r="F56" s="113">
        <f>IF(OR($E56="Pago",$C56=""),"",MAX(0,TODAY()-$C56))</f>
        <v/>
      </c>
      <c r="G56" s="82" t="inlineStr">
        <is>
          <t>Categoria: Fornecedores / Mercadoria. Boleto Itaú 341-7 (carteira 109). Nosso número 109/00257850-6. Linha digitável 34191.09008 25785.061430 81531.550002 4 15780000053793. Após o vencimento: multa de 1,9% + juros de 0,1% ao dia; protesto no 5º dia útil. Pago em 23/09/2026 — lançado em "Set 2026" como "Filtros Planeta Água".</t>
        </is>
      </c>
    </row>
    <row r="57" s="157">
      <c r="A57" s="78" t="inlineStr">
        <is>
          <t>Empresa Baiana de Aguas e Saneamento SA (Embasa)</t>
        </is>
      </c>
      <c r="B57" s="78" t="inlineStr">
        <is>
          <t>Conta de água — despesa pessoal do dono (não é da loja) — ref. 10/2026</t>
        </is>
      </c>
      <c r="C57" s="77" t="n">
        <v>46296</v>
      </c>
      <c r="D57" s="79" t="n">
        <v>91</v>
      </c>
      <c r="E57" s="112" t="inlineStr">
        <is>
          <t>Pago</t>
        </is>
      </c>
      <c r="F57" s="112">
        <f>IF(OR($E57="Pago",$C57=""),"",MAX(0,TODAY()-$C57))</f>
        <v/>
      </c>
      <c r="G57" s="78" t="inlineStr">
        <is>
          <t>Categoria: Pro Labore Edilânia. Pago em 01/10/2026 — lançado em Out 2026 como "Conta de Água Adriano". Fatura em nome pessoal do sócio, matrícula 0531718-70.</t>
        </is>
      </c>
    </row>
    <row r="58">
      <c r="A58" s="82" t="inlineStr">
        <is>
          <t>Filtros Planeta Agua Ind e Com Ltda</t>
        </is>
      </c>
      <c r="B58" s="82" t="inlineStr">
        <is>
          <t>Mercadoria — doc. 133138/3 (emissão 12/08/2026) · parcela 3/4</t>
        </is>
      </c>
      <c r="C58" s="81" t="n">
        <v>46302</v>
      </c>
      <c r="D58" s="83" t="n">
        <v>537.9299999999999</v>
      </c>
      <c r="E58" s="113" t="inlineStr">
        <is>
          <t>Pago</t>
        </is>
      </c>
      <c r="F58" s="113">
        <f>IF(OR($E58="Pago",$C58=""),"",MAX(0,TODAY()-$C58))</f>
        <v/>
      </c>
      <c r="G58" s="82" t="inlineStr">
        <is>
          <t>Categoria: Fornecedores / Mercadoria. Pago em 06/10/2026 (antecipado, venc. 07/10) — lançado em "Out 2026" como "Filtros Planeta Água". Boleto Itaú 341-7 (carteira 109). Nosso número 109/00257851-4. Linha digitável 34191.09008 25785.141430 81531.550002 6 15920000053793. Após o vencimento: multa de 1,9% + juros de 0,1% ao dia; protesto no 5º dia útil. | Conferido com o XML da NF-e nº 133138 (emissão 12/08/2026): FILTROS PLANETA AGUA INDUSTRIA E COMERCIO LTDA, CNPJ 05.097.806/0001-63, RUA FRANCISCO BALBINOT, 139, SAO ROQUE, FARROUPILHA/RS. Valor total da nota R$ 2.263,62 em 4 parcelas. Frete CIF (frete por conta do fornecedor), transportadora PATRUS TRANSPORTES URGENTES. Chave da NF-e 43260805097806000163550010001331381847671397.</t>
        </is>
      </c>
    </row>
    <row r="59">
      <c r="A59" s="78" t="inlineStr">
        <is>
          <t>Filtros Planeta Agua Ind e Com Ltda</t>
        </is>
      </c>
      <c r="B59" s="78" t="inlineStr">
        <is>
          <t>Mercadoria — doc. 133138/4 (emissão 12/08/2026) · parcela 4/4 (última)</t>
        </is>
      </c>
      <c r="C59" s="77" t="n">
        <v>46316</v>
      </c>
      <c r="D59" s="79" t="n">
        <v>537.9299999999999</v>
      </c>
      <c r="E59" s="112" t="inlineStr">
        <is>
          <t>Pendente</t>
        </is>
      </c>
      <c r="F59" s="112">
        <f>IF(OR($E59="Pago",$C59=""),"",MAX(0,TODAY()-$C59))</f>
        <v/>
      </c>
      <c r="G59" s="78" t="inlineStr">
        <is>
          <t>Categoria quando pagar: Fornecedores / Mercadoria. Boleto Itaú 341-7 (carteira 109). Nosso número 109/00257852-2. Linha digitável 34191.09008 25785.221430 81531.550002 6 16060000053793. Após o vencimento: multa de 1,9% + juros de 0,1% ao dia; protesto no 5º dia útil. | Conferido com o XML da NF-e nº 133138 (emissão 12/08/2026): FILTROS PLANETA AGUA INDUSTRIA E COMERCIO LTDA, CNPJ 05.097.806/0001-63, RUA FRANCISCO BALBINOT, 139, SAO ROQUE, FARROUPILHA/RS. Valor total da nota R$ 2.263,62 em 4 parcelas. Frete CIF (frete por conta do fornecedor), transportadora PATRUS TRANSPORTES URGENTES. Chave da NF-e 43260805097806000163550010001331381847671397.</t>
        </is>
      </c>
    </row>
    <row r="60">
      <c r="A60" s="139" t="inlineStr">
        <is>
          <t>Wiliam Pinto Bispo</t>
        </is>
      </c>
      <c r="B60" s="139" t="inlineStr">
        <is>
          <t>Salário mensal — competência setembro/2026</t>
        </is>
      </c>
      <c r="C60" s="140" t="n">
        <v>46296</v>
      </c>
      <c r="D60" s="141" t="n">
        <v>1571.32</v>
      </c>
      <c r="E60" s="142" t="inlineStr">
        <is>
          <t>Pago</t>
        </is>
      </c>
      <c r="F60" s="143">
        <f>IF(OR($E60="Pago",$C60=""),"",MAX(0,TODAY()-$C60))</f>
        <v/>
      </c>
      <c r="G60" s="139" t="inlineStr">
        <is>
          <t>Categoria: Salários, Comissões e Encargos. Pago em 01/10/2026 — lançado em "Out 2026" como "Salário Wiliam" (R$ 1.571,32).</t>
        </is>
      </c>
    </row>
    <row r="61" s="157">
      <c r="A61" s="139" t="inlineStr">
        <is>
          <t>Wiliam Pinto Bispo</t>
        </is>
      </c>
      <c r="B61" s="139" t="inlineStr">
        <is>
          <t>Salário mensal — competência outubro/2026</t>
        </is>
      </c>
      <c r="C61" s="140" t="n">
        <v>46327</v>
      </c>
      <c r="D61" s="141" t="n">
        <v>1571.32</v>
      </c>
      <c r="E61" s="142" t="inlineStr">
        <is>
          <t>Previsto</t>
        </is>
      </c>
      <c r="F61" s="143">
        <f>IF(OR($E61="Pago",$C61=""),"",MAX(0,TODAY()-$C61))</f>
        <v/>
      </c>
      <c r="G61" s="139" t="inlineStr">
        <is>
          <t>PREVISÃO (fixo mensal) — despesa recorrente que NUNCA tem boleto: é pagamento direto ao funcionário. Salário mensal do Wiliam, valor fixo de R$ 1.571,32 (mesmo valor de mai, jun e ago/2026). É pago no último dia do mês anterior; o vencimento fica no dia 1º só para padronizar. NÃO inclui as comissões, que saem à parte por quinzena e variam (R$ 150 a R$ 590 nas últimas). Categoria quando pagar: Salários, Comissões e Encargos.</t>
        </is>
      </c>
    </row>
    <row r="62">
      <c r="A62" s="82" t="inlineStr">
        <is>
          <t>Everest Refrigeracao e Industria</t>
        </is>
      </c>
      <c r="B62" s="82" t="inlineStr">
        <is>
          <t>Mercadoria — doc. 386188 (emissão 15/09/2026) · parcela 1/5</t>
        </is>
      </c>
      <c r="C62" s="81" t="n">
        <v>46310</v>
      </c>
      <c r="D62" s="83" t="n">
        <v>574.27</v>
      </c>
      <c r="E62" s="113" t="inlineStr">
        <is>
          <t>Pago</t>
        </is>
      </c>
      <c r="F62" s="113">
        <f>IF(OR($E62="Pago",$C62=""),"",MAX(0,TODAY()-$C62))</f>
        <v/>
      </c>
      <c r="G62" s="82" t="inlineStr">
        <is>
          <t>Categoria quando pagar: Fornecedores / Mercadoria. Boleto Itaú 341-7. Nosso número 112/35841919. Linha digitável 34191.12358 84191.930308 52238.850003 3 16000000057427. Boleto recebido por e-mail em 15/09/2026; PDF salvo em "03 - Despesas e Contas a Pagar/Boletos Everest NF 386188". Após o vencimento: multa de 2% + juros de R$ 0,19 ao dia. | Conferido com o XML da NF-e nº 386188 (emissão 15/09/2026): EVEREST REFRIGERACAO INDUSTRIA E COMERCIO LTDA., CNPJ 33.079.641/0001-32, RUA CARDOSO QUINTAO, 914, TOMAS COELHO, RIO DE JANEIRO/RJ. Valor total da nota R$ 2.871,36 em 5 parcelas. Frete FOB (frete por conta da loja), transportadora PATRUS TRANSPORTES URGENTES LTDA. Chave da NF-e 33260933079641000132550020003861881095200116. Pago em 15/10/2026 — lançado em "Out 2026" como "Everest Refrigeração".</t>
        </is>
      </c>
    </row>
    <row r="63">
      <c r="A63" s="78" t="inlineStr">
        <is>
          <t>Everest Refrigeracao e Industria</t>
        </is>
      </c>
      <c r="B63" s="78" t="inlineStr">
        <is>
          <t>Mercadoria — doc. 386188 (emissão 15/09/2026) · parcela 2/5</t>
        </is>
      </c>
      <c r="C63" s="77" t="n">
        <v>46340</v>
      </c>
      <c r="D63" s="79" t="n">
        <v>574.27</v>
      </c>
      <c r="E63" s="112" t="inlineStr">
        <is>
          <t>Pendente</t>
        </is>
      </c>
      <c r="F63" s="112">
        <f>IF(OR($E63="Pago",$C63=""),"",MAX(0,TODAY()-$C63))</f>
        <v/>
      </c>
      <c r="G63" s="78" t="inlineStr">
        <is>
          <t>Categoria quando pagar: Fornecedores / Mercadoria. Boleto Itaú 341-7. Nosso número 112/35842013. Linha digitável 34191.12358 84201.340308 52238.850003 8 16300000057427. Boleto recebido por e-mail em 15/09/2026; PDF salvo em "03 - Despesas e Contas a Pagar/Boletos Everest NF 386188". Após o vencimento: multa de 2% + juros de R$ 0,19 ao dia. | Conferido com o XML da NF-e nº 386188 (emissão 15/09/2026): EVEREST REFRIGERACAO INDUSTRIA E COMERCIO LTDA., CNPJ 33.079.641/0001-32, RUA CARDOSO QUINTAO, 914, TOMAS COELHO, RIO DE JANEIRO/RJ. Valor total da nota R$ 2.871,36 em 5 parcelas. Frete FOB (frete por conta da loja), transportadora PATRUS TRANSPORTES URGENTES LTDA. Chave da NF-e 33260933079641000132550020003861881095200116.</t>
        </is>
      </c>
    </row>
    <row r="64">
      <c r="A64" s="82" t="inlineStr">
        <is>
          <t>Everest Refrigeracao e Industria</t>
        </is>
      </c>
      <c r="B64" s="82" t="inlineStr">
        <is>
          <t>Mercadoria — doc. 386188 (emissão 15/09/2026) · parcela 3/5</t>
        </is>
      </c>
      <c r="C64" s="81" t="n">
        <v>46370</v>
      </c>
      <c r="D64" s="83" t="n">
        <v>574.27</v>
      </c>
      <c r="E64" s="113" t="inlineStr">
        <is>
          <t>Pendente</t>
        </is>
      </c>
      <c r="F64" s="113">
        <f>IF(OR($E64="Pago",$C64=""),"",MAX(0,TODAY()-$C64))</f>
        <v/>
      </c>
      <c r="G64" s="82" t="inlineStr">
        <is>
          <t>Categoria quando pagar: Fornecedores / Mercadoria. Boleto Itaú 341-7. Nosso número 112/35841927. Linha digitável 34191.12358 84192.760308 52238.850003 8 16600000057427. Boleto recebido por e-mail em 15/09/2026; PDF salvo em "03 - Despesas e Contas a Pagar/Boletos Everest NF 386188". Após o vencimento: multa de 2% + juros de R$ 0,19 ao dia. | Conferido com o XML da NF-e nº 386188 (emissão 15/09/2026): EVEREST REFRIGERACAO INDUSTRIA E COMERCIO LTDA., CNPJ 33.079.641/0001-32, RUA CARDOSO QUINTAO, 914, TOMAS COELHO, RIO DE JANEIRO/RJ. Valor total da nota R$ 2.871,36 em 5 parcelas. Frete FOB (frete por conta da loja), transportadora PATRUS TRANSPORTES URGENTES LTDA. Chave da NF-e 33260933079641000132550020003861881095200116.</t>
        </is>
      </c>
    </row>
    <row r="65">
      <c r="A65" s="78" t="inlineStr">
        <is>
          <t>Everest Refrigeracao e Industria</t>
        </is>
      </c>
      <c r="B65" s="78" t="inlineStr">
        <is>
          <t>Mercadoria — doc. 386188 (emissão 15/09/2026) · parcela 4/5</t>
        </is>
      </c>
      <c r="C65" s="77" t="n">
        <v>46400</v>
      </c>
      <c r="D65" s="79" t="n">
        <v>574.27</v>
      </c>
      <c r="E65" s="112" t="inlineStr">
        <is>
          <t>Pendente</t>
        </is>
      </c>
      <c r="F65" s="112">
        <f>IF(OR($E65="Pago",$C65=""),"",MAX(0,TODAY()-$C65))</f>
        <v/>
      </c>
      <c r="G65" s="78" t="inlineStr">
        <is>
          <t>Categoria quando pagar: Fornecedores / Mercadoria. Boleto Itaú 341-7. Nosso número 112/35842031. Linha digitável 34191.12358 84203.160308 52238.850003 1 16900000057427. Boleto recebido por e-mail em 15/09/2026; PDF salvo em "03 - Despesas e Contas a Pagar/Boletos Everest NF 386188". Após o vencimento: multa de 2% + juros de R$ 0,19 ao dia. | Conferido com o XML da NF-e nº 386188 (emissão 15/09/2026): EVEREST REFRIGERACAO INDUSTRIA E COMERCIO LTDA., CNPJ 33.079.641/0001-32, RUA CARDOSO QUINTAO, 914, TOMAS COELHO, RIO DE JANEIRO/RJ. Valor total da nota R$ 2.871,36 em 5 parcelas. Frete FOB (frete por conta da loja), transportadora PATRUS TRANSPORTES URGENTES LTDA. Chave da NF-e 33260933079641000132550020003861881095200116.</t>
        </is>
      </c>
    </row>
    <row r="66">
      <c r="A66" s="82" t="inlineStr">
        <is>
          <t>Everest Refrigeracao e Industria</t>
        </is>
      </c>
      <c r="B66" s="82" t="inlineStr">
        <is>
          <t>Mercadoria — doc. 386188 (emissão 15/09/2026) · parcela 5/5 (última)</t>
        </is>
      </c>
      <c r="C66" s="81" t="n">
        <v>46430</v>
      </c>
      <c r="D66" s="83" t="n">
        <v>574.28</v>
      </c>
      <c r="E66" s="113" t="inlineStr">
        <is>
          <t>Pendente</t>
        </is>
      </c>
      <c r="F66" s="113">
        <f>IF(OR($E66="Pago",$C66=""),"",MAX(0,TODAY()-$C66))</f>
        <v/>
      </c>
      <c r="G66" s="82" t="inlineStr">
        <is>
          <t>Categoria quando pagar: Fornecedores / Mercadoria. Boleto Itaú 341-7. Nosso número 112/35842128. Linha digitável 34191.12358 84212.800308 52238.850003 3 17200000057428. Boleto recebido por e-mail em 15/09/2026; PDF salvo em "03 - Despesas e Contas a Pagar/Boletos Everest NF 386188". Após o vencimento: multa de 2% + juros de R$ 0,19 ao dia. | Conferido com o XML da NF-e nº 386188 (emissão 15/09/2026): EVEREST REFRIGERACAO INDUSTRIA E COMERCIO LTDA., CNPJ 33.079.641/0001-32, RUA CARDOSO QUINTAO, 914, TOMAS COELHO, RIO DE JANEIRO/RJ. Valor total da nota R$ 2.871,36 em 5 parcelas. Frete FOB (frete por conta da loja), transportadora PATRUS TRANSPORTES URGENTES LTDA. Chave da NF-e 33260933079641000132550020003861881095200116.</t>
        </is>
      </c>
    </row>
    <row r="67">
      <c r="A67" s="82" t="inlineStr">
        <is>
          <t>Receita Federal — Simples Nacional (DAS)</t>
        </is>
      </c>
      <c r="B67" s="82" t="inlineStr">
        <is>
          <t>DAS — competência agosto/2026 (doc. 07.20.26260.6017058-0)</t>
        </is>
      </c>
      <c r="C67" s="81" t="n">
        <v>46286</v>
      </c>
      <c r="D67" s="83" t="n">
        <v>1958.02</v>
      </c>
      <c r="E67" s="113" t="inlineStr">
        <is>
          <t>Pago</t>
        </is>
      </c>
      <c r="F67" s="113">
        <f>IF(OR($E67="Pago",$C67=""),"",MAX(0,TODAY()-$C67))</f>
        <v/>
      </c>
      <c r="G67" s="82" t="inlineStr">
        <is>
          <t>Categoria: Impostos e Taxas. Planeta Agua Ltda, CNPJ 07.341.784/0001-60. Detalhe: IRPJ R$ 187,69 · CSLL R$ 88,53 · COFINS R$ 249,45 · PIS R$ 54,04 · INSS R$ 822,37 · ICMS (BA) R$ 655,94. Linha digitável 85860000019 5 58020328262 0 64072026260 4 60170580750 5. Pago em 21/09/2026 pelo Banco do Nordeste — lançado em "Set 2026" como "Receita Federal — Simples Nacional (DAS)".</t>
        </is>
      </c>
    </row>
    <row r="68">
      <c r="A68" s="82" t="inlineStr">
        <is>
          <t>SEFAZ-BA — DAE ICMS Antecipação Parcial</t>
        </is>
      </c>
      <c r="B68" s="82" t="inlineStr">
        <is>
          <t>ICMS Antecipação Parcial — referência 08/2026 (cód. receita 2175, nº 1965056088)</t>
        </is>
      </c>
      <c r="C68" s="81" t="n">
        <v>46290</v>
      </c>
      <c r="D68" s="83" t="n">
        <v>1712.7</v>
      </c>
      <c r="E68" s="113" t="inlineStr">
        <is>
          <t>Pago</t>
        </is>
      </c>
      <c r="F68" s="113">
        <f>IF(OR($E68="Pago",$C68=""),"",MAX(0,TODAY()-$C68))</f>
        <v/>
      </c>
      <c r="G68" s="82" t="inlineStr">
        <is>
          <t>Categoria: Impostos e Taxas. Inscrição Estadual 066.200.856. Linha digitável 85890000017 4 12700005202 5 60925196505 0 60882175193 3. Pago em 24/09/2026 (antecipado, venc. 25/09) — lançado em "Set 2026" como "SEFAZ-BA — ICMS Antecipação Parcial".</t>
        </is>
      </c>
    </row>
    <row r="69">
      <c r="A69" s="82" t="inlineStr">
        <is>
          <t>SEFAZ-BA — DAE ICMS Antecipação Tributária</t>
        </is>
      </c>
      <c r="B69" s="82" t="inlineStr">
        <is>
          <t>ICMS Antecipação Tributária — referência 08/2026 (cód. receita 1145, nº 1965056107)</t>
        </is>
      </c>
      <c r="C69" s="81" t="n">
        <v>46290</v>
      </c>
      <c r="D69" s="83" t="n">
        <v>74.05</v>
      </c>
      <c r="E69" s="113" t="inlineStr">
        <is>
          <t>Pago</t>
        </is>
      </c>
      <c r="F69" s="113">
        <f>IF(OR($E69="Pago",$C69=""),"",MAX(0,TODAY()-$C69))</f>
        <v/>
      </c>
      <c r="G69" s="82" t="inlineStr">
        <is>
          <t>Categoria: Impostos e Taxas. Inscrição Estadual 066.200.856. Linha digitável 85870000000 6 74050005202 0 60925196505 0 61070133812 7. Pago em 24/09/2026 (antecipado, venc. 25/09) — lançado em "Set 2026" como "SEFAZ-BA — ICMS Antecipação Tributária".</t>
        </is>
      </c>
    </row>
    <row r="70">
      <c r="A70" s="82" t="inlineStr">
        <is>
          <t>Filtros Planeta Agua Ind e Com Ltda</t>
        </is>
      </c>
      <c r="B70" s="82" t="inlineStr">
        <is>
          <t>Mercadoria — doc. 133812/001 (emissão 28/08/2026) · parcela 1/4</t>
        </is>
      </c>
      <c r="C70" s="81" t="n">
        <v>46286</v>
      </c>
      <c r="D70" s="83" t="n">
        <v>592.89</v>
      </c>
      <c r="E70" s="113" t="inlineStr">
        <is>
          <t>Pago</t>
        </is>
      </c>
      <c r="F70" s="113">
        <f>IF(OR($E70="Pago",$C70=""),"",MAX(0,TODAY()-$C70))</f>
        <v/>
      </c>
      <c r="G70" s="82" t="inlineStr">
        <is>
          <t>Boleto substituído pela 2ª via emitida em 21/09/2026 (original: venc. 18/09/2026, R$ 591,12 — pagamento adiado para segunda 21/09). A 2ª via vale SOMENTE para 21/09/2026; se não pagar hoje, precisa gerar outra. Categoria: Fornecedores / Mercadoria. Boleto Itaú 341-7 (carteira 109), agência/código beneficiário 1438/15315-5. Nosso número 109/00259098-5. Linha digitável 34191.09008 25909.801430 81531.550002 7 15760000059289. NF 133812 de 28/08/2026 (total R$ 2.093,55 em 4 parcelas). Após o vencimento: multa de 1,9% + juros de 0,1% ao dia; protesto no 5º dia útil. Pago em 21/09/2026 pelo Banco do Nordeste — lançado em "Set 2026" como "Filtros Planeta Água".</t>
        </is>
      </c>
    </row>
    <row r="71">
      <c r="A71" s="82" t="inlineStr">
        <is>
          <t>Filtros Planeta Agua Ind e Com Ltda</t>
        </is>
      </c>
      <c r="B71" s="82" t="inlineStr">
        <is>
          <t>Mercadoria — doc. 133812/002 (emissão 28/08/2026) · parcela 2/4</t>
        </is>
      </c>
      <c r="C71" s="81" t="n">
        <v>46304</v>
      </c>
      <c r="D71" s="83" t="n">
        <v>500.81</v>
      </c>
      <c r="E71" s="113" t="inlineStr">
        <is>
          <t>Pago</t>
        </is>
      </c>
      <c r="F71" s="113">
        <f>IF(OR($E71="Pago",$C71=""),"",MAX(0,TODAY()-$C71))</f>
        <v/>
      </c>
      <c r="G71" s="82" t="inlineStr">
        <is>
          <t>Categoria: Fornecedores / Mercadoria. Pago em 08/10/2026 — lançado em Out 2026 como "Filtros Planeta Água". Boleto Itaú 341-7 (carteira 109), agência/código beneficiário 1438/153155. Nosso número 109/00259099-8. Linha digitável 34191.09008 25909.981430 81531.550002 7 15940000050081. NF 133812 de 28/08/2026 (total R$ 2.093,55 em 4 parcelas). Após o vencimento: multa de 1,9% + juros de 0,1% ao dia; protesto no 5º dia útil. | Conferido com o XML da NF-e nº 133812 (emissão 28/08/2026): FILTROS PLANETA AGUA INDUSTRIA E COMERCIO LTDA, CNPJ 05.097.806/0001-63, RUA FRANCISCO BALBINOT, 139, SAO ROQUE, FARROUPILHA/RS. Valor total da nota R$ 2.093,55 em 4 parcelas. Frete CIF (frete por conta do fornecedor), transportadora JAMEF TRANSPORTES LIMITADA. Chave da NF-e 43260805097806000163550010001338121014276984.</t>
        </is>
      </c>
    </row>
    <row r="72">
      <c r="A72" s="82" t="inlineStr">
        <is>
          <t>Filtros Planeta Agua Ind e Com Ltda</t>
        </is>
      </c>
      <c r="B72" s="82" t="inlineStr">
        <is>
          <t>Mercadoria — doc. 133812/003 (emissão 28/08/2026) · parcela 3/4</t>
        </is>
      </c>
      <c r="C72" s="81" t="n">
        <v>46325</v>
      </c>
      <c r="D72" s="83" t="n">
        <v>500.81</v>
      </c>
      <c r="E72" s="113" t="inlineStr">
        <is>
          <t>Pendente</t>
        </is>
      </c>
      <c r="F72" s="113">
        <f>IF(OR($E72="Pago",$C72=""),"",MAX(0,TODAY()-$C72))</f>
        <v/>
      </c>
      <c r="G72" s="82" t="inlineStr">
        <is>
          <t>Categoria quando pagar: Fornecedores / Mercadoria. Boleto Itaú 341-7 (carteira 109), agência/código beneficiário 1438/153155. Nosso número 109/00259100-4. Linha digitável 34191.09008 25910.041430 81531.550002 2 16150000050081. NF 133812 de 28/08/2026 (total R$ 2.093,55 em 4 parcelas). Após o vencimento: multa de 1,9% + juros de 0,1% ao dia; protesto no 5º dia útil. | Conferido com o XML da NF-e nº 133812 (emissão 28/08/2026): FILTROS PLANETA AGUA INDUSTRIA E COMERCIO LTDA, CNPJ 05.097.806/0001-63, RUA FRANCISCO BALBINOT, 139, SAO ROQUE, FARROUPILHA/RS. Valor total da nota R$ 2.093,55 em 4 parcelas. Frete CIF (frete por conta do fornecedor), transportadora JAMEF TRANSPORTES LIMITADA. Chave da NF-e 43260805097806000163550010001338121014276984.</t>
        </is>
      </c>
    </row>
    <row r="73">
      <c r="A73" s="82" t="inlineStr">
        <is>
          <t>Filtros Planeta Agua Ind e Com Ltda</t>
        </is>
      </c>
      <c r="B73" s="82" t="inlineStr">
        <is>
          <t>Mercadoria — doc. 133812/004 (emissão 28/08/2026) · parcela 4/4 (última)</t>
        </is>
      </c>
      <c r="C73" s="81" t="n">
        <v>46346</v>
      </c>
      <c r="D73" s="83" t="n">
        <v>500.81</v>
      </c>
      <c r="E73" s="113" t="inlineStr">
        <is>
          <t>Pendente</t>
        </is>
      </c>
      <c r="F73" s="113">
        <f>IF(OR($E73="Pago",$C73=""),"",MAX(0,TODAY()-$C73))</f>
        <v/>
      </c>
      <c r="G73" s="82" t="inlineStr">
        <is>
          <t>Categoria quando pagar: Fornecedores / Mercadoria. Boleto Itaú 341-7 (carteira 109), agência/código beneficiário 1438/153155. Nosso número 109/00259101-2. Linha digitável 34191.09008 25910.121430 81531.550002 2 16360000050081. NF 133812 de 28/08/2026 (total R$ 2.093,55 em 4 parcelas). Após o vencimento: multa de 1,9% + juros de 0,1% ao dia; protesto no 5º dia útil. | Conferido com o XML da NF-e nº 133812 (emissão 28/08/2026): FILTROS PLANETA AGUA INDUSTRIA E COMERCIO LTDA, CNPJ 05.097.806/0001-63, RUA FRANCISCO BALBINOT, 139, SAO ROQUE, FARROUPILHA/RS. Valor total da nota R$ 2.093,55 em 4 parcelas. Frete CIF (frete por conta do fornecedor), transportadora JAMEF TRANSPORTES LIMITADA. Chave da NF-e 43260805097806000163550010001338121014276984.</t>
        </is>
      </c>
    </row>
    <row r="74" s="157">
      <c r="A74" s="82" t="inlineStr">
        <is>
          <t>Patrus Transportes Ltda</t>
        </is>
      </c>
      <c r="B74" s="82" t="inlineStr">
        <is>
          <t>Frete — fatura 26-09-904996 (CT-e 2123999, remetente Everest, NF 386188)</t>
        </is>
      </c>
      <c r="C74" s="81" t="n">
        <v>46297</v>
      </c>
      <c r="D74" s="83" t="n">
        <v>323.45</v>
      </c>
      <c r="E74" s="113" t="inlineStr">
        <is>
          <t>Pago</t>
        </is>
      </c>
      <c r="F74" s="113">
        <f>IF(OR($E74="Pago",$C74=""),"",MAX(0,TODAY()-$C74))</f>
        <v/>
      </c>
      <c r="G74" s="82" t="inlineStr">
        <is>
          <t>Categoria: Transporte e Entregas. Boleto Bradesco 237-2, nosso número 34840000190-0. Pago em 01/10/2026 (antecipado, venc. 02/10) — lançado em "Out 2026" como "Patrus Transportes".</t>
        </is>
      </c>
    </row>
    <row r="75" s="157">
      <c r="A75" s="82" t="inlineStr">
        <is>
          <t>Everest Refrigeracao e Industria</t>
        </is>
      </c>
      <c r="B75" s="82" t="inlineStr">
        <is>
          <t>Mercadoria — doc. 386838 (emissão 23/09/2026) · parcela 1/5</t>
        </is>
      </c>
      <c r="C75" s="81" t="n">
        <v>46318</v>
      </c>
      <c r="D75" s="83" t="n">
        <v>613.12</v>
      </c>
      <c r="E75" s="113" t="inlineStr">
        <is>
          <t>Pendente</t>
        </is>
      </c>
      <c r="F75" s="113">
        <f>IF(OR($E75="Pago",$C75=""),"",MAX(0,TODAY()-$C75))</f>
        <v/>
      </c>
      <c r="G75" s="82" t="inlineStr">
        <is>
          <t>Categoria quando pagar: Fornecedores / Mercadoria. Boleto Itaú 341-7. Nosso número 112/36910774. Linha digitável 34191.12366 91077.460300 52238.850003 1 16080000061312. Boleto recebido por e-mail em 23/09/2026; PDF salvo em "03 - Despesas e Contas a Pagar/Boletos Everest NF 386838". Após o vencimento: multa de 2% + juros de R$ 0,20 ao dia. | Conferido com o XML da NF-e nº 386838 (emissão 23/09/2026): EVEREST REFRIGERACAO INDUSTRIA E COMERCIO LTDA., CNPJ 33.079.641/0001-32, RUA CARDOSO QUINTAO, 914, TOMAS COELHO, RIO DE JANEIRO/RJ. Valor total da nota R$ 3.065,60 em 5 parcelas. Frete FOB (frete por conta da loja), transportadora PATRUS TRANSPORTES URGENTES LTDA. Chave da NF-e 33260933079641000132550020003868381733266210.</t>
        </is>
      </c>
    </row>
    <row r="76" s="157">
      <c r="A76" s="82" t="inlineStr">
        <is>
          <t>Everest Refrigeracao e Industria</t>
        </is>
      </c>
      <c r="B76" s="82" t="inlineStr">
        <is>
          <t>Mercadoria — doc. 386838 (emissão 23/09/2026) · parcela 2/5</t>
        </is>
      </c>
      <c r="C76" s="81" t="n">
        <v>46348</v>
      </c>
      <c r="D76" s="83" t="n">
        <v>613.12</v>
      </c>
      <c r="E76" s="113" t="inlineStr">
        <is>
          <t>Pendente</t>
        </is>
      </c>
      <c r="F76" s="113">
        <f>IF(OR($E76="Pago",$C76=""),"",MAX(0,TODAY()-$C76))</f>
        <v/>
      </c>
      <c r="G76" s="82" t="inlineStr">
        <is>
          <t>Categoria quando pagar: Fornecedores / Mercadoria. Boleto Itaú 341-7. Nosso número 112/36910775. Linha digitável 34191.12366 91077.530300 52238.850003 6 16380000061312. Boleto recebido por e-mail em 23/09/2026; PDF salvo em "03 - Despesas e Contas a Pagar/Boletos Everest NF 386838". Após o vencimento: multa de 2% + juros de R$ 0,20 ao dia. | Conferido com o XML da NF-e nº 386838 (emissão 23/09/2026): EVEREST REFRIGERACAO INDUSTRIA E COMERCIO LTDA., CNPJ 33.079.641/0001-32, RUA CARDOSO QUINTAO, 914, TOMAS COELHO, RIO DE JANEIRO/RJ. Valor total da nota R$ 3.065,60 em 5 parcelas. Frete FOB (frete por conta da loja), transportadora PATRUS TRANSPORTES URGENTES LTDA. Chave da NF-e 33260933079641000132550020003868381733266210.</t>
        </is>
      </c>
    </row>
    <row r="77" s="157">
      <c r="A77" s="82" t="inlineStr">
        <is>
          <t>Everest Refrigeracao e Industria</t>
        </is>
      </c>
      <c r="B77" s="82" t="inlineStr">
        <is>
          <t>Mercadoria — doc. 386838 (emissão 23/09/2026) · parcela 3/5</t>
        </is>
      </c>
      <c r="C77" s="81" t="n">
        <v>46378</v>
      </c>
      <c r="D77" s="83" t="n">
        <v>613.12</v>
      </c>
      <c r="E77" s="113" t="inlineStr">
        <is>
          <t>Pendente</t>
        </is>
      </c>
      <c r="F77" s="113">
        <f>IF(OR($E77="Pago",$C77=""),"",MAX(0,TODAY()-$C77))</f>
        <v/>
      </c>
      <c r="G77" s="82" t="inlineStr">
        <is>
          <t>Categoria quando pagar: Fornecedores / Mercadoria. Boleto Itaú 341-7. Nosso número 112/36910730. Linha digitável 34191.12366 91073.080300 52238.850003 7 16680000061312. Boleto recebido por e-mail em 23/09/2026; PDF salvo em "03 - Despesas e Contas a Pagar/Boletos Everest NF 386838". Após o vencimento: multa de 2% + juros de R$ 0,20 ao dia. | Conferido com o XML da NF-e nº 386838 (emissão 23/09/2026): EVEREST REFRIGERACAO INDUSTRIA E COMERCIO LTDA., CNPJ 33.079.641/0001-32, RUA CARDOSO QUINTAO, 914, TOMAS COELHO, RIO DE JANEIRO/RJ. Valor total da nota R$ 3.065,60 em 5 parcelas. Frete FOB (frete por conta da loja), transportadora PATRUS TRANSPORTES URGENTES LTDA. Chave da NF-e 33260933079641000132550020003868381733266210.</t>
        </is>
      </c>
    </row>
    <row r="78" s="157">
      <c r="A78" s="82" t="inlineStr">
        <is>
          <t>Everest Refrigeracao e Industria</t>
        </is>
      </c>
      <c r="B78" s="82" t="inlineStr">
        <is>
          <t>Mercadoria — doc. 386838 (emissão 23/09/2026) · parcela 4/5</t>
        </is>
      </c>
      <c r="C78" s="81" t="n">
        <v>46408</v>
      </c>
      <c r="D78" s="83" t="n">
        <v>613.12</v>
      </c>
      <c r="E78" s="113" t="inlineStr">
        <is>
          <t>Pendente</t>
        </is>
      </c>
      <c r="F78" s="113">
        <f>IF(OR($E78="Pago",$C78=""),"",MAX(0,TODAY()-$C78))</f>
        <v/>
      </c>
      <c r="G78" s="82" t="inlineStr">
        <is>
          <t>Categoria quando pagar: Fornecedores / Mercadoria. Boleto Itaú 341-7. Nosso número 112/36910821. Linha digitável 34191.12366 91082.150300 52238.850003 9 16980000061312. Boleto recebido por e-mail em 23/09/2026; PDF salvo em "03 - Despesas e Contas a Pagar/Boletos Everest NF 386838". Após o vencimento: multa de 2% + juros de R$ 0,20 ao dia. | Conferido com o XML da NF-e nº 386838 (emissão 23/09/2026): EVEREST REFRIGERACAO INDUSTRIA E COMERCIO LTDA., CNPJ 33.079.641/0001-32, RUA CARDOSO QUINTAO, 914, TOMAS COELHO, RIO DE JANEIRO/RJ. Valor total da nota R$ 3.065,60 em 5 parcelas. Frete FOB (frete por conta da loja), transportadora PATRUS TRANSPORTES URGENTES LTDA. Chave da NF-e 33260933079641000132550020003868381733266210.</t>
        </is>
      </c>
    </row>
    <row r="79" s="157">
      <c r="A79" s="82" t="inlineStr">
        <is>
          <t>Everest Refrigeracao e Industria</t>
        </is>
      </c>
      <c r="B79" s="82" t="inlineStr">
        <is>
          <t>Mercadoria — doc. 386838 (emissão 23/09/2026) · parcela 5/5 (última)</t>
        </is>
      </c>
      <c r="C79" s="81" t="n">
        <v>46438</v>
      </c>
      <c r="D79" s="83" t="n">
        <v>613.12</v>
      </c>
      <c r="E79" s="113" t="inlineStr">
        <is>
          <t>Pendente</t>
        </is>
      </c>
      <c r="F79" s="113">
        <f>IF(OR($E79="Pago",$C79=""),"",MAX(0,TODAY()-$C79))</f>
        <v/>
      </c>
      <c r="G79" s="82" t="inlineStr">
        <is>
          <t>Categoria quando pagar: Fornecedores / Mercadoria. Boleto Itaú 341-7. Nosso número 112/36910791. Linha digitável 34191.12366 91079.100300 52238.850003 7 17280000061312. Boleto recebido por e-mail em 23/09/2026; PDF salvo em "03 - Despesas e Contas a Pagar/Boletos Everest NF 386838". Após o vencimento: multa de 2% + juros de R$ 0,20 ao dia. | Conferido com o XML da NF-e nº 386838 (emissão 23/09/2026): EVEREST REFRIGERACAO INDUSTRIA E COMERCIO LTDA., CNPJ 33.079.641/0001-32, RUA CARDOSO QUINTAO, 914, TOMAS COELHO, RIO DE JANEIRO/RJ. Valor total da nota R$ 3.065,60 em 5 parcelas. Frete FOB (frete por conta da loja), transportadora PATRUS TRANSPORTES URGENTES LTDA. Chave da NF-e 33260933079641000132550020003868381733266210.</t>
        </is>
      </c>
    </row>
    <row r="80" s="157">
      <c r="A80" s="139" t="inlineStr">
        <is>
          <t>Vitoria Maria F Santos</t>
        </is>
      </c>
      <c r="B80" s="139" t="inlineStr">
        <is>
          <t>Aluguel da loja — outubro/2026</t>
        </is>
      </c>
      <c r="C80" s="140" t="n">
        <v>46296</v>
      </c>
      <c r="D80" s="141" t="n">
        <v>880</v>
      </c>
      <c r="E80" s="142" t="inlineStr">
        <is>
          <t>Pago</t>
        </is>
      </c>
      <c r="F80" s="143">
        <f>IF(OR($E80="Pago",$C80=""),"",MAX(0,TODAY()-$C80))</f>
        <v/>
      </c>
      <c r="G80" s="139" t="inlineStr">
        <is>
          <t>Categoria: Aluguel. Pago em 01/10/2026 — depósito em dinheiro no Banco do Brasil (doc. 013573031141511) — lançado em "Out 2026" como "Vitoria Maria F Santos".</t>
        </is>
      </c>
    </row>
    <row r="81" s="157">
      <c r="A81" s="139" t="inlineStr">
        <is>
          <t>Vitoria Maria F Santos</t>
        </is>
      </c>
      <c r="B81" s="139" t="inlineStr">
        <is>
          <t>Aluguel da loja — novembro/2026</t>
        </is>
      </c>
      <c r="C81" s="140" t="n">
        <v>46327</v>
      </c>
      <c r="D81" s="141" t="n">
        <v>880</v>
      </c>
      <c r="E81" s="142" t="inlineStr">
        <is>
          <t>Previsto</t>
        </is>
      </c>
      <c r="F81" s="143">
        <f>IF(OR($E81="Pago",$C81=""),"",MAX(0,TODAY()-$C81))</f>
        <v/>
      </c>
      <c r="G81" s="139" t="inlineStr">
        <is>
          <t>PREVISÃO (fixo mensal) — aluguel da loja, sempre no dia 1º, valor fixo de R$ 880,00. Pagamento direto à locadora (Vitória Maria F Santos), sem boleto. Categoria quando pagar: Aluguel.</t>
        </is>
      </c>
    </row>
    <row r="82" s="157">
      <c r="A82" s="139" t="inlineStr">
        <is>
          <t>Vitoria Maria F Santos</t>
        </is>
      </c>
      <c r="B82" s="139" t="inlineStr">
        <is>
          <t>Aluguel da loja — dezembro/2026</t>
        </is>
      </c>
      <c r="C82" s="140" t="n">
        <v>46357</v>
      </c>
      <c r="D82" s="141" t="n">
        <v>880</v>
      </c>
      <c r="E82" s="142" t="inlineStr">
        <is>
          <t>Previsto</t>
        </is>
      </c>
      <c r="F82" s="143">
        <f>IF(OR($E82="Pago",$C82=""),"",MAX(0,TODAY()-$C82))</f>
        <v/>
      </c>
      <c r="G82" s="139" t="inlineStr">
        <is>
          <t>PREVISÃO (fixo mensal) — aluguel da loja, sempre no dia 1º, valor fixo de R$ 880,00. Pagamento direto à locadora (Vitória Maria F Santos), sem boleto. Categoria quando pagar: Aluguel.</t>
        </is>
      </c>
    </row>
    <row r="83" s="157">
      <c r="A83" s="78" t="inlineStr">
        <is>
          <t>Neoenergia Coelba</t>
        </is>
      </c>
      <c r="B83" s="78" t="inlineStr">
        <is>
          <t>Conta de energia — despesa pessoal do dono (não é da loja) — ref. 09/2026</t>
        </is>
      </c>
      <c r="C83" s="77" t="n">
        <v>46301</v>
      </c>
      <c r="D83" s="79" t="n">
        <v>435.34</v>
      </c>
      <c r="E83" s="112" t="inlineStr">
        <is>
          <t>Pago</t>
        </is>
      </c>
      <c r="F83" s="112">
        <f>IF(OR($E83="Pago",$C83=""),"",MAX(0,TODAY()-$C83))</f>
        <v/>
      </c>
      <c r="G83" s="78" t="inlineStr">
        <is>
          <t>Categoria: Pro Labore Edilânia. Pago em 06/10/2026 — lançado em "Out 2026" como "Conta de Energia Adriano". Fatura residencial em nome de Adriano Silva Fontes (Rua Irmã Lúcia de Fátima, 283 — Mundo Novo), UC 5.158.506.028-83, NF 996180107. Inclui multas/juros de faturas anteriores. Boleto Itaú 341, linha digitável 34191.75207 56491.952935 85832.220009 5 15910000043534. PDF (sem senha) salvo em "boletos planeta agua/Coelba Adriano - venc 06-10-2026.pdf".</t>
        </is>
      </c>
    </row>
    <row r="84" s="157">
      <c r="A84" s="82" t="inlineStr">
        <is>
          <t>Everest Refrigeracao e Industria</t>
        </is>
      </c>
      <c r="B84" s="82" t="inlineStr">
        <is>
          <t>Mercadoria — doc. 387488 (emissão 30/09/2026) · parcela 1/5</t>
        </is>
      </c>
      <c r="C84" s="81" t="n">
        <v>46325</v>
      </c>
      <c r="D84" s="83" t="n">
        <v>633.52</v>
      </c>
      <c r="E84" s="113" t="inlineStr">
        <is>
          <t>Pendente</t>
        </is>
      </c>
      <c r="F84" s="113">
        <f>IF(OR($E84="Pago",$C84=""),"",MAX(0,TODAY()-$C84))</f>
        <v/>
      </c>
      <c r="G84" s="82" t="inlineStr">
        <is>
          <t>Categoria quando pagar: Fornecedores / Mercadoria. Boleto Itaú 341-7. Nosso número 112/37879986. Linha digitável 34191.12374 87998.630302 52238.850003 9 16150000063352. Boleto recebido por e-mail em 30/09/2026; PDF salvo em "03 - Despesas e Contas a Pagar/Boletos Everest NF 387488". Após o vencimento: multa de 2% + juros de R$ 0,21 ao dia.</t>
        </is>
      </c>
    </row>
    <row r="85" s="157">
      <c r="A85" s="78" t="inlineStr">
        <is>
          <t>Everest Refrigeracao e Industria</t>
        </is>
      </c>
      <c r="B85" s="78" t="inlineStr">
        <is>
          <t>Mercadoria — doc. 387488 (emissão 30/09/2026) · parcela 2/5</t>
        </is>
      </c>
      <c r="C85" s="77" t="n">
        <v>46355</v>
      </c>
      <c r="D85" s="79" t="n">
        <v>633.52</v>
      </c>
      <c r="E85" s="112" t="inlineStr">
        <is>
          <t>Pendente</t>
        </is>
      </c>
      <c r="F85" s="112">
        <f>IF(OR($E85="Pago",$C85=""),"",MAX(0,TODAY()-$C85))</f>
        <v/>
      </c>
      <c r="G85" s="78" t="inlineStr">
        <is>
          <t>Categoria quando pagar: Fornecedores / Mercadoria. Boleto Itaú 341-7. Nosso número 112/37879706. Linha digitável 34191.12374 87970.650302 52238.850003 9 16450000063352. Boleto recebido por e-mail em 30/09/2026; PDF salvo em "03 - Despesas e Contas a Pagar/Boletos Everest NF 387488". Após o vencimento: multa de 2% + juros de R$ 0,21 ao dia.</t>
        </is>
      </c>
    </row>
    <row r="86" s="157">
      <c r="A86" s="82" t="inlineStr">
        <is>
          <t>Everest Refrigeracao e Industria</t>
        </is>
      </c>
      <c r="B86" s="82" t="inlineStr">
        <is>
          <t>Mercadoria — doc. 387488 (emissão 30/09/2026) · parcela 3/5</t>
        </is>
      </c>
      <c r="C86" s="81" t="n">
        <v>46385</v>
      </c>
      <c r="D86" s="83" t="n">
        <v>633.52</v>
      </c>
      <c r="E86" s="113" t="inlineStr">
        <is>
          <t>Pendente</t>
        </is>
      </c>
      <c r="F86" s="113">
        <f>IF(OR($E86="Pago",$C86=""),"",MAX(0,TODAY()-$C86))</f>
        <v/>
      </c>
      <c r="G86" s="82" t="inlineStr">
        <is>
          <t>Categoria quando pagar: Fornecedores / Mercadoria. Boleto Itaú 341-7. Nosso número 112/37879936. Linha digitável 34191.12374 87993.680302 52238.850003 5 16750000063352. Boleto recebido por e-mail em 30/09/2026; PDF salvo em "03 - Despesas e Contas a Pagar/Boletos Everest NF 387488". Após o vencimento: multa de 2% + juros de R$ 0,21 ao dia.</t>
        </is>
      </c>
    </row>
    <row r="87" s="157">
      <c r="A87" s="78" t="inlineStr">
        <is>
          <t>Everest Refrigeracao e Industria</t>
        </is>
      </c>
      <c r="B87" s="78" t="inlineStr">
        <is>
          <t>Mercadoria — doc. 387488 (emissão 30/09/2026) · parcela 4/5</t>
        </is>
      </c>
      <c r="C87" s="77" t="n">
        <v>46415</v>
      </c>
      <c r="D87" s="79" t="n">
        <v>633.52</v>
      </c>
      <c r="E87" s="112" t="inlineStr">
        <is>
          <t>Pendente</t>
        </is>
      </c>
      <c r="F87" s="112">
        <f>IF(OR($E87="Pago",$C87=""),"",MAX(0,TODAY()-$C87))</f>
        <v/>
      </c>
      <c r="G87" s="78" t="inlineStr">
        <is>
          <t>Categoria quando pagar: Fornecedores / Mercadoria. Boleto Itaú 341-7. Nosso número 112/37879730. Linha digitável 34191.12374 87973.050302 52238.850003 3 17050000063352. Boleto recebido por e-mail em 30/09/2026; PDF salvo em "03 - Despesas e Contas a Pagar/Boletos Everest NF 387488". Após o vencimento: multa de 2% + juros de R$ 0,21 ao dia.</t>
        </is>
      </c>
    </row>
    <row r="88" s="157">
      <c r="A88" s="82" t="inlineStr">
        <is>
          <t>Everest Refrigeracao e Industria</t>
        </is>
      </c>
      <c r="B88" s="82" t="inlineStr">
        <is>
          <t>Mercadoria — doc. 387488 (emissão 30/09/2026) · parcela 5/5 (última)</t>
        </is>
      </c>
      <c r="C88" s="81" t="n">
        <v>46445</v>
      </c>
      <c r="D88" s="83" t="n">
        <v>633.5</v>
      </c>
      <c r="E88" s="113" t="inlineStr">
        <is>
          <t>Pendente</t>
        </is>
      </c>
      <c r="F88" s="113">
        <f>IF(OR($E88="Pago",$C88=""),"",MAX(0,TODAY()-$C88))</f>
        <v/>
      </c>
      <c r="G88" s="82" t="inlineStr">
        <is>
          <t>Categoria quando pagar: Fornecedores / Mercadoria. Boleto Itaú 341-7. Nosso número 112/37879582. Linha digitável 34191.12374 87958.200302 52238.850003 2 17350000063350. Boleto recebido por e-mail em 30/09/2026; PDF salvo em "03 - Despesas e Contas a Pagar/Boletos Everest NF 387488". Após o vencimento: multa de 2% + juros de R$ 0,21 ao dia.</t>
        </is>
      </c>
    </row>
    <row r="89" s="157">
      <c r="A89" s="78" t="inlineStr">
        <is>
          <t>Patrus Transportes Ltda</t>
        </is>
      </c>
      <c r="B89" s="78" t="inlineStr">
        <is>
          <t>Frete — boleto Bradesco</t>
        </is>
      </c>
      <c r="C89" s="77" t="n">
        <v>46311</v>
      </c>
      <c r="D89" s="79" t="n">
        <v>277.48</v>
      </c>
      <c r="E89" s="112" t="inlineStr">
        <is>
          <t>Pago</t>
        </is>
      </c>
      <c r="F89" s="112">
        <f>IF(OR($E89="Pago",$C89=""),"",MAX(0,TODAY()-$C89))</f>
        <v/>
      </c>
      <c r="G89" s="78" t="inlineStr">
        <is>
          <t>Categoria quando pagar: Transporte e Entregas. Boleto Bradesco 237-2. Linha digitável 23791.43007 93484.000265 98003.073701 2 16010000027748. Pago em 16/10/2026 — lançado em "Out 2026" como "Patrus Transportes".</t>
        </is>
      </c>
    </row>
    <row r="90" s="157">
      <c r="A90" s="82" t="inlineStr">
        <is>
          <t>Tarcisio Oliveira Lima</t>
        </is>
      </c>
      <c r="B90" s="82" t="inlineStr">
        <is>
          <t>Boleto Banco do Brasil — serviço contábil</t>
        </is>
      </c>
      <c r="C90" s="81" t="n">
        <v>46310</v>
      </c>
      <c r="D90" s="83" t="n">
        <v>486.32</v>
      </c>
      <c r="E90" s="113" t="inlineStr">
        <is>
          <t>Pago</t>
        </is>
      </c>
      <c r="F90" s="113">
        <f>IF(OR($E90="Pago",$C90=""),"",MAX(0,TODAY()-$C90))</f>
        <v/>
      </c>
      <c r="G90" s="82" t="inlineStr">
        <is>
          <t>Categoria quando pagar: Contabilidade. Boleto Banco do Brasil 001-9. Linha digitável 00190.00009 03128.364001 00003.179173 8 16000000048632. Pago em 15/10/2026 — lançado em "Out 2026" como "Tarcisio Oliveira Lima".</t>
        </is>
      </c>
    </row>
    <row r="91" s="157">
      <c r="A91" s="78" t="inlineStr">
        <is>
          <t>FGTS Digital (GFD)</t>
        </is>
      </c>
      <c r="B91" s="78" t="inlineStr">
        <is>
          <t>FGTS mensal — competência 09/2026</t>
        </is>
      </c>
      <c r="C91" s="77" t="n">
        <v>46315</v>
      </c>
      <c r="D91" s="79" t="n">
        <v>136</v>
      </c>
      <c r="E91" s="112" t="inlineStr">
        <is>
          <t>Pago</t>
        </is>
      </c>
      <c r="F91" s="112">
        <f>IF(OR($E91="Pago",$C91=""),"",MAX(0,TODAY()-$C91))</f>
        <v/>
      </c>
      <c r="G91" s="78" t="inlineStr">
        <is>
          <t>Categoria: Impostos e Taxas. Pagamento via QR Code Pix no documento original da guia (GFD). Pago em 20/10/2026 — lançado em "Out 2026" como "FGTS Digital (GFD)".</t>
        </is>
      </c>
    </row>
    <row r="92" s="157">
      <c r="A92" s="82" t="inlineStr">
        <is>
          <t>Receita Federal</t>
        </is>
      </c>
      <c r="B92" s="82" t="inlineStr">
        <is>
          <t>DARF / INSS — período de apuração setembro/2026</t>
        </is>
      </c>
      <c r="C92" s="81" t="n">
        <v>46315</v>
      </c>
      <c r="D92" s="83" t="n">
        <v>306.99</v>
      </c>
      <c r="E92" s="113" t="inlineStr">
        <is>
          <t>Pago</t>
        </is>
      </c>
      <c r="F92" s="113">
        <f>IF(OR($E92="Pago",$C92=""),"",MAX(0,TODAY()-$C92))</f>
        <v/>
      </c>
      <c r="G92" s="82" t="inlineStr">
        <is>
          <t>Categoria: Impostos e Taxas. Código de barras 858300000033 069903852621 930716262672 196301377104. Pago em 20/10/2026 — lançado em "Out 2026" como "Receita Federal — DARF / INSS".</t>
        </is>
      </c>
    </row>
    <row r="93" s="157">
      <c r="A93" s="82" t="inlineStr">
        <is>
          <t>Neoenergia Coelba</t>
        </is>
      </c>
      <c r="B93" s="82" t="inlineStr">
        <is>
          <t>Energia elétrica da loja — REF 09/2026 (fatura em nome de Vitória Maria / Planeta Água)</t>
        </is>
      </c>
      <c r="C93" s="81" t="n">
        <v>46302</v>
      </c>
      <c r="D93" s="83" t="n">
        <v>168.56</v>
      </c>
      <c r="E93" s="113" t="inlineStr">
        <is>
          <t>Pago</t>
        </is>
      </c>
      <c r="F93" s="113">
        <f>IF(OR($E93="Pago",$C93=""),"",MAX(0,TODAY()-$C93))</f>
        <v/>
      </c>
      <c r="G93" s="82" t="inlineStr">
        <is>
          <t>Categoria: Água, Energia e Internet. Pago em 08/10/2026 — lançado em Out 2026 como "Conta de Energia Loja". Fatura em nome de Vitoria Maria de Freitas Santos (Rua Manoel Novaes, 263, SL-3 — a loja), UC 7.908.588.028-80, NF 996962199, consumo 125 kWh (27/08 a 28/09/2026), bandeira amarela. Boleto Itaú 341. Linha digitável (conferida no PDF da fatura): 34191.75215 02379.112937 85832.220009 3 15920000016856. PDF salvo em "boletos planeta agua/Coelba Loja - venc 07-10-2026.pdf". Código para débito automático: 7044847005.</t>
        </is>
      </c>
    </row>
    <row r="94" s="157">
      <c r="A94" s="78" t="inlineStr">
        <is>
          <t>Proxxima Telecomunicacoes S.A.</t>
        </is>
      </c>
      <c r="B94" s="78" t="inlineStr">
        <is>
          <t>Internet da loja — plano Turbinados 700 MB, contrato 578646</t>
        </is>
      </c>
      <c r="C94" s="77" t="n">
        <v>46310</v>
      </c>
      <c r="D94" s="79" t="n">
        <v>69.98999999999999</v>
      </c>
      <c r="E94" s="112" t="inlineStr">
        <is>
          <t>Pago</t>
        </is>
      </c>
      <c r="F94" s="112">
        <f>IF(OR($E94="Pago",$C94=""),"",MAX(0,TODAY()-$C94))</f>
        <v/>
      </c>
      <c r="G94" s="78" t="inlineStr">
        <is>
          <t>Categoria quando pagar: Água, Energia e Internet. Fatura FAT26091809010676 (emissão 18/09/2026), NFCom 410732, boleto Bradesco 237. Linha digitável 23790.49303 90000.443094 56025.103005 3 16000000006999. Nosso número 09000044309567. Após o vencimento: multa de 2% + mora de 1,20% a.m. A fatura sai em nome do sócio, mas o serviço é da loja. Pago em 15/10/2026 — lançado em "Out 2026" como "Proxxima Telecomunicações".</t>
        </is>
      </c>
    </row>
    <row r="95" s="157">
      <c r="A95" s="86" t="inlineStr">
        <is>
          <t>TOTAL A PAGAR — COM BOLETO EM MÃOS</t>
        </is>
      </c>
      <c r="B95" s="86" t="n"/>
      <c r="C95" s="114" t="n"/>
      <c r="D95" s="115">
        <f>SUMIF(E11:E94,"Pendente",D11:D94)</f>
        <v/>
      </c>
      <c r="E95" s="116" t="n"/>
      <c r="F95" s="116" t="n"/>
      <c r="G95" s="86" t="n"/>
    </row>
    <row r="96" s="157">
      <c r="A96" s="144" t="inlineStr">
        <is>
          <t>PREVISTO — compromisso certo que ainda não está documentado</t>
        </is>
      </c>
      <c r="B96" s="144" t="n"/>
      <c r="C96" s="145" t="n"/>
      <c r="D96" s="146">
        <f>SUMIF(E11:E94,"Previsto",D11:D94)</f>
        <v/>
      </c>
      <c r="E96" s="142" t="n"/>
      <c r="F96" s="142" t="n"/>
      <c r="G96" s="144" t="n"/>
    </row>
    <row r="97" s="157">
      <c r="A97" s="86" t="inlineStr">
        <is>
          <t>TOTAL GERAL A PAGAR (boletos + previsão)</t>
        </is>
      </c>
      <c r="B97" s="86" t="n"/>
      <c r="C97" s="114" t="n"/>
      <c r="D97" s="115">
        <f>D95+D96</f>
        <v/>
      </c>
      <c r="E97" s="116" t="n"/>
      <c r="F97" s="116" t="n"/>
      <c r="G97" s="86" t="n"/>
    </row>
    <row r="98" ht="15.75" customHeight="1" s="157"/>
    <row r="99" ht="15.75" customHeight="1" s="157">
      <c r="A99" s="200" t="inlineStr">
        <is>
          <t>CONTAS A RECEBER  —  vendas feitas e ainda não pagas</t>
        </is>
      </c>
    </row>
    <row r="100" s="157">
      <c r="A100" s="194" t="inlineStr">
        <is>
          <t>Espelho das vendas marcadas como "Aguardando Pagamento" nas abas dos meses. Ao receber, mude a Forma de Pagamento na aba do mês E o Status aqui. A linha de conferência avisa se os dois deixarem de bater.</t>
        </is>
      </c>
    </row>
    <row r="101" s="157">
      <c r="A101" s="111" t="inlineStr">
        <is>
          <t>Cliente</t>
        </is>
      </c>
      <c r="B101" s="111" t="inlineStr">
        <is>
          <t>Produto / Referência</t>
        </is>
      </c>
      <c r="C101" s="111" t="inlineStr">
        <is>
          <t>Data da Venda</t>
        </is>
      </c>
      <c r="D101" s="111" t="inlineStr">
        <is>
          <t>Valor (R$)</t>
        </is>
      </c>
      <c r="E101" s="111" t="inlineStr">
        <is>
          <t>Status</t>
        </is>
      </c>
      <c r="F101" s="111" t="inlineStr">
        <is>
          <t>Dias em Atraso</t>
        </is>
      </c>
      <c r="G101" s="111" t="inlineStr">
        <is>
          <t>Observações</t>
        </is>
      </c>
    </row>
    <row r="102" s="157">
      <c r="A102" s="78" t="inlineStr">
        <is>
          <t>Centro de Especialidades Odontomédicas</t>
        </is>
      </c>
      <c r="B102" s="78" t="inlineStr">
        <is>
          <t>Refil Everest</t>
        </is>
      </c>
      <c r="C102" s="77" t="n">
        <v>46239</v>
      </c>
      <c r="D102" s="79" t="n">
        <v>140</v>
      </c>
      <c r="E102" s="112" t="inlineStr">
        <is>
          <t>Pendente</t>
        </is>
      </c>
      <c r="F102" s="112">
        <f>IF(OR($E102="Recebido",$C102=""),"",MAX(0,TODAY()-$C102))</f>
        <v/>
      </c>
      <c r="G102" s="78" t="n"/>
    </row>
    <row r="103" s="157">
      <c r="A103" s="82" t="inlineStr">
        <is>
          <t>Supermercado Brasil</t>
        </is>
      </c>
      <c r="B103" s="82" t="inlineStr">
        <is>
          <t>2x Refil Pro Life</t>
        </is>
      </c>
      <c r="C103" s="81" t="n">
        <v>46239</v>
      </c>
      <c r="D103" s="83" t="n">
        <v>280</v>
      </c>
      <c r="E103" s="113" t="inlineStr">
        <is>
          <t>Pendente</t>
        </is>
      </c>
      <c r="F103" s="113">
        <f>IF(OR($E103="Recebido",$C103=""),"",MAX(0,TODAY()-$C103))</f>
        <v/>
      </c>
      <c r="G103" s="82" t="n"/>
    </row>
    <row r="104" s="157">
      <c r="A104" s="78" t="inlineStr">
        <is>
          <t>Tropical Motos LTDA</t>
        </is>
      </c>
      <c r="B104" s="78" t="inlineStr">
        <is>
          <t>3x Refil Everest + Refil Pro Life + 3x Pré Filtro + Válvula Reguladora de Pressão</t>
        </is>
      </c>
      <c r="C104" s="77" t="n">
        <v>46245</v>
      </c>
      <c r="D104" s="79" t="n">
        <v>820</v>
      </c>
      <c r="E104" s="112" t="inlineStr">
        <is>
          <t>Recebido</t>
        </is>
      </c>
      <c r="F104" s="112">
        <f>IF(OR($E104="Recebido",$C104=""),"",MAX(0,TODAY()-$C104))</f>
        <v/>
      </c>
      <c r="G104" s="78" t="inlineStr">
        <is>
          <t>Recebido via TED em 25/08/2026. NF conferida: valor correto é R$820 (faltava a válvula no lançamento original de R$740).</t>
        </is>
      </c>
    </row>
    <row r="105" s="157">
      <c r="A105" s="82" t="inlineStr">
        <is>
          <t>Free Way</t>
        </is>
      </c>
      <c r="B105" s="82" t="inlineStr">
        <is>
          <t>5x Refil Everest</t>
        </is>
      </c>
      <c r="C105" s="81" t="n">
        <v>46251</v>
      </c>
      <c r="D105" s="83" t="n">
        <v>700</v>
      </c>
      <c r="E105" s="113" t="inlineStr">
        <is>
          <t>Recebido</t>
        </is>
      </c>
      <c r="F105" s="113">
        <f>IF(OR($E105="Recebido",$C105=""),"",MAX(0,TODAY()-$C105))</f>
        <v/>
      </c>
      <c r="G105" s="82" t="inlineStr">
        <is>
          <t>Recebido via TED em 02/09/2026.</t>
        </is>
      </c>
    </row>
    <row r="106" s="157">
      <c r="A106" s="78" t="inlineStr">
        <is>
          <t>Neli Sena Rego</t>
        </is>
      </c>
      <c r="B106" s="78" t="inlineStr">
        <is>
          <t>Refil Pro Life</t>
        </is>
      </c>
      <c r="C106" s="77" t="n">
        <v>46254</v>
      </c>
      <c r="D106" s="79" t="n">
        <v>140</v>
      </c>
      <c r="E106" s="112" t="inlineStr">
        <is>
          <t>Recebido</t>
        </is>
      </c>
      <c r="F106" s="112">
        <f>IF(OR($E106="Recebido",$C106=""),"",MAX(0,TODAY()-$C106))</f>
        <v/>
      </c>
      <c r="G106" s="78" t="inlineStr">
        <is>
          <t>Recebido em dinheiro em 01/09/2026 (R$ 170,00 pelas duas vendas)</t>
        </is>
      </c>
    </row>
    <row r="107" s="157">
      <c r="A107" s="82" t="inlineStr">
        <is>
          <t>Neli Sena Rego</t>
        </is>
      </c>
      <c r="B107" s="82" t="inlineStr">
        <is>
          <t>Conexão + Mangueira</t>
        </is>
      </c>
      <c r="C107" s="81" t="n">
        <v>46255</v>
      </c>
      <c r="D107" s="83" t="n">
        <v>40</v>
      </c>
      <c r="E107" s="113" t="inlineStr">
        <is>
          <t>Recebido</t>
        </is>
      </c>
      <c r="F107" s="113">
        <f>IF(OR($E107="Recebido",$C107=""),"",MAX(0,TODAY()-$C107))</f>
        <v/>
      </c>
      <c r="G107" s="82" t="inlineStr">
        <is>
          <t>Recebido em dinheiro em 01/09/2026 (R$ 170,00 pelas duas vendas)</t>
        </is>
      </c>
    </row>
    <row r="108" s="157">
      <c r="A108" s="78" t="inlineStr">
        <is>
          <t>Lapec</t>
        </is>
      </c>
      <c r="B108" s="78" t="inlineStr">
        <is>
          <t>4x Refil Everest</t>
        </is>
      </c>
      <c r="C108" s="77" t="n">
        <v>46258</v>
      </c>
      <c r="D108" s="79" t="n">
        <v>480</v>
      </c>
      <c r="E108" s="112" t="inlineStr">
        <is>
          <t>Recebido</t>
        </is>
      </c>
      <c r="F108" s="112">
        <f>IF(OR($E108="Recebido",$C108=""),"",MAX(0,TODAY()-$C108))</f>
        <v/>
      </c>
      <c r="G108" s="78" t="inlineStr">
        <is>
          <t>Recebido em dinheiro em 08/09/2026 — lançado em "Set 2026".</t>
        </is>
      </c>
    </row>
    <row r="109" s="157">
      <c r="A109" s="82" t="inlineStr">
        <is>
          <t>Cícero Lima</t>
        </is>
      </c>
      <c r="B109" s="82" t="inlineStr">
        <is>
          <t>Refil Everest</t>
        </is>
      </c>
      <c r="C109" s="81" t="n">
        <v>46261</v>
      </c>
      <c r="D109" s="83" t="n">
        <v>140</v>
      </c>
      <c r="E109" s="113" t="inlineStr">
        <is>
          <t>Recebido</t>
        </is>
      </c>
      <c r="F109" s="113">
        <f>IF(OR($E109="Recebido",$C109=""),"",MAX(0,TODAY()-$C109))</f>
        <v/>
      </c>
      <c r="G109" s="82" t="inlineStr">
        <is>
          <t>Recebido via Pix em 27/08/2026</t>
        </is>
      </c>
    </row>
    <row r="110" s="157">
      <c r="A110" s="78" t="inlineStr">
        <is>
          <t>Promotoria Regional de Jacobina</t>
        </is>
      </c>
      <c r="B110" s="78" t="inlineStr">
        <is>
          <t>2x Carcaça 9" + 2x Refil Plissado 9" + Conexão Reta Rosca</t>
        </is>
      </c>
      <c r="C110" s="77" t="n">
        <v>46261</v>
      </c>
      <c r="D110" s="79" t="n">
        <v>470</v>
      </c>
      <c r="E110" s="112" t="inlineStr">
        <is>
          <t>Recebido</t>
        </is>
      </c>
      <c r="F110" s="112">
        <f>IF(OR($E110="Recebido",$C110=""),"",MAX(0,TODAY()-$C110))</f>
        <v/>
      </c>
      <c r="G110" s="78" t="inlineStr">
        <is>
          <t>Pago em 28/08/2026 em duas formas: R$ 270,00 Pix + R$ 200,00 crédito 2x</t>
        </is>
      </c>
    </row>
    <row r="111" s="157">
      <c r="A111" s="82" t="inlineStr">
        <is>
          <t>Lucas Souza</t>
        </is>
      </c>
      <c r="B111" s="82" t="inlineStr">
        <is>
          <t>Refil Everest + Pré Filtro</t>
        </is>
      </c>
      <c r="C111" s="81" t="n">
        <v>46261</v>
      </c>
      <c r="D111" s="83" t="n">
        <v>200</v>
      </c>
      <c r="E111" s="113" t="inlineStr">
        <is>
          <t>Recebido</t>
        </is>
      </c>
      <c r="F111" s="113">
        <f>IF(OR($E111="Recebido",$C111=""),"",MAX(0,TODAY()-$C111))</f>
        <v/>
      </c>
      <c r="G111" s="82" t="inlineStr">
        <is>
          <t>Recebido em dinheiro em 03/09/2026 — lançado em "Set 2026".</t>
        </is>
      </c>
    </row>
    <row r="112" s="157">
      <c r="A112" s="78" t="inlineStr">
        <is>
          <t>FG Boa Vista (Recife/PE)</t>
        </is>
      </c>
      <c r="B112" s="78" t="inlineStr">
        <is>
          <t>Refis — troca de julho/2026</t>
        </is>
      </c>
      <c r="C112" s="77" t="n">
        <v>46261</v>
      </c>
      <c r="D112" s="79" t="n">
        <v>1008.8</v>
      </c>
      <c r="E112" s="112" t="inlineStr">
        <is>
          <t>Recebido</t>
        </is>
      </c>
      <c r="F112" s="112">
        <f>IF(OR($E112="Recebido",$C112=""),"",MAX(0,TODAY()-$C112))</f>
        <v/>
      </c>
      <c r="G112" s="78" t="inlineStr">
        <is>
          <t>Grupo Ânima — NF 000.004.280 · recebido em 30/08/2026 (Nota Paga no portal V360)</t>
        </is>
      </c>
    </row>
    <row r="113" s="157">
      <c r="A113" s="82" t="inlineStr">
        <is>
          <t>UNIFG Guanambi (Guanambi/BA)</t>
        </is>
      </c>
      <c r="B113" s="82" t="inlineStr">
        <is>
          <t>Refis — troca de julho/2026</t>
        </is>
      </c>
      <c r="C113" s="81" t="n">
        <v>46261</v>
      </c>
      <c r="D113" s="83" t="n">
        <v>4534.75</v>
      </c>
      <c r="E113" s="113" t="inlineStr">
        <is>
          <t>Recebido</t>
        </is>
      </c>
      <c r="F113" s="113">
        <f>IF(OR($E113="Recebido",$C113=""),"",MAX(0,TODAY()-$C113))</f>
        <v/>
      </c>
      <c r="G113" s="82" t="inlineStr">
        <is>
          <t>Grupo Ânima — NF 000.004.281 · recebido em 30/08/2026 (Nota Paga no portal V360)</t>
        </is>
      </c>
    </row>
    <row r="114" s="157">
      <c r="A114" s="78" t="inlineStr">
        <is>
          <t>UNP Zona Norte (Natal/RN)</t>
        </is>
      </c>
      <c r="B114" s="78" t="inlineStr">
        <is>
          <t>Refis — troca de julho/2026</t>
        </is>
      </c>
      <c r="C114" s="77" t="n">
        <v>46261</v>
      </c>
      <c r="D114" s="79" t="n">
        <v>870</v>
      </c>
      <c r="E114" s="112" t="inlineStr">
        <is>
          <t>Recebido</t>
        </is>
      </c>
      <c r="F114" s="112">
        <f>IF(OR($E114="Recebido",$C114=""),"",MAX(0,TODAY()-$C114))</f>
        <v/>
      </c>
      <c r="G114" s="78" t="inlineStr">
        <is>
          <t>Grupo Ânima — NF 000.004.282 · recebido em 30/08/2026 (Nota Paga no portal V360)</t>
        </is>
      </c>
    </row>
    <row r="115" s="157">
      <c r="A115" s="82" t="inlineStr">
        <is>
          <t>UNP Caicó (Caicó/RN)</t>
        </is>
      </c>
      <c r="B115" s="82" t="inlineStr">
        <is>
          <t>Refis — troca de julho/2026</t>
        </is>
      </c>
      <c r="C115" s="81" t="n">
        <v>46261</v>
      </c>
      <c r="D115" s="83" t="n">
        <v>440</v>
      </c>
      <c r="E115" s="113" t="inlineStr">
        <is>
          <t>Recebido</t>
        </is>
      </c>
      <c r="F115" s="113">
        <f>IF(OR($E115="Recebido",$C115=""),"",MAX(0,TODAY()-$C115))</f>
        <v/>
      </c>
      <c r="G115" s="82" t="inlineStr">
        <is>
          <t>Grupo Ânima — NF 000.004.283 · recebido via Pix em 27/08/2026</t>
        </is>
      </c>
    </row>
    <row r="116" s="157">
      <c r="A116" s="78" t="inlineStr">
        <is>
          <t>AGES Irecê (Irecê/BA)</t>
        </is>
      </c>
      <c r="B116" s="78" t="inlineStr">
        <is>
          <t>Refis — troca de julho/2026</t>
        </is>
      </c>
      <c r="C116" s="77" t="n">
        <v>46269</v>
      </c>
      <c r="D116" s="79" t="n">
        <v>1338.6</v>
      </c>
      <c r="E116" s="112" t="inlineStr">
        <is>
          <t>Recebido</t>
        </is>
      </c>
      <c r="F116" s="112">
        <f>IF(OR($E116="Recebido",$C116=""),"",MAX(0,TODAY()-$C116))</f>
        <v/>
      </c>
      <c r="G116" s="78" t="inlineStr">
        <is>
          <t>Grupo Ânima — NF 000.004.294 · recebido via Pix em 04/09/2026.</t>
        </is>
      </c>
    </row>
    <row r="117" s="157">
      <c r="A117" s="82" t="inlineStr">
        <is>
          <t>CIS Irecê (Irecê/BA)</t>
        </is>
      </c>
      <c r="B117" s="82" t="inlineStr">
        <is>
          <t>Refis — troca de julho/2026</t>
        </is>
      </c>
      <c r="C117" s="81" t="n">
        <v>46269</v>
      </c>
      <c r="D117" s="83" t="n">
        <v>1358</v>
      </c>
      <c r="E117" s="113" t="inlineStr">
        <is>
          <t>Recebido</t>
        </is>
      </c>
      <c r="F117" s="113">
        <f>IF(OR($E117="Recebido",$C117=""),"",MAX(0,TODAY()-$C117))</f>
        <v/>
      </c>
      <c r="G117" s="82" t="inlineStr">
        <is>
          <t>Grupo Ânima — NF 000.004.295 · recebido via Pix em 04/09/2026.</t>
        </is>
      </c>
    </row>
    <row r="118" s="157">
      <c r="A118" s="78" t="inlineStr">
        <is>
          <t>AGES Senhor do Bonfim (S. do Bonfim/BA)</t>
        </is>
      </c>
      <c r="B118" s="78" t="inlineStr">
        <is>
          <t>Refis — troca de julho/2026</t>
        </is>
      </c>
      <c r="C118" s="77" t="n">
        <v>46270</v>
      </c>
      <c r="D118" s="79" t="n">
        <v>649.9</v>
      </c>
      <c r="E118" s="112" t="inlineStr">
        <is>
          <t>Recebido</t>
        </is>
      </c>
      <c r="F118" s="112">
        <f>IF(OR($E118="Recebido",$C118=""),"",MAX(0,TODAY()-$C118))</f>
        <v/>
      </c>
      <c r="G118" s="78" t="inlineStr">
        <is>
          <t>Grupo Ânima — NF 000.004.298 · recebido via Pix em 08/09/2026.</t>
        </is>
      </c>
    </row>
    <row r="119" s="157">
      <c r="A119" s="82" t="inlineStr">
        <is>
          <t>CIS Senhor do Bonfim (S. do Bonfim/BA)</t>
        </is>
      </c>
      <c r="B119" s="82" t="inlineStr">
        <is>
          <t>Refis — troca de julho/2026</t>
        </is>
      </c>
      <c r="C119" s="81" t="n">
        <v>46270</v>
      </c>
      <c r="D119" s="83" t="n">
        <v>562.6</v>
      </c>
      <c r="E119" s="113" t="inlineStr">
        <is>
          <t>Recebido</t>
        </is>
      </c>
      <c r="F119" s="113">
        <f>IF(OR($E119="Recebido",$C119=""),"",MAX(0,TODAY()-$C119))</f>
        <v/>
      </c>
      <c r="G119" s="82" t="inlineStr">
        <is>
          <t>Grupo Ânima — NF 000.004.299 · recebido via Pix em 08/09/2026.</t>
        </is>
      </c>
    </row>
    <row r="120" s="157">
      <c r="A120" s="78" t="inlineStr">
        <is>
          <t>AGES Paripiranga (Paripiranga/BA)</t>
        </is>
      </c>
      <c r="B120" s="78" t="inlineStr">
        <is>
          <t>Refis — troca de julho/2026</t>
        </is>
      </c>
      <c r="C120" s="77" t="n">
        <v>46270</v>
      </c>
      <c r="D120" s="79" t="n">
        <v>1086.4</v>
      </c>
      <c r="E120" s="112" t="inlineStr">
        <is>
          <t>Recebido</t>
        </is>
      </c>
      <c r="F120" s="112">
        <f>IF(OR($E120="Recebido",$C120=""),"",MAX(0,TODAY()-$C120))</f>
        <v/>
      </c>
      <c r="G120" s="78" t="inlineStr">
        <is>
          <t>Grupo Ânima — NF 000.004.300 · recebido via Pix em 08/09/2026.</t>
        </is>
      </c>
    </row>
    <row r="121" s="157">
      <c r="A121" s="82" t="inlineStr">
        <is>
          <t>Clínica Veterinária Paripiranga (Paripiranga/BA)</t>
        </is>
      </c>
      <c r="B121" s="82" t="inlineStr">
        <is>
          <t>Refis — troca de julho/2026</t>
        </is>
      </c>
      <c r="C121" s="81" t="n">
        <v>46270</v>
      </c>
      <c r="D121" s="83" t="n">
        <v>1265.85</v>
      </c>
      <c r="E121" s="113" t="inlineStr">
        <is>
          <t>Recebido</t>
        </is>
      </c>
      <c r="F121" s="113">
        <f>IF(OR($E121="Recebido",$C121=""),"",MAX(0,TODAY()-$C121))</f>
        <v/>
      </c>
      <c r="G121" s="82" t="inlineStr">
        <is>
          <t>Grupo Ânima — NF 000.004.301 · recebido via Pix em 08/09/2026.</t>
        </is>
      </c>
    </row>
    <row r="122" s="157">
      <c r="A122" s="78" t="inlineStr">
        <is>
          <t>UNP Mossoró (Mossoró/RN)</t>
        </is>
      </c>
      <c r="B122" s="78" t="inlineStr">
        <is>
          <t>Refis — troca de julho/2026</t>
        </is>
      </c>
      <c r="C122" s="77" t="n">
        <v>46270</v>
      </c>
      <c r="D122" s="79" t="n">
        <v>1867.25</v>
      </c>
      <c r="E122" s="112" t="inlineStr">
        <is>
          <t>Recebido</t>
        </is>
      </c>
      <c r="F122" s="112">
        <f>IF(OR($E122="Recebido",$C122=""),"",MAX(0,TODAY()-$C122))</f>
        <v/>
      </c>
      <c r="G122" s="78" t="inlineStr">
        <is>
          <t>Grupo Ânima — NF 000.004.302 · recebido via Pix em 08/09/2026.</t>
        </is>
      </c>
    </row>
    <row r="123" s="157">
      <c r="A123" s="82" t="inlineStr">
        <is>
          <t>CIS Jacobina (Jacobina/BA)</t>
        </is>
      </c>
      <c r="B123" s="82" t="inlineStr">
        <is>
          <t>Refis — troca de julho/2026</t>
        </is>
      </c>
      <c r="C123" s="81" t="n">
        <v>46290</v>
      </c>
      <c r="D123" s="83" t="n">
        <v>2095.2</v>
      </c>
      <c r="E123" s="113" t="inlineStr">
        <is>
          <t>Recebido</t>
        </is>
      </c>
      <c r="F123" s="113">
        <f>IF(OR($E123="Recebido",$C123=""),"",MAX(0,TODAY()-$C123))</f>
        <v/>
      </c>
      <c r="G123" s="82" t="inlineStr">
        <is>
          <t>Grupo Ânima — NF 000.004.333 de 26/08/2026 · OC AEMPPO00004452 · 30 dias · recebido via Pix em 25/09/2026 (Nota Paga no portal V360).</t>
        </is>
      </c>
    </row>
    <row r="124" s="157">
      <c r="A124" s="78" t="inlineStr">
        <is>
          <t>AGES Jacobina (Jacobina/BA)</t>
        </is>
      </c>
      <c r="B124" s="78" t="inlineStr">
        <is>
          <t>Refis — troca de julho/2026</t>
        </is>
      </c>
      <c r="C124" s="77" t="n">
        <v>46305</v>
      </c>
      <c r="D124" s="79" t="n">
        <v>1188.25</v>
      </c>
      <c r="E124" s="112" t="inlineStr">
        <is>
          <t>Recebido</t>
        </is>
      </c>
      <c r="F124" s="112">
        <f>IF(OR($E124="Recebido",$C124=""),"",MAX(0,TODAY()-$C124))</f>
        <v/>
      </c>
      <c r="G124" s="78" t="inlineStr">
        <is>
          <t>Grupo Ânima — NF 000.004.332 de 26/08/2026 · OC AEMPPO00004453 · 45 dias · Recebido em 13/10/2026 no BNB (Nota Paga no portal V360).</t>
        </is>
      </c>
    </row>
    <row r="125" s="157">
      <c r="A125" s="82" t="inlineStr">
        <is>
          <t>Instituto Paulo Leão</t>
        </is>
      </c>
      <c r="B125" s="82" t="inlineStr">
        <is>
          <t>Refil E3 + Pré Filtro</t>
        </is>
      </c>
      <c r="C125" s="81" t="n">
        <v>46265</v>
      </c>
      <c r="D125" s="83" t="n">
        <v>160</v>
      </c>
      <c r="E125" s="113" t="inlineStr">
        <is>
          <t>Recebido</t>
        </is>
      </c>
      <c r="F125" s="113">
        <f>IF(OR($E125="Recebido",$C125=""),"",MAX(0,TODAY()-$C125))</f>
        <v/>
      </c>
      <c r="G125" s="82" t="inlineStr">
        <is>
          <t>Recebido via Pix em 08/09/2026 — lançado em "Set 2026".</t>
        </is>
      </c>
    </row>
    <row r="126" s="157">
      <c r="A126" s="78" t="inlineStr">
        <is>
          <t>Eletronic Segurança Eletronica</t>
        </is>
      </c>
      <c r="B126" s="78" t="inlineStr">
        <is>
          <t>Pré Filtro</t>
        </is>
      </c>
      <c r="C126" s="77" t="n">
        <v>46265</v>
      </c>
      <c r="D126" s="79" t="n">
        <v>60</v>
      </c>
      <c r="E126" s="112" t="inlineStr">
        <is>
          <t>Recebido</t>
        </is>
      </c>
      <c r="F126" s="112">
        <f>IF(OR($E126="Recebido",$C126=""),"",MAX(0,TODAY()-$C126))</f>
        <v/>
      </c>
      <c r="G126" s="78" t="inlineStr">
        <is>
          <t>Recebido via Pix em 03/09/2026.</t>
        </is>
      </c>
    </row>
    <row r="127" s="157">
      <c r="A127" s="82" t="inlineStr">
        <is>
          <t>Clube dos Mineiros</t>
        </is>
      </c>
      <c r="B127" s="82" t="inlineStr">
        <is>
          <t>Refil Pro Life</t>
        </is>
      </c>
      <c r="C127" s="81" t="n">
        <v>46265</v>
      </c>
      <c r="D127" s="83" t="n">
        <v>150</v>
      </c>
      <c r="E127" s="113" t="inlineStr">
        <is>
          <t>Recebido</t>
        </is>
      </c>
      <c r="F127" s="113">
        <f>IF(OR($E127="Recebido",$C127=""),"",MAX(0,TODAY()-$C127))</f>
        <v/>
      </c>
      <c r="G127" s="82" t="inlineStr">
        <is>
          <t>Recebido via Pix em 01/09/2026 (pagador: Sindicato dos Mineiros de Jacobina).</t>
        </is>
      </c>
    </row>
    <row r="128" s="157">
      <c r="A128" s="78" t="inlineStr">
        <is>
          <t>Armazem Cecilio Mota</t>
        </is>
      </c>
      <c r="B128" s="78" t="inlineStr">
        <is>
          <t>Refil Everest + Refil Carbon 9"</t>
        </is>
      </c>
      <c r="C128" s="77" t="n">
        <v>46266</v>
      </c>
      <c r="D128" s="79" t="n">
        <v>225</v>
      </c>
      <c r="E128" s="112" t="inlineStr">
        <is>
          <t>Recebido</t>
        </is>
      </c>
      <c r="F128" s="112">
        <f>IF(OR($E128="Recebido",$C128=""),"",MAX(0,TODAY()-$C128))</f>
        <v/>
      </c>
      <c r="G128" s="78" t="inlineStr">
        <is>
          <t>Recebido via Pix em 10/09/2026 — lançado em "Set 2026".</t>
        </is>
      </c>
    </row>
    <row r="129" s="157">
      <c r="A129" s="82" t="inlineStr">
        <is>
          <t>Clebson Dantas Da Silva</t>
        </is>
      </c>
      <c r="B129" s="82" t="inlineStr">
        <is>
          <t>Refil Everest</t>
        </is>
      </c>
      <c r="C129" s="81" t="n">
        <v>46266</v>
      </c>
      <c r="D129" s="83" t="n">
        <v>140</v>
      </c>
      <c r="E129" s="113" t="inlineStr">
        <is>
          <t>Recebido</t>
        </is>
      </c>
      <c r="F129" s="113">
        <f>IF(OR($E129="Recebido",$C129=""),"",MAX(0,TODAY()-$C129))</f>
        <v/>
      </c>
      <c r="G129" s="82" t="inlineStr">
        <is>
          <t>Recebido via Pix em 02/09/2026</t>
        </is>
      </c>
    </row>
    <row r="130" s="157">
      <c r="A130" s="82" t="inlineStr">
        <is>
          <t>Tesla Imagem Medicina Diagnostica Ltda</t>
        </is>
      </c>
      <c r="B130" s="82" t="inlineStr">
        <is>
          <t>3x Refil Everest + 2x Pré Filtro</t>
        </is>
      </c>
      <c r="C130" s="81" t="n">
        <v>46267</v>
      </c>
      <c r="D130" s="83" t="n">
        <v>540</v>
      </c>
      <c r="E130" s="113" t="inlineStr">
        <is>
          <t>Recebido</t>
        </is>
      </c>
      <c r="F130" s="113">
        <f>IF(OR($E130="Recebido",$C130=""),"",MAX(0,TODAY()-$C130))</f>
        <v/>
      </c>
      <c r="G130" s="82" t="inlineStr">
        <is>
          <t>Troca do dia 02/09/2026 — 1º Andar, Térreo e Copa. Recebido via Pix em 08/09/2026 — lançado em "Set 2026".</t>
        </is>
      </c>
    </row>
    <row r="131" s="157">
      <c r="A131" s="78" t="inlineStr">
        <is>
          <t>Cecilio Mota Junior</t>
        </is>
      </c>
      <c r="B131" s="78" t="inlineStr">
        <is>
          <t>Refil Everest</t>
        </is>
      </c>
      <c r="C131" s="77" t="n">
        <v>46267</v>
      </c>
      <c r="D131" s="79" t="n">
        <v>140</v>
      </c>
      <c r="E131" s="112" t="inlineStr">
        <is>
          <t>Recebido</t>
        </is>
      </c>
      <c r="F131" s="112">
        <f>IF(OR($E131="Recebido",$C131=""),"",MAX(0,TODAY()-$C131))</f>
        <v/>
      </c>
      <c r="G131" s="78" t="inlineStr">
        <is>
          <t>Recebido via Pix em 10/09/2026 — lançado em "Set 2026".</t>
        </is>
      </c>
    </row>
    <row r="132" s="157">
      <c r="A132" s="78" t="inlineStr">
        <is>
          <t>Tereza Cristina Aquino Martins - Luiz Augusto</t>
        </is>
      </c>
      <c r="B132" s="78" t="inlineStr">
        <is>
          <t>Refil Everest + Pré Filtro</t>
        </is>
      </c>
      <c r="C132" s="77" t="n">
        <v>46268</v>
      </c>
      <c r="D132" s="79" t="n">
        <v>200</v>
      </c>
      <c r="E132" s="112" t="inlineStr">
        <is>
          <t>Recebido</t>
        </is>
      </c>
      <c r="F132" s="112">
        <f>IF(OR($E132="Recebido",$C132=""),"",MAX(0,TODAY()-$C132))</f>
        <v/>
      </c>
      <c r="G132" s="78" t="inlineStr">
        <is>
          <t>Recebido via Pix em 04/09/2026.</t>
        </is>
      </c>
    </row>
    <row r="133" s="157">
      <c r="A133" s="78" t="inlineStr">
        <is>
          <t>Samille Fiscina Lima Lordello - Tiago (Cartório)</t>
        </is>
      </c>
      <c r="B133" s="78" t="inlineStr">
        <is>
          <t>Refil Pro Life</t>
        </is>
      </c>
      <c r="C133" s="77" t="n">
        <v>46269</v>
      </c>
      <c r="D133" s="79" t="n">
        <v>140</v>
      </c>
      <c r="E133" s="112" t="inlineStr">
        <is>
          <t>Recebido</t>
        </is>
      </c>
      <c r="F133" s="112">
        <f>IF(OR($E133="Recebido",$C133=""),"",MAX(0,TODAY()-$C133))</f>
        <v/>
      </c>
      <c r="G133" s="78" t="inlineStr">
        <is>
          <t>Recebido via Pix em 10/09/2026 — lançado em "Set 2026".</t>
        </is>
      </c>
    </row>
    <row r="134" s="157">
      <c r="A134" s="78" t="inlineStr">
        <is>
          <t>Bomboniere Doce Mania - Veronildo Basilio</t>
        </is>
      </c>
      <c r="B134" s="78" t="inlineStr">
        <is>
          <t>Refil Plissado + Refil BAG</t>
        </is>
      </c>
      <c r="C134" s="77" t="n">
        <v>46274</v>
      </c>
      <c r="D134" s="79" t="n">
        <v>150</v>
      </c>
      <c r="E134" s="112" t="inlineStr">
        <is>
          <t>Recebido</t>
        </is>
      </c>
      <c r="F134" s="112">
        <f>IF(OR($E134="Recebido",$C134=""),"",MAX(0,TODAY()-$C134))</f>
        <v/>
      </c>
      <c r="G134" s="78" t="inlineStr">
        <is>
          <t>Recebido em dinheiro em 16/09/2026 — lançado em "Set 2026".</t>
        </is>
      </c>
    </row>
    <row r="135" s="157">
      <c r="A135" s="78" t="inlineStr">
        <is>
          <t>Adriadne (Hotel Jovem Jota)</t>
        </is>
      </c>
      <c r="B135" s="78" t="inlineStr">
        <is>
          <t>Refil Everest</t>
        </is>
      </c>
      <c r="C135" s="77" t="n">
        <v>46275</v>
      </c>
      <c r="D135" s="79" t="n">
        <v>140</v>
      </c>
      <c r="E135" s="112" t="inlineStr">
        <is>
          <t>Recebido</t>
        </is>
      </c>
      <c r="F135" s="112">
        <f>IF(OR($E135="Recebido",$C135=""),"",MAX(0,TODAY()-$C135))</f>
        <v/>
      </c>
      <c r="G135" s="78" t="inlineStr">
        <is>
          <t>Recebido via Pix em 11/09/2026 — lançado em "Set 2026".</t>
        </is>
      </c>
    </row>
    <row r="136" s="157">
      <c r="A136" s="78" t="inlineStr">
        <is>
          <t>Pousada Triunfo Ltda (Hotel Triunfo)</t>
        </is>
      </c>
      <c r="B136" s="78" t="inlineStr">
        <is>
          <t>Refil Everest + Pré Filtro</t>
        </is>
      </c>
      <c r="C136" s="77" t="n">
        <v>46275</v>
      </c>
      <c r="D136" s="79" t="n">
        <v>200</v>
      </c>
      <c r="E136" s="112" t="inlineStr">
        <is>
          <t>Recebido</t>
        </is>
      </c>
      <c r="F136" s="112">
        <f>IF(OR($E136="Recebido",$C136=""),"",MAX(0,TODAY()-$C136))</f>
        <v/>
      </c>
      <c r="G136" s="78" t="inlineStr">
        <is>
          <t>Recebido via Pix em 11/09/2026 — lançado em "Set 2026".</t>
        </is>
      </c>
    </row>
    <row r="137" s="157">
      <c r="A137" s="78" t="inlineStr">
        <is>
          <t>Topvel Tropical Veiculos e Pecas</t>
        </is>
      </c>
      <c r="B137" s="78" t="inlineStr">
        <is>
          <t>2x Refil Everest + 2x Pré Filtro</t>
        </is>
      </c>
      <c r="C137" s="77" t="n">
        <v>46276</v>
      </c>
      <c r="D137" s="79" t="n">
        <v>370</v>
      </c>
      <c r="E137" s="112" t="inlineStr">
        <is>
          <t>Recebido</t>
        </is>
      </c>
      <c r="F137" s="112">
        <f>IF(OR($E137="Recebido",$C137=""),"",MAX(0,TODAY()-$C137))</f>
        <v/>
      </c>
      <c r="G137" s="78" t="inlineStr">
        <is>
          <t>Troca do dia 11/09/2026 — dois purificadores. Recebido via TED no BNB em 05/10/2026 — lançado em "Out 2026".</t>
        </is>
      </c>
    </row>
    <row r="138" s="157">
      <c r="A138" s="78" t="inlineStr">
        <is>
          <t>J Diesel Motores e Reparos - Gilmara</t>
        </is>
      </c>
      <c r="B138" s="78" t="inlineStr">
        <is>
          <t>Refil Everest</t>
        </is>
      </c>
      <c r="C138" s="77" t="n">
        <v>46276</v>
      </c>
      <c r="D138" s="79" t="n">
        <v>140</v>
      </c>
      <c r="E138" s="112" t="inlineStr">
        <is>
          <t>Recebido</t>
        </is>
      </c>
      <c r="F138" s="112">
        <f>IF(OR($E138="Recebido",$C138=""),"",MAX(0,TODAY()-$C138))</f>
        <v/>
      </c>
      <c r="G138" s="78" t="inlineStr">
        <is>
          <t>Troca do dia 11/09/2026.</t>
        </is>
      </c>
    </row>
    <row r="139" s="157">
      <c r="A139" s="78" t="inlineStr">
        <is>
          <t>IOB</t>
        </is>
      </c>
      <c r="B139" s="78" t="inlineStr">
        <is>
          <t>Refil Everest + Pré Filtro</t>
        </is>
      </c>
      <c r="C139" s="77" t="n">
        <v>46279</v>
      </c>
      <c r="D139" s="79" t="n">
        <v>200</v>
      </c>
      <c r="E139" s="112" t="inlineStr">
        <is>
          <t>Recebido</t>
        </is>
      </c>
      <c r="F139" s="112">
        <f>IF(OR($E139="Recebido",$C139=""),"",MAX(0,TODAY()-$C139))</f>
        <v/>
      </c>
      <c r="G139" s="78" t="inlineStr">
        <is>
          <t>Troca do dia 14/09/2026.</t>
        </is>
      </c>
    </row>
    <row r="140" s="157">
      <c r="A140" s="78" t="inlineStr">
        <is>
          <t>Clínica Santa Cecília</t>
        </is>
      </c>
      <c r="B140" s="78" t="inlineStr">
        <is>
          <t>Refil Everest + Termostato</t>
        </is>
      </c>
      <c r="C140" s="77" t="n">
        <v>46281</v>
      </c>
      <c r="D140" s="79" t="n">
        <v>310</v>
      </c>
      <c r="E140" s="112" t="inlineStr">
        <is>
          <t>Recebido</t>
        </is>
      </c>
      <c r="F140" s="112">
        <f>IF(OR($E140="Recebido",$C140=""),"",MAX(0,TODAY()-$C140))</f>
        <v/>
      </c>
      <c r="G140" s="78" t="inlineStr">
        <is>
          <t>Troca do dia 16/09/2026 — refil + troca de termostato. Recebido via Pix em 29/09/2026.</t>
        </is>
      </c>
    </row>
    <row r="141" s="157">
      <c r="A141" s="78" t="inlineStr">
        <is>
          <t>Marilda Macedo / José Luciano Costa</t>
        </is>
      </c>
      <c r="B141" s="78" t="inlineStr">
        <is>
          <t>Refil Everest + Pré Filtro</t>
        </is>
      </c>
      <c r="C141" s="77" t="n">
        <v>46283</v>
      </c>
      <c r="D141" s="79" t="n">
        <v>200</v>
      </c>
      <c r="E141" s="112" t="inlineStr">
        <is>
          <t>Recebido</t>
        </is>
      </c>
      <c r="F141" s="112">
        <f>IF(OR($E141="Recebido",$C141=""),"",MAX(0,TODAY()-$C141))</f>
        <v/>
      </c>
      <c r="G141" s="78" t="inlineStr">
        <is>
          <t>Recebido via Pix em 19/09/2026 — lançado em "Set 2026".</t>
        </is>
      </c>
    </row>
    <row r="142" s="157">
      <c r="A142" s="78" t="inlineStr">
        <is>
          <t>Tatiana Rocha</t>
        </is>
      </c>
      <c r="B142" s="78" t="inlineStr">
        <is>
          <t>Refil Everest</t>
        </is>
      </c>
      <c r="C142" s="77" t="n">
        <v>46286</v>
      </c>
      <c r="D142" s="79" t="n">
        <v>140</v>
      </c>
      <c r="E142" s="112" t="inlineStr">
        <is>
          <t>Recebido</t>
        </is>
      </c>
      <c r="F142" s="112">
        <f>IF(OR($E142="Recebido",$C142=""),"",MAX(0,TODAY()-$C142))</f>
        <v/>
      </c>
      <c r="G142" s="78" t="inlineStr">
        <is>
          <t>Troca do dia 21/09/2026. Recebido via Pix em 22/09/2026 — lançado em "Set 2026".</t>
        </is>
      </c>
    </row>
    <row r="143" s="157">
      <c r="A143" s="78" t="inlineStr">
        <is>
          <t>Cleone Gomes de Andrade</t>
        </is>
      </c>
      <c r="B143" s="78" t="inlineStr">
        <is>
          <t>Refil Everest</t>
        </is>
      </c>
      <c r="C143" s="77" t="n">
        <v>46286</v>
      </c>
      <c r="D143" s="79" t="n">
        <v>140</v>
      </c>
      <c r="E143" s="112" t="inlineStr">
        <is>
          <t>Recebido</t>
        </is>
      </c>
      <c r="F143" s="112">
        <f>IF(OR($E143="Recebido",$C143=""),"",MAX(0,TODAY()-$C143))</f>
        <v/>
      </c>
      <c r="G143" s="78" t="inlineStr">
        <is>
          <t>Troca do dia 21/09/2026. Recebido via Pix em 21/09/2026.</t>
        </is>
      </c>
    </row>
    <row r="144" s="157">
      <c r="A144" s="78" t="inlineStr">
        <is>
          <t>Centro de Especialidades Odontomédicas</t>
        </is>
      </c>
      <c r="B144" s="78" t="inlineStr">
        <is>
          <t>2x Refil Everest</t>
        </is>
      </c>
      <c r="C144" s="77" t="n">
        <v>46044</v>
      </c>
      <c r="D144" s="79" t="n">
        <v>280</v>
      </c>
      <c r="E144" s="112" t="inlineStr">
        <is>
          <t>Pendente</t>
        </is>
      </c>
      <c r="F144" s="112">
        <f>IF(OR($E144="Recebido",$C144=""),"",MAX(0,TODAY()-$C144))</f>
        <v/>
      </c>
      <c r="G144" s="78" t="inlineStr">
        <is>
          <t>NF-e 4039 de 22/01/2026 (CNPJ 54.747.945/0001-09). Venda anterior ao controle manual (aba Jan 2026 vem do Livro Caixa). Conferido no DigiSat em 28/09/2026: não recebido. Mesmo cliente tem outra pendência de 05/08/2026 (R$ 140,00).</t>
        </is>
      </c>
    </row>
    <row r="145" s="157">
      <c r="A145" s="78" t="inlineStr">
        <is>
          <t>Igreja Messiânica Mundial do Brasil</t>
        </is>
      </c>
      <c r="B145" s="78" t="inlineStr">
        <is>
          <t>Mangueira</t>
        </is>
      </c>
      <c r="C145" s="77" t="n">
        <v>46073</v>
      </c>
      <c r="D145" s="79" t="n">
        <v>30</v>
      </c>
      <c r="E145" s="112" t="inlineStr">
        <is>
          <t>Pendente</t>
        </is>
      </c>
      <c r="F145" s="112">
        <f>IF(OR($E145="Recebido",$C145=""),"",MAX(0,TODAY()-$C145))</f>
        <v/>
      </c>
      <c r="G145" s="78" t="inlineStr">
        <is>
          <t>NF-e 4075 de 20/02/2026 (CNPJ 62.647.383/0063-44). Conferido no DigiSat em 28/09/2026: não recebido.</t>
        </is>
      </c>
    </row>
    <row r="146" s="157">
      <c r="A146" s="78" t="inlineStr">
        <is>
          <t>Centro Médico de Jacobina</t>
        </is>
      </c>
      <c r="B146" s="78" t="inlineStr">
        <is>
          <t>2x Botão Completo</t>
        </is>
      </c>
      <c r="C146" s="77" t="n">
        <v>46203</v>
      </c>
      <c r="D146" s="79" t="n">
        <v>60</v>
      </c>
      <c r="E146" s="112" t="inlineStr">
        <is>
          <t>Pendente</t>
        </is>
      </c>
      <c r="F146" s="112">
        <f>IF(OR($E146="Recebido",$C146=""),"",MAX(0,TODAY()-$C146))</f>
        <v/>
      </c>
      <c r="G146" s="78" t="inlineStr">
        <is>
          <t>NF-e 4242 de 30/06/2026 (CNPJ 13.228.432/0001-04). Conferido no DigiSat em 28/09/2026: não recebido.</t>
        </is>
      </c>
    </row>
    <row r="147" s="157">
      <c r="A147" s="78" t="inlineStr">
        <is>
          <t>Vivencie Turismo Agencia de Viagens - Aneildes Rios</t>
        </is>
      </c>
      <c r="B147" s="78" t="inlineStr">
        <is>
          <t>Refil Everest</t>
        </is>
      </c>
      <c r="C147" s="77" t="n">
        <v>46294</v>
      </c>
      <c r="D147" s="79" t="n">
        <v>140</v>
      </c>
      <c r="E147" s="112" t="inlineStr">
        <is>
          <t>Recebido</t>
        </is>
      </c>
      <c r="F147" s="112">
        <f>IF(OR($E147="Recebido",$C147=""),"",MAX(0,TODAY()-$C147))</f>
        <v/>
      </c>
      <c r="G147" s="78" t="inlineStr">
        <is>
          <t>Troca do dia 29/09/2026. Recebido via Pix em 05/10/2026 — R$ 135,00 (Pix único de R$ 270,00 com as duas trocas; R$ 10,00 de desconto dividido).</t>
        </is>
      </c>
    </row>
    <row r="148" s="157">
      <c r="A148" s="78" t="inlineStr">
        <is>
          <t>Lapec</t>
        </is>
      </c>
      <c r="B148" s="78" t="inlineStr">
        <is>
          <t>Refil C+3</t>
        </is>
      </c>
      <c r="C148" s="77" t="n">
        <v>46294</v>
      </c>
      <c r="D148" s="79" t="n">
        <v>100</v>
      </c>
      <c r="E148" s="112" t="inlineStr">
        <is>
          <t>Recebido</t>
        </is>
      </c>
      <c r="F148" s="112">
        <f>IF(OR($E148="Recebido",$C148=""),"",MAX(0,TODAY()-$C148))</f>
        <v/>
      </c>
      <c r="G148" s="78" t="inlineStr">
        <is>
          <t>Pagamento previsto para 30/09/2026. Recebido em dinheiro em 14/10/2026 — lançado em "Set 2026".</t>
        </is>
      </c>
    </row>
    <row r="149" s="157">
      <c r="A149" s="78" t="inlineStr">
        <is>
          <t>PC Jacobina Administradora de Cartões LTDA - Cartão de Todos</t>
        </is>
      </c>
      <c r="B149" s="78" t="inlineStr">
        <is>
          <t>Refil Everest</t>
        </is>
      </c>
      <c r="C149" s="77" t="n">
        <v>46295</v>
      </c>
      <c r="D149" s="79" t="n">
        <v>140</v>
      </c>
      <c r="E149" s="112" t="inlineStr">
        <is>
          <t>Recebido</t>
        </is>
      </c>
      <c r="F149" s="112">
        <f>IF(OR($E149="Recebido",$C149=""),"",MAX(0,TODAY()-$C149))</f>
        <v/>
      </c>
      <c r="G149" s="78" t="inlineStr">
        <is>
          <t>Troca do dia 30/09/2026. Recebido via Pix em 01/10/2026 (comprovante enviado em 06/10/2026) — lançado em "Out 2026".</t>
        </is>
      </c>
    </row>
    <row r="150" s="157">
      <c r="A150" s="78" t="inlineStr">
        <is>
          <t>Aneilde Rios de Oliveira</t>
        </is>
      </c>
      <c r="B150" s="78" t="inlineStr">
        <is>
          <t>Refil Everest</t>
        </is>
      </c>
      <c r="C150" s="77" t="n">
        <v>46296</v>
      </c>
      <c r="D150" s="79" t="n">
        <v>140</v>
      </c>
      <c r="E150" s="112" t="inlineStr">
        <is>
          <t>Recebido</t>
        </is>
      </c>
      <c r="F150" s="112">
        <f>IF(OR($E150="Recebido",$C150=""),"",MAX(0,TODAY()-$C150))</f>
        <v/>
      </c>
      <c r="G150" s="78" t="inlineStr">
        <is>
          <t>Troca do dia 01/10/2026 (casa, Caeira). Recebido via Pix em 05/10/2026 — R$ 135,00 (Pix único de R$ 270,00 com as duas trocas; R$ 10,00 de desconto dividido).</t>
        </is>
      </c>
    </row>
    <row r="151" s="157">
      <c r="A151" s="78" t="inlineStr">
        <is>
          <t>Centro Medico da Chapada Diamantina LTDA</t>
        </is>
      </c>
      <c r="B151" s="78" t="inlineStr">
        <is>
          <t>Refil Pro Life + 2x Botão Completo</t>
        </is>
      </c>
      <c r="C151" s="77" t="n">
        <v>46296</v>
      </c>
      <c r="D151" s="79" t="n">
        <v>200</v>
      </c>
      <c r="E151" s="112" t="inlineStr">
        <is>
          <t>Recebido</t>
        </is>
      </c>
      <c r="F151" s="112">
        <f>IF(OR($E151="Recebido",$C151=""),"",MAX(0,TODAY()-$C151))</f>
        <v/>
      </c>
      <c r="G151" s="78" t="inlineStr">
        <is>
          <t>Subsolo — troca do dia 01/10/2026 (refil + 2 botões). Recebido em 05/10/2026 no crédito em 3x (pagamento único de R$ 400,00 pelas duas trocas).</t>
        </is>
      </c>
    </row>
    <row r="152" s="157">
      <c r="A152" s="78" t="inlineStr">
        <is>
          <t>Centro Medico da Chapada Diamantina LTDA</t>
        </is>
      </c>
      <c r="B152" s="78" t="inlineStr">
        <is>
          <t>Refil Pro Life + 2x Botão Completo</t>
        </is>
      </c>
      <c r="C152" s="77" t="n">
        <v>46297</v>
      </c>
      <c r="D152" s="79" t="n">
        <v>200</v>
      </c>
      <c r="E152" s="112" t="inlineStr">
        <is>
          <t>Recebido</t>
        </is>
      </c>
      <c r="F152" s="112">
        <f>IF(OR($E152="Recebido",$C152=""),"",MAX(0,TODAY()-$C152))</f>
        <v/>
      </c>
      <c r="G152" s="78" t="inlineStr">
        <is>
          <t>1º Andar — troca do dia 02/10/2026 (refil + 2 botões). Recebido em 05/10/2026 no crédito em 3x (pagamento único de R$ 400,00 pelas duas trocas).</t>
        </is>
      </c>
    </row>
    <row r="153" s="157">
      <c r="A153" s="78" t="inlineStr">
        <is>
          <t>Igreja Messiânica Mundial do Brasil</t>
        </is>
      </c>
      <c r="B153" s="78" t="inlineStr">
        <is>
          <t>Refil Everest</t>
        </is>
      </c>
      <c r="C153" s="77" t="n">
        <v>46300</v>
      </c>
      <c r="D153" s="79" t="n">
        <v>140</v>
      </c>
      <c r="E153" s="112" t="inlineStr">
        <is>
          <t>Pendente</t>
        </is>
      </c>
      <c r="F153" s="112">
        <f>IF(OR($E153="Recebido",$C153=""),"",MAX(0,TODAY()-$C153))</f>
        <v/>
      </c>
      <c r="G153" s="78" t="inlineStr">
        <is>
          <t>Troca do dia 05/10/2026. Mesmo cliente tem pendência de 20/02/2026 (Mangueira, R$ 30,00).</t>
        </is>
      </c>
    </row>
    <row r="154" s="157">
      <c r="A154" s="78" t="inlineStr">
        <is>
          <t>Rafael Landin Ribeiro</t>
        </is>
      </c>
      <c r="B154" s="78" t="inlineStr">
        <is>
          <t>Refil Everest</t>
        </is>
      </c>
      <c r="C154" s="77" t="n">
        <v>46304</v>
      </c>
      <c r="D154" s="79" t="n">
        <v>140</v>
      </c>
      <c r="E154" s="112" t="inlineStr">
        <is>
          <t>Recebido</t>
        </is>
      </c>
      <c r="F154" s="112">
        <f>IF(OR($E154="Recebido",$C154=""),"",MAX(0,TODAY()-$C154))</f>
        <v/>
      </c>
      <c r="G154" s="78" t="inlineStr">
        <is>
          <t>Troca do dia 09/10/2026. Recebido via Pix em 09/10/2026.</t>
        </is>
      </c>
    </row>
    <row r="155" s="157">
      <c r="A155" s="78" t="inlineStr">
        <is>
          <t>Restaurante Bonzão Bode - Aloisio Queiroz</t>
        </is>
      </c>
      <c r="B155" s="78" t="inlineStr">
        <is>
          <t>Refil Pro Life + Refil Universal (restante)</t>
        </is>
      </c>
      <c r="C155" s="77" t="n">
        <v>46304</v>
      </c>
      <c r="D155" s="79" t="n">
        <v>85</v>
      </c>
      <c r="E155" s="112" t="inlineStr">
        <is>
          <t>Pendente</t>
        </is>
      </c>
      <c r="F155" s="112">
        <f>IF(OR($E155="Recebido",$C155=""),"",MAX(0,TODAY()-$C155))</f>
        <v/>
      </c>
      <c r="G155" s="78" t="inlineStr">
        <is>
          <t>Venda de R$ 170,00 — R$ 85,00 pagos no débito em 09/10/2026; restante via Pix previsto para 16/10/2026.</t>
        </is>
      </c>
    </row>
    <row r="156" s="157">
      <c r="A156" s="78" t="inlineStr">
        <is>
          <t>Tropical Motos LTDA</t>
        </is>
      </c>
      <c r="B156" s="78" t="inlineStr">
        <is>
          <t>Refil Pro Life</t>
        </is>
      </c>
      <c r="C156" s="77" t="n">
        <v>46304</v>
      </c>
      <c r="D156" s="79" t="n">
        <v>140</v>
      </c>
      <c r="E156" s="112" t="inlineStr">
        <is>
          <t>Pendente</t>
        </is>
      </c>
      <c r="F156" s="112">
        <f>IF(OR($E156="Recebido",$C156=""),"",MAX(0,TODAY()-$C156))</f>
        <v/>
      </c>
      <c r="G156" s="78" t="inlineStr">
        <is>
          <t>Troca do dia 09/10/2026 — purificador do andar de cima.</t>
        </is>
      </c>
    </row>
    <row r="157" s="157">
      <c r="A157" s="78" t="inlineStr">
        <is>
          <t>Casa do Construtor</t>
        </is>
      </c>
      <c r="B157" s="78" t="inlineStr">
        <is>
          <t>Refil Everest</t>
        </is>
      </c>
      <c r="C157" s="77" t="n">
        <v>46310</v>
      </c>
      <c r="D157" s="79" t="n">
        <v>140</v>
      </c>
      <c r="E157" s="112" t="inlineStr">
        <is>
          <t>Pendente</t>
        </is>
      </c>
      <c r="F157" s="112">
        <f>IF(OR($E157="Recebido",$C157=""),"",MAX(0,TODAY()-$C157))</f>
        <v/>
      </c>
      <c r="G157" s="78" t="inlineStr">
        <is>
          <t>Troca do dia 15/10/2026.</t>
        </is>
      </c>
    </row>
    <row r="158" s="157">
      <c r="A158" s="78" t="inlineStr">
        <is>
          <t>Lapec</t>
        </is>
      </c>
      <c r="B158" s="78" t="inlineStr">
        <is>
          <t>Refil E3 + Refil Everest</t>
        </is>
      </c>
      <c r="C158" s="77" t="n">
        <v>46310</v>
      </c>
      <c r="D158" s="79" t="n">
        <v>200</v>
      </c>
      <c r="E158" s="112" t="inlineStr">
        <is>
          <t>Pendente</t>
        </is>
      </c>
      <c r="F158" s="112">
        <f>IF(OR($E158="Recebido",$C158=""),"",MAX(0,TODAY()-$C158))</f>
        <v/>
      </c>
      <c r="G158" s="78" t="inlineStr">
        <is>
          <t>Compra do dia 15/10/2026 — Refil E3 R$ 80,00 + Refil Everest R$ 120,00.</t>
        </is>
      </c>
    </row>
    <row r="159" s="157">
      <c r="A159" s="78" t="inlineStr">
        <is>
          <t>Primeiro Tabelionato de Notas - Tatiana Miranda Siqueira</t>
        </is>
      </c>
      <c r="B159" s="78" t="inlineStr">
        <is>
          <t>Refil Everest</t>
        </is>
      </c>
      <c r="C159" s="77" t="n">
        <v>46310</v>
      </c>
      <c r="D159" s="79" t="n">
        <v>140</v>
      </c>
      <c r="E159" s="112" t="inlineStr">
        <is>
          <t>Recebido</t>
        </is>
      </c>
      <c r="F159" s="112">
        <f>IF(OR($E159="Recebido",$C159=""),"",MAX(0,TODAY()-$C159))</f>
        <v/>
      </c>
      <c r="G159" s="78" t="inlineStr">
        <is>
          <t>Troca do dia 15/10/2026. Recebido via Pix em 16/10/2026 — lançado em "Out 2026".</t>
        </is>
      </c>
    </row>
    <row r="160" s="157">
      <c r="A160" s="78" t="inlineStr">
        <is>
          <t>Colegio Oasis de Jacobina - Unopar</t>
        </is>
      </c>
      <c r="B160" s="78" t="inlineStr">
        <is>
          <t>2x Refil Plissado + 2x Carcaça 9"</t>
        </is>
      </c>
      <c r="C160" s="77" t="n">
        <v>46305</v>
      </c>
      <c r="D160" s="79" t="n">
        <v>400</v>
      </c>
      <c r="E160" s="112" t="inlineStr">
        <is>
          <t>Pendente</t>
        </is>
      </c>
      <c r="F160" s="112">
        <f>IF(OR($E160="Recebido",$C160=""),"",MAX(0,TODAY()-$C160))</f>
        <v/>
      </c>
      <c r="G160" s="78" t="inlineStr">
        <is>
          <t>2x Refil Plissado R$ 80,00 cada + 2x Carcaça 9" R$ 120,00 cada. Cláudio assinou para pagar depois. Falta enviar a NF.</t>
        </is>
      </c>
    </row>
    <row r="161" s="157">
      <c r="A161" s="78" t="inlineStr">
        <is>
          <t>DFLL Serviços Medicos Ltda - ImCardio - Instituto Materno Cardiologico</t>
        </is>
      </c>
      <c r="B161" s="78" t="inlineStr">
        <is>
          <t>Refil Everest + Pré Filtro (restante)</t>
        </is>
      </c>
      <c r="C161" s="77" t="n">
        <v>46311</v>
      </c>
      <c r="D161" s="79" t="n">
        <v>60</v>
      </c>
      <c r="E161" s="112" t="inlineStr">
        <is>
          <t>Pendente</t>
        </is>
      </c>
      <c r="F161" s="112">
        <f>IF(OR($E161="Recebido",$C161=""),"",MAX(0,TODAY()-$C161))</f>
        <v/>
      </c>
      <c r="G161" s="78" t="inlineStr">
        <is>
          <t>Troca do dia 16/10/2026 — bebedouro da recepção. Venda de R$ 200,00: R$ 140,00 pagos em dinheiro em 16/10/2026; falta R$ 60,00.</t>
        </is>
      </c>
    </row>
    <row r="162" s="157">
      <c r="A162" s="78" t="inlineStr">
        <is>
          <t>Contabilidade Abreu</t>
        </is>
      </c>
      <c r="B162" s="78" t="inlineStr">
        <is>
          <t>Termostato</t>
        </is>
      </c>
      <c r="C162" s="77" t="n">
        <v>46311</v>
      </c>
      <c r="D162" s="79" t="n">
        <v>170</v>
      </c>
      <c r="E162" s="112" t="inlineStr">
        <is>
          <t>Pendente</t>
        </is>
      </c>
      <c r="F162" s="112">
        <f>IF(OR($E162="Recebido",$C162=""),"",MAX(0,TODAY()-$C162))</f>
        <v/>
      </c>
      <c r="G162" s="78" t="inlineStr">
        <is>
          <t>Troca de termostato do dia 16/10/2026.</t>
        </is>
      </c>
    </row>
    <row r="163" s="157">
      <c r="A163" s="86" t="inlineStr">
        <is>
          <t>TOTAL EM ABERTO A RECEBER (detalhe)</t>
        </is>
      </c>
      <c r="D163" s="115">
        <f>SUMIF(E102:E162,"Pendente",D102:D162)</f>
        <v/>
      </c>
    </row>
    <row r="164" s="157">
      <c r="A164" s="202" t="inlineStr">
        <is>
          <t>CONFERÊNCIA COM AS ABAS DOS MESES</t>
        </is>
      </c>
      <c r="B164" s="159" t="n"/>
      <c r="C164" s="159" t="n"/>
      <c r="D164" s="159" t="n"/>
      <c r="E164" s="159" t="n"/>
      <c r="F164" s="159" t="n"/>
      <c r="G164" s="160" t="n"/>
    </row>
    <row r="165" s="157">
      <c r="A165" s="203">
        <f>IF(ROUND(D163-C5,2)=0,"OK — o detalhe acima bate com as vendas marcadas como Aguardando Pagamento nas abas dos meses.","ATENÇÃO: diferença de R$ "&amp;TEXT(ABS(D163-C5),"#,##0.00")&amp;" entre este detalhe e as abas dos meses — alguma venda mudou de status em um lado só.")</f>
        <v/>
      </c>
    </row>
    <row r="166" s="157">
      <c r="A166" s="203" t="inlineStr">
        <is>
          <t>As contas a pagar do DigiSat (pendentes até 27/07/2026) foram todas quitadas — confirmado em 19/08/2026. A única dívida em aberto hoje é o Capital de Giro do Banco do Brasil. Lance aqui novos compromissos conforme surgirem.</t>
        </is>
      </c>
    </row>
    <row r="167" s="157"/>
    <row r="168" s="157"/>
    <row r="169" s="157"/>
    <row r="170" s="157"/>
    <row r="171" s="157"/>
    <row r="172" s="157"/>
    <row r="173" s="157"/>
    <row r="174" s="157"/>
    <row r="175" s="157"/>
    <row r="176" s="157"/>
    <row r="177" s="157"/>
    <row r="178" s="157"/>
    <row r="179" s="157"/>
    <row r="180" s="157"/>
    <row r="181" s="157"/>
    <row r="182" s="157"/>
    <row r="183" s="157"/>
    <row r="184" s="157"/>
    <row r="185" s="157"/>
    <row r="186" s="157"/>
    <row r="187" s="157"/>
    <row r="188" s="157"/>
    <row r="189" s="157"/>
    <row r="190" s="157"/>
    <row r="191" s="157"/>
    <row r="192" s="157"/>
    <row r="193" s="157"/>
    <row r="194" s="157"/>
    <row r="195" s="157"/>
    <row r="196" s="157"/>
    <row r="197" s="157"/>
    <row r="198" s="157"/>
    <row r="199" s="157"/>
    <row r="200" s="157"/>
    <row r="201" s="157"/>
    <row r="202" s="157"/>
    <row r="203" s="157"/>
    <row r="204" s="157"/>
  </sheetData>
  <mergeCells count="13">
    <mergeCell ref="A4:B4"/>
    <mergeCell ref="E4:F4"/>
    <mergeCell ref="A1:G1"/>
    <mergeCell ref="A9:G9"/>
    <mergeCell ref="A100:G100"/>
    <mergeCell ref="C5:D6"/>
    <mergeCell ref="A5:B6"/>
    <mergeCell ref="A2:G2"/>
    <mergeCell ref="E5:F6"/>
    <mergeCell ref="A165:G165"/>
    <mergeCell ref="A99:G99"/>
    <mergeCell ref="A164:G164"/>
    <mergeCell ref="C4:D4"/>
  </mergeCells>
  <dataValidations count="2">
    <dataValidation sqref="E11:E94" showDropDown="0" showInputMessage="0" showErrorMessage="0" allowBlank="1" type="list">
      <formula1>"Pendente,Pago,Previsto"</formula1>
    </dataValidation>
    <dataValidation sqref="E102:E162" showDropDown="0" showInputMessage="0" showErrorMessage="0" allowBlank="1" type="list">
      <formula1>"Pendente,Recebido"</formula1>
    </dataValidation>
  </dataValidations>
  <hyperlinks>
    <hyperlink ref="A3" location="'Início'!A1" display="← Início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B7791F"/>
    <outlinePr summaryBelow="1" summaryRight="1"/>
    <pageSetUpPr/>
  </sheetPr>
  <dimension ref="A1:G20"/>
  <sheetViews>
    <sheetView showGridLines="0" zoomScale="70" zoomScaleNormal="70" workbookViewId="0">
      <pane ySplit="8" topLeftCell="A9" activePane="bottomLeft" state="frozen"/>
      <selection pane="bottomLeft" activeCell="A1" sqref="A1:G1"/>
    </sheetView>
  </sheetViews>
  <sheetFormatPr baseColWidth="8" defaultRowHeight="15"/>
  <cols>
    <col width="14" customWidth="1" style="157" min="1" max="1"/>
    <col width="46" customWidth="1" style="157" min="2" max="2"/>
    <col width="32" customWidth="1" style="157" min="3" max="3"/>
    <col width="16" customWidth="1" style="157" min="4" max="5"/>
    <col width="18" customWidth="1" style="157" min="6" max="6"/>
    <col width="52" customWidth="1" style="157" min="7" max="7"/>
  </cols>
  <sheetData>
    <row r="1" ht="21" customHeight="1" s="157">
      <c r="A1" s="209" t="inlineStr">
        <is>
          <t>CAPITAL DE GIRO — BANCO DO BRASIL (Empréstimo de Reserva)</t>
        </is>
      </c>
    </row>
    <row r="2">
      <c r="A2" s="214" t="inlineStr">
        <is>
          <t>Controle de contas da loja pagas pela reserva do Banco do Brasil (não contam como venda/faturamento) e das devoluções feitas pela Planeta Água até quitar o valor.</t>
        </is>
      </c>
    </row>
    <row r="3">
      <c r="A3" s="127" t="inlineStr">
        <is>
          <t>← Início</t>
        </is>
      </c>
    </row>
    <row r="4">
      <c r="A4" s="207" t="inlineStr">
        <is>
          <t>SALDO DEVEDOR (A DEVOLVER)</t>
        </is>
      </c>
      <c r="C4" s="216" t="n"/>
      <c r="E4" s="208" t="inlineStr">
        <is>
          <t>TOTAL JÁ RETIRADO (HISTÓRICO)</t>
        </is>
      </c>
    </row>
    <row r="5">
      <c r="A5" s="213" t="n"/>
      <c r="C5" s="212">
        <f>SUMIF(E9:E200,"A Devolver",D9:D200)</f>
        <v/>
      </c>
      <c r="E5" s="215">
        <f>SUM(D9:D200)</f>
        <v/>
      </c>
    </row>
    <row r="6"/>
    <row r="8">
      <c r="A8" s="33" t="inlineStr">
        <is>
          <t>Data</t>
        </is>
      </c>
      <c r="B8" s="33" t="inlineStr">
        <is>
          <t>Conta Paga</t>
        </is>
      </c>
      <c r="C8" s="33" t="inlineStr">
        <is>
          <t>Categoria Original</t>
        </is>
      </c>
      <c r="D8" s="33" t="inlineStr">
        <is>
          <t>Valor (R$)</t>
        </is>
      </c>
      <c r="E8" s="33" t="inlineStr">
        <is>
          <t>Status</t>
        </is>
      </c>
      <c r="F8" s="33" t="inlineStr">
        <is>
          <t>Data da Devolução</t>
        </is>
      </c>
      <c r="G8" s="33" t="inlineStr">
        <is>
          <t>Observações</t>
        </is>
      </c>
    </row>
    <row r="9">
      <c r="A9" s="40" t="n">
        <v>46237</v>
      </c>
      <c r="B9" s="34" t="inlineStr">
        <is>
          <t>Fracione Transportes</t>
        </is>
      </c>
      <c r="C9" s="34" t="inlineStr">
        <is>
          <t>Transporte e Entregas</t>
        </is>
      </c>
      <c r="D9" s="35" t="n">
        <v>1420</v>
      </c>
      <c r="E9" s="36" t="inlineStr">
        <is>
          <t>Devolvido</t>
        </is>
      </c>
      <c r="F9" s="40" t="n">
        <v>46265</v>
      </c>
      <c r="G9" s="34" t="inlineStr">
        <is>
          <t>Pago via Banco do Brasil — referente Ago 2026</t>
        </is>
      </c>
    </row>
    <row r="10">
      <c r="A10" s="41" t="n">
        <v>46237</v>
      </c>
      <c r="B10" s="37" t="inlineStr">
        <is>
          <t>Aluguel da Loja</t>
        </is>
      </c>
      <c r="C10" s="37" t="inlineStr">
        <is>
          <t>Aluguel</t>
        </is>
      </c>
      <c r="D10" s="38" t="n">
        <v>880</v>
      </c>
      <c r="E10" s="39" t="inlineStr">
        <is>
          <t>Devolvido</t>
        </is>
      </c>
      <c r="F10" s="41" t="n">
        <v>46265</v>
      </c>
      <c r="G10" s="37" t="inlineStr">
        <is>
          <t>Pago via Banco do Brasil — referente Ago 2026</t>
        </is>
      </c>
    </row>
    <row r="11">
      <c r="A11" s="40" t="n">
        <v>46237</v>
      </c>
      <c r="B11" s="34" t="inlineStr">
        <is>
          <t>Salário Erick (Estagiário)</t>
        </is>
      </c>
      <c r="C11" s="34" t="inlineStr">
        <is>
          <t>Salários, Comissões e Encargos</t>
        </is>
      </c>
      <c r="D11" s="35" t="n">
        <v>600</v>
      </c>
      <c r="E11" s="36" t="inlineStr">
        <is>
          <t>Devolvido</t>
        </is>
      </c>
      <c r="F11" s="40" t="n">
        <v>46265</v>
      </c>
      <c r="G11" s="34" t="inlineStr">
        <is>
          <t>Pago via Banco do Brasil — referente Ago 2026</t>
        </is>
      </c>
    </row>
    <row r="12">
      <c r="A12" s="41" t="n">
        <v>46239</v>
      </c>
      <c r="B12" s="37" t="inlineStr">
        <is>
          <t>Filtros Planeta Água</t>
        </is>
      </c>
      <c r="C12" s="37" t="inlineStr">
        <is>
          <t>Fornecedores / Mercadoria</t>
        </is>
      </c>
      <c r="D12" s="38" t="n">
        <v>1674.12</v>
      </c>
      <c r="E12" s="39" t="inlineStr">
        <is>
          <t>Devolvido</t>
        </is>
      </c>
      <c r="F12" s="41" t="n">
        <v>46265</v>
      </c>
      <c r="G12" s="37" t="inlineStr">
        <is>
          <t>Pago via Banco do Brasil — referente Ago 2026</t>
        </is>
      </c>
    </row>
    <row r="13">
      <c r="A13" s="40" t="n">
        <v>46238</v>
      </c>
      <c r="B13" s="34" t="inlineStr">
        <is>
          <t>Eversoft</t>
        </is>
      </c>
      <c r="C13" s="34" t="inlineStr">
        <is>
          <t>Fornecedores / Mercadoria</t>
        </is>
      </c>
      <c r="D13" s="35" t="n">
        <v>980.83</v>
      </c>
      <c r="E13" s="36" t="inlineStr">
        <is>
          <t>Devolvido</t>
        </is>
      </c>
      <c r="F13" s="40" t="n">
        <v>46265</v>
      </c>
      <c r="G13" s="34" t="inlineStr">
        <is>
          <t>Pago via Banco do Brasil — referente Ago 2026</t>
        </is>
      </c>
    </row>
    <row r="14">
      <c r="A14" s="40" t="n">
        <v>46251</v>
      </c>
      <c r="B14" s="34" t="inlineStr">
        <is>
          <t>Despesas do dia 17/08/2026 (complemento)</t>
        </is>
      </c>
      <c r="C14" s="34" t="inlineStr">
        <is>
          <t>Diversas</t>
        </is>
      </c>
      <c r="D14" s="35" t="n">
        <v>250</v>
      </c>
      <c r="E14" s="36" t="inlineStr">
        <is>
          <t>Devolvido</t>
        </is>
      </c>
      <c r="F14" s="40" t="n">
        <v>46265</v>
      </c>
      <c r="G14" s="34" t="inlineStr">
        <is>
          <t>Retirada de R$ 250,00 para completar o pagamento das despesas de 17/08 — não corresponde a uma conta específica</t>
        </is>
      </c>
    </row>
    <row r="15" s="157">
      <c r="A15" s="40" t="n">
        <v>46254</v>
      </c>
      <c r="B15" s="34" t="inlineStr">
        <is>
          <t>DAS — Documento de Arrecadação do Simples Nacional</t>
        </is>
      </c>
      <c r="C15" s="34" t="inlineStr">
        <is>
          <t>Impostos e Taxas</t>
        </is>
      </c>
      <c r="D15" s="35" t="n">
        <v>2330.53</v>
      </c>
      <c r="E15" s="36" t="inlineStr">
        <is>
          <t>Devolvido</t>
        </is>
      </c>
      <c r="F15" s="40" t="n">
        <v>46265</v>
      </c>
      <c r="G15" s="34" t="inlineStr">
        <is>
          <t>Pago via Banco do Brasil — referente Ago 2026</t>
        </is>
      </c>
    </row>
    <row r="16" s="157">
      <c r="A16" s="40" t="n">
        <v>46295</v>
      </c>
      <c r="B16" s="34" t="inlineStr">
        <is>
          <t>Knox Produtos Refrigerados (2 bebedouros industriais)</t>
        </is>
      </c>
      <c r="C16" s="34" t="inlineStr">
        <is>
          <t>Fornecedores / Mercadoria</t>
        </is>
      </c>
      <c r="D16" s="35" t="n">
        <v>3272</v>
      </c>
      <c r="E16" s="36" t="inlineStr">
        <is>
          <t>Devolvido</t>
        </is>
      </c>
      <c r="F16" s="40" t="n">
        <v>46300</v>
      </c>
      <c r="G16" s="34" t="inlineStr">
        <is>
          <t>Pago pelo Adriano via Pix do Banco do Brasil com dinheiro da reserva — 30/09/2026. Devolvido em 05/10/2026: a loja transferiu R$ 6.000,00 (conta Ton/Stone → Adriano → Banco do Brasil), sendo R$ 3.272,00 desta devolução e R$ 2.728,00 para a reserva.</t>
        </is>
      </c>
    </row>
    <row r="17" s="157">
      <c r="A17" s="164" t="n"/>
    </row>
    <row r="18" s="157">
      <c r="A18" s="210" t="inlineStr">
        <is>
          <t>Como registrar uma devolução:</t>
        </is>
      </c>
    </row>
    <row r="19" s="157">
      <c r="A19" s="211" t="inlineStr">
        <is>
          <t>1. Trocar "Status" da linha para "Devolvido" e preencher a "Data da Devolução".</t>
        </is>
      </c>
    </row>
    <row r="20" s="157">
      <c r="A20" s="129" t="inlineStr">
        <is>
          <t>2. Só isso. NÃO lançar a devolução como Saída na aba do mês — a despesa já foi lançada uma vez lá. Enquanto o status for "A Devolver", o valor é descontado do total de Despesas do mês (linha "Capital de Giro (BB) — ainda a devolver" do pivô); ao virar "Devolvido", passa a contar normalmente.</t>
        </is>
      </c>
    </row>
  </sheetData>
  <mergeCells count="11">
    <mergeCell ref="A4:B4"/>
    <mergeCell ref="E4:F4"/>
    <mergeCell ref="A1:G1"/>
    <mergeCell ref="A17:G17"/>
    <mergeCell ref="A18:G18"/>
    <mergeCell ref="C5:D6"/>
    <mergeCell ref="A5:B6"/>
    <mergeCell ref="A2:G2"/>
    <mergeCell ref="E5:F6"/>
    <mergeCell ref="A19:G19"/>
    <mergeCell ref="C4:D4"/>
  </mergeCells>
  <dataValidations count="1">
    <dataValidation sqref="E9:E200" showDropDown="0" showInputMessage="0" showErrorMessage="0" allowBlank="1" type="list">
      <formula1>"A Devolver,Devolvido"</formula1>
    </dataValidation>
  </dataValidations>
  <hyperlinks>
    <hyperlink ref="A3" location="'Início'!A1" display="← Início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E7B34"/>
    <outlinePr summaryBelow="1" summaryRight="1"/>
    <pageSetUpPr/>
  </sheetPr>
  <dimension ref="A1:H28"/>
  <sheetViews>
    <sheetView showGridLines="0" zoomScale="85" zoomScaleNormal="85" workbookViewId="0">
      <pane ySplit="4" topLeftCell="A5" activePane="bottomLeft" state="frozen"/>
      <selection pane="bottomLeft" activeCell="A3" sqref="A3"/>
    </sheetView>
  </sheetViews>
  <sheetFormatPr baseColWidth="8" defaultRowHeight="15"/>
  <cols>
    <col width="42" customWidth="1" style="157" min="1" max="1"/>
    <col width="18" customWidth="1" style="157" min="2" max="2"/>
    <col width="26" customWidth="1" style="157" min="3" max="3"/>
    <col width="20" customWidth="1" style="157" min="4" max="4"/>
    <col width="26" customWidth="1" style="157" min="5" max="5"/>
  </cols>
  <sheetData>
    <row r="1" ht="21" customHeight="1" s="157">
      <c r="A1" s="209" t="inlineStr">
        <is>
          <t>PONTO DE EQUILÍBRIO</t>
        </is>
      </c>
    </row>
    <row r="2">
      <c r="A2" s="218" t="inlineStr">
        <is>
          <t>Quanto a loja precisa faturar por mês para pagar todas as contas E o pró-labore da Edilânia, sem prejuízo. Base: média dos meses já fechados em 2026 (o mês em andamento só entra na média quando terminar).</t>
        </is>
      </c>
    </row>
    <row r="3">
      <c r="A3" s="127" t="inlineStr">
        <is>
          <t>← Início</t>
        </is>
      </c>
    </row>
    <row r="4">
      <c r="A4" s="51" t="inlineStr">
        <is>
          <t>Indicador</t>
        </is>
      </c>
      <c r="B4" s="51" t="inlineStr">
        <is>
          <t>Valor</t>
        </is>
      </c>
    </row>
    <row r="5">
      <c r="A5" s="52" t="inlineStr">
        <is>
          <t>Receita média mensal</t>
        </is>
      </c>
      <c r="B5" s="55">
        <f>'DRE Simplificado'!O5</f>
        <v/>
      </c>
    </row>
    <row r="6">
      <c r="A6" s="54" t="inlineStr">
        <is>
          <t>Custos variáveis médios</t>
        </is>
      </c>
      <c r="B6" s="57">
        <f>'DRE Simplificado'!O10</f>
        <v/>
      </c>
    </row>
    <row r="7">
      <c r="A7" s="52" t="inlineStr">
        <is>
          <t>Margem de contribuição média (R$)</t>
        </is>
      </c>
      <c r="B7" s="55">
        <f>'DRE Simplificado'!O11</f>
        <v/>
      </c>
    </row>
    <row r="8">
      <c r="A8" s="54" t="inlineStr">
        <is>
          <t>Margem de contribuição (%)</t>
        </is>
      </c>
      <c r="B8" s="64">
        <f>IF(B5=0,"",B7/B5)</f>
        <v/>
      </c>
    </row>
    <row r="9">
      <c r="A9" s="52" t="inlineStr">
        <is>
          <t>Custos fixos da loja (média por mês)</t>
        </is>
      </c>
      <c r="B9" s="55">
        <f>'DRE Simplificado'!O23</f>
        <v/>
      </c>
    </row>
    <row r="10">
      <c r="A10" s="130" t="inlineStr">
        <is>
          <t>Pró-labore combinado da Edilânia (por mês)</t>
        </is>
      </c>
      <c r="B10" s="65" t="n">
        <v>4000</v>
      </c>
      <c r="C10" s="131" t="inlineStr">
        <is>
          <t>← valor combinado em 05/10/2026. Se o combinado mudar, troque só aqui — a planilha e o site usam este número.</t>
        </is>
      </c>
    </row>
    <row r="11">
      <c r="A11" s="246" t="inlineStr">
        <is>
          <t>Total a pagar por mês (custos fixos + pró-labore)</t>
        </is>
      </c>
      <c r="B11" s="247">
        <f>B9+B10</f>
        <v/>
      </c>
    </row>
    <row r="12">
      <c r="A12" s="59" t="inlineStr">
        <is>
          <t>PONTO DE EQUILÍBRIO (faturamento mínimo/mês, já pagando o pró-labore)</t>
        </is>
      </c>
      <c r="B12" s="60">
        <f>IF(B8&lt;=0,"",B11/B8)</f>
        <v/>
      </c>
    </row>
    <row r="13">
      <c r="A13" s="52" t="inlineStr">
        <is>
          <t>Sobra média da loja ANTES do pró-labore</t>
        </is>
      </c>
      <c r="B13" s="55">
        <f>'DRE Simplificado'!O24</f>
        <v/>
      </c>
    </row>
    <row r="14">
      <c r="A14" s="246" t="inlineStr">
        <is>
          <t>Sobra média DEPOIS do pró-labore combinado</t>
        </is>
      </c>
      <c r="B14" s="247">
        <f>B13-B10</f>
        <v/>
      </c>
    </row>
    <row r="15" ht="15.75" customHeight="1" s="157"/>
    <row r="16" ht="30" customHeight="1" s="157">
      <c r="A16" s="130" t="inlineStr">
        <is>
          <t>Ticket médio da loja (preencha)</t>
        </is>
      </c>
      <c r="B16" s="65" t="n">
        <v>140</v>
      </c>
      <c r="C16" s="131" t="inlineStr">
        <is>
          <t>← valor médio de uma venda. Serve para converter R$ em nº de vendas.</t>
        </is>
      </c>
    </row>
    <row r="18">
      <c r="A18" s="66" t="inlineStr">
        <is>
          <t>QUANTO PRECISO VENDER PARA...</t>
        </is>
      </c>
    </row>
    <row r="19" ht="30" customHeight="1" s="157">
      <c r="A19" s="51" t="inlineStr">
        <is>
          <t>Objetivo</t>
        </is>
      </c>
      <c r="B19" s="51" t="inlineStr">
        <is>
          <t>Lucro desejado (R$) — além do pró-labore</t>
        </is>
      </c>
      <c r="C19" s="51" t="inlineStr">
        <is>
          <t>Faturamento necessário (R$)</t>
        </is>
      </c>
      <c r="D19" s="51" t="inlineStr">
        <is>
          <t>Nº de vendas no mês</t>
        </is>
      </c>
      <c r="E19" s="51" t="inlineStr">
        <is>
          <t>Vendas por dia útil (26 dias)</t>
        </is>
      </c>
    </row>
    <row r="20">
      <c r="A20" s="52" t="inlineStr">
        <is>
          <t>Pagar tudo e a Edilânia (sem prejuízo)</t>
        </is>
      </c>
      <c r="B20" s="55" t="n">
        <v>0</v>
      </c>
      <c r="C20" s="55">
        <f>IF($B$8&lt;=0,"",($B$11+B20)/$B$8)</f>
        <v/>
      </c>
      <c r="D20" s="56">
        <f>IF(OR($B$8&lt;=0,$B$16=0),"",ROUNDUP(C20/$B$16,0))</f>
        <v/>
      </c>
      <c r="E20" s="56">
        <f>IF(D20="","",ROUND(D20/26,1))</f>
        <v/>
      </c>
    </row>
    <row r="21">
      <c r="A21" s="52" t="inlineStr">
        <is>
          <t>Lucrar R$ 500</t>
        </is>
      </c>
      <c r="B21" s="55" t="n">
        <v>500</v>
      </c>
      <c r="C21" s="55">
        <f>IF($B$8&lt;=0,"",($B$11+B21)/$B$8)</f>
        <v/>
      </c>
      <c r="D21" s="56">
        <f>IF(OR($B$8&lt;=0,$B$16=0),"",ROUNDUP(C21/$B$16,0))</f>
        <v/>
      </c>
      <c r="E21" s="56">
        <f>IF(D21="","",ROUND(D21/26,1))</f>
        <v/>
      </c>
    </row>
    <row r="22">
      <c r="A22" s="52" t="inlineStr">
        <is>
          <t>Lucrar R$ 1.000</t>
        </is>
      </c>
      <c r="B22" s="55" t="n">
        <v>1000</v>
      </c>
      <c r="C22" s="55">
        <f>IF($B$8&lt;=0,"",($B$11+B22)/$B$8)</f>
        <v/>
      </c>
      <c r="D22" s="56">
        <f>IF(OR($B$8&lt;=0,$B$16=0),"",ROUNDUP(C22/$B$16,0))</f>
        <v/>
      </c>
      <c r="E22" s="56">
        <f>IF(D22="","",ROUND(D22/26,1))</f>
        <v/>
      </c>
    </row>
    <row r="23">
      <c r="A23" s="52" t="inlineStr">
        <is>
          <t>Lucrar R$ 2.000</t>
        </is>
      </c>
      <c r="B23" s="55" t="n">
        <v>2000</v>
      </c>
      <c r="C23" s="55">
        <f>IF($B$8&lt;=0,"",($B$11+B23)/$B$8)</f>
        <v/>
      </c>
      <c r="D23" s="56">
        <f>IF(OR($B$8&lt;=0,$B$16=0),"",ROUNDUP(C23/$B$16,0))</f>
        <v/>
      </c>
      <c r="E23" s="56">
        <f>IF(D23="","",ROUND(D23/26,1))</f>
        <v/>
      </c>
    </row>
    <row r="24">
      <c r="A24" s="52" t="inlineStr">
        <is>
          <t>Lucrar R$ 3.000</t>
        </is>
      </c>
      <c r="B24" s="55" t="n">
        <v>3000</v>
      </c>
      <c r="C24" s="55">
        <f>IF($B$8&lt;=0,"",($B$11+B24)/$B$8)</f>
        <v/>
      </c>
      <c r="D24" s="56">
        <f>IF(OR($B$8&lt;=0,$B$16=0),"",ROUNDUP(C24/$B$16,0))</f>
        <v/>
      </c>
      <c r="E24" s="56">
        <f>IF(D24="","",ROUND(D24/26,1))</f>
        <v/>
      </c>
    </row>
    <row r="25">
      <c r="A25" s="52" t="inlineStr">
        <is>
          <t>Lucrar R$ 5.000</t>
        </is>
      </c>
      <c r="B25" s="55" t="n">
        <v>5000</v>
      </c>
      <c r="C25" s="55">
        <f>IF($B$8&lt;=0,"",($B$11+B25)/$B$8)</f>
        <v/>
      </c>
      <c r="D25" s="56">
        <f>IF(OR($B$8&lt;=0,$B$16=0),"",ROUNDUP(C25/$B$16,0))</f>
        <v/>
      </c>
      <c r="E25" s="56">
        <f>IF(D25="","",ROUND(D25/26,1))</f>
        <v/>
      </c>
    </row>
    <row r="27">
      <c r="A27" s="217">
        <f>IF(B8&lt;=0,"⚠ ATENÇÃO: a margem de contribuição está negativa ou zerada — os custos variáveis estão consumindo toda a receita. Enquanto isso não for corrigido (preço, frete ou custo de compra), não existe ponto de equilíbrio possível.","✔ Margem de contribuição positiva: cada R$ 100 vendidos deixam R$ "&amp;TEXT(B8*100,"0.00")&amp;" para pagar os custos fixos, o pró-labore e gerar lucro.")</f>
        <v/>
      </c>
    </row>
    <row r="28" ht="30" customHeight="1" s="157">
      <c r="A28" s="248" t="inlineStr">
        <is>
          <t>O pró-labore da Edilânia é tudo o que ela gasta do dinheiro da loja (categoria "Pro Labore Edilânia" nas abas dos meses). Por isso ele entra aqui como uma conta fixa: a loja só está "no zero a zero" quando paga todas as despesas E os R$ combinados com ela.</t>
        </is>
      </c>
    </row>
  </sheetData>
  <mergeCells count="4">
    <mergeCell ref="A28:H28"/>
    <mergeCell ref="A27:H27"/>
    <mergeCell ref="A2:H2"/>
    <mergeCell ref="A1:H1"/>
  </mergeCells>
  <hyperlinks>
    <hyperlink ref="A3" location="'Início'!A1" display="← Início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1E7B34"/>
    <outlinePr summaryBelow="1" summaryRight="1"/>
    <pageSetUpPr/>
  </sheetPr>
  <dimension ref="A1:H16"/>
  <sheetViews>
    <sheetView showGridLines="0" zoomScale="85" zoomScaleNormal="85" workbookViewId="0">
      <pane ySplit="6" topLeftCell="A7" activePane="bottomLeft" state="frozen"/>
      <selection pane="bottomLeft" activeCell="A1" sqref="A1:H1"/>
    </sheetView>
  </sheetViews>
  <sheetFormatPr baseColWidth="8" defaultRowHeight="15"/>
  <cols>
    <col width="20" customWidth="1" style="157" min="1" max="1"/>
    <col width="22" customWidth="1" style="157" min="2" max="6"/>
  </cols>
  <sheetData>
    <row r="1" ht="21" customHeight="1" s="157">
      <c r="A1" s="209" t="inlineStr">
        <is>
          <t>FLUXO DE CAIXA PROJETADO</t>
        </is>
      </c>
    </row>
    <row r="2">
      <c r="A2" s="218" t="inlineStr">
        <is>
          <t>Projeção do saldo dos próximos meses. As previsões vêm da média dos meses já fechados; edite as células amarelas com o que você já sabe que vai entrar ou sair.</t>
        </is>
      </c>
    </row>
    <row r="3">
      <c r="A3" s="127" t="inlineStr">
        <is>
          <t>← Início</t>
        </is>
      </c>
    </row>
    <row r="4">
      <c r="A4" s="130" t="inlineStr">
        <is>
          <t>Saldo de caixa hoje (preencha)</t>
        </is>
      </c>
      <c r="B4" s="109" t="n">
        <v>0</v>
      </c>
      <c r="C4" s="131" t="inlineStr">
        <is>
          <t>← quanto existe de dinheiro em caixa + banco nesta data</t>
        </is>
      </c>
    </row>
    <row r="6" ht="30" customHeight="1" s="157">
      <c r="A6" s="51" t="inlineStr">
        <is>
          <t>Mês</t>
        </is>
      </c>
      <c r="B6" s="51" t="inlineStr">
        <is>
          <t>Entradas Previstas (R$)</t>
        </is>
      </c>
      <c r="C6" s="51" t="inlineStr">
        <is>
          <t>Recebimentos de Contas a Receber (R$)</t>
        </is>
      </c>
      <c r="D6" s="51" t="inlineStr">
        <is>
          <t>Saídas Previstas (R$)</t>
        </is>
      </c>
      <c r="E6" s="51" t="inlineStr">
        <is>
          <t>Resultado do Mês (R$)</t>
        </is>
      </c>
      <c r="F6" s="51" t="inlineStr">
        <is>
          <t>Saldo Acumulado (R$)</t>
        </is>
      </c>
    </row>
    <row r="7">
      <c r="A7" s="52" t="inlineStr">
        <is>
          <t>Setembro/2026</t>
        </is>
      </c>
      <c r="B7" s="65">
        <f>'DRE Simplificado'!O5</f>
        <v/>
      </c>
      <c r="C7" s="65">
        <f>'Contas a Pagar e Receber'!C5</f>
        <v/>
      </c>
      <c r="D7" s="65">
        <f>('DRE Simplificado'!O10+'DRE Simplificado'!O23+'Ponto de Equilíbrio'!$B$10)</f>
        <v/>
      </c>
      <c r="E7" s="55">
        <f>B7+C7-D7</f>
        <v/>
      </c>
      <c r="F7" s="62">
        <f>$B$4+E7</f>
        <v/>
      </c>
    </row>
    <row r="8">
      <c r="A8" s="54" t="inlineStr">
        <is>
          <t>Outubro/2026</t>
        </is>
      </c>
      <c r="B8" s="65">
        <f>'DRE Simplificado'!O5</f>
        <v/>
      </c>
      <c r="C8" s="65" t="n">
        <v>0</v>
      </c>
      <c r="D8" s="65">
        <f>('DRE Simplificado'!O10+'DRE Simplificado'!O23+'Ponto de Equilíbrio'!$B$10)</f>
        <v/>
      </c>
      <c r="E8" s="57">
        <f>B8+C8-D8</f>
        <v/>
      </c>
      <c r="F8" s="67">
        <f>F7+E8</f>
        <v/>
      </c>
    </row>
    <row r="9">
      <c r="A9" s="52" t="inlineStr">
        <is>
          <t>Novembro/2026</t>
        </is>
      </c>
      <c r="B9" s="65">
        <f>'DRE Simplificado'!O5</f>
        <v/>
      </c>
      <c r="C9" s="65" t="n">
        <v>0</v>
      </c>
      <c r="D9" s="65">
        <f>('DRE Simplificado'!O10+'DRE Simplificado'!O23+'Ponto de Equilíbrio'!$B$10)</f>
        <v/>
      </c>
      <c r="E9" s="55">
        <f>B9+C9-D9</f>
        <v/>
      </c>
      <c r="F9" s="62">
        <f>F8+E9</f>
        <v/>
      </c>
    </row>
    <row r="10">
      <c r="A10" s="54" t="inlineStr">
        <is>
          <t>Dezembro/2026</t>
        </is>
      </c>
      <c r="B10" s="65">
        <f>'DRE Simplificado'!O5</f>
        <v/>
      </c>
      <c r="C10" s="65" t="n">
        <v>0</v>
      </c>
      <c r="D10" s="65">
        <f>('DRE Simplificado'!O10+'DRE Simplificado'!O23+'Ponto de Equilíbrio'!$B$10)</f>
        <v/>
      </c>
      <c r="E10" s="57">
        <f>B10+C10-D10</f>
        <v/>
      </c>
      <c r="F10" s="67">
        <f>F9+E10</f>
        <v/>
      </c>
    </row>
    <row r="11">
      <c r="A11" s="59" t="n"/>
      <c r="B11" s="59" t="n"/>
      <c r="C11" s="59" t="n"/>
      <c r="D11" s="59" t="n"/>
      <c r="E11" s="59" t="n"/>
      <c r="F11" s="59" t="n"/>
    </row>
    <row r="12">
      <c r="A12" s="59" t="inlineStr">
        <is>
          <t>TOTAL PROJETADO</t>
        </is>
      </c>
      <c r="B12" s="60">
        <f>SUM(B7:B10)</f>
        <v/>
      </c>
      <c r="C12" s="60">
        <f>SUM(C7:C10)</f>
        <v/>
      </c>
      <c r="D12" s="60">
        <f>SUM(D7:D10)</f>
        <v/>
      </c>
      <c r="E12" s="60">
        <f>SUM(E7:E10)</f>
        <v/>
      </c>
      <c r="F12" s="60">
        <f>F10</f>
        <v/>
      </c>
    </row>
    <row r="14">
      <c r="A14" s="217">
        <f>IF(F10&lt;0,"⚠ Pelo ritmo atual, o caixa fica NEGATIVO até dezembro. Reveja despesas fixas ou acelere a cobrança do que está a receber.","✔ Pelo ritmo atual, o caixa se mantém positivo até dezembro.")</f>
        <v/>
      </c>
    </row>
    <row r="16">
      <c r="A16" s="219" t="inlineStr">
        <is>
          <t>Saídas previstas = custos variáveis médios + custos fixos médios (aba DRE) + pró-labore combinado da Edilânia. As contas a receber pendentes entram uma única vez, em setembro, pois são vendas já feitas.</t>
        </is>
      </c>
    </row>
  </sheetData>
  <mergeCells count="4">
    <mergeCell ref="A14:F14"/>
    <mergeCell ref="A16:F16"/>
    <mergeCell ref="A2:H2"/>
    <mergeCell ref="A1:H1"/>
  </mergeCells>
  <hyperlinks>
    <hyperlink ref="A3" location="'Início'!A1" display="← Início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1E7B34"/>
    <outlinePr summaryBelow="1" summaryRight="1"/>
    <pageSetUpPr/>
  </sheetPr>
  <dimension ref="A1:H24"/>
  <sheetViews>
    <sheetView showGridLines="0" zoomScale="85" zoomScaleNormal="85" workbookViewId="0">
      <pane ySplit="4" topLeftCell="A5" activePane="bottomLeft" state="frozen"/>
      <selection pane="bottomLeft" activeCell="A3" sqref="A3"/>
    </sheetView>
  </sheetViews>
  <sheetFormatPr baseColWidth="8" defaultRowHeight="15"/>
  <cols>
    <col width="52" customWidth="1" style="157" min="1" max="1"/>
    <col width="20" customWidth="1" style="157" min="2" max="2"/>
    <col width="56" customWidth="1" style="157" min="3" max="3"/>
  </cols>
  <sheetData>
    <row r="1" ht="21" customHeight="1" s="157">
      <c r="A1" s="209" t="inlineStr">
        <is>
          <t>RESERVA DE EMERGÊNCIA E IMPOSTOS</t>
        </is>
      </c>
    </row>
    <row r="2">
      <c r="A2" s="218" t="inlineStr">
        <is>
          <t>Quanto a loja precisa ter guardado para aguentar meses ruins, e quanto sai de imposto por mês.</t>
        </is>
      </c>
    </row>
    <row r="3">
      <c r="A3" s="127" t="inlineStr">
        <is>
          <t>← Início</t>
        </is>
      </c>
    </row>
    <row r="4" ht="15.75" customHeight="1" s="157">
      <c r="A4" s="66" t="inlineStr">
        <is>
          <t>RESERVA DE EMERGÊNCIA</t>
        </is>
      </c>
    </row>
    <row r="5">
      <c r="A5" s="51" t="inlineStr">
        <is>
          <t>Indicador</t>
        </is>
      </c>
      <c r="B5" s="51" t="inlineStr">
        <is>
          <t>Valor</t>
        </is>
      </c>
    </row>
    <row r="6">
      <c r="A6" s="54" t="inlineStr">
        <is>
          <t>Custo fixo médio mensal + pró-labore combinado da Edilânia</t>
        </is>
      </c>
      <c r="B6" s="57">
        <f>'DRE Simplificado'!O23+'Ponto de Equilíbrio'!$B$10</f>
        <v/>
      </c>
    </row>
    <row r="7">
      <c r="A7" s="52" t="inlineStr">
        <is>
          <t>Meses de cobertura desejados</t>
        </is>
      </c>
      <c r="B7" s="110" t="n">
        <v>3</v>
      </c>
      <c r="C7" s="131" t="inlineStr">
        <is>
          <t>← 3 meses é o padrão recomendado para pequeno comércio</t>
        </is>
      </c>
    </row>
    <row r="8">
      <c r="A8" s="59" t="inlineStr">
        <is>
          <t>RESERVA IDEAL</t>
        </is>
      </c>
      <c r="B8" s="60">
        <f>B6*B7</f>
        <v/>
      </c>
    </row>
    <row r="9">
      <c r="A9" s="52" t="inlineStr">
        <is>
          <t>Reserva que já existe hoje</t>
        </is>
      </c>
      <c r="B9" s="109" t="n">
        <v>28728</v>
      </c>
      <c r="C9" s="131" t="inlineStr">
        <is>
          <t>Aporte de Adriano em 03/09/2026: R$ 17.000,00 (R$ 8.135,48 desse valor quitou o saldo devedor do Capital de Giro (BB) — como o Capital de Giro É a reserva do Banco do Brasil, esse dinheiro voltou para a própria reserva ao quitar a dívida). Em 09/09/2026, retirada de R$ 6.500,00 do caixa da loja para a reserva — transferência entre contas da empresa, por isso não foi lançada como saída nas abas mensais. Pix do BNB para Adriano guardados como reserva (confirmado pela Edilânia em 30/09/2026): R$ 500,00 em 11/09 e R$ 2.000,00 em 25/09. Em 30/09/2026 saíram R$ 3.272,00 da reserva para pagar 2 bebedouros industriais da Knox (a loja deve devolver — ver aba Capital de Giro (BB)). Em 05/10/2026 a loja transferiu R$ 6.000,00 para a reserva no Banco do Brasil (via Pix para o Adriano): R$ 3.272,00 devolvendo o que a reserva pagou à Knox + R$ 2.728,00 a mais guardados. Total guardado: R$ 28.728,00. Em aberto: Pix de R$ 2.000,00 para Adriano em 09/09 — confirmar se já faz parte dos R$ 6.500,00 do mesmo dia.</t>
        </is>
      </c>
    </row>
    <row r="10">
      <c r="A10" s="54" t="inlineStr">
        <is>
          <t>Falta guardar</t>
        </is>
      </c>
      <c r="B10" s="57">
        <f>MAX(0,B8-B9)</f>
        <v/>
      </c>
    </row>
    <row r="11">
      <c r="A11" s="52" t="inlineStr">
        <is>
          <t>Meses de cobertura que você tem hoje</t>
        </is>
      </c>
      <c r="B11" s="75">
        <f>IF(B6=0,"",B9/B6)</f>
        <v/>
      </c>
    </row>
    <row r="14" ht="15.75" customHeight="1" s="157">
      <c r="A14" s="66" t="inlineStr">
        <is>
          <t>IMPOSTOS</t>
        </is>
      </c>
    </row>
    <row r="15">
      <c r="A15" s="51" t="inlineStr">
        <is>
          <t>Item</t>
        </is>
      </c>
      <c r="B15" s="51" t="inlineStr">
        <is>
          <t>Valor</t>
        </is>
      </c>
    </row>
    <row r="16">
      <c r="A16" s="54" t="inlineStr">
        <is>
          <t>Regime tributário</t>
        </is>
      </c>
      <c r="B16" s="53" t="inlineStr">
        <is>
          <t>Simples Nacional</t>
        </is>
      </c>
    </row>
    <row r="17">
      <c r="A17" s="52" t="inlineStr">
        <is>
          <t>Alíquota efetiva (%)</t>
        </is>
      </c>
      <c r="B17" s="69" t="n">
        <v>0.06</v>
      </c>
    </row>
    <row r="18">
      <c r="A18" s="54" t="inlineStr">
        <is>
          <t>Faturamento médio mensal</t>
        </is>
      </c>
      <c r="B18" s="57">
        <f>'DRE Simplificado'!O5</f>
        <v/>
      </c>
    </row>
    <row r="19">
      <c r="A19" s="52" t="inlineStr">
        <is>
          <t>Imposto estimado por mês</t>
        </is>
      </c>
      <c r="B19" s="55">
        <f>B18*B17</f>
        <v/>
      </c>
    </row>
    <row r="20">
      <c r="A20" s="54" t="inlineStr">
        <is>
          <t>Imposto estimado no ano (12 meses)</t>
        </is>
      </c>
      <c r="B20" s="57">
        <f>B19*12</f>
        <v/>
      </c>
    </row>
    <row r="21">
      <c r="A21" s="52" t="inlineStr">
        <is>
          <t>Dia de vencimento da guia (DAS)</t>
        </is>
      </c>
      <c r="B21" s="70" t="n">
        <v>20</v>
      </c>
    </row>
    <row r="23">
      <c r="A23" s="219" t="inlineStr">
        <is>
          <t>Regime e alíquota são um chute inicial — confirme com seu contador. O imposto já pago aparece nas abas mensais na categoria 'Impostos e Taxas'.</t>
        </is>
      </c>
    </row>
    <row r="24">
      <c r="A24" s="219" t="inlineStr">
        <is>
          <t>A reserva ideal cobre os custos fixos E o pró-labore da Edilânia. Se quiser cobrir também a compra de mercadoria, aumente os meses de cobertura.</t>
        </is>
      </c>
    </row>
  </sheetData>
  <mergeCells count="4">
    <mergeCell ref="A23:H23"/>
    <mergeCell ref="A24:H24"/>
    <mergeCell ref="A2:H2"/>
    <mergeCell ref="A1:H1"/>
  </mergeCells>
  <dataValidations count="1">
    <dataValidation sqref="B16" showDropDown="0" showInputMessage="0" showErrorMessage="0" allowBlank="1" type="list">
      <formula1>"MEI,Simples Nacional,Lucro Presumido,Lucro Real"</formula1>
    </dataValidation>
  </dataValidations>
  <hyperlinks>
    <hyperlink ref="A3" location="'Início'!A1" display="← Início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1E7B34"/>
    <outlinePr summaryBelow="1" summaryRight="1"/>
    <pageSetUpPr/>
  </sheetPr>
  <dimension ref="A1:F25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style="157" min="1" max="1"/>
    <col width="18" customWidth="1" style="157" min="2" max="6"/>
  </cols>
  <sheetData>
    <row r="1" ht="21" customHeight="1" s="157">
      <c r="A1" s="209" t="inlineStr">
        <is>
          <t>ORÇADO vs REALIZADO — AGOSTO/2026</t>
        </is>
      </c>
    </row>
    <row r="2">
      <c r="A2" s="218" t="inlineStr">
        <is>
          <t>Defina a meta (amarelo) e compare com o que realmente aconteceu. O realizado é puxado automaticamente da aba do mês.</t>
        </is>
      </c>
    </row>
    <row r="3">
      <c r="A3" s="127" t="inlineStr">
        <is>
          <t>← Início</t>
        </is>
      </c>
    </row>
    <row r="4">
      <c r="A4" s="51" t="inlineStr">
        <is>
          <t>Item</t>
        </is>
      </c>
      <c r="B4" s="51" t="inlineStr">
        <is>
          <t>Orçado (R$)</t>
        </is>
      </c>
      <c r="C4" s="51" t="inlineStr">
        <is>
          <t>Realizado (R$)</t>
        </is>
      </c>
      <c r="D4" s="51" t="inlineStr">
        <is>
          <t>Diferença (R$)</t>
        </is>
      </c>
      <c r="E4" s="51" t="inlineStr">
        <is>
          <t>% da Meta</t>
        </is>
      </c>
      <c r="F4" s="51" t="inlineStr">
        <is>
          <t>Situação</t>
        </is>
      </c>
    </row>
    <row r="5">
      <c r="A5" s="61" t="inlineStr">
        <is>
          <t>FATURAMENTO</t>
        </is>
      </c>
      <c r="B5" s="109" t="n">
        <v>15000</v>
      </c>
      <c r="C5" s="62">
        <f>SUMIF('Ago 2026'!E5:E500,"&lt;&gt;",'Ago 2026'!D5:D500)-SUMIF('Ago 2026'!E5:E500,"&lt;&gt;",'Ago 2026'!F5:F500)-'Ago 2026'!T5</f>
        <v/>
      </c>
      <c r="D5" s="62">
        <f>C5-B5</f>
        <v/>
      </c>
      <c r="E5" s="71">
        <f>IF(B5=0,"",C5/B5)</f>
        <v/>
      </c>
      <c r="F5" s="61">
        <f>IF(B5=0,"",IF(C5&gt;=B5,"✔ Meta atingida","Faltam "&amp;TEXT(B5-C5,"R$ #,##0.00")))</f>
        <v/>
      </c>
    </row>
    <row r="7" ht="15.75" customHeight="1" s="157">
      <c r="A7" s="66" t="inlineStr">
        <is>
          <t>DESPESAS POR CATEGORIA</t>
        </is>
      </c>
    </row>
    <row r="8">
      <c r="A8" s="51" t="inlineStr">
        <is>
          <t>Categoria</t>
        </is>
      </c>
      <c r="B8" s="51" t="inlineStr">
        <is>
          <t>Orçado (R$)</t>
        </is>
      </c>
      <c r="C8" s="51" t="inlineStr">
        <is>
          <t>Realizado (R$)</t>
        </is>
      </c>
      <c r="D8" s="51" t="inlineStr">
        <is>
          <t>Diferença (R$)</t>
        </is>
      </c>
      <c r="E8" s="51" t="inlineStr">
        <is>
          <t>% da Meta</t>
        </is>
      </c>
      <c r="F8" s="51" t="inlineStr">
        <is>
          <t>Situação</t>
        </is>
      </c>
    </row>
    <row r="9">
      <c r="A9" s="52" t="inlineStr">
        <is>
          <t>Fornecedores / Mercadoria</t>
        </is>
      </c>
      <c r="B9" s="109" t="n"/>
      <c r="C9" s="55">
        <f>'Ago 2026'!L5</f>
        <v/>
      </c>
      <c r="D9" s="55">
        <f>C9-B9</f>
        <v/>
      </c>
      <c r="E9" s="63">
        <f>IF(B9=0,"",C9/B9)</f>
        <v/>
      </c>
      <c r="F9" s="52">
        <f>IF(B9=0,"",IF(C9&lt;=B9,"✔ Dentro do orçado","Estourou "&amp;TEXT(C9-B9,"R$ #,##0.00")))</f>
        <v/>
      </c>
    </row>
    <row r="10">
      <c r="A10" s="54" t="inlineStr">
        <is>
          <t>Aluguel</t>
        </is>
      </c>
      <c r="B10" s="109" t="n"/>
      <c r="C10" s="57">
        <f>'Ago 2026'!L6</f>
        <v/>
      </c>
      <c r="D10" s="57">
        <f>C10-B10</f>
        <v/>
      </c>
      <c r="E10" s="64">
        <f>IF(B10=0,"",C10/B10)</f>
        <v/>
      </c>
      <c r="F10" s="54">
        <f>IF(B10=0,"",IF(C10&lt;=B10,"✔ Dentro do orçado","Estourou "&amp;TEXT(C10-B10,"R$ #,##0.00")))</f>
        <v/>
      </c>
    </row>
    <row r="11">
      <c r="A11" s="52" t="inlineStr">
        <is>
          <t>Água, Energia e Internet</t>
        </is>
      </c>
      <c r="B11" s="109" t="n"/>
      <c r="C11" s="55">
        <f>'Ago 2026'!L7</f>
        <v/>
      </c>
      <c r="D11" s="55">
        <f>C11-B11</f>
        <v/>
      </c>
      <c r="E11" s="63">
        <f>IF(B11=0,"",C11/B11)</f>
        <v/>
      </c>
      <c r="F11" s="52">
        <f>IF(B11=0,"",IF(C11&lt;=B11,"✔ Dentro do orçado","Estourou "&amp;TEXT(C11-B11,"R$ #,##0.00")))</f>
        <v/>
      </c>
    </row>
    <row r="12">
      <c r="A12" s="54" t="inlineStr">
        <is>
          <t>Impostos e Taxas</t>
        </is>
      </c>
      <c r="B12" s="109" t="n"/>
      <c r="C12" s="57">
        <f>'Ago 2026'!L8</f>
        <v/>
      </c>
      <c r="D12" s="57">
        <f>C12-B12</f>
        <v/>
      </c>
      <c r="E12" s="64">
        <f>IF(B12=0,"",C12/B12)</f>
        <v/>
      </c>
      <c r="F12" s="54">
        <f>IF(B12=0,"",IF(C12&lt;=B12,"✔ Dentro do orçado","Estourou "&amp;TEXT(C12-B12,"R$ #,##0.00")))</f>
        <v/>
      </c>
    </row>
    <row r="13">
      <c r="A13" s="52" t="inlineStr">
        <is>
          <t>Tarifas Bancárias e Cartão</t>
        </is>
      </c>
      <c r="B13" s="109" t="n"/>
      <c r="C13" s="55">
        <f>'Ago 2026'!L9</f>
        <v/>
      </c>
      <c r="D13" s="55">
        <f>C13-B13</f>
        <v/>
      </c>
      <c r="E13" s="63">
        <f>IF(B13=0,"",C13/B13)</f>
        <v/>
      </c>
      <c r="F13" s="52">
        <f>IF(B13=0,"",IF(C13&lt;=B13,"✔ Dentro do orçado","Estourou "&amp;TEXT(C13-B13,"R$ #,##0.00")))</f>
        <v/>
      </c>
    </row>
    <row r="14">
      <c r="A14" s="54" t="inlineStr">
        <is>
          <t>Transporte e Entregas</t>
        </is>
      </c>
      <c r="B14" s="109" t="n"/>
      <c r="C14" s="57">
        <f>'Ago 2026'!L10</f>
        <v/>
      </c>
      <c r="D14" s="57">
        <f>C14-B14</f>
        <v/>
      </c>
      <c r="E14" s="64">
        <f>IF(B14=0,"",C14/B14)</f>
        <v/>
      </c>
      <c r="F14" s="54">
        <f>IF(B14=0,"",IF(C14&lt;=B14,"✔ Dentro do orçado","Estourou "&amp;TEXT(C14-B14,"R$ #,##0.00")))</f>
        <v/>
      </c>
    </row>
    <row r="15">
      <c r="A15" s="52" t="inlineStr">
        <is>
          <t>Salários, Comissões e Encargos</t>
        </is>
      </c>
      <c r="B15" s="109" t="n"/>
      <c r="C15" s="55">
        <f>'Ago 2026'!L11</f>
        <v/>
      </c>
      <c r="D15" s="55">
        <f>C15-B15</f>
        <v/>
      </c>
      <c r="E15" s="63">
        <f>IF(B15=0,"",C15/B15)</f>
        <v/>
      </c>
      <c r="F15" s="52">
        <f>IF(B15=0,"",IF(C15&lt;=B15,"✔ Dentro do orçado","Estourou "&amp;TEXT(C15-B15,"R$ #,##0.00")))</f>
        <v/>
      </c>
    </row>
    <row r="16">
      <c r="A16" s="54" t="inlineStr">
        <is>
          <t>Contabilidade</t>
        </is>
      </c>
      <c r="B16" s="109" t="n"/>
      <c r="C16" s="57">
        <f>'Ago 2026'!L12</f>
        <v/>
      </c>
      <c r="D16" s="57">
        <f>C16-B16</f>
        <v/>
      </c>
      <c r="E16" s="64">
        <f>IF(B16=0,"",C16/B16)</f>
        <v/>
      </c>
      <c r="F16" s="54">
        <f>IF(B16=0,"",IF(C16&lt;=B16,"✔ Dentro do orçado","Estourou "&amp;TEXT(C16-B16,"R$ #,##0.00")))</f>
        <v/>
      </c>
    </row>
    <row r="17">
      <c r="A17" s="52" t="inlineStr">
        <is>
          <t>Manutenção e Reparos</t>
        </is>
      </c>
      <c r="B17" s="109" t="n"/>
      <c r="C17" s="55">
        <f>'Ago 2026'!L13</f>
        <v/>
      </c>
      <c r="D17" s="55">
        <f>C17-B17</f>
        <v/>
      </c>
      <c r="E17" s="63">
        <f>IF(B17=0,"",C17/B17)</f>
        <v/>
      </c>
      <c r="F17" s="52">
        <f>IF(B17=0,"",IF(C17&lt;=B17,"✔ Dentro do orçado","Estourou "&amp;TEXT(C17-B17,"R$ #,##0.00")))</f>
        <v/>
      </c>
    </row>
    <row r="18">
      <c r="A18" s="54" t="inlineStr">
        <is>
          <t>Material de Limpeza e Escritório</t>
        </is>
      </c>
      <c r="B18" s="109" t="n"/>
      <c r="C18" s="57">
        <f>'Ago 2026'!L14</f>
        <v/>
      </c>
      <c r="D18" s="57">
        <f>C18-B18</f>
        <v/>
      </c>
      <c r="E18" s="64">
        <f>IF(B18=0,"",C18/B18)</f>
        <v/>
      </c>
      <c r="F18" s="54">
        <f>IF(B18=0,"",IF(C18&lt;=B18,"✔ Dentro do orçado","Estourou "&amp;TEXT(C18-B18,"R$ #,##0.00")))</f>
        <v/>
      </c>
    </row>
    <row r="19">
      <c r="A19" s="52" t="inlineStr">
        <is>
          <t>Estornos de Vendas (Cancelamentos)</t>
        </is>
      </c>
      <c r="B19" s="109" t="n"/>
      <c r="C19" s="55">
        <f>'Ago 2026'!L15</f>
        <v/>
      </c>
      <c r="D19" s="55">
        <f>C19-B19</f>
        <v/>
      </c>
      <c r="E19" s="63">
        <f>IF(B19=0,"",C19/B19)</f>
        <v/>
      </c>
      <c r="F19" s="52">
        <f>IF(B19=0,"",IF(C19&lt;=B19,"✔ Dentro do orçado","Estourou "&amp;TEXT(C19-B19,"R$ #,##0.00")))</f>
        <v/>
      </c>
    </row>
    <row r="20">
      <c r="A20" s="54" t="inlineStr">
        <is>
          <t>Outras Despesas</t>
        </is>
      </c>
      <c r="B20" s="109" t="n"/>
      <c r="C20" s="57">
        <f>'Ago 2026'!L16</f>
        <v/>
      </c>
      <c r="D20" s="57">
        <f>C20-B20</f>
        <v/>
      </c>
      <c r="E20" s="64">
        <f>IF(B20=0,"",C20/B20)</f>
        <v/>
      </c>
      <c r="F20" s="54">
        <f>IF(B20=0,"",IF(C20&lt;=B20,"✔ Dentro do orçado","Estourou "&amp;TEXT(C20-B20,"R$ #,##0.00")))</f>
        <v/>
      </c>
    </row>
    <row r="21">
      <c r="A21" s="59" t="inlineStr">
        <is>
          <t>TOTAL DESPESAS</t>
        </is>
      </c>
      <c r="B21" s="60">
        <f>SUM(B9:B20)</f>
        <v/>
      </c>
      <c r="C21" s="60">
        <f>SUM(C9:C20)</f>
        <v/>
      </c>
      <c r="D21" s="60">
        <f>C21-B21</f>
        <v/>
      </c>
      <c r="E21" s="72">
        <f>IF(B21=0,"",C21/B21)</f>
        <v/>
      </c>
      <c r="F21" s="59" t="n"/>
    </row>
    <row r="22">
      <c r="A22" s="54" t="inlineStr">
        <is>
          <t>Pró-labore Edilânia (combinado)</t>
        </is>
      </c>
      <c r="B22" s="57">
        <f>'Ponto de Equilíbrio'!$B$10</f>
        <v/>
      </c>
      <c r="C22" s="57">
        <f>'Ago 2026'!L17</f>
        <v/>
      </c>
      <c r="D22" s="57">
        <f>C22-B22</f>
        <v/>
      </c>
      <c r="E22" s="64">
        <f>IF(B22=0,"",C22/B22)</f>
        <v/>
      </c>
      <c r="F22" s="54">
        <f>IF(B22=0,"",IF(C22&lt;=B22,"✔ Dentro do combinado","Passou "&amp;TEXT(C22-B22,"R$ #,##0.00")))</f>
        <v/>
      </c>
    </row>
    <row r="23">
      <c r="A23" s="59" t="inlineStr">
        <is>
          <t>RESULTADO (Faturamento − Despesas − Pró-labore)</t>
        </is>
      </c>
      <c r="B23" s="60">
        <f>B5-B21-B22</f>
        <v/>
      </c>
      <c r="C23" s="60">
        <f>C5-C21-C22</f>
        <v/>
      </c>
      <c r="D23" s="60">
        <f>C23-B23</f>
        <v/>
      </c>
      <c r="E23" s="59" t="n"/>
      <c r="F23" s="59" t="n"/>
    </row>
    <row r="25">
      <c r="A25" s="219" t="inlineStr">
        <is>
          <t>Preencha as metas nas células amarelas. Para usar em outro mês, troque as referências 'Ago 2026' pelas do mês desejado (ex.: 'Set 2026'), mantendo as mesmas linhas do quadro Saídas por Categoria.</t>
        </is>
      </c>
    </row>
  </sheetData>
  <mergeCells count="3">
    <mergeCell ref="A2:F2"/>
    <mergeCell ref="A1:F1"/>
    <mergeCell ref="A25:F25"/>
  </mergeCells>
  <hyperlinks>
    <hyperlink ref="A3" location="'Início'!A1" display="← Início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1E7B34"/>
    <outlinePr summaryBelow="1" summaryRight="1"/>
    <pageSetUpPr/>
  </sheetPr>
  <dimension ref="A1:J34"/>
  <sheetViews>
    <sheetView showGridLines="0" zoomScale="85" zoomScaleNormal="85" workbookViewId="0">
      <pane ySplit="6" topLeftCell="A13" activePane="bottomLeft" state="frozen"/>
      <selection pane="bottomLeft" activeCell="E17" sqref="E17"/>
    </sheetView>
  </sheetViews>
  <sheetFormatPr baseColWidth="8" defaultRowHeight="15"/>
  <cols>
    <col width="38" customWidth="1" style="157" min="1" max="1"/>
    <col width="15" customWidth="1" style="157" min="2" max="9"/>
    <col width="13" customWidth="1" style="157" min="10" max="10"/>
  </cols>
  <sheetData>
    <row r="1" ht="21" customHeight="1" s="157">
      <c r="A1" s="209" t="inlineStr">
        <is>
          <t>PRECIFICAÇÃO E MARGEM POR PRODUTO</t>
        </is>
      </c>
    </row>
    <row r="2">
      <c r="A2" s="218" t="inlineStr">
        <is>
          <t>Quanto sobra de verdade em cada item vendido. Custo = última compra de 2026 (IPI incluso, Simples não recupera) + 6,4% de frete de entrada nos itens da Everest e Eversoft, que são FOB. Filtros Planeta Água, Culligan e Knox são CIF: frete já vem no preço.</t>
        </is>
      </c>
    </row>
    <row r="3">
      <c r="A3" s="127" t="inlineStr">
        <is>
          <t>← Início</t>
        </is>
      </c>
    </row>
    <row r="4">
      <c r="A4" s="130" t="inlineStr">
        <is>
          <t>Taxa média de cartão</t>
        </is>
      </c>
      <c r="B4" s="69" t="n">
        <v>0.07000000000000001</v>
      </c>
      <c r="C4" s="130" t="inlineStr">
        <is>
          <t>Alíquota de imposto</t>
        </is>
      </c>
      <c r="D4" s="69" t="n">
        <v>0.06</v>
      </c>
      <c r="E4" s="131" t="inlineStr">
        <is>
          <t>← taxa dos itens de balcão. Purificadores usam 13,99% (crédito 10x) direto na fórmula; Baby usa 11% (6x).</t>
        </is>
      </c>
    </row>
    <row r="5">
      <c r="A5" s="220" t="inlineStr">
        <is>
          <t>COMISSÃO: só entra quando o Wiliam faz a troca/instalação. Venda de balcão sem serviço = margem R$ 10 (ou R$ 30) maior. Refis de outras marcas ficam sem comissão porque raramente são trocados por ele. A tabela lista só o que é comprado e revendido — serviços avulsos (instalação por fora, limpeza de refil) saíram daqui em 10/09/2026 por serem raros.</t>
        </is>
      </c>
    </row>
    <row r="6" ht="30" customHeight="1" s="157">
      <c r="A6" s="51" t="inlineStr">
        <is>
          <t>Produto / Serviço</t>
        </is>
      </c>
      <c r="B6" s="51" t="inlineStr">
        <is>
          <t>Preço de Venda (R$)</t>
        </is>
      </c>
      <c r="C6" s="51" t="inlineStr">
        <is>
          <t>Custo de Aquisição (R$)</t>
        </is>
      </c>
      <c r="D6" s="51" t="inlineStr">
        <is>
          <t>Comissão (R$)</t>
        </is>
      </c>
      <c r="E6" s="51" t="inlineStr">
        <is>
          <t>Taxa de Cartão (R$)</t>
        </is>
      </c>
      <c r="F6" s="51" t="inlineStr">
        <is>
          <t>Imposto (R$)</t>
        </is>
      </c>
      <c r="G6" s="51" t="inlineStr">
        <is>
          <t>Custo Total (R$)</t>
        </is>
      </c>
      <c r="H6" s="51" t="inlineStr">
        <is>
          <t>Margem Líquida (R$)</t>
        </is>
      </c>
      <c r="I6" s="51" t="inlineStr">
        <is>
          <t>Margem (%)</t>
        </is>
      </c>
      <c r="J6" s="51" t="inlineStr">
        <is>
          <t>Taxa aplicada</t>
        </is>
      </c>
    </row>
    <row r="7">
      <c r="A7" s="52" t="inlineStr">
        <is>
          <t>Refil Everest</t>
        </is>
      </c>
      <c r="B7" s="55" t="n">
        <v>140</v>
      </c>
      <c r="C7" s="109" t="n">
        <v>46.76</v>
      </c>
      <c r="D7" s="55" t="n">
        <v>10</v>
      </c>
      <c r="E7" s="55">
        <f>IF(B7="","",B7*IF($J7="",$B$4,$J7))</f>
        <v/>
      </c>
      <c r="F7" s="55">
        <f>IF(B7="","",B7*$D$4)</f>
        <v/>
      </c>
      <c r="G7" s="55">
        <f>IF(B7="","",SUM(C7:F7))</f>
        <v/>
      </c>
      <c r="H7" s="55">
        <f>IF(B7="","",B7-G7)</f>
        <v/>
      </c>
      <c r="I7" s="63">
        <f>IF(B7=0,"",H7/B7)</f>
        <v/>
      </c>
      <c r="J7" s="137" t="n"/>
    </row>
    <row r="8">
      <c r="A8" s="54" t="inlineStr">
        <is>
          <t>Refil Pro Life</t>
        </is>
      </c>
      <c r="B8" s="57" t="n">
        <v>140</v>
      </c>
      <c r="C8" s="109" t="n">
        <v>24.2</v>
      </c>
      <c r="D8" s="57" t="n">
        <v>10</v>
      </c>
      <c r="E8" s="57">
        <f>IF(B8="","",B8*IF($J8="",$B$4,$J8))</f>
        <v/>
      </c>
      <c r="F8" s="57">
        <f>IF(B8="","",B8*$D$4)</f>
        <v/>
      </c>
      <c r="G8" s="57">
        <f>IF(B8="","",SUM(C8:F8))</f>
        <v/>
      </c>
      <c r="H8" s="57">
        <f>IF(B8="","",B8-G8)</f>
        <v/>
      </c>
      <c r="I8" s="64">
        <f>IF(B8=0,"",H8/B8)</f>
        <v/>
      </c>
      <c r="J8" s="138" t="n"/>
    </row>
    <row r="9">
      <c r="A9" s="52" t="inlineStr">
        <is>
          <t>Refil Carbon Tech 9"</t>
        </is>
      </c>
      <c r="B9" s="55" t="n">
        <v>85</v>
      </c>
      <c r="C9" s="109" t="n">
        <v>32.48</v>
      </c>
      <c r="D9" s="55" t="n">
        <v>0</v>
      </c>
      <c r="E9" s="55">
        <f>IF(B9="","",B9*IF($J9="",$B$4,$J9))</f>
        <v/>
      </c>
      <c r="F9" s="55">
        <f>IF(B9="","",B9*$D$4)</f>
        <v/>
      </c>
      <c r="G9" s="55">
        <f>IF(B9="","",SUM(C9:F9))</f>
        <v/>
      </c>
      <c r="H9" s="55">
        <f>IF(B9="","",B9-G9)</f>
        <v/>
      </c>
      <c r="I9" s="63">
        <f>IF(B9=0,"",H9/B9)</f>
        <v/>
      </c>
      <c r="J9" s="137" t="n"/>
    </row>
    <row r="10">
      <c r="A10" s="54" t="inlineStr">
        <is>
          <t>Refil Carbon Tech 5"</t>
        </is>
      </c>
      <c r="B10" s="57" t="n">
        <v>60</v>
      </c>
      <c r="C10" s="109" t="n">
        <v>34.41</v>
      </c>
      <c r="D10" s="57" t="n">
        <v>0</v>
      </c>
      <c r="E10" s="57">
        <f>IF(B10="","",B10*IF($J10="",$B$4,$J10))</f>
        <v/>
      </c>
      <c r="F10" s="57">
        <f>IF(B10="","",B10*$D$4)</f>
        <v/>
      </c>
      <c r="G10" s="57">
        <f>IF(B10="","",SUM(C10:F10))</f>
        <v/>
      </c>
      <c r="H10" s="57">
        <f>IF(B10="","",B10-G10)</f>
        <v/>
      </c>
      <c r="I10" s="64">
        <f>IF(B10=0,"",H10/B10)</f>
        <v/>
      </c>
      <c r="J10" s="138" t="n"/>
    </row>
    <row r="11">
      <c r="A11" s="52" t="inlineStr">
        <is>
          <t>Refil E3</t>
        </is>
      </c>
      <c r="B11" s="55" t="n">
        <v>110</v>
      </c>
      <c r="C11" s="109" t="n">
        <v>20.17</v>
      </c>
      <c r="D11" s="55" t="n">
        <v>0</v>
      </c>
      <c r="E11" s="55">
        <f>IF(B11="","",B11*IF($J11="",$B$4,$J11))</f>
        <v/>
      </c>
      <c r="F11" s="55">
        <f>IF(B11="","",B11*$D$4)</f>
        <v/>
      </c>
      <c r="G11" s="55">
        <f>IF(B11="","",SUM(C11:F11))</f>
        <v/>
      </c>
      <c r="H11" s="55">
        <f>IF(B11="","",B11-G11)</f>
        <v/>
      </c>
      <c r="I11" s="63">
        <f>IF(B11=0,"",H11/B11)</f>
        <v/>
      </c>
      <c r="J11" s="137" t="n"/>
    </row>
    <row r="12">
      <c r="A12" s="54" t="inlineStr">
        <is>
          <t>Refil Plissado</t>
        </is>
      </c>
      <c r="B12" s="57" t="n">
        <v>80</v>
      </c>
      <c r="C12" s="109" t="n">
        <v>20.26</v>
      </c>
      <c r="D12" s="57" t="n">
        <v>0</v>
      </c>
      <c r="E12" s="57">
        <f>IF(B12="","",B12*IF($J12="",$B$4,$J12))</f>
        <v/>
      </c>
      <c r="F12" s="57">
        <f>IF(B12="","",B12*$D$4)</f>
        <v/>
      </c>
      <c r="G12" s="57">
        <f>IF(B12="","",SUM(C12:F12))</f>
        <v/>
      </c>
      <c r="H12" s="57">
        <f>IF(B12="","",B12-G12)</f>
        <v/>
      </c>
      <c r="I12" s="64">
        <f>IF(B12=0,"",H12/B12)</f>
        <v/>
      </c>
      <c r="J12" s="138" t="n"/>
    </row>
    <row r="13">
      <c r="A13" s="52" t="inlineStr">
        <is>
          <t>Refil C+3 (IBBL)</t>
        </is>
      </c>
      <c r="B13" s="55" t="n">
        <v>115</v>
      </c>
      <c r="C13" s="109" t="n">
        <v>24</v>
      </c>
      <c r="D13" s="55" t="n">
        <v>0</v>
      </c>
      <c r="E13" s="55">
        <f>IF(B13="","",B13*IF($J13="",$B$4,$J13))</f>
        <v/>
      </c>
      <c r="F13" s="55">
        <f>IF(B13="","",B13*$D$4)</f>
        <v/>
      </c>
      <c r="G13" s="55">
        <f>IF(B13="","",SUM(C13:F13))</f>
        <v/>
      </c>
      <c r="H13" s="55">
        <f>IF(B13="","",B13-G13)</f>
        <v/>
      </c>
      <c r="I13" s="63">
        <f>IF(B13=0,"",H13/B13)</f>
        <v/>
      </c>
      <c r="J13" s="137" t="n"/>
    </row>
    <row r="14">
      <c r="A14" s="54" t="inlineStr">
        <is>
          <t>Pré Filtro</t>
        </is>
      </c>
      <c r="B14" s="57" t="n">
        <v>60</v>
      </c>
      <c r="C14" s="109" t="n">
        <v>10.84</v>
      </c>
      <c r="D14" s="57" t="n">
        <v>0</v>
      </c>
      <c r="E14" s="57">
        <f>IF(B14="","",B14*IF($J14="",$B$4,$J14))</f>
        <v/>
      </c>
      <c r="F14" s="57">
        <f>IF(B14="","",B14*$D$4)</f>
        <v/>
      </c>
      <c r="G14" s="57">
        <f>IF(B14="","",SUM(C14:F14))</f>
        <v/>
      </c>
      <c r="H14" s="57">
        <f>IF(B14="","",B14-G14)</f>
        <v/>
      </c>
      <c r="I14" s="64">
        <f>IF(B14=0,"",H14/B14)</f>
        <v/>
      </c>
      <c r="J14" s="138" t="n"/>
    </row>
    <row r="15">
      <c r="A15" s="52" t="inlineStr">
        <is>
          <t>Mangueira (por metro)</t>
        </is>
      </c>
      <c r="B15" s="55" t="n">
        <v>10</v>
      </c>
      <c r="C15" s="109" t="n">
        <v>1.72</v>
      </c>
      <c r="D15" s="55" t="n">
        <v>0</v>
      </c>
      <c r="E15" s="55">
        <f>IF(B15="","",B15*IF($J15="",$B$4,$J15))</f>
        <v/>
      </c>
      <c r="F15" s="55">
        <f>IF(B15="","",B15*$D$4)</f>
        <v/>
      </c>
      <c r="G15" s="55">
        <f>IF(B15="","",SUM(C15:F15))</f>
        <v/>
      </c>
      <c r="H15" s="55">
        <f>IF(B15="","",B15-G15)</f>
        <v/>
      </c>
      <c r="I15" s="63">
        <f>IF(B15=0,"",H15/B15)</f>
        <v/>
      </c>
      <c r="J15" s="137" t="n"/>
    </row>
    <row r="16">
      <c r="A16" s="54" t="inlineStr">
        <is>
          <t>Registro</t>
        </is>
      </c>
      <c r="B16" s="57" t="n">
        <v>30</v>
      </c>
      <c r="C16" s="109" t="n">
        <v>5.19</v>
      </c>
      <c r="D16" s="57" t="n">
        <v>0</v>
      </c>
      <c r="E16" s="57">
        <f>IF(B16="","",B16*IF($J16="",$B$4,$J16))</f>
        <v/>
      </c>
      <c r="F16" s="57">
        <f>IF(B16="","",B16*$D$4)</f>
        <v/>
      </c>
      <c r="G16" s="57">
        <f>IF(B16="","",SUM(C16:F16))</f>
        <v/>
      </c>
      <c r="H16" s="57">
        <f>IF(B16="","",B16-G16)</f>
        <v/>
      </c>
      <c r="I16" s="64">
        <f>IF(B16=0,"",H16/B16)</f>
        <v/>
      </c>
      <c r="J16" s="138" t="n"/>
    </row>
    <row r="17">
      <c r="A17" s="52" t="inlineStr">
        <is>
          <t>Termostato</t>
        </is>
      </c>
      <c r="B17" s="55" t="n">
        <v>170</v>
      </c>
      <c r="C17" s="109" t="n">
        <v>45</v>
      </c>
      <c r="D17" s="55" t="n">
        <v>30</v>
      </c>
      <c r="E17" s="55">
        <f>IF(B17="","",B17*IF($J17="",$B$4,$J17))</f>
        <v/>
      </c>
      <c r="F17" s="55">
        <f>IF(B17="","",B17*$D$4)</f>
        <v/>
      </c>
      <c r="G17" s="55">
        <f>IF(B17="","",SUM(C17:F17))</f>
        <v/>
      </c>
      <c r="H17" s="55">
        <f>IF(B17="","",B17-G17)</f>
        <v/>
      </c>
      <c r="I17" s="63">
        <f>IF(B17=0,"",H17/B17)</f>
        <v/>
      </c>
      <c r="J17" s="137" t="n"/>
    </row>
    <row r="18">
      <c r="A18" s="54" t="inlineStr">
        <is>
          <t>Purificador Everest Slim Branco</t>
        </is>
      </c>
      <c r="B18" s="57" t="n">
        <v>1429</v>
      </c>
      <c r="C18" s="109" t="n">
        <v>715.02</v>
      </c>
      <c r="D18" s="57" t="n">
        <v>30</v>
      </c>
      <c r="E18" s="57">
        <f>IF(B18="","",B18*IF($J18="",$B$4,$J18))</f>
        <v/>
      </c>
      <c r="F18" s="57">
        <f>IF(B18="","",B18*$D$4)</f>
        <v/>
      </c>
      <c r="G18" s="57">
        <f>IF(B18="","",SUM(C18:F18))</f>
        <v/>
      </c>
      <c r="H18" s="57">
        <f>IF(B18="","",B18-G18)</f>
        <v/>
      </c>
      <c r="I18" s="64">
        <f>IF(B18=0,"",H18/B18)</f>
        <v/>
      </c>
      <c r="J18" s="138" t="n">
        <v>0.1399</v>
      </c>
    </row>
    <row r="19">
      <c r="A19" s="52" t="inlineStr">
        <is>
          <t>Purificador Everest Slim Prata</t>
        </is>
      </c>
      <c r="B19" s="55" t="n">
        <v>1486</v>
      </c>
      <c r="C19" s="109" t="n">
        <v>784.97</v>
      </c>
      <c r="D19" s="55" t="n">
        <v>30</v>
      </c>
      <c r="E19" s="55">
        <f>IF(B19="","",B19*IF($J19="",$B$4,$J19))</f>
        <v/>
      </c>
      <c r="F19" s="55">
        <f>IF(B19="","",B19*$D$4)</f>
        <v/>
      </c>
      <c r="G19" s="55">
        <f>IF(B19="","",SUM(C19:F19))</f>
        <v/>
      </c>
      <c r="H19" s="55">
        <f>IF(B19="","",B19-G19)</f>
        <v/>
      </c>
      <c r="I19" s="63">
        <f>IF(B19=0,"",H19/B19)</f>
        <v/>
      </c>
      <c r="J19" s="137" t="n">
        <v>0.1399</v>
      </c>
    </row>
    <row r="20">
      <c r="A20" s="54" t="inlineStr">
        <is>
          <t>Purificador Everest Star Branco</t>
        </is>
      </c>
      <c r="B20" s="57" t="n">
        <v>1429</v>
      </c>
      <c r="C20" s="109" t="n">
        <v>756.73</v>
      </c>
      <c r="D20" s="57" t="n">
        <v>30</v>
      </c>
      <c r="E20" s="57">
        <f>IF(B20="","",B20*IF($J20="",$B$4,$J20))</f>
        <v/>
      </c>
      <c r="F20" s="57">
        <f>IF(B20="","",B20*$D$4)</f>
        <v/>
      </c>
      <c r="G20" s="57">
        <f>IF(B20="","",SUM(C20:F20))</f>
        <v/>
      </c>
      <c r="H20" s="57">
        <f>IF(B20="","",B20-G20)</f>
        <v/>
      </c>
      <c r="I20" s="64">
        <f>IF(B20=0,"",H20/B20)</f>
        <v/>
      </c>
      <c r="J20" s="138" t="n">
        <v>0.1399</v>
      </c>
    </row>
    <row r="21">
      <c r="A21" s="52" t="inlineStr">
        <is>
          <t>Purificador Everest Plus Branco</t>
        </is>
      </c>
      <c r="B21" s="55" t="n">
        <v>1529</v>
      </c>
      <c r="C21" s="109" t="n">
        <v>820.73</v>
      </c>
      <c r="D21" s="55" t="n">
        <v>30</v>
      </c>
      <c r="E21" s="55">
        <f>IF(B21="","",B21*IF($J21="",$B$4,$J21))</f>
        <v/>
      </c>
      <c r="F21" s="55">
        <f>IF(B21="","",B21*$D$4)</f>
        <v/>
      </c>
      <c r="G21" s="55">
        <f>IF(B21="","",SUM(C21:F21))</f>
        <v/>
      </c>
      <c r="H21" s="55">
        <f>IF(B21="","",B21-G21)</f>
        <v/>
      </c>
      <c r="I21" s="63">
        <f>IF(B21=0,"",H21/B21)</f>
        <v/>
      </c>
      <c r="J21" s="137" t="n">
        <v>0.1399</v>
      </c>
    </row>
    <row r="22">
      <c r="A22" s="54" t="inlineStr">
        <is>
          <t>Purificador Everest Plus Prata</t>
        </is>
      </c>
      <c r="B22" s="57" t="n">
        <v>1569</v>
      </c>
      <c r="C22" s="109" t="n">
        <v>906.9299999999999</v>
      </c>
      <c r="D22" s="57" t="n">
        <v>30</v>
      </c>
      <c r="E22" s="57">
        <f>IF(B22="","",B22*IF($J22="",$B$4,$J22))</f>
        <v/>
      </c>
      <c r="F22" s="57">
        <f>IF(B22="","",B22*$D$4)</f>
        <v/>
      </c>
      <c r="G22" s="57">
        <f>IF(B22="","",SUM(C22:F22))</f>
        <v/>
      </c>
      <c r="H22" s="57">
        <f>IF(B22="","",B22-G22)</f>
        <v/>
      </c>
      <c r="I22" s="64">
        <f>IF(B22=0,"",H22/B22)</f>
        <v/>
      </c>
      <c r="J22" s="138" t="n">
        <v>0.1399</v>
      </c>
    </row>
    <row r="23">
      <c r="A23" s="52" t="inlineStr">
        <is>
          <t>Purificador Everest Fit Branco</t>
        </is>
      </c>
      <c r="B23" s="55" t="n">
        <v>1429</v>
      </c>
      <c r="C23" s="109" t="n">
        <v>756.73</v>
      </c>
      <c r="D23" s="55" t="n">
        <v>30</v>
      </c>
      <c r="E23" s="55">
        <f>IF(B23="","",B23*IF($J23="",$B$4,$J23))</f>
        <v/>
      </c>
      <c r="F23" s="55">
        <f>IF(B23="","",B23*$D$4)</f>
        <v/>
      </c>
      <c r="G23" s="55">
        <f>IF(B23="","",SUM(C23:F23))</f>
        <v/>
      </c>
      <c r="H23" s="55">
        <f>IF(B23="","",B23-G23)</f>
        <v/>
      </c>
      <c r="I23" s="63">
        <f>IF(B23=0,"",H23/B23)</f>
        <v/>
      </c>
      <c r="J23" s="137" t="n">
        <v>0.1399</v>
      </c>
    </row>
    <row r="24">
      <c r="A24" s="54" t="inlineStr">
        <is>
          <t>Purificador Everest Fit Preto</t>
        </is>
      </c>
      <c r="B24" s="57" t="n">
        <v>1486</v>
      </c>
      <c r="C24" s="109" t="n">
        <v>784.96</v>
      </c>
      <c r="D24" s="57" t="n">
        <v>30</v>
      </c>
      <c r="E24" s="57">
        <f>IF(B24="","",B24*IF($J24="",$B$4,$J24))</f>
        <v/>
      </c>
      <c r="F24" s="57">
        <f>IF(B24="","",B24*$D$4)</f>
        <v/>
      </c>
      <c r="G24" s="57">
        <f>IF(B24="","",SUM(C24:F24))</f>
        <v/>
      </c>
      <c r="H24" s="57">
        <f>IF(B24="","",B24-G24)</f>
        <v/>
      </c>
      <c r="I24" s="64">
        <f>IF(B24=0,"",H24/B24)</f>
        <v/>
      </c>
      <c r="J24" s="138" t="n">
        <v>0.1399</v>
      </c>
    </row>
    <row r="25">
      <c r="A25" s="52" t="inlineStr">
        <is>
          <t>Purificador Everest Fit Prata</t>
        </is>
      </c>
      <c r="B25" s="55" t="n">
        <v>1486</v>
      </c>
      <c r="C25" s="109" t="n">
        <v>739.37</v>
      </c>
      <c r="D25" s="55" t="n">
        <v>30</v>
      </c>
      <c r="E25" s="55">
        <f>IF(B25="","",B25*IF($J25="",$B$4,$J25))</f>
        <v/>
      </c>
      <c r="F25" s="55">
        <f>IF(B25="","",B25*$D$4)</f>
        <v/>
      </c>
      <c r="G25" s="55">
        <f>IF(B25="","",SUM(C25:F25))</f>
        <v/>
      </c>
      <c r="H25" s="55">
        <f>IF(B25="","",B25-G25)</f>
        <v/>
      </c>
      <c r="I25" s="63">
        <f>IF(B25=0,"",H25/B25)</f>
        <v/>
      </c>
      <c r="J25" s="137" t="n">
        <v>0.1399</v>
      </c>
    </row>
    <row r="26">
      <c r="A26" s="54" t="inlineStr">
        <is>
          <t>Purificador Everest Star Preto</t>
        </is>
      </c>
      <c r="B26" s="65" t="n">
        <v>1486</v>
      </c>
      <c r="C26" s="109" t="n">
        <v>784.96</v>
      </c>
      <c r="D26" s="57" t="n">
        <v>30</v>
      </c>
      <c r="E26" s="57">
        <f>IF(B26="","",B26*IF($J26="",$B$4,$J26))</f>
        <v/>
      </c>
      <c r="F26" s="57">
        <f>IF(B26="","",B26*$D$4)</f>
        <v/>
      </c>
      <c r="G26" s="57">
        <f>IF(B26="","",SUM(C26:F26))</f>
        <v/>
      </c>
      <c r="H26" s="57">
        <f>IF(B26="","",B26-G26)</f>
        <v/>
      </c>
      <c r="I26" s="64">
        <f>IF(B26=0,"",H26/B26)</f>
        <v/>
      </c>
      <c r="J26" s="138" t="n">
        <v>0.1399</v>
      </c>
    </row>
    <row r="27">
      <c r="A27" s="54" t="inlineStr">
        <is>
          <t>Purificador Everest Foz Branco</t>
        </is>
      </c>
      <c r="B27" s="65" t="n">
        <v>1589</v>
      </c>
      <c r="C27" s="109" t="n">
        <v>767.95</v>
      </c>
      <c r="D27" s="57" t="n">
        <v>30</v>
      </c>
      <c r="E27" s="57">
        <f>IF(B27="","",B27*IF($J27="",$B$4,$J27))</f>
        <v/>
      </c>
      <c r="F27" s="57">
        <f>IF(B27="","",B27*$D$4)</f>
        <v/>
      </c>
      <c r="G27" s="57">
        <f>IF(B27="","",SUM(C27:F27))</f>
        <v/>
      </c>
      <c r="H27" s="57">
        <f>IF(B27="","",B27-G27)</f>
        <v/>
      </c>
      <c r="I27" s="64">
        <f>IF(B27=0,"",H27/B27)</f>
        <v/>
      </c>
      <c r="J27" s="138" t="n">
        <v>0.1399</v>
      </c>
    </row>
    <row r="28">
      <c r="A28" s="54" t="inlineStr">
        <is>
          <t>Purificador Everest Foz Cinza/Grafite</t>
        </is>
      </c>
      <c r="B28" s="65" t="n">
        <v>1689</v>
      </c>
      <c r="C28" s="109" t="n">
        <v>819.5700000000001</v>
      </c>
      <c r="D28" s="57" t="n">
        <v>30</v>
      </c>
      <c r="E28" s="57">
        <f>IF(B28="","",B28*IF($J28="",$B$4,$J28))</f>
        <v/>
      </c>
      <c r="F28" s="57">
        <f>IF(B28="","",B28*$D$4)</f>
        <v/>
      </c>
      <c r="G28" s="57">
        <f>IF(B28="","",SUM(C28:F28))</f>
        <v/>
      </c>
      <c r="H28" s="57">
        <f>IF(B28="","",B28-G28)</f>
        <v/>
      </c>
      <c r="I28" s="64">
        <f>IF(B28=0,"",H28/B28)</f>
        <v/>
      </c>
      <c r="J28" s="138" t="n">
        <v>0.1399</v>
      </c>
    </row>
    <row r="29">
      <c r="A29" s="54" t="inlineStr">
        <is>
          <t>Purificador Everest Baby (todas as cores)</t>
        </is>
      </c>
      <c r="B29" s="65" t="n">
        <v>420</v>
      </c>
      <c r="C29" s="109" t="n">
        <v>150.13</v>
      </c>
      <c r="D29" s="57" t="n">
        <v>30</v>
      </c>
      <c r="E29" s="57">
        <f>IF(B29="","",B29*IF($J29="",$B$4,$J29))</f>
        <v/>
      </c>
      <c r="F29" s="57">
        <f>IF(B29="","",B29*$D$4)</f>
        <v/>
      </c>
      <c r="G29" s="57">
        <f>IF(B29="","",SUM(C29:F29))</f>
        <v/>
      </c>
      <c r="H29" s="57">
        <f>IF(B29="","",B29-G29)</f>
        <v/>
      </c>
      <c r="I29" s="64">
        <f>IF(B29=0,"",H29/B29)</f>
        <v/>
      </c>
      <c r="J29" s="138" t="n">
        <v>0.11</v>
      </c>
    </row>
    <row r="31">
      <c r="A31" s="219" t="inlineStr">
        <is>
          <t>PREÇOS: purificadores conforme o Catálogo de Purificadores (pasta Catálogos) — valor total do parcelamento em 10x, que é como as vendas entram na planilha. À vista sai mais barato: Residencial branco R$ 1.329, demais cores R$ 1.376; Plus branco R$ 1.429, demais R$ 1.476; Foz branco R$ 1.489, cinza/grafite R$ 1.589; Baby R$ 379. Preço de balcão x preço com serviço: Carbon Tech 9" R$ 85,00 e Plissado R$ 80,00 no balcão; os dois podem ir a R$ 90,00 quando há deslocamento do técnico, instalação ou outra despesa envolvida.</t>
        </is>
      </c>
    </row>
    <row r="32">
      <c r="A32" s="219" t="inlineStr">
        <is>
          <t>TAXAS REAIS DA MAQUININHA (medidas em Ago-Set/2026): débito 1,45% · crédito à vista 3,51% · crédito 2-3x 6,99% · 4x 7,99% · 5x 9,99% · 10x 13,99%. Dinheiro e Pix não têm taxa. A coluna "Taxa aplicada" (J) manda: em branco usa os 7% de B4 (itens de balcão); preenchida, vale o que estiver lá.</t>
        </is>
      </c>
    </row>
    <row r="33">
      <c r="A33" s="164" t="inlineStr">
        <is>
          <t>CUSTOS (conferidos nos XMLs de compra em 12/09/2026): Refil Everest e Pré-Filtro = Eversoft NF 75472 (26/08). Pro Life, Carbon Tech 5" e Plissado = Filtros Planeta Água NF 133812 (28/08). Carbon Tech 9" = NF 133138 (12/08). E3 = NF 131997 (08/07). C+3 = Culligan (22/04). Registro = Everest (19/05). Purificadores = Everest, última nota de cada modelo (Fit/Star branco e preto e Plus prata reajustados em 17/07; Foz em 04/08). Mangueira = R$ 1,72/m (rolo 50 m por R$ 86,01). Termostato = Everest NF 344.517 de 18/02/2025 (única compra; R$ 38,53/un + IPI 9,75% + frete FOB) — preço de 2025, conferir na próxima compra.</t>
        </is>
      </c>
    </row>
    <row r="34">
      <c r="A34" s="164" t="inlineStr">
        <is>
          <t>ATENÇÃO — a Filtros Planeta Água cobra por volume, não por tabela: o mesmo código muda de preço conforme a quantidade da nota. Carbon Tech 9" saiu a R$ 49,00/un comprando 10 un (17/06) e a R$ 30,87/un comprando 30 un (12/08). O Plissado subiu para R$ 20,26 na última compra só porque foram 4 unidades (era R$ 18,23 comprando 20). Comprar em lote maior nessa fornecedora derruba bastante o custo.</t>
        </is>
      </c>
    </row>
  </sheetData>
  <mergeCells count="6">
    <mergeCell ref="A2:I2"/>
    <mergeCell ref="A33:I33"/>
    <mergeCell ref="A5:I5"/>
    <mergeCell ref="A32:I32"/>
    <mergeCell ref="A1:I1"/>
    <mergeCell ref="A31:I31"/>
  </mergeCells>
  <hyperlinks>
    <hyperlink ref="A3" location="'Início'!A1" display="← Início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AA0A6"/>
    <outlinePr summaryBelow="1" summaryRight="1"/>
    <pageSetUpPr/>
  </sheetPr>
  <dimension ref="A1:G45"/>
  <sheetViews>
    <sheetView showGridLines="0" zoomScale="85" zoomScaleNormal="85" workbookViewId="0">
      <pane ySplit="4" topLeftCell="A5" activePane="bottomLeft" state="frozen"/>
      <selection pane="bottomLeft" activeCell="A1" sqref="A1:G1"/>
    </sheetView>
  </sheetViews>
  <sheetFormatPr baseColWidth="8" defaultRowHeight="15"/>
  <cols>
    <col width="14" customWidth="1" style="157" min="1" max="1"/>
    <col width="44" customWidth="1" style="157" min="2" max="2"/>
    <col width="18" customWidth="1" style="157" min="3" max="4"/>
    <col width="16" customWidth="1" style="157" min="5" max="6"/>
    <col width="40" customWidth="1" style="157" min="7" max="7"/>
  </cols>
  <sheetData>
    <row r="1" ht="21" customHeight="1" s="157">
      <c r="A1" s="209" t="inlineStr">
        <is>
          <t>CONCILIAÇÃO BANCÁRIA</t>
        </is>
      </c>
    </row>
    <row r="2">
      <c r="A2" s="218" t="inlineStr">
        <is>
          <t>Compare o que está lançado na planilha com o que aparece no extrato do banco. Qualquer diferença aparece sozinha na coluna Status.</t>
        </is>
      </c>
    </row>
    <row r="3">
      <c r="A3" s="127" t="inlineStr">
        <is>
          <t>← Início</t>
        </is>
      </c>
    </row>
    <row r="4" ht="30" customHeight="1" s="157">
      <c r="A4" s="51" t="inlineStr">
        <is>
          <t>Data</t>
        </is>
      </c>
      <c r="B4" s="51" t="inlineStr">
        <is>
          <t>Descrição</t>
        </is>
      </c>
      <c r="C4" s="51" t="inlineStr">
        <is>
          <t>Valor na Planilha (R$)</t>
        </is>
      </c>
      <c r="D4" s="51" t="inlineStr">
        <is>
          <t>Valor no Extrato (R$)</t>
        </is>
      </c>
      <c r="E4" s="51" t="inlineStr">
        <is>
          <t>Diferença (R$)</t>
        </is>
      </c>
      <c r="F4" s="51" t="inlineStr">
        <is>
          <t>Status</t>
        </is>
      </c>
      <c r="G4" s="51" t="inlineStr">
        <is>
          <t>Observações</t>
        </is>
      </c>
    </row>
    <row r="5">
      <c r="A5" s="74" t="n"/>
      <c r="B5" s="52" t="n"/>
      <c r="C5" s="55" t="n"/>
      <c r="D5" s="55" t="n"/>
      <c r="E5" s="55">
        <f>IF(AND(C5="",D5=""),"",C5-D5)</f>
        <v/>
      </c>
      <c r="F5" s="56">
        <f>IF(AND(C5="",D5=""),"",IF(ROUND(E5,2)=0,"OK","DIVERGENTE"))</f>
        <v/>
      </c>
      <c r="G5" s="52" t="n"/>
    </row>
    <row r="6">
      <c r="A6" s="73" t="n"/>
      <c r="B6" s="54" t="n"/>
      <c r="C6" s="57" t="n"/>
      <c r="D6" s="57" t="n"/>
      <c r="E6" s="57">
        <f>IF(AND(C6="",D6=""),"",C6-D6)</f>
        <v/>
      </c>
      <c r="F6" s="58">
        <f>IF(AND(C6="",D6=""),"",IF(ROUND(E6,2)=0,"OK","DIVERGENTE"))</f>
        <v/>
      </c>
      <c r="G6" s="54" t="n"/>
    </row>
    <row r="7">
      <c r="A7" s="74" t="n"/>
      <c r="B7" s="52" t="n"/>
      <c r="C7" s="55" t="n"/>
      <c r="D7" s="55" t="n"/>
      <c r="E7" s="55">
        <f>IF(AND(C7="",D7=""),"",C7-D7)</f>
        <v/>
      </c>
      <c r="F7" s="56">
        <f>IF(AND(C7="",D7=""),"",IF(ROUND(E7,2)=0,"OK","DIVERGENTE"))</f>
        <v/>
      </c>
      <c r="G7" s="52" t="n"/>
    </row>
    <row r="8">
      <c r="A8" s="73" t="n"/>
      <c r="B8" s="54" t="n"/>
      <c r="C8" s="57" t="n"/>
      <c r="D8" s="57" t="n"/>
      <c r="E8" s="57">
        <f>IF(AND(C8="",D8=""),"",C8-D8)</f>
        <v/>
      </c>
      <c r="F8" s="58">
        <f>IF(AND(C8="",D8=""),"",IF(ROUND(E8,2)=0,"OK","DIVERGENTE"))</f>
        <v/>
      </c>
      <c r="G8" s="54" t="n"/>
    </row>
    <row r="9">
      <c r="A9" s="74" t="n"/>
      <c r="B9" s="52" t="n"/>
      <c r="C9" s="55" t="n"/>
      <c r="D9" s="55" t="n"/>
      <c r="E9" s="55">
        <f>IF(AND(C9="",D9=""),"",C9-D9)</f>
        <v/>
      </c>
      <c r="F9" s="56">
        <f>IF(AND(C9="",D9=""),"",IF(ROUND(E9,2)=0,"OK","DIVERGENTE"))</f>
        <v/>
      </c>
      <c r="G9" s="52" t="n"/>
    </row>
    <row r="10">
      <c r="A10" s="73" t="n"/>
      <c r="B10" s="54" t="n"/>
      <c r="C10" s="57" t="n"/>
      <c r="D10" s="57" t="n"/>
      <c r="E10" s="57">
        <f>IF(AND(C10="",D10=""),"",C10-D10)</f>
        <v/>
      </c>
      <c r="F10" s="58">
        <f>IF(AND(C10="",D10=""),"",IF(ROUND(E10,2)=0,"OK","DIVERGENTE"))</f>
        <v/>
      </c>
      <c r="G10" s="54" t="n"/>
    </row>
    <row r="11">
      <c r="A11" s="74" t="n"/>
      <c r="B11" s="52" t="n"/>
      <c r="C11" s="55" t="n"/>
      <c r="D11" s="55" t="n"/>
      <c r="E11" s="55">
        <f>IF(AND(C11="",D11=""),"",C11-D11)</f>
        <v/>
      </c>
      <c r="F11" s="56">
        <f>IF(AND(C11="",D11=""),"",IF(ROUND(E11,2)=0,"OK","DIVERGENTE"))</f>
        <v/>
      </c>
      <c r="G11" s="52" t="n"/>
    </row>
    <row r="12">
      <c r="A12" s="73" t="n"/>
      <c r="B12" s="54" t="n"/>
      <c r="C12" s="57" t="n"/>
      <c r="D12" s="57" t="n"/>
      <c r="E12" s="57">
        <f>IF(AND(C12="",D12=""),"",C12-D12)</f>
        <v/>
      </c>
      <c r="F12" s="58">
        <f>IF(AND(C12="",D12=""),"",IF(ROUND(E12,2)=0,"OK","DIVERGENTE"))</f>
        <v/>
      </c>
      <c r="G12" s="54" t="n"/>
    </row>
    <row r="13">
      <c r="A13" s="74" t="n"/>
      <c r="B13" s="52" t="n"/>
      <c r="C13" s="55" t="n"/>
      <c r="D13" s="55" t="n"/>
      <c r="E13" s="55">
        <f>IF(AND(C13="",D13=""),"",C13-D13)</f>
        <v/>
      </c>
      <c r="F13" s="56">
        <f>IF(AND(C13="",D13=""),"",IF(ROUND(E13,2)=0,"OK","DIVERGENTE"))</f>
        <v/>
      </c>
      <c r="G13" s="52" t="n"/>
    </row>
    <row r="14">
      <c r="A14" s="73" t="n"/>
      <c r="B14" s="54" t="n"/>
      <c r="C14" s="57" t="n"/>
      <c r="D14" s="57" t="n"/>
      <c r="E14" s="57">
        <f>IF(AND(C14="",D14=""),"",C14-D14)</f>
        <v/>
      </c>
      <c r="F14" s="58">
        <f>IF(AND(C14="",D14=""),"",IF(ROUND(E14,2)=0,"OK","DIVERGENTE"))</f>
        <v/>
      </c>
      <c r="G14" s="54" t="n"/>
    </row>
    <row r="15">
      <c r="A15" s="74" t="n"/>
      <c r="B15" s="52" t="n"/>
      <c r="C15" s="55" t="n"/>
      <c r="D15" s="55" t="n"/>
      <c r="E15" s="55">
        <f>IF(AND(C15="",D15=""),"",C15-D15)</f>
        <v/>
      </c>
      <c r="F15" s="56">
        <f>IF(AND(C15="",D15=""),"",IF(ROUND(E15,2)=0,"OK","DIVERGENTE"))</f>
        <v/>
      </c>
      <c r="G15" s="52" t="n"/>
    </row>
    <row r="16">
      <c r="A16" s="73" t="n"/>
      <c r="B16" s="54" t="n"/>
      <c r="C16" s="57" t="n"/>
      <c r="D16" s="57" t="n"/>
      <c r="E16" s="57">
        <f>IF(AND(C16="",D16=""),"",C16-D16)</f>
        <v/>
      </c>
      <c r="F16" s="58">
        <f>IF(AND(C16="",D16=""),"",IF(ROUND(E16,2)=0,"OK","DIVERGENTE"))</f>
        <v/>
      </c>
      <c r="G16" s="54" t="n"/>
    </row>
    <row r="17">
      <c r="A17" s="74" t="n"/>
      <c r="B17" s="52" t="n"/>
      <c r="C17" s="55" t="n"/>
      <c r="D17" s="55" t="n"/>
      <c r="E17" s="55">
        <f>IF(AND(C17="",D17=""),"",C17-D17)</f>
        <v/>
      </c>
      <c r="F17" s="56">
        <f>IF(AND(C17="",D17=""),"",IF(ROUND(E17,2)=0,"OK","DIVERGENTE"))</f>
        <v/>
      </c>
      <c r="G17" s="52" t="n"/>
    </row>
    <row r="18">
      <c r="A18" s="73" t="n"/>
      <c r="B18" s="54" t="n"/>
      <c r="C18" s="57" t="n"/>
      <c r="D18" s="57" t="n"/>
      <c r="E18" s="57">
        <f>IF(AND(C18="",D18=""),"",C18-D18)</f>
        <v/>
      </c>
      <c r="F18" s="58">
        <f>IF(AND(C18="",D18=""),"",IF(ROUND(E18,2)=0,"OK","DIVERGENTE"))</f>
        <v/>
      </c>
      <c r="G18" s="54" t="n"/>
    </row>
    <row r="19">
      <c r="A19" s="74" t="n"/>
      <c r="B19" s="52" t="n"/>
      <c r="C19" s="55" t="n"/>
      <c r="D19" s="55" t="n"/>
      <c r="E19" s="55">
        <f>IF(AND(C19="",D19=""),"",C19-D19)</f>
        <v/>
      </c>
      <c r="F19" s="56">
        <f>IF(AND(C19="",D19=""),"",IF(ROUND(E19,2)=0,"OK","DIVERGENTE"))</f>
        <v/>
      </c>
      <c r="G19" s="52" t="n"/>
    </row>
    <row r="20">
      <c r="A20" s="73" t="n"/>
      <c r="B20" s="54" t="n"/>
      <c r="C20" s="57" t="n"/>
      <c r="D20" s="57" t="n"/>
      <c r="E20" s="57">
        <f>IF(AND(C20="",D20=""),"",C20-D20)</f>
        <v/>
      </c>
      <c r="F20" s="58">
        <f>IF(AND(C20="",D20=""),"",IF(ROUND(E20,2)=0,"OK","DIVERGENTE"))</f>
        <v/>
      </c>
      <c r="G20" s="54" t="n"/>
    </row>
    <row r="21">
      <c r="A21" s="74" t="n"/>
      <c r="B21" s="52" t="n"/>
      <c r="C21" s="55" t="n"/>
      <c r="D21" s="55" t="n"/>
      <c r="E21" s="55">
        <f>IF(AND(C21="",D21=""),"",C21-D21)</f>
        <v/>
      </c>
      <c r="F21" s="56">
        <f>IF(AND(C21="",D21=""),"",IF(ROUND(E21,2)=0,"OK","DIVERGENTE"))</f>
        <v/>
      </c>
      <c r="G21" s="52" t="n"/>
    </row>
    <row r="22">
      <c r="A22" s="73" t="n"/>
      <c r="B22" s="54" t="n"/>
      <c r="C22" s="57" t="n"/>
      <c r="D22" s="57" t="n"/>
      <c r="E22" s="57">
        <f>IF(AND(C22="",D22=""),"",C22-D22)</f>
        <v/>
      </c>
      <c r="F22" s="58">
        <f>IF(AND(C22="",D22=""),"",IF(ROUND(E22,2)=0,"OK","DIVERGENTE"))</f>
        <v/>
      </c>
      <c r="G22" s="54" t="n"/>
    </row>
    <row r="23">
      <c r="A23" s="74" t="n"/>
      <c r="B23" s="52" t="n"/>
      <c r="C23" s="55" t="n"/>
      <c r="D23" s="55" t="n"/>
      <c r="E23" s="55">
        <f>IF(AND(C23="",D23=""),"",C23-D23)</f>
        <v/>
      </c>
      <c r="F23" s="56">
        <f>IF(AND(C23="",D23=""),"",IF(ROUND(E23,2)=0,"OK","DIVERGENTE"))</f>
        <v/>
      </c>
      <c r="G23" s="52" t="n"/>
    </row>
    <row r="24">
      <c r="A24" s="73" t="n"/>
      <c r="B24" s="54" t="n"/>
      <c r="C24" s="57" t="n"/>
      <c r="D24" s="57" t="n"/>
      <c r="E24" s="57">
        <f>IF(AND(C24="",D24=""),"",C24-D24)</f>
        <v/>
      </c>
      <c r="F24" s="58">
        <f>IF(AND(C24="",D24=""),"",IF(ROUND(E24,2)=0,"OK","DIVERGENTE"))</f>
        <v/>
      </c>
      <c r="G24" s="54" t="n"/>
    </row>
    <row r="25">
      <c r="A25" s="74" t="n"/>
      <c r="B25" s="52" t="n"/>
      <c r="C25" s="55" t="n"/>
      <c r="D25" s="55" t="n"/>
      <c r="E25" s="55">
        <f>IF(AND(C25="",D25=""),"",C25-D25)</f>
        <v/>
      </c>
      <c r="F25" s="56">
        <f>IF(AND(C25="",D25=""),"",IF(ROUND(E25,2)=0,"OK","DIVERGENTE"))</f>
        <v/>
      </c>
      <c r="G25" s="52" t="n"/>
    </row>
    <row r="26">
      <c r="A26" s="73" t="n"/>
      <c r="B26" s="54" t="n"/>
      <c r="C26" s="57" t="n"/>
      <c r="D26" s="57" t="n"/>
      <c r="E26" s="57">
        <f>IF(AND(C26="",D26=""),"",C26-D26)</f>
        <v/>
      </c>
      <c r="F26" s="58">
        <f>IF(AND(C26="",D26=""),"",IF(ROUND(E26,2)=0,"OK","DIVERGENTE"))</f>
        <v/>
      </c>
      <c r="G26" s="54" t="n"/>
    </row>
    <row r="27">
      <c r="A27" s="74" t="n"/>
      <c r="B27" s="52" t="n"/>
      <c r="C27" s="55" t="n"/>
      <c r="D27" s="55" t="n"/>
      <c r="E27" s="55">
        <f>IF(AND(C27="",D27=""),"",C27-D27)</f>
        <v/>
      </c>
      <c r="F27" s="56">
        <f>IF(AND(C27="",D27=""),"",IF(ROUND(E27,2)=0,"OK","DIVERGENTE"))</f>
        <v/>
      </c>
      <c r="G27" s="52" t="n"/>
    </row>
    <row r="28">
      <c r="A28" s="73" t="n"/>
      <c r="B28" s="54" t="n"/>
      <c r="C28" s="57" t="n"/>
      <c r="D28" s="57" t="n"/>
      <c r="E28" s="57">
        <f>IF(AND(C28="",D28=""),"",C28-D28)</f>
        <v/>
      </c>
      <c r="F28" s="58">
        <f>IF(AND(C28="",D28=""),"",IF(ROUND(E28,2)=0,"OK","DIVERGENTE"))</f>
        <v/>
      </c>
      <c r="G28" s="54" t="n"/>
    </row>
    <row r="29">
      <c r="A29" s="74" t="n"/>
      <c r="B29" s="52" t="n"/>
      <c r="C29" s="55" t="n"/>
      <c r="D29" s="55" t="n"/>
      <c r="E29" s="55">
        <f>IF(AND(C29="",D29=""),"",C29-D29)</f>
        <v/>
      </c>
      <c r="F29" s="56">
        <f>IF(AND(C29="",D29=""),"",IF(ROUND(E29,2)=0,"OK","DIVERGENTE"))</f>
        <v/>
      </c>
      <c r="G29" s="52" t="n"/>
    </row>
    <row r="30">
      <c r="A30" s="73" t="n"/>
      <c r="B30" s="54" t="n"/>
      <c r="C30" s="57" t="n"/>
      <c r="D30" s="57" t="n"/>
      <c r="E30" s="57">
        <f>IF(AND(C30="",D30=""),"",C30-D30)</f>
        <v/>
      </c>
      <c r="F30" s="58">
        <f>IF(AND(C30="",D30=""),"",IF(ROUND(E30,2)=0,"OK","DIVERGENTE"))</f>
        <v/>
      </c>
      <c r="G30" s="54" t="n"/>
    </row>
    <row r="31">
      <c r="A31" s="74" t="n"/>
      <c r="B31" s="52" t="n"/>
      <c r="C31" s="55" t="n"/>
      <c r="D31" s="55" t="n"/>
      <c r="E31" s="55">
        <f>IF(AND(C31="",D31=""),"",C31-D31)</f>
        <v/>
      </c>
      <c r="F31" s="56">
        <f>IF(AND(C31="",D31=""),"",IF(ROUND(E31,2)=0,"OK","DIVERGENTE"))</f>
        <v/>
      </c>
      <c r="G31" s="52" t="n"/>
    </row>
    <row r="32">
      <c r="A32" s="73" t="n"/>
      <c r="B32" s="54" t="n"/>
      <c r="C32" s="57" t="n"/>
      <c r="D32" s="57" t="n"/>
      <c r="E32" s="57">
        <f>IF(AND(C32="",D32=""),"",C32-D32)</f>
        <v/>
      </c>
      <c r="F32" s="58">
        <f>IF(AND(C32="",D32=""),"",IF(ROUND(E32,2)=0,"OK","DIVERGENTE"))</f>
        <v/>
      </c>
      <c r="G32" s="54" t="n"/>
    </row>
    <row r="33">
      <c r="A33" s="74" t="n"/>
      <c r="B33" s="52" t="n"/>
      <c r="C33" s="55" t="n"/>
      <c r="D33" s="55" t="n"/>
      <c r="E33" s="55">
        <f>IF(AND(C33="",D33=""),"",C33-D33)</f>
        <v/>
      </c>
      <c r="F33" s="56">
        <f>IF(AND(C33="",D33=""),"",IF(ROUND(E33,2)=0,"OK","DIVERGENTE"))</f>
        <v/>
      </c>
      <c r="G33" s="52" t="n"/>
    </row>
    <row r="34">
      <c r="A34" s="73" t="n"/>
      <c r="B34" s="54" t="n"/>
      <c r="C34" s="57" t="n"/>
      <c r="D34" s="57" t="n"/>
      <c r="E34" s="57">
        <f>IF(AND(C34="",D34=""),"",C34-D34)</f>
        <v/>
      </c>
      <c r="F34" s="58">
        <f>IF(AND(C34="",D34=""),"",IF(ROUND(E34,2)=0,"OK","DIVERGENTE"))</f>
        <v/>
      </c>
      <c r="G34" s="54" t="n"/>
    </row>
    <row r="35">
      <c r="A35" s="74" t="n"/>
      <c r="B35" s="52" t="n"/>
      <c r="C35" s="55" t="n"/>
      <c r="D35" s="55" t="n"/>
      <c r="E35" s="55">
        <f>IF(AND(C35="",D35=""),"",C35-D35)</f>
        <v/>
      </c>
      <c r="F35" s="56">
        <f>IF(AND(C35="",D35=""),"",IF(ROUND(E35,2)=0,"OK","DIVERGENTE"))</f>
        <v/>
      </c>
      <c r="G35" s="52" t="n"/>
    </row>
    <row r="36">
      <c r="A36" s="73" t="n"/>
      <c r="B36" s="54" t="n"/>
      <c r="C36" s="57" t="n"/>
      <c r="D36" s="57" t="n"/>
      <c r="E36" s="57">
        <f>IF(AND(C36="",D36=""),"",C36-D36)</f>
        <v/>
      </c>
      <c r="F36" s="58">
        <f>IF(AND(C36="",D36=""),"",IF(ROUND(E36,2)=0,"OK","DIVERGENTE"))</f>
        <v/>
      </c>
      <c r="G36" s="54" t="n"/>
    </row>
    <row r="37">
      <c r="A37" s="74" t="n"/>
      <c r="B37" s="52" t="n"/>
      <c r="C37" s="55" t="n"/>
      <c r="D37" s="55" t="n"/>
      <c r="E37" s="55">
        <f>IF(AND(C37="",D37=""),"",C37-D37)</f>
        <v/>
      </c>
      <c r="F37" s="56">
        <f>IF(AND(C37="",D37=""),"",IF(ROUND(E37,2)=0,"OK","DIVERGENTE"))</f>
        <v/>
      </c>
      <c r="G37" s="52" t="n"/>
    </row>
    <row r="38">
      <c r="A38" s="73" t="n"/>
      <c r="B38" s="54" t="n"/>
      <c r="C38" s="57" t="n"/>
      <c r="D38" s="57" t="n"/>
      <c r="E38" s="57">
        <f>IF(AND(C38="",D38=""),"",C38-D38)</f>
        <v/>
      </c>
      <c r="F38" s="58">
        <f>IF(AND(C38="",D38=""),"",IF(ROUND(E38,2)=0,"OK","DIVERGENTE"))</f>
        <v/>
      </c>
      <c r="G38" s="54" t="n"/>
    </row>
    <row r="39">
      <c r="A39" s="74" t="n"/>
      <c r="B39" s="52" t="n"/>
      <c r="C39" s="55" t="n"/>
      <c r="D39" s="55" t="n"/>
      <c r="E39" s="55">
        <f>IF(AND(C39="",D39=""),"",C39-D39)</f>
        <v/>
      </c>
      <c r="F39" s="56">
        <f>IF(AND(C39="",D39=""),"",IF(ROUND(E39,2)=0,"OK","DIVERGENTE"))</f>
        <v/>
      </c>
      <c r="G39" s="52" t="n"/>
    </row>
    <row r="40">
      <c r="A40" s="73" t="n"/>
      <c r="B40" s="54" t="n"/>
      <c r="C40" s="57" t="n"/>
      <c r="D40" s="57" t="n"/>
      <c r="E40" s="57">
        <f>IF(AND(C40="",D40=""),"",C40-D40)</f>
        <v/>
      </c>
      <c r="F40" s="58">
        <f>IF(AND(C40="",D40=""),"",IF(ROUND(E40,2)=0,"OK","DIVERGENTE"))</f>
        <v/>
      </c>
      <c r="G40" s="54" t="n"/>
    </row>
    <row r="41">
      <c r="A41" s="74" t="n"/>
      <c r="B41" s="52" t="n"/>
      <c r="C41" s="55" t="n"/>
      <c r="D41" s="55" t="n"/>
      <c r="E41" s="55">
        <f>IF(AND(C41="",D41=""),"",C41-D41)</f>
        <v/>
      </c>
      <c r="F41" s="56">
        <f>IF(AND(C41="",D41=""),"",IF(ROUND(E41,2)=0,"OK","DIVERGENTE"))</f>
        <v/>
      </c>
      <c r="G41" s="52" t="n"/>
    </row>
    <row r="42">
      <c r="A42" s="73" t="n"/>
      <c r="B42" s="54" t="n"/>
      <c r="C42" s="57" t="n"/>
      <c r="D42" s="57" t="n"/>
      <c r="E42" s="57">
        <f>IF(AND(C42="",D42=""),"",C42-D42)</f>
        <v/>
      </c>
      <c r="F42" s="58">
        <f>IF(AND(C42="",D42=""),"",IF(ROUND(E42,2)=0,"OK","DIVERGENTE"))</f>
        <v/>
      </c>
      <c r="G42" s="54" t="n"/>
    </row>
    <row r="43">
      <c r="A43" s="74" t="n"/>
      <c r="B43" s="52" t="n"/>
      <c r="C43" s="55" t="n"/>
      <c r="D43" s="55" t="n"/>
      <c r="E43" s="55">
        <f>IF(AND(C43="",D43=""),"",C43-D43)</f>
        <v/>
      </c>
      <c r="F43" s="56">
        <f>IF(AND(C43="",D43=""),"",IF(ROUND(E43,2)=0,"OK","DIVERGENTE"))</f>
        <v/>
      </c>
      <c r="G43" s="52" t="n"/>
    </row>
    <row r="44">
      <c r="A44" s="73" t="n"/>
      <c r="B44" s="54" t="n"/>
      <c r="C44" s="57" t="n"/>
      <c r="D44" s="57" t="n"/>
      <c r="E44" s="57">
        <f>IF(AND(C44="",D44=""),"",C44-D44)</f>
        <v/>
      </c>
      <c r="F44" s="58">
        <f>IF(AND(C44="",D44=""),"",IF(ROUND(E44,2)=0,"OK","DIVERGENTE"))</f>
        <v/>
      </c>
      <c r="G44" s="54" t="n"/>
    </row>
    <row r="45">
      <c r="A45" s="59" t="inlineStr">
        <is>
          <t>TOTAIS</t>
        </is>
      </c>
      <c r="B45" s="59" t="n"/>
      <c r="C45" s="60">
        <f>SUM(C5:C44)</f>
        <v/>
      </c>
      <c r="D45" s="60">
        <f>SUM(D5:D44)</f>
        <v/>
      </c>
      <c r="E45" s="60">
        <f>SUM(E5:E44)</f>
        <v/>
      </c>
      <c r="F45" s="68">
        <f>COUNTIF(F5:F44,"DIVERGENTE")&amp;" divergência(s)"</f>
        <v/>
      </c>
      <c r="G45" s="59" t="n"/>
    </row>
  </sheetData>
  <mergeCells count="2">
    <mergeCell ref="A2:G2"/>
    <mergeCell ref="A1:G1"/>
  </mergeCells>
  <hyperlinks>
    <hyperlink ref="A3" location="'Início'!A1" display="← Início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AA0A6"/>
    <outlinePr summaryBelow="1" summaryRight="1"/>
    <pageSetUpPr/>
  </sheetPr>
  <dimension ref="A1:I90"/>
  <sheetViews>
    <sheetView showGridLines="0" zoomScale="70" zoomScaleNormal="70" workbookViewId="0">
      <pane ySplit="4" topLeftCell="A23" activePane="bottomLeft" state="frozen"/>
      <selection pane="bottomLeft" activeCell="A1" sqref="A1:I1"/>
    </sheetView>
  </sheetViews>
  <sheetFormatPr baseColWidth="8" defaultRowHeight="15"/>
  <cols>
    <col width="42" customWidth="1" style="157" min="1" max="1"/>
    <col width="14" customWidth="1" style="157" min="2" max="2"/>
    <col width="12" customWidth="1" style="157" min="3" max="3"/>
    <col width="22" customWidth="1" style="157" min="4" max="4"/>
    <col width="24" customWidth="1" style="157" min="5" max="5"/>
    <col width="28" customWidth="1" style="157" min="6" max="6"/>
    <col width="44" customWidth="1" style="157" min="7" max="7"/>
    <col width="18" customWidth="1" style="157" min="8" max="8"/>
    <col width="28" customWidth="1" style="157" min="9" max="9"/>
  </cols>
  <sheetData>
    <row r="1" ht="21" customHeight="1" s="157">
      <c r="A1" s="209" t="inlineStr">
        <is>
          <t>CADASTRO DE CLIENTES E FORNECEDORES</t>
        </is>
      </c>
    </row>
    <row r="2">
      <c r="A2" s="218" t="inlineStr">
        <is>
          <t>Base única de nomes, documentos e contatos — evita retrabalho e erro de digitação. Pré-preenchido com os nomes que já aparecem em Ago/2026; telefone e endereço puxados da Planilha de Clientes quando encontrados.</t>
        </is>
      </c>
    </row>
    <row r="3">
      <c r="A3" s="127" t="inlineStr">
        <is>
          <t>← Início</t>
        </is>
      </c>
    </row>
    <row r="4">
      <c r="A4" s="51" t="inlineStr">
        <is>
          <t>Nome</t>
        </is>
      </c>
      <c r="B4" s="51" t="inlineStr">
        <is>
          <t>Tipo</t>
        </is>
      </c>
      <c r="C4" s="51" t="inlineStr">
        <is>
          <t>PF ou PJ</t>
        </is>
      </c>
      <c r="D4" s="51" t="inlineStr">
        <is>
          <t>CPF / CNPJ</t>
        </is>
      </c>
      <c r="E4" s="51" t="inlineStr">
        <is>
          <t>Telefone / WhatsApp</t>
        </is>
      </c>
      <c r="F4" s="51" t="inlineStr">
        <is>
          <t>E-mail</t>
        </is>
      </c>
      <c r="G4" s="51" t="inlineStr">
        <is>
          <t>Endereço</t>
        </is>
      </c>
      <c r="H4" s="51" t="inlineStr">
        <is>
          <t>Cidade</t>
        </is>
      </c>
      <c r="I4" s="51" t="inlineStr">
        <is>
          <t>Observações</t>
        </is>
      </c>
    </row>
    <row r="5">
      <c r="A5" s="52" t="inlineStr">
        <is>
          <t>Graciete Cordeiro</t>
        </is>
      </c>
      <c r="B5" s="52" t="inlineStr">
        <is>
          <t>Cliente</t>
        </is>
      </c>
      <c r="C5" s="53" t="n"/>
      <c r="D5" s="53" t="n"/>
      <c r="E5" s="52" t="n">
        <v>991403050</v>
      </c>
      <c r="F5" s="53" t="n"/>
      <c r="G5" s="52" t="inlineStr">
        <is>
          <t>Rua Deodoro da Fonseca, 104, Ap 106</t>
        </is>
      </c>
      <c r="H5" s="52" t="inlineStr">
        <is>
          <t>Jacobina - BA</t>
        </is>
      </c>
      <c r="I5" s="52" t="inlineStr">
        <is>
          <t>Caixa Dágua</t>
        </is>
      </c>
    </row>
    <row r="6">
      <c r="A6" s="54" t="inlineStr">
        <is>
          <t>Lojão das Maquiagens</t>
        </is>
      </c>
      <c r="B6" s="54" t="inlineStr">
        <is>
          <t>Cliente</t>
        </is>
      </c>
      <c r="C6" s="53" t="n"/>
      <c r="D6" s="53" t="n"/>
      <c r="E6" s="54" t="inlineStr">
        <is>
          <t>981460585 May</t>
        </is>
      </c>
      <c r="F6" s="53" t="n"/>
      <c r="G6" s="54" t="inlineStr">
        <is>
          <t>Rua Coronel Teixeira, 84</t>
        </is>
      </c>
      <c r="H6" s="54" t="inlineStr">
        <is>
          <t>Jacobina - BA</t>
        </is>
      </c>
      <c r="I6" s="54" t="inlineStr">
        <is>
          <t>Centro</t>
        </is>
      </c>
    </row>
    <row r="7">
      <c r="A7" s="52" t="inlineStr">
        <is>
          <t>Edelmir Cordeiro</t>
        </is>
      </c>
      <c r="B7" s="52" t="inlineStr">
        <is>
          <t>Cliente</t>
        </is>
      </c>
      <c r="C7" s="53" t="n"/>
      <c r="D7" s="53" t="n"/>
      <c r="E7" s="52" t="n">
        <v>991217035</v>
      </c>
      <c r="F7" s="53" t="n"/>
      <c r="G7" s="52" t="inlineStr">
        <is>
          <t>Rua Coronel Deraldo Dias, 40</t>
        </is>
      </c>
      <c r="H7" s="52" t="inlineStr">
        <is>
          <t>Jacobina - BA</t>
        </is>
      </c>
      <c r="I7" s="52" t="inlineStr">
        <is>
          <t>Leader</t>
        </is>
      </c>
    </row>
    <row r="8">
      <c r="A8" s="54" t="inlineStr">
        <is>
          <t>Atacadão das Confecções</t>
        </is>
      </c>
      <c r="B8" s="54" t="inlineStr">
        <is>
          <t>Cliente</t>
        </is>
      </c>
      <c r="C8" s="53" t="n"/>
      <c r="D8" s="53" t="n"/>
      <c r="E8" s="54" t="inlineStr">
        <is>
          <t>981460585 May</t>
        </is>
      </c>
      <c r="F8" s="53" t="n"/>
      <c r="G8" s="54" t="inlineStr">
        <is>
          <t>Rua Coronel Teixeira, 270</t>
        </is>
      </c>
      <c r="H8" s="54" t="inlineStr">
        <is>
          <t>Jacobina - BA</t>
        </is>
      </c>
      <c r="I8" s="54" t="inlineStr">
        <is>
          <t>Centro</t>
        </is>
      </c>
    </row>
    <row r="9">
      <c r="A9" s="52" t="inlineStr">
        <is>
          <t>Silva e Silva Advogados</t>
        </is>
      </c>
      <c r="B9" s="52" t="inlineStr">
        <is>
          <t>Cliente</t>
        </is>
      </c>
      <c r="C9" s="53" t="n"/>
      <c r="D9" s="53" t="n"/>
      <c r="E9" s="52" t="n">
        <v>991330608</v>
      </c>
      <c r="F9" s="53" t="n"/>
      <c r="G9" s="52" t="inlineStr">
        <is>
          <t>Rua D Casa 20 (Proximo a Associação)</t>
        </is>
      </c>
      <c r="H9" s="52" t="inlineStr">
        <is>
          <t>Jacobina - BA</t>
        </is>
      </c>
      <c r="I9" s="52" t="inlineStr">
        <is>
          <t>Jacobina 2</t>
        </is>
      </c>
    </row>
    <row r="10">
      <c r="A10" s="54" t="inlineStr">
        <is>
          <t>Multipet</t>
        </is>
      </c>
      <c r="B10" s="54" t="inlineStr">
        <is>
          <t>Cliente</t>
        </is>
      </c>
      <c r="C10" s="53" t="n"/>
      <c r="D10" s="53" t="n"/>
      <c r="E10" s="54" t="n"/>
      <c r="F10" s="53" t="n"/>
      <c r="G10" s="54" t="inlineStr">
        <is>
          <t>Rua Ruy Barbosa</t>
        </is>
      </c>
      <c r="H10" s="54" t="inlineStr">
        <is>
          <t>Jacobina - BA</t>
        </is>
      </c>
      <c r="I10" s="54" t="inlineStr">
        <is>
          <t>Matriz</t>
        </is>
      </c>
    </row>
    <row r="11">
      <c r="A11" s="52" t="inlineStr">
        <is>
          <t>Cilmara Melo Nunes de Souza</t>
        </is>
      </c>
      <c r="B11" s="52" t="inlineStr">
        <is>
          <t>Cliente</t>
        </is>
      </c>
      <c r="C11" s="53" t="n"/>
      <c r="D11" s="53" t="n"/>
      <c r="E11" s="52" t="n">
        <v>988221828</v>
      </c>
      <c r="F11" s="53" t="n"/>
      <c r="G11" s="52" t="inlineStr">
        <is>
          <t>Condominio Alamedas do Rio, 490</t>
        </is>
      </c>
      <c r="H11" s="52" t="inlineStr">
        <is>
          <t>Jacobina - BA</t>
        </is>
      </c>
      <c r="I11" s="52" t="inlineStr">
        <is>
          <t>Nazare</t>
        </is>
      </c>
    </row>
    <row r="12">
      <c r="A12" s="54" t="inlineStr">
        <is>
          <t>Farmácia Popular</t>
        </is>
      </c>
      <c r="B12" s="54" t="inlineStr">
        <is>
          <t>Cliente</t>
        </is>
      </c>
      <c r="C12" s="53" t="n"/>
      <c r="D12" s="53" t="n"/>
      <c r="E12" s="54" t="inlineStr">
        <is>
          <t>98873-1939</t>
        </is>
      </c>
      <c r="F12" s="53" t="n"/>
      <c r="G12" s="54" t="inlineStr">
        <is>
          <t>Rua do Triangulo, 477</t>
        </is>
      </c>
      <c r="H12" s="54" t="inlineStr">
        <is>
          <t>Jacobina - BA</t>
        </is>
      </c>
      <c r="I12" s="54" t="inlineStr">
        <is>
          <t>Peru</t>
        </is>
      </c>
    </row>
    <row r="13">
      <c r="A13" s="52" t="inlineStr">
        <is>
          <t>Ivanilton Costa</t>
        </is>
      </c>
      <c r="B13" s="52" t="inlineStr">
        <is>
          <t>Cliente</t>
        </is>
      </c>
      <c r="C13" s="53" t="n"/>
      <c r="D13" s="53" t="n"/>
      <c r="E13" s="52" t="inlineStr">
        <is>
          <t>36213804/ 991231675</t>
        </is>
      </c>
      <c r="F13" s="53" t="n"/>
      <c r="G13" s="52" t="inlineStr">
        <is>
          <t>Travessa Alberto Torres, 126</t>
        </is>
      </c>
      <c r="H13" s="52" t="inlineStr">
        <is>
          <t>Jacobina - BA</t>
        </is>
      </c>
      <c r="I13" s="52" t="inlineStr">
        <is>
          <t>Estação</t>
        </is>
      </c>
    </row>
    <row r="14">
      <c r="A14" s="54" t="inlineStr">
        <is>
          <t>Centro de Especialidades Odontomédicas</t>
        </is>
      </c>
      <c r="B14" s="54" t="inlineStr">
        <is>
          <t>Cliente</t>
        </is>
      </c>
      <c r="C14" s="53" t="n"/>
      <c r="D14" s="53" t="n"/>
      <c r="E14" s="54" t="inlineStr">
        <is>
          <t>988044240 1 Cobertura (clínica)</t>
        </is>
      </c>
      <c r="F14" s="53" t="n"/>
      <c r="G14" s="54" t="inlineStr">
        <is>
          <t>Rua Senador Pedro Lago , 17 Edificio Edite</t>
        </is>
      </c>
      <c r="H14" s="54" t="inlineStr">
        <is>
          <t>Jacobina - BA</t>
        </is>
      </c>
      <c r="I14" s="54" t="inlineStr">
        <is>
          <t>Centro</t>
        </is>
      </c>
    </row>
    <row r="15">
      <c r="A15" s="52" t="inlineStr">
        <is>
          <t>Supermercado Brasil</t>
        </is>
      </c>
      <c r="B15" s="52" t="inlineStr">
        <is>
          <t>Cliente</t>
        </is>
      </c>
      <c r="C15" s="53" t="n"/>
      <c r="D15" s="53" t="n"/>
      <c r="E15" s="52" t="inlineStr">
        <is>
          <t>99195-3324</t>
        </is>
      </c>
      <c r="F15" s="53" t="n"/>
      <c r="G15" s="52" t="inlineStr">
        <is>
          <t>Rua Silvio Dias Pires, 70</t>
        </is>
      </c>
      <c r="H15" s="52" t="inlineStr">
        <is>
          <t>Jacobina - BA</t>
        </is>
      </c>
      <c r="I15" s="52" t="inlineStr">
        <is>
          <t>Estação</t>
        </is>
      </c>
    </row>
    <row r="16">
      <c r="A16" s="54" t="inlineStr">
        <is>
          <t>Marcio Itamar</t>
        </is>
      </c>
      <c r="B16" s="54" t="inlineStr">
        <is>
          <t>Cliente</t>
        </is>
      </c>
      <c r="C16" s="53" t="n"/>
      <c r="D16" s="53" t="n"/>
      <c r="E16" s="54" t="inlineStr">
        <is>
          <t>9902-1170</t>
        </is>
      </c>
      <c r="F16" s="53" t="n"/>
      <c r="G16" s="54" t="inlineStr">
        <is>
          <t>Rua José Marcelino, 317</t>
        </is>
      </c>
      <c r="H16" s="54" t="inlineStr">
        <is>
          <t>Jacobina - BA</t>
        </is>
      </c>
      <c r="I16" s="54" t="inlineStr">
        <is>
          <t>Mundo Novo</t>
        </is>
      </c>
    </row>
    <row r="17">
      <c r="A17" s="52" t="inlineStr">
        <is>
          <t>Arena Jacobina Society</t>
        </is>
      </c>
      <c r="B17" s="52" t="inlineStr">
        <is>
          <t>Cliente</t>
        </is>
      </c>
      <c r="C17" s="53" t="n"/>
      <c r="D17" s="53" t="n"/>
      <c r="E17" s="52" t="n">
        <v>991343522</v>
      </c>
      <c r="F17" s="53" t="n"/>
      <c r="G17" s="52" t="inlineStr">
        <is>
          <t>Rua Renato Rocha, 90</t>
        </is>
      </c>
      <c r="H17" s="52" t="inlineStr">
        <is>
          <t>Jacobina - BA</t>
        </is>
      </c>
      <c r="I17" s="52" t="inlineStr">
        <is>
          <t>Felix Tomaz</t>
        </is>
      </c>
    </row>
    <row r="18">
      <c r="A18" s="54" t="inlineStr">
        <is>
          <t>Verdes Mares Tintas</t>
        </is>
      </c>
      <c r="B18" s="54" t="inlineStr">
        <is>
          <t>Cliente</t>
        </is>
      </c>
      <c r="C18" s="53" t="n"/>
      <c r="D18" s="53" t="n"/>
      <c r="E18" s="54" t="inlineStr">
        <is>
          <t>3621-3207/981024265</t>
        </is>
      </c>
      <c r="F18" s="53" t="n"/>
      <c r="G18" s="54" t="inlineStr">
        <is>
          <t>Avenida Orlando Oliveira Pires, 843</t>
        </is>
      </c>
      <c r="H18" s="54" t="inlineStr">
        <is>
          <t>Jacobina - BA</t>
        </is>
      </c>
      <c r="I18" s="54" t="inlineStr">
        <is>
          <t>Centro</t>
        </is>
      </c>
    </row>
    <row r="19">
      <c r="A19" s="52" t="inlineStr">
        <is>
          <t>Silvania Mota</t>
        </is>
      </c>
      <c r="B19" s="52" t="inlineStr">
        <is>
          <t>Cliente</t>
        </is>
      </c>
      <c r="C19" s="53" t="n"/>
      <c r="D19" s="53" t="n"/>
      <c r="E19" s="52" t="inlineStr">
        <is>
          <t>36211743/991543136</t>
        </is>
      </c>
      <c r="F19" s="53" t="n"/>
      <c r="G19" s="52" t="inlineStr">
        <is>
          <t>Rua Costa e Silva, 46</t>
        </is>
      </c>
      <c r="H19" s="52" t="inlineStr">
        <is>
          <t>Jacobina - BA</t>
        </is>
      </c>
      <c r="I19" s="52" t="inlineStr">
        <is>
          <t>Mundo Novo</t>
        </is>
      </c>
    </row>
    <row r="20">
      <c r="A20" s="54" t="inlineStr">
        <is>
          <t>Ariosvaldo Mendes</t>
        </is>
      </c>
      <c r="B20" s="54" t="inlineStr">
        <is>
          <t>Cliente</t>
        </is>
      </c>
      <c r="C20" s="53" t="n"/>
      <c r="D20" s="53" t="n"/>
      <c r="E20" s="54" t="n"/>
      <c r="F20" s="53" t="n"/>
      <c r="G20" s="54" t="n"/>
      <c r="H20" s="54" t="n"/>
      <c r="I20" s="54" t="n"/>
    </row>
    <row r="21">
      <c r="A21" s="52" t="inlineStr">
        <is>
          <t>Andrea Lopes dos Santos</t>
        </is>
      </c>
      <c r="B21" s="52" t="inlineStr">
        <is>
          <t>Cliente</t>
        </is>
      </c>
      <c r="C21" s="53" t="n"/>
      <c r="D21" s="53" t="n"/>
      <c r="E21" s="52" t="inlineStr">
        <is>
          <t xml:space="preserve">999240849 / </t>
        </is>
      </c>
      <c r="F21" s="53" t="n"/>
      <c r="G21" s="52" t="inlineStr">
        <is>
          <t>Rua 10, s/n (Proximo a casa de cigano)</t>
        </is>
      </c>
      <c r="H21" s="52" t="inlineStr">
        <is>
          <t>Jacobina - BA</t>
        </is>
      </c>
      <c r="I21" s="52" t="inlineStr">
        <is>
          <t xml:space="preserve">Jacobina 2 </t>
        </is>
      </c>
    </row>
    <row r="22">
      <c r="A22" s="54" t="inlineStr">
        <is>
          <t>Marsilia Marmores e Granitos Erelli</t>
        </is>
      </c>
      <c r="B22" s="54" t="inlineStr">
        <is>
          <t>Cliente</t>
        </is>
      </c>
      <c r="C22" s="53" t="n"/>
      <c r="D22" s="53" t="n"/>
      <c r="E22" s="54" t="n">
        <v>999773095</v>
      </c>
      <c r="F22" s="53" t="n"/>
      <c r="G22" s="54" t="inlineStr">
        <is>
          <t>Estrada de Canavieiras, 9999 - Oficina</t>
        </is>
      </c>
      <c r="H22" s="54" t="inlineStr">
        <is>
          <t>Jacobina - BA</t>
        </is>
      </c>
      <c r="I22" s="54" t="inlineStr">
        <is>
          <t>Jacobina 3</t>
        </is>
      </c>
    </row>
    <row r="23">
      <c r="A23" s="52" t="inlineStr">
        <is>
          <t>Clinica da Mulher - MR Valois Serviços</t>
        </is>
      </c>
      <c r="B23" s="52" t="inlineStr">
        <is>
          <t>Cliente</t>
        </is>
      </c>
      <c r="C23" s="53" t="n"/>
      <c r="D23" s="53" t="n"/>
      <c r="E23" s="52" t="inlineStr">
        <is>
          <t>98819-2425</t>
        </is>
      </c>
      <c r="F23" s="53" t="n"/>
      <c r="G23" s="52" t="inlineStr">
        <is>
          <t>Rua JJ Seabra, 275</t>
        </is>
      </c>
      <c r="H23" s="52" t="inlineStr">
        <is>
          <t>Jacobina - BA</t>
        </is>
      </c>
      <c r="I23" s="52" t="inlineStr">
        <is>
          <t>Estação</t>
        </is>
      </c>
    </row>
    <row r="24">
      <c r="A24" s="54" t="inlineStr">
        <is>
          <t>Acerto de Armando</t>
        </is>
      </c>
      <c r="B24" s="54" t="inlineStr">
        <is>
          <t>Cliente</t>
        </is>
      </c>
      <c r="C24" s="53" t="n"/>
      <c r="D24" s="53" t="n"/>
      <c r="E24" s="54" t="n">
        <v>999980107</v>
      </c>
      <c r="F24" s="53" t="n"/>
      <c r="G24" s="54" t="inlineStr">
        <is>
          <t>Condomínio Alamedas do Rio, 230</t>
        </is>
      </c>
      <c r="H24" s="54" t="inlineStr">
        <is>
          <t>Jacobina - BA</t>
        </is>
      </c>
      <c r="I24" s="54" t="inlineStr">
        <is>
          <t>Nazare</t>
        </is>
      </c>
    </row>
    <row r="25">
      <c r="A25" s="52" t="inlineStr">
        <is>
          <t>Audioclin Clinca Médica LTDA - Tarcisio Nascimento</t>
        </is>
      </c>
      <c r="B25" s="52" t="inlineStr">
        <is>
          <t>Cliente</t>
        </is>
      </c>
      <c r="C25" s="53" t="n"/>
      <c r="D25" s="53" t="n"/>
      <c r="E25" s="52" t="inlineStr">
        <is>
          <t>99912-1735/98102-8696</t>
        </is>
      </c>
      <c r="F25" s="53" t="n"/>
      <c r="G25" s="52" t="inlineStr">
        <is>
          <t xml:space="preserve">Avenida Orlando Oliveira Pires, 370 </t>
        </is>
      </c>
      <c r="H25" s="52" t="inlineStr">
        <is>
          <t>Jacobina - BA</t>
        </is>
      </c>
      <c r="I25" s="52" t="inlineStr">
        <is>
          <t>Centro</t>
        </is>
      </c>
    </row>
    <row r="26">
      <c r="A26" s="54" t="inlineStr">
        <is>
          <t>Maria das Dores e Reje Celia</t>
        </is>
      </c>
      <c r="B26" s="54" t="inlineStr">
        <is>
          <t>Cliente</t>
        </is>
      </c>
      <c r="C26" s="53" t="n"/>
      <c r="D26" s="53" t="n"/>
      <c r="E26" s="54" t="inlineStr">
        <is>
          <t>991322761/988599211</t>
        </is>
      </c>
      <c r="F26" s="53" t="n"/>
      <c r="G26" s="54" t="inlineStr">
        <is>
          <t>Rua São João, 127 térreo</t>
        </is>
      </c>
      <c r="H26" s="54" t="inlineStr">
        <is>
          <t>Jacobina - BA</t>
        </is>
      </c>
      <c r="I26" s="54" t="inlineStr">
        <is>
          <t>Missão</t>
        </is>
      </c>
    </row>
    <row r="27">
      <c r="A27" s="52" t="inlineStr">
        <is>
          <t>Nlx Comercio e Serviços Subway - Alexandre Neder</t>
        </is>
      </c>
      <c r="B27" s="52" t="inlineStr">
        <is>
          <t>Cliente</t>
        </is>
      </c>
      <c r="C27" s="53" t="n"/>
      <c r="D27" s="53" t="n"/>
      <c r="E27" s="52" t="inlineStr">
        <is>
          <t>3622-2382</t>
        </is>
      </c>
      <c r="F27" s="53" t="n"/>
      <c r="G27" s="52" t="inlineStr">
        <is>
          <t>Avenida Orlando Oliveira Pires, 95</t>
        </is>
      </c>
      <c r="H27" s="52" t="inlineStr">
        <is>
          <t>Jacobina - BA</t>
        </is>
      </c>
      <c r="I27" s="52" t="inlineStr">
        <is>
          <t>Centro</t>
        </is>
      </c>
    </row>
    <row r="28">
      <c r="A28" s="54" t="inlineStr">
        <is>
          <t>Tropical Motos LTDA</t>
        </is>
      </c>
      <c r="B28" s="54" t="inlineStr">
        <is>
          <t>Cliente</t>
        </is>
      </c>
      <c r="C28" s="53" t="n"/>
      <c r="D28" s="53" t="n"/>
      <c r="E28" s="54" t="inlineStr">
        <is>
          <t>98814-8239</t>
        </is>
      </c>
      <c r="F28" s="53" t="n"/>
      <c r="G28" s="54" t="inlineStr">
        <is>
          <t>Rua Reinaldo Jacobina Vieira, s/n</t>
        </is>
      </c>
      <c r="H28" s="54" t="inlineStr">
        <is>
          <t>Jacobina - BA</t>
        </is>
      </c>
      <c r="I28" s="54" t="inlineStr">
        <is>
          <t>Peru</t>
        </is>
      </c>
    </row>
    <row r="29">
      <c r="A29" s="52" t="inlineStr">
        <is>
          <t>Ivanir Carneiro de Oliveira</t>
        </is>
      </c>
      <c r="B29" s="52" t="inlineStr">
        <is>
          <t>Cliente</t>
        </is>
      </c>
      <c r="C29" s="53" t="n"/>
      <c r="D29" s="53" t="n"/>
      <c r="E29" s="52" t="n">
        <v>981090497</v>
      </c>
      <c r="F29" s="53" t="n"/>
      <c r="G29" s="52" t="inlineStr">
        <is>
          <t>Rua Presidente Medici, 507</t>
        </is>
      </c>
      <c r="H29" s="52" t="inlineStr">
        <is>
          <t>Jacobina - BA</t>
        </is>
      </c>
      <c r="I29" s="52" t="inlineStr">
        <is>
          <t>Felix Tomaz</t>
        </is>
      </c>
    </row>
    <row r="30">
      <c r="A30" s="54" t="inlineStr">
        <is>
          <t>Condominio Ilha do Ouro</t>
        </is>
      </c>
      <c r="B30" s="54" t="inlineStr">
        <is>
          <t>Cliente</t>
        </is>
      </c>
      <c r="C30" s="53" t="n"/>
      <c r="D30" s="53" t="n"/>
      <c r="E30" s="54" t="inlineStr">
        <is>
          <t>99937-4915</t>
        </is>
      </c>
      <c r="F30" s="53" t="n"/>
      <c r="G30" s="54" t="inlineStr">
        <is>
          <t>Avenida Centenario, s/n</t>
        </is>
      </c>
      <c r="H30" s="54" t="inlineStr">
        <is>
          <t>Jacobina - BA</t>
        </is>
      </c>
      <c r="I30" s="54" t="inlineStr">
        <is>
          <t>Nazaré</t>
        </is>
      </c>
    </row>
    <row r="31">
      <c r="A31" s="52" t="inlineStr">
        <is>
          <t>Angelo Marcio Bispo</t>
        </is>
      </c>
      <c r="B31" s="52" t="inlineStr">
        <is>
          <t>Cliente</t>
        </is>
      </c>
      <c r="C31" s="53" t="n"/>
      <c r="D31" s="53" t="n"/>
      <c r="E31" s="52" t="inlineStr">
        <is>
          <t xml:space="preserve">36215685/991352253 </t>
        </is>
      </c>
      <c r="F31" s="53" t="n"/>
      <c r="G31" s="52" t="inlineStr">
        <is>
          <t>Rua do Cajueiro, 11</t>
        </is>
      </c>
      <c r="H31" s="52" t="inlineStr">
        <is>
          <t>Jacobina - BA</t>
        </is>
      </c>
      <c r="I31" s="52" t="inlineStr">
        <is>
          <t>Caixa Dágua</t>
        </is>
      </c>
    </row>
    <row r="32">
      <c r="A32" s="54" t="inlineStr">
        <is>
          <t>Elio Pereira dos Santos</t>
        </is>
      </c>
      <c r="B32" s="54" t="inlineStr">
        <is>
          <t>Cliente</t>
        </is>
      </c>
      <c r="C32" s="53" t="n"/>
      <c r="D32" s="53" t="n"/>
      <c r="E32" s="54" t="n">
        <v>991166458</v>
      </c>
      <c r="F32" s="53" t="n"/>
      <c r="G32" s="54" t="inlineStr">
        <is>
          <t>Rua do Cajueiro, 315</t>
        </is>
      </c>
      <c r="H32" s="54" t="inlineStr">
        <is>
          <t>Jacobina - BA</t>
        </is>
      </c>
      <c r="I32" s="54" t="inlineStr">
        <is>
          <t>Caixa Dágua</t>
        </is>
      </c>
    </row>
    <row r="33">
      <c r="A33" s="52" t="inlineStr">
        <is>
          <t>Maria Madalena de Santana Santos</t>
        </is>
      </c>
      <c r="B33" s="52" t="inlineStr">
        <is>
          <t>Cliente</t>
        </is>
      </c>
      <c r="C33" s="53" t="n"/>
      <c r="D33" s="53" t="n"/>
      <c r="E33" s="52" t="n">
        <v>981211491</v>
      </c>
      <c r="F33" s="53" t="n"/>
      <c r="G33" s="52" t="inlineStr">
        <is>
          <t>Travessa João Teixeira, 283</t>
        </is>
      </c>
      <c r="H33" s="52" t="inlineStr">
        <is>
          <t>Jacobina - BA</t>
        </is>
      </c>
      <c r="I33" s="52" t="inlineStr">
        <is>
          <t>Peru</t>
        </is>
      </c>
    </row>
    <row r="34">
      <c r="A34" s="54" t="inlineStr">
        <is>
          <t>SESC Administração Regional do Estado da Bahia</t>
        </is>
      </c>
      <c r="B34" s="54" t="inlineStr">
        <is>
          <t>Cliente</t>
        </is>
      </c>
      <c r="C34" s="53" t="n"/>
      <c r="D34" s="53" t="n"/>
      <c r="E34" s="54" t="n"/>
      <c r="F34" s="53" t="n"/>
      <c r="G34" s="54" t="n"/>
      <c r="H34" s="54" t="n"/>
      <c r="I34" s="54" t="n"/>
    </row>
    <row r="35">
      <c r="A35" s="52" t="inlineStr">
        <is>
          <t>Lilian Patrícia</t>
        </is>
      </c>
      <c r="B35" s="52" t="inlineStr">
        <is>
          <t>Cliente</t>
        </is>
      </c>
      <c r="C35" s="53" t="n"/>
      <c r="D35" s="53" t="n"/>
      <c r="E35" s="52" t="n"/>
      <c r="F35" s="53" t="n"/>
      <c r="G35" s="52" t="n"/>
      <c r="H35" s="52" t="n"/>
      <c r="I35" s="52" t="n"/>
    </row>
    <row r="36">
      <c r="A36" s="54" t="inlineStr">
        <is>
          <t>Natalice da Silva Masquarenhas</t>
        </is>
      </c>
      <c r="B36" s="54" t="inlineStr">
        <is>
          <t>Cliente</t>
        </is>
      </c>
      <c r="C36" s="53" t="n"/>
      <c r="D36" s="53" t="n"/>
      <c r="E36" s="54" t="n">
        <v>991102473</v>
      </c>
      <c r="F36" s="53" t="n"/>
      <c r="G36" s="54" t="inlineStr">
        <is>
          <t>Rua Divino Espirito Santo, 588</t>
        </is>
      </c>
      <c r="H36" s="54" t="inlineStr">
        <is>
          <t>Jacobina - BA</t>
        </is>
      </c>
      <c r="I36" s="54" t="inlineStr">
        <is>
          <t>Felix Tomaz</t>
        </is>
      </c>
    </row>
    <row r="37">
      <c r="A37" s="52" t="inlineStr">
        <is>
          <t>Joelma Almeida</t>
        </is>
      </c>
      <c r="B37" s="52" t="inlineStr">
        <is>
          <t>Cliente</t>
        </is>
      </c>
      <c r="C37" s="53" t="n"/>
      <c r="D37" s="53" t="n"/>
      <c r="E37" s="52" t="n">
        <v>999128394</v>
      </c>
      <c r="F37" s="53" t="n"/>
      <c r="G37" s="52" t="inlineStr">
        <is>
          <t>Rua Bom Jesus da Gloria, 57</t>
        </is>
      </c>
      <c r="H37" s="52" t="inlineStr">
        <is>
          <t>Jacobina - BA</t>
        </is>
      </c>
      <c r="I37" s="52" t="inlineStr">
        <is>
          <t>Missão</t>
        </is>
      </c>
    </row>
    <row r="38">
      <c r="A38" s="54" t="inlineStr">
        <is>
          <t>Ten Internet</t>
        </is>
      </c>
      <c r="B38" s="54" t="inlineStr">
        <is>
          <t>Cliente</t>
        </is>
      </c>
      <c r="C38" s="53" t="n"/>
      <c r="D38" s="53" t="n"/>
      <c r="E38" s="54" t="n"/>
      <c r="F38" s="53" t="n"/>
      <c r="G38" s="54" t="n"/>
      <c r="H38" s="54" t="n"/>
      <c r="I38" s="54" t="n"/>
    </row>
    <row r="39">
      <c r="A39" s="52" t="inlineStr">
        <is>
          <t>Ivanilton</t>
        </is>
      </c>
      <c r="B39" s="52" t="inlineStr">
        <is>
          <t>Cliente</t>
        </is>
      </c>
      <c r="C39" s="53" t="n"/>
      <c r="D39" s="53" t="n"/>
      <c r="E39" s="52" t="n">
        <v>991390102</v>
      </c>
      <c r="F39" s="53" t="n"/>
      <c r="G39" s="52" t="inlineStr">
        <is>
          <t>Rua da Independencia, s/n</t>
        </is>
      </c>
      <c r="H39" s="52" t="inlineStr">
        <is>
          <t>Jacobina - BA</t>
        </is>
      </c>
      <c r="I39" s="52" t="inlineStr">
        <is>
          <t>Mundo Novo</t>
        </is>
      </c>
    </row>
    <row r="40">
      <c r="A40" s="54" t="inlineStr">
        <is>
          <t>Maria Conceição Dias Da Silva</t>
        </is>
      </c>
      <c r="B40" s="54" t="inlineStr">
        <is>
          <t>Cliente</t>
        </is>
      </c>
      <c r="C40" s="53" t="n"/>
      <c r="D40" s="53" t="n"/>
      <c r="E40" s="54" t="n">
        <v>7191754415</v>
      </c>
      <c r="F40" s="53" t="n"/>
      <c r="G40" s="54" t="inlineStr">
        <is>
          <t>Loteamento Orlando Touro, 82</t>
        </is>
      </c>
      <c r="H40" s="54" t="inlineStr">
        <is>
          <t>Jacobina - BA</t>
        </is>
      </c>
      <c r="I40" s="54" t="inlineStr">
        <is>
          <t>Mundo Novo</t>
        </is>
      </c>
    </row>
    <row r="41">
      <c r="A41" s="52" t="inlineStr">
        <is>
          <t>Free Way</t>
        </is>
      </c>
      <c r="B41" s="52" t="inlineStr">
        <is>
          <t>Cliente</t>
        </is>
      </c>
      <c r="C41" s="53" t="n"/>
      <c r="D41" s="53" t="n"/>
      <c r="E41" s="52" t="inlineStr">
        <is>
          <t>99816-1451</t>
        </is>
      </c>
      <c r="F41" s="53" t="n"/>
      <c r="G41" s="52" t="inlineStr">
        <is>
          <t>Avenida Luiz Alberto Dourado, s/n  Academia</t>
        </is>
      </c>
      <c r="H41" s="52" t="inlineStr">
        <is>
          <t>Jacobina - BA</t>
        </is>
      </c>
      <c r="I41" s="52" t="inlineStr">
        <is>
          <t>Jacobina 4</t>
        </is>
      </c>
    </row>
    <row r="42">
      <c r="A42" s="54" t="inlineStr">
        <is>
          <t>Everest Refrigeração</t>
        </is>
      </c>
      <c r="B42" s="54" t="inlineStr">
        <is>
          <t>Fornecedor</t>
        </is>
      </c>
      <c r="C42" s="54" t="inlineStr">
        <is>
          <t>PJ</t>
        </is>
      </c>
      <c r="D42" s="53" t="n"/>
      <c r="E42" s="53" t="n"/>
      <c r="F42" s="53" t="n"/>
      <c r="G42" s="54" t="n"/>
      <c r="H42" s="54" t="n"/>
      <c r="I42" s="54" t="inlineStr">
        <is>
          <t>Fornecedores / Mercadoria</t>
        </is>
      </c>
    </row>
    <row r="43">
      <c r="A43" s="52" t="inlineStr">
        <is>
          <t>Filtros Planeta Água</t>
        </is>
      </c>
      <c r="B43" s="52" t="inlineStr">
        <is>
          <t>Fornecedor</t>
        </is>
      </c>
      <c r="C43" s="52" t="inlineStr">
        <is>
          <t>PJ</t>
        </is>
      </c>
      <c r="D43" s="53" t="n"/>
      <c r="E43" s="53" t="n"/>
      <c r="F43" s="53" t="n"/>
      <c r="G43" s="52" t="n"/>
      <c r="H43" s="52" t="n"/>
      <c r="I43" s="52" t="inlineStr">
        <is>
          <t>Fornecedores / Mercadoria</t>
        </is>
      </c>
    </row>
    <row r="44">
      <c r="A44" s="54" t="inlineStr">
        <is>
          <t>Eversoft</t>
        </is>
      </c>
      <c r="B44" s="54" t="inlineStr">
        <is>
          <t>Fornecedor</t>
        </is>
      </c>
      <c r="C44" s="54" t="inlineStr">
        <is>
          <t>PJ</t>
        </is>
      </c>
      <c r="D44" s="53" t="n"/>
      <c r="E44" s="53" t="n"/>
      <c r="F44" s="53" t="n"/>
      <c r="G44" s="54" t="n"/>
      <c r="H44" s="54" t="n"/>
      <c r="I44" s="54" t="inlineStr">
        <is>
          <t>Fornecedores / Mercadoria</t>
        </is>
      </c>
    </row>
    <row r="45">
      <c r="A45" s="52" t="inlineStr">
        <is>
          <t>Culligan Latam Eireli</t>
        </is>
      </c>
      <c r="B45" s="52" t="inlineStr">
        <is>
          <t>Fornecedor</t>
        </is>
      </c>
      <c r="C45" s="52" t="inlineStr">
        <is>
          <t>PJ</t>
        </is>
      </c>
      <c r="D45" s="53" t="n"/>
      <c r="E45" s="53" t="n"/>
      <c r="F45" s="53" t="n"/>
      <c r="G45" s="52" t="n"/>
      <c r="H45" s="52" t="n"/>
      <c r="I45" s="52" t="inlineStr">
        <is>
          <t>Fornecedores / Mercadoria</t>
        </is>
      </c>
    </row>
    <row r="46">
      <c r="A46" s="54" t="inlineStr">
        <is>
          <t>Fracione Transportes</t>
        </is>
      </c>
      <c r="B46" s="54" t="inlineStr">
        <is>
          <t>Fornecedor</t>
        </is>
      </c>
      <c r="C46" s="54" t="inlineStr">
        <is>
          <t>PJ</t>
        </is>
      </c>
      <c r="D46" s="53" t="n"/>
      <c r="E46" s="53" t="n"/>
      <c r="F46" s="53" t="n"/>
      <c r="G46" s="54" t="n"/>
      <c r="H46" s="54" t="n"/>
      <c r="I46" s="54" t="inlineStr">
        <is>
          <t>Transporte e Entregas</t>
        </is>
      </c>
    </row>
    <row r="47">
      <c r="A47" s="52" t="inlineStr">
        <is>
          <t>Correios</t>
        </is>
      </c>
      <c r="B47" s="52" t="inlineStr">
        <is>
          <t>Fornecedor</t>
        </is>
      </c>
      <c r="C47" s="52" t="inlineStr">
        <is>
          <t>PJ</t>
        </is>
      </c>
      <c r="D47" s="53" t="n"/>
      <c r="E47" s="53" t="n"/>
      <c r="F47" s="53" t="n"/>
      <c r="G47" s="52" t="n"/>
      <c r="H47" s="52" t="n"/>
      <c r="I47" s="52" t="inlineStr">
        <is>
          <t>Transporte e Entregas</t>
        </is>
      </c>
    </row>
    <row r="48">
      <c r="A48" s="54" t="inlineStr">
        <is>
          <t>Tarcisio Oliveira Lima</t>
        </is>
      </c>
      <c r="B48" s="54" t="inlineStr">
        <is>
          <t>Fornecedor</t>
        </is>
      </c>
      <c r="C48" s="54" t="inlineStr">
        <is>
          <t>PJ</t>
        </is>
      </c>
      <c r="D48" s="53" t="n"/>
      <c r="E48" s="53" t="n"/>
      <c r="F48" s="53" t="n"/>
      <c r="G48" s="54" t="n"/>
      <c r="H48" s="54" t="n"/>
      <c r="I48" s="54" t="inlineStr">
        <is>
          <t>Transporte e Entregas</t>
        </is>
      </c>
    </row>
    <row r="49">
      <c r="A49" s="52" t="n"/>
      <c r="B49" s="52" t="n"/>
      <c r="C49" s="53" t="n"/>
      <c r="D49" s="53" t="n"/>
      <c r="E49" s="52" t="n"/>
      <c r="F49" s="53" t="n"/>
      <c r="G49" s="52" t="n"/>
      <c r="H49" s="52" t="n"/>
      <c r="I49" s="52" t="n"/>
    </row>
    <row r="50">
      <c r="A50" s="54" t="n"/>
      <c r="B50" s="54" t="n"/>
      <c r="C50" s="53" t="n"/>
      <c r="D50" s="53" t="n"/>
      <c r="E50" s="54" t="n"/>
      <c r="F50" s="53" t="n"/>
      <c r="G50" s="54" t="n"/>
      <c r="H50" s="54" t="n"/>
      <c r="I50" s="54" t="n"/>
    </row>
    <row r="51">
      <c r="A51" s="52" t="n"/>
      <c r="B51" s="52" t="n"/>
      <c r="C51" s="53" t="n"/>
      <c r="D51" s="53" t="n"/>
      <c r="E51" s="52" t="n"/>
      <c r="F51" s="53" t="n"/>
      <c r="G51" s="52" t="n"/>
      <c r="H51" s="52" t="n"/>
      <c r="I51" s="52" t="n"/>
    </row>
    <row r="52">
      <c r="A52" s="54" t="n"/>
      <c r="B52" s="54" t="n"/>
      <c r="C52" s="53" t="n"/>
      <c r="D52" s="53" t="n"/>
      <c r="E52" s="54" t="n"/>
      <c r="F52" s="53" t="n"/>
      <c r="G52" s="54" t="n"/>
      <c r="H52" s="54" t="n"/>
      <c r="I52" s="54" t="n"/>
    </row>
    <row r="53">
      <c r="A53" s="52" t="n"/>
      <c r="B53" s="52" t="n"/>
      <c r="C53" s="53" t="n"/>
      <c r="D53" s="53" t="n"/>
      <c r="E53" s="52" t="n"/>
      <c r="F53" s="53" t="n"/>
      <c r="G53" s="52" t="n"/>
      <c r="H53" s="52" t="n"/>
      <c r="I53" s="52" t="n"/>
    </row>
    <row r="54">
      <c r="A54" s="54" t="n"/>
      <c r="B54" s="54" t="n"/>
      <c r="C54" s="53" t="n"/>
      <c r="D54" s="53" t="n"/>
      <c r="E54" s="54" t="n"/>
      <c r="F54" s="53" t="n"/>
      <c r="G54" s="54" t="n"/>
      <c r="H54" s="54" t="n"/>
      <c r="I54" s="54" t="n"/>
    </row>
    <row r="55">
      <c r="A55" s="52" t="n"/>
      <c r="B55" s="52" t="n"/>
      <c r="C55" s="53" t="n"/>
      <c r="D55" s="53" t="n"/>
      <c r="E55" s="52" t="n"/>
      <c r="F55" s="53" t="n"/>
      <c r="G55" s="52" t="n"/>
      <c r="H55" s="52" t="n"/>
      <c r="I55" s="52" t="n"/>
    </row>
    <row r="56">
      <c r="A56" s="54" t="n"/>
      <c r="B56" s="54" t="n"/>
      <c r="C56" s="53" t="n"/>
      <c r="D56" s="53" t="n"/>
      <c r="E56" s="54" t="n"/>
      <c r="F56" s="53" t="n"/>
      <c r="G56" s="54" t="n"/>
      <c r="H56" s="54" t="n"/>
      <c r="I56" s="54" t="n"/>
    </row>
    <row r="57">
      <c r="A57" s="52" t="n"/>
      <c r="B57" s="52" t="n"/>
      <c r="C57" s="53" t="n"/>
      <c r="D57" s="53" t="n"/>
      <c r="E57" s="52" t="n"/>
      <c r="F57" s="53" t="n"/>
      <c r="G57" s="52" t="n"/>
      <c r="H57" s="52" t="n"/>
      <c r="I57" s="52" t="n"/>
    </row>
    <row r="58">
      <c r="A58" s="54" t="n"/>
      <c r="B58" s="54" t="n"/>
      <c r="C58" s="53" t="n"/>
      <c r="D58" s="53" t="n"/>
      <c r="E58" s="54" t="n"/>
      <c r="F58" s="53" t="n"/>
      <c r="G58" s="54" t="n"/>
      <c r="H58" s="54" t="n"/>
      <c r="I58" s="54" t="n"/>
    </row>
    <row r="59">
      <c r="A59" s="52" t="n"/>
      <c r="B59" s="52" t="n"/>
      <c r="C59" s="53" t="n"/>
      <c r="D59" s="53" t="n"/>
      <c r="E59" s="52" t="n"/>
      <c r="F59" s="53" t="n"/>
      <c r="G59" s="52" t="n"/>
      <c r="H59" s="52" t="n"/>
      <c r="I59" s="52" t="n"/>
    </row>
    <row r="60">
      <c r="A60" s="54" t="n"/>
      <c r="B60" s="54" t="n"/>
      <c r="C60" s="53" t="n"/>
      <c r="D60" s="53" t="n"/>
      <c r="E60" s="54" t="n"/>
      <c r="F60" s="53" t="n"/>
      <c r="G60" s="54" t="n"/>
      <c r="H60" s="54" t="n"/>
      <c r="I60" s="54" t="n"/>
    </row>
    <row r="61">
      <c r="A61" s="52" t="n"/>
      <c r="B61" s="52" t="n"/>
      <c r="C61" s="53" t="n"/>
      <c r="D61" s="53" t="n"/>
      <c r="E61" s="52" t="n"/>
      <c r="F61" s="53" t="n"/>
      <c r="G61" s="52" t="n"/>
      <c r="H61" s="52" t="n"/>
      <c r="I61" s="52" t="n"/>
    </row>
    <row r="62">
      <c r="A62" s="54" t="n"/>
      <c r="B62" s="54" t="n"/>
      <c r="C62" s="53" t="n"/>
      <c r="D62" s="53" t="n"/>
      <c r="E62" s="54" t="n"/>
      <c r="F62" s="53" t="n"/>
      <c r="G62" s="54" t="n"/>
      <c r="H62" s="54" t="n"/>
      <c r="I62" s="54" t="n"/>
    </row>
    <row r="63">
      <c r="A63" s="52" t="n"/>
      <c r="B63" s="52" t="n"/>
      <c r="C63" s="53" t="n"/>
      <c r="D63" s="53" t="n"/>
      <c r="E63" s="52" t="n"/>
      <c r="F63" s="53" t="n"/>
      <c r="G63" s="52" t="n"/>
      <c r="H63" s="52" t="n"/>
      <c r="I63" s="52" t="n"/>
    </row>
    <row r="64">
      <c r="A64" s="54" t="n"/>
      <c r="B64" s="54" t="n"/>
      <c r="C64" s="53" t="n"/>
      <c r="D64" s="53" t="n"/>
      <c r="E64" s="54" t="n"/>
      <c r="F64" s="53" t="n"/>
      <c r="G64" s="54" t="n"/>
      <c r="H64" s="54" t="n"/>
      <c r="I64" s="54" t="n"/>
    </row>
    <row r="65">
      <c r="A65" s="52" t="n"/>
      <c r="B65" s="52" t="n"/>
      <c r="C65" s="53" t="n"/>
      <c r="D65" s="53" t="n"/>
      <c r="E65" s="52" t="n"/>
      <c r="F65" s="53" t="n"/>
      <c r="G65" s="52" t="n"/>
      <c r="H65" s="52" t="n"/>
      <c r="I65" s="52" t="n"/>
    </row>
    <row r="66">
      <c r="A66" s="54" t="n"/>
      <c r="B66" s="54" t="n"/>
      <c r="C66" s="53" t="n"/>
      <c r="D66" s="53" t="n"/>
      <c r="E66" s="54" t="n"/>
      <c r="F66" s="53" t="n"/>
      <c r="G66" s="54" t="n"/>
      <c r="H66" s="54" t="n"/>
      <c r="I66" s="54" t="n"/>
    </row>
    <row r="67">
      <c r="A67" s="52" t="n"/>
      <c r="B67" s="52" t="n"/>
      <c r="C67" s="53" t="n"/>
      <c r="D67" s="53" t="n"/>
      <c r="E67" s="52" t="n"/>
      <c r="F67" s="53" t="n"/>
      <c r="G67" s="52" t="n"/>
      <c r="H67" s="52" t="n"/>
      <c r="I67" s="52" t="n"/>
    </row>
    <row r="68">
      <c r="A68" s="54" t="n"/>
      <c r="B68" s="54" t="n"/>
      <c r="C68" s="53" t="n"/>
      <c r="D68" s="53" t="n"/>
      <c r="E68" s="54" t="n"/>
      <c r="F68" s="53" t="n"/>
      <c r="G68" s="54" t="n"/>
      <c r="H68" s="54" t="n"/>
      <c r="I68" s="54" t="n"/>
    </row>
    <row r="69">
      <c r="A69" s="52" t="n"/>
      <c r="B69" s="52" t="n"/>
      <c r="C69" s="53" t="n"/>
      <c r="D69" s="53" t="n"/>
      <c r="E69" s="52" t="n"/>
      <c r="F69" s="53" t="n"/>
      <c r="G69" s="52" t="n"/>
      <c r="H69" s="52" t="n"/>
      <c r="I69" s="52" t="n"/>
    </row>
    <row r="70">
      <c r="A70" s="54" t="n"/>
      <c r="B70" s="54" t="n"/>
      <c r="C70" s="53" t="n"/>
      <c r="D70" s="53" t="n"/>
      <c r="E70" s="54" t="n"/>
      <c r="F70" s="53" t="n"/>
      <c r="G70" s="54" t="n"/>
      <c r="H70" s="54" t="n"/>
      <c r="I70" s="54" t="n"/>
    </row>
    <row r="71">
      <c r="A71" s="52" t="n"/>
      <c r="B71" s="52" t="n"/>
      <c r="C71" s="53" t="n"/>
      <c r="D71" s="53" t="n"/>
      <c r="E71" s="52" t="n"/>
      <c r="F71" s="53" t="n"/>
      <c r="G71" s="52" t="n"/>
      <c r="H71" s="52" t="n"/>
      <c r="I71" s="52" t="n"/>
    </row>
    <row r="72">
      <c r="A72" s="54" t="n"/>
      <c r="B72" s="54" t="n"/>
      <c r="C72" s="53" t="n"/>
      <c r="D72" s="53" t="n"/>
      <c r="E72" s="54" t="n"/>
      <c r="F72" s="53" t="n"/>
      <c r="G72" s="54" t="n"/>
      <c r="H72" s="54" t="n"/>
      <c r="I72" s="54" t="n"/>
    </row>
    <row r="73">
      <c r="A73" s="52" t="n"/>
      <c r="B73" s="52" t="n"/>
      <c r="C73" s="53" t="n"/>
      <c r="D73" s="53" t="n"/>
      <c r="E73" s="52" t="n"/>
      <c r="F73" s="53" t="n"/>
      <c r="G73" s="52" t="n"/>
      <c r="H73" s="52" t="n"/>
      <c r="I73" s="52" t="n"/>
    </row>
    <row r="74">
      <c r="A74" s="54" t="n"/>
      <c r="B74" s="54" t="n"/>
      <c r="C74" s="53" t="n"/>
      <c r="D74" s="53" t="n"/>
      <c r="E74" s="54" t="n"/>
      <c r="F74" s="53" t="n"/>
      <c r="G74" s="54" t="n"/>
      <c r="H74" s="54" t="n"/>
      <c r="I74" s="54" t="n"/>
    </row>
    <row r="75">
      <c r="A75" s="52" t="n"/>
      <c r="B75" s="52" t="n"/>
      <c r="C75" s="53" t="n"/>
      <c r="D75" s="53" t="n"/>
      <c r="E75" s="52" t="n"/>
      <c r="F75" s="53" t="n"/>
      <c r="G75" s="52" t="n"/>
      <c r="H75" s="52" t="n"/>
      <c r="I75" s="52" t="n"/>
    </row>
    <row r="76">
      <c r="A76" s="54" t="n"/>
      <c r="B76" s="54" t="n"/>
      <c r="C76" s="53" t="n"/>
      <c r="D76" s="53" t="n"/>
      <c r="E76" s="54" t="n"/>
      <c r="F76" s="53" t="n"/>
      <c r="G76" s="54" t="n"/>
      <c r="H76" s="54" t="n"/>
      <c r="I76" s="54" t="n"/>
    </row>
    <row r="77">
      <c r="A77" s="52" t="n"/>
      <c r="B77" s="52" t="n"/>
      <c r="C77" s="53" t="n"/>
      <c r="D77" s="53" t="n"/>
      <c r="E77" s="52" t="n"/>
      <c r="F77" s="53" t="n"/>
      <c r="G77" s="52" t="n"/>
      <c r="H77" s="52" t="n"/>
      <c r="I77" s="52" t="n"/>
    </row>
    <row r="78">
      <c r="A78" s="54" t="n"/>
      <c r="B78" s="54" t="n"/>
      <c r="C78" s="53" t="n"/>
      <c r="D78" s="53" t="n"/>
      <c r="E78" s="54" t="n"/>
      <c r="F78" s="53" t="n"/>
      <c r="G78" s="54" t="n"/>
      <c r="H78" s="54" t="n"/>
      <c r="I78" s="54" t="n"/>
    </row>
    <row r="79">
      <c r="A79" s="52" t="n"/>
      <c r="B79" s="52" t="n"/>
      <c r="C79" s="53" t="n"/>
      <c r="D79" s="53" t="n"/>
      <c r="E79" s="52" t="n"/>
      <c r="F79" s="53" t="n"/>
      <c r="G79" s="52" t="n"/>
      <c r="H79" s="52" t="n"/>
      <c r="I79" s="52" t="n"/>
    </row>
    <row r="80">
      <c r="A80" s="54" t="n"/>
      <c r="B80" s="54" t="n"/>
      <c r="C80" s="53" t="n"/>
      <c r="D80" s="53" t="n"/>
      <c r="E80" s="54" t="n"/>
      <c r="F80" s="53" t="n"/>
      <c r="G80" s="54" t="n"/>
      <c r="H80" s="54" t="n"/>
      <c r="I80" s="54" t="n"/>
    </row>
    <row r="81">
      <c r="A81" s="52" t="n"/>
      <c r="B81" s="52" t="n"/>
      <c r="C81" s="53" t="n"/>
      <c r="D81" s="53" t="n"/>
      <c r="E81" s="52" t="n"/>
      <c r="F81" s="53" t="n"/>
      <c r="G81" s="52" t="n"/>
      <c r="H81" s="52" t="n"/>
      <c r="I81" s="52" t="n"/>
    </row>
    <row r="82">
      <c r="A82" s="54" t="n"/>
      <c r="B82" s="54" t="n"/>
      <c r="C82" s="53" t="n"/>
      <c r="D82" s="53" t="n"/>
      <c r="E82" s="54" t="n"/>
      <c r="F82" s="53" t="n"/>
      <c r="G82" s="54" t="n"/>
      <c r="H82" s="54" t="n"/>
      <c r="I82" s="54" t="n"/>
    </row>
    <row r="83">
      <c r="A83" s="52" t="n"/>
      <c r="B83" s="52" t="n"/>
      <c r="C83" s="53" t="n"/>
      <c r="D83" s="53" t="n"/>
      <c r="E83" s="52" t="n"/>
      <c r="F83" s="53" t="n"/>
      <c r="G83" s="52" t="n"/>
      <c r="H83" s="52" t="n"/>
      <c r="I83" s="52" t="n"/>
    </row>
    <row r="84">
      <c r="A84" s="54" t="n"/>
      <c r="B84" s="54" t="n"/>
      <c r="C84" s="53" t="n"/>
      <c r="D84" s="53" t="n"/>
      <c r="E84" s="54" t="n"/>
      <c r="F84" s="53" t="n"/>
      <c r="G84" s="54" t="n"/>
      <c r="H84" s="54" t="n"/>
      <c r="I84" s="54" t="n"/>
    </row>
    <row r="85">
      <c r="A85" s="52" t="n"/>
      <c r="B85" s="52" t="n"/>
      <c r="C85" s="53" t="n"/>
      <c r="D85" s="53" t="n"/>
      <c r="E85" s="52" t="n"/>
      <c r="F85" s="53" t="n"/>
      <c r="G85" s="52" t="n"/>
      <c r="H85" s="52" t="n"/>
      <c r="I85" s="52" t="n"/>
    </row>
    <row r="86">
      <c r="A86" s="54" t="n"/>
      <c r="B86" s="54" t="n"/>
      <c r="C86" s="53" t="n"/>
      <c r="D86" s="53" t="n"/>
      <c r="E86" s="54" t="n"/>
      <c r="F86" s="53" t="n"/>
      <c r="G86" s="54" t="n"/>
      <c r="H86" s="54" t="n"/>
      <c r="I86" s="54" t="n"/>
    </row>
    <row r="87">
      <c r="A87" s="52" t="n"/>
      <c r="B87" s="52" t="n"/>
      <c r="C87" s="53" t="n"/>
      <c r="D87" s="53" t="n"/>
      <c r="E87" s="52" t="n"/>
      <c r="F87" s="53" t="n"/>
      <c r="G87" s="52" t="n"/>
      <c r="H87" s="52" t="n"/>
      <c r="I87" s="52" t="n"/>
    </row>
    <row r="88">
      <c r="A88" s="54" t="n"/>
      <c r="B88" s="54" t="n"/>
      <c r="C88" s="53" t="n"/>
      <c r="D88" s="53" t="n"/>
      <c r="E88" s="54" t="n"/>
      <c r="F88" s="53" t="n"/>
      <c r="G88" s="54" t="n"/>
      <c r="H88" s="54" t="n"/>
      <c r="I88" s="54" t="n"/>
    </row>
    <row r="90">
      <c r="A90" s="219" t="inlineStr">
        <is>
          <t>Células em amarelo = para você preencher. Os telefones vieram da Planilha de Clientes (pasta 01 - Clientes) por correspondência de nome — confira antes de usar.</t>
        </is>
      </c>
    </row>
  </sheetData>
  <mergeCells count="3">
    <mergeCell ref="A1:I1"/>
    <mergeCell ref="A90:I90"/>
    <mergeCell ref="A2:I2"/>
  </mergeCells>
  <dataValidations count="2">
    <dataValidation sqref="B5:B128" showDropDown="0" showInputMessage="0" showErrorMessage="0" allowBlank="1" type="list">
      <formula1>"Cliente,Fornecedor,Ambos"</formula1>
    </dataValidation>
    <dataValidation sqref="C5:C128" showDropDown="0" showInputMessage="0" showErrorMessage="0" allowBlank="1" type="list">
      <formula1>"PF,PJ"</formula1>
    </dataValidation>
  </dataValidations>
  <hyperlinks>
    <hyperlink ref="A3" location="'Início'!A1" display="← Início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6B46C1"/>
    <outlinePr summaryBelow="1" summaryRight="1"/>
    <pageSetUpPr/>
  </sheetPr>
  <dimension ref="A1:U18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13" bestFit="1" customWidth="1" style="157" min="1" max="1"/>
    <col width="42" customWidth="1" style="157" min="2" max="2"/>
    <col width="26" customWidth="1" style="157" min="3" max="3"/>
    <col width="14" customWidth="1" style="157" min="4" max="4"/>
    <col width="20" customWidth="1" style="157" min="5" max="5"/>
    <col width="16" customWidth="1" style="157" min="6" max="6"/>
    <col width="14" customWidth="1" style="157" min="7" max="7"/>
    <col width="26" customWidth="1" style="157" min="8" max="8"/>
    <col width="30" customWidth="1" style="157" min="9" max="9"/>
    <col width="11" customWidth="1" style="157" min="10" max="10"/>
    <col width="30" customWidth="1" style="157" min="11" max="11"/>
    <col width="14" customWidth="1" style="157" min="12" max="12"/>
    <col width="3" customWidth="1" style="157" min="13" max="13"/>
    <col width="13" customWidth="1" style="157" min="14" max="21"/>
  </cols>
  <sheetData>
    <row r="1" ht="25.5" customHeight="1" s="157">
      <c r="A1" s="223" t="inlineStr">
        <is>
          <t>RELATÓRIO FINANCEIRO — JANEIRO / 2026</t>
        </is>
      </c>
    </row>
    <row r="2">
      <c r="A2" s="228" t="inlineStr">
        <is>
          <t>Fluxo de caixa da loja — entradas montadas a partir das notas fiscais (XML do DigiSat), com cliente e produtos; saídas do Livro Caixa</t>
        </is>
      </c>
    </row>
    <row r="3">
      <c r="A3" s="127" t="inlineStr">
        <is>
          <t>← Início</t>
        </is>
      </c>
    </row>
    <row r="4" ht="20.1" customHeight="1" s="157">
      <c r="A4" s="1" t="inlineStr">
        <is>
          <t>Data</t>
        </is>
      </c>
      <c r="B4" s="1" t="inlineStr">
        <is>
          <t>Descrição / Cliente</t>
        </is>
      </c>
      <c r="C4" s="1" t="inlineStr">
        <is>
          <t>Produto</t>
        </is>
      </c>
      <c r="D4" s="1" t="inlineStr">
        <is>
          <t>Entrada (R$)</t>
        </is>
      </c>
      <c r="E4" s="1" t="inlineStr">
        <is>
          <t>Forma de Pagamento</t>
        </is>
      </c>
      <c r="F4" s="1" t="inlineStr">
        <is>
          <t>Taxa da Máquina (R$)</t>
        </is>
      </c>
      <c r="G4" s="1" t="inlineStr">
        <is>
          <t>Saída (R$)</t>
        </is>
      </c>
      <c r="H4" s="1" t="inlineStr">
        <is>
          <t>Categoria da Saída</t>
        </is>
      </c>
      <c r="I4" s="1" t="inlineStr">
        <is>
          <t>Observações</t>
        </is>
      </c>
      <c r="J4" s="1" t="inlineStr">
        <is>
          <t>ID Cliente</t>
        </is>
      </c>
      <c r="K4" s="233" t="inlineStr">
        <is>
          <t>Saídas por Categoria</t>
        </is>
      </c>
      <c r="L4" s="160" t="n"/>
      <c r="N4" s="224" t="inlineStr">
        <is>
          <t>FATURAMENTO</t>
        </is>
      </c>
      <c r="P4" s="232" t="inlineStr">
        <is>
          <t>DESPESAS</t>
        </is>
      </c>
      <c r="R4" s="221" t="inlineStr">
        <is>
          <t>SALDO ANTES DO PRÓ-LABORE</t>
        </is>
      </c>
      <c r="T4" s="207" t="inlineStr">
        <is>
          <t>A RECEBER</t>
        </is>
      </c>
    </row>
    <row r="5" ht="14.1" customHeight="1" s="157">
      <c r="A5" s="17" t="n">
        <v>46023</v>
      </c>
      <c r="B5" s="18" t="inlineStr">
        <is>
          <t>Aluguel Vitoria Maria</t>
        </is>
      </c>
      <c r="C5" s="18" t="n"/>
      <c r="D5" s="27" t="n"/>
      <c r="E5" s="18" t="n"/>
      <c r="F5" s="19" t="n"/>
      <c r="G5" s="19" t="n">
        <v>870</v>
      </c>
      <c r="H5" s="21" t="inlineStr">
        <is>
          <t>Aluguel</t>
        </is>
      </c>
      <c r="I5" s="18" t="inlineStr">
        <is>
          <t>Livro Caixa: Pagamento parcela ALUGUEL VITORIA MARIA (Doc. 1) · Vitoria Maria F Santos</t>
        </is>
      </c>
      <c r="J5" s="18" t="n"/>
      <c r="K5" s="10" t="inlineStr">
        <is>
          <t>Fornecedores / Mercadoria</t>
        </is>
      </c>
      <c r="L5" s="11">
        <f>SUMIF(H5:H134,K5,G5:G134)</f>
        <v/>
      </c>
      <c r="N5" s="229">
        <f>D135-F135-T5</f>
        <v/>
      </c>
      <c r="P5" s="231">
        <f>L18-L19</f>
        <v/>
      </c>
      <c r="R5" s="230">
        <f>D136</f>
        <v/>
      </c>
      <c r="T5" s="212">
        <f>SUMIF(E5:E134,"Aguardando Pagamento",D5:D134)</f>
        <v/>
      </c>
    </row>
    <row r="6" ht="14.1" customHeight="1" s="157">
      <c r="A6" s="44" t="n">
        <v>46024</v>
      </c>
      <c r="B6" s="45" t="inlineStr">
        <is>
          <t>Tissia Cristina Moncorvo Santos</t>
        </is>
      </c>
      <c r="C6" s="45" t="inlineStr">
        <is>
          <t>Refil Everest</t>
        </is>
      </c>
      <c r="D6" s="46" t="n">
        <v>130</v>
      </c>
      <c r="E6" s="45" t="inlineStr">
        <is>
          <t>Dinheiro</t>
        </is>
      </c>
      <c r="F6" s="47" t="n"/>
      <c r="G6" s="48" t="n"/>
      <c r="H6" s="49" t="n"/>
      <c r="I6" s="45" t="inlineStr">
        <is>
          <t>NFC-e 8769</t>
        </is>
      </c>
      <c r="J6" t="inlineStr">
        <is>
          <t>CLI-0653</t>
        </is>
      </c>
      <c r="K6" s="13" t="inlineStr">
        <is>
          <t>Aluguel</t>
        </is>
      </c>
      <c r="L6" s="14">
        <f>SUMIF(H5:H134,K6,G5:G134)</f>
        <v/>
      </c>
    </row>
    <row r="7" ht="15.75" customHeight="1" s="157">
      <c r="A7" s="17" t="n">
        <v>46024</v>
      </c>
      <c r="B7" s="18" t="inlineStr">
        <is>
          <t>Maria das Dores Jordão Moreira</t>
        </is>
      </c>
      <c r="C7" s="18" t="inlineStr">
        <is>
          <t>Refil Pro Life</t>
        </is>
      </c>
      <c r="D7" s="27" t="n">
        <v>140</v>
      </c>
      <c r="E7" s="18" t="inlineStr">
        <is>
          <t>Pix</t>
        </is>
      </c>
      <c r="F7" s="19" t="n"/>
      <c r="G7" s="19" t="n"/>
      <c r="H7" s="21" t="n"/>
      <c r="I7" s="18" t="inlineStr">
        <is>
          <t>NFC-e 8770</t>
        </is>
      </c>
      <c r="J7" s="18" t="inlineStr">
        <is>
          <t>CLI-0652</t>
        </is>
      </c>
      <c r="K7" s="10" t="inlineStr">
        <is>
          <t>Água, Energia e Internet</t>
        </is>
      </c>
      <c r="L7" s="11">
        <f>SUMIF(H5:H134,K7,G5:G134)</f>
        <v/>
      </c>
      <c r="N7" s="249" t="inlineStr">
        <is>
          <t>PRÓ-LABORE EDILÂNIA</t>
        </is>
      </c>
      <c r="P7" s="208" t="inlineStr">
        <is>
          <t>COMBINADO NO MÊS</t>
        </is>
      </c>
      <c r="R7" s="221">
        <f>IF(L17&gt;'Ponto de Equilíbrio'!$B$10,"PASSOU DO COMBINADO",IF(TODAY()&gt;EOMONTH(DATE(2026,1,1),0),"ABAIXO DO COMBINADO","AINDA PODE GASTAR"))</f>
        <v/>
      </c>
      <c r="T7" s="224" t="inlineStr">
        <is>
          <t>SOBRA FINAL DO MÊS</t>
        </is>
      </c>
    </row>
    <row r="8">
      <c r="A8" s="44" t="n">
        <v>46024</v>
      </c>
      <c r="B8" s="45" t="inlineStr">
        <is>
          <t>RF Supermercado Brasil LTDA</t>
        </is>
      </c>
      <c r="C8" s="45" t="inlineStr">
        <is>
          <t>4x Refil Everest + Refil Pro Life</t>
        </is>
      </c>
      <c r="D8" s="46" t="n">
        <v>700</v>
      </c>
      <c r="E8" s="45" t="n"/>
      <c r="F8" s="47" t="n"/>
      <c r="G8" s="48" t="n"/>
      <c r="H8" s="49" t="n"/>
      <c r="I8" s="45" t="inlineStr">
        <is>
          <t>NF-e 4001 · nota faturada a prazo (forma de recebimento não consta na nota) · venda de 11/12/2025 — pagamento recebido em 02/01/2026</t>
        </is>
      </c>
      <c r="J8" t="inlineStr">
        <is>
          <t>EMP-0261</t>
        </is>
      </c>
      <c r="K8" s="13" t="inlineStr">
        <is>
          <t>Impostos e Taxas</t>
        </is>
      </c>
      <c r="L8" s="14">
        <f>SUMIF(H5:H134,K8,G5:G134)</f>
        <v/>
      </c>
      <c r="N8" s="250">
        <f>L17</f>
        <v/>
      </c>
      <c r="P8" s="215">
        <f>'Ponto de Equilíbrio'!$B$10</f>
        <v/>
      </c>
      <c r="R8" s="205">
        <f>ABS('Ponto de Equilíbrio'!$B$10-L17)</f>
        <v/>
      </c>
      <c r="T8" s="236">
        <f>R5-L17</f>
        <v/>
      </c>
    </row>
    <row r="9">
      <c r="A9" s="17" t="n">
        <v>46024</v>
      </c>
      <c r="B9" s="18" t="inlineStr">
        <is>
          <t>Everest Refrigeracao e Industria</t>
        </is>
      </c>
      <c r="C9" s="18" t="n"/>
      <c r="D9" s="27" t="n"/>
      <c r="E9" s="18" t="n"/>
      <c r="F9" s="19" t="n"/>
      <c r="G9" s="19" t="n">
        <v>597.74</v>
      </c>
      <c r="H9" s="21" t="inlineStr">
        <is>
          <t>Fornecedores / Mercadoria</t>
        </is>
      </c>
      <c r="I9" s="18" t="inlineStr">
        <is>
          <t>NF 358698 de 04/09/2025 · parcela 4/5 (venc. 02/01/2026) · compra total R$ 2.988,70: Purificador Everest Plus Preto + Purificador Everest Star Preto + Purificador Everest Plus Prata + Purificador Everest Fit Preto · Livro Caixa</t>
        </is>
      </c>
      <c r="J9" s="18" t="n"/>
      <c r="K9" s="10" t="inlineStr">
        <is>
          <t>Tarifas Bancárias e Cartão</t>
        </is>
      </c>
      <c r="L9" s="11">
        <f>SUMIF(H5:H134,K9,G5:G134)</f>
        <v/>
      </c>
    </row>
    <row r="10">
      <c r="A10" s="44" t="n">
        <v>46024</v>
      </c>
      <c r="B10" s="45" t="inlineStr">
        <is>
          <t>Filtros Planeta Agua Ind e Com Ltda</t>
        </is>
      </c>
      <c r="C10" s="45" t="n"/>
      <c r="D10" s="46" t="n"/>
      <c r="E10" s="45" t="n"/>
      <c r="F10" s="47" t="n"/>
      <c r="G10" s="48" t="n">
        <v>771.5599999999999</v>
      </c>
      <c r="H10" s="49" t="inlineStr">
        <is>
          <t>Fornecedores / Mercadoria</t>
        </is>
      </c>
      <c r="I10" s="45" t="inlineStr">
        <is>
          <t>NF 123868 de 24/10/2025 · parcela 4/5 (venc. 02/01/2026) · compra total R$ 4.058,44 (IPI R$ 200,60): 50x Refil Pro Life + 5x Refil Top Color + 5x Refil Fp4 + 20x Refil Carbon Tech 9.3/4 Pol + 10x Refil Top Multifilter + 5x Refil Top Color Fast + 10x Refil Fpa14 + 5x Refil Fpa22 + 5x Carcaca Fit 9.3/4 Pol Branca + 5x Conexão T + 5x Refil Fpa16 · Livro Caixa</t>
        </is>
      </c>
      <c r="K10" s="13" t="inlineStr">
        <is>
          <t>Transporte e Entregas</t>
        </is>
      </c>
      <c r="L10" s="14">
        <f>SUMIF(H5:H134,K10,G5:G134)</f>
        <v/>
      </c>
    </row>
    <row r="11">
      <c r="A11" s="17" t="n">
        <v>46025</v>
      </c>
      <c r="B11" s="18" t="inlineStr">
        <is>
          <t>Flavia Monyque Muniz Ribeiro</t>
        </is>
      </c>
      <c r="C11" s="18" t="inlineStr">
        <is>
          <t>Purificador Everest Baby Branco</t>
        </is>
      </c>
      <c r="D11" s="27" t="n">
        <v>510</v>
      </c>
      <c r="E11" s="18" t="inlineStr">
        <is>
          <t>Dinheiro</t>
        </is>
      </c>
      <c r="F11" s="19" t="n"/>
      <c r="G11" s="19" t="n"/>
      <c r="H11" s="21" t="n"/>
      <c r="I11" s="18" t="inlineStr">
        <is>
          <t>NF-e 4019</t>
        </is>
      </c>
      <c r="J11" s="18" t="inlineStr">
        <is>
          <t>CLI-0655</t>
        </is>
      </c>
      <c r="K11" s="10" t="inlineStr">
        <is>
          <t>Salários, Comissões e Encargos</t>
        </is>
      </c>
      <c r="L11" s="11">
        <f>SUMIF(H5:H134,K11,G5:G134)</f>
        <v/>
      </c>
    </row>
    <row r="12">
      <c r="A12" s="44" t="n">
        <v>46025</v>
      </c>
      <c r="B12" s="45" t="inlineStr">
        <is>
          <t>Consumidor Final</t>
        </is>
      </c>
      <c r="C12" s="45" t="inlineStr">
        <is>
          <t>Refil Top Color</t>
        </is>
      </c>
      <c r="D12" s="46" t="n">
        <v>100</v>
      </c>
      <c r="E12" s="45" t="inlineStr">
        <is>
          <t>Dinheiro</t>
        </is>
      </c>
      <c r="F12" s="47" t="n"/>
      <c r="G12" s="48" t="n"/>
      <c r="H12" s="49" t="n"/>
      <c r="I12" s="45" t="inlineStr">
        <is>
          <t>NFC-e 8771</t>
        </is>
      </c>
      <c r="K12" s="13" t="inlineStr">
        <is>
          <t>Contabilidade</t>
        </is>
      </c>
      <c r="L12" s="14">
        <f>SUMIF(H5:H134,K12,G5:G134)</f>
        <v/>
      </c>
    </row>
    <row r="13">
      <c r="A13" s="17" t="n">
        <v>46027</v>
      </c>
      <c r="B13" s="18" t="inlineStr">
        <is>
          <t>Jackson Macedo de Sales</t>
        </is>
      </c>
      <c r="C13" s="18" t="inlineStr">
        <is>
          <t>Refil IBBL C+3</t>
        </is>
      </c>
      <c r="D13" s="27" t="n">
        <v>95</v>
      </c>
      <c r="E13" s="18" t="inlineStr">
        <is>
          <t>Dinheiro</t>
        </is>
      </c>
      <c r="F13" s="19" t="n"/>
      <c r="G13" s="19" t="n"/>
      <c r="H13" s="21" t="n"/>
      <c r="I13" s="18" t="inlineStr">
        <is>
          <t>NFC-e 8772</t>
        </is>
      </c>
      <c r="J13" s="18" t="n"/>
      <c r="K13" s="10" t="inlineStr">
        <is>
          <t>Manutenção e Reparos</t>
        </is>
      </c>
      <c r="L13" s="11">
        <f>SUMIF(H5:H134,K13,G5:G134)</f>
        <v/>
      </c>
    </row>
    <row r="14" ht="15.75" customHeight="1" s="157">
      <c r="A14" s="44" t="n">
        <v>46027</v>
      </c>
      <c r="B14" s="45" t="inlineStr">
        <is>
          <t>Eversoft Ind e Com de Plasticos Ltda</t>
        </is>
      </c>
      <c r="C14" s="45" t="n"/>
      <c r="D14" s="46" t="n"/>
      <c r="E14" s="45" t="n"/>
      <c r="F14" s="47" t="n"/>
      <c r="G14" s="48" t="n">
        <v>980.8099999999999</v>
      </c>
      <c r="H14" s="49" t="inlineStr">
        <is>
          <t>Fornecedores / Mercadoria</t>
        </is>
      </c>
      <c r="I14" s="45" t="inlineStr">
        <is>
          <t>NF 66404 de 08/08/2025 · parcela 5/5 (venc. 05/01/2026) · compra total R$ 4.904,13: 100x Refil Everest + 50x Pré Filtro · Livro Caixa</t>
        </is>
      </c>
      <c r="K14" s="13" t="inlineStr">
        <is>
          <t>Material de Limpeza e Escritório</t>
        </is>
      </c>
      <c r="L14" s="14">
        <f>SUMIF(H5:H134,K14,G5:G134)</f>
        <v/>
      </c>
    </row>
    <row r="15" ht="15.75" customHeight="1" s="157">
      <c r="A15" s="17" t="n">
        <v>46028</v>
      </c>
      <c r="B15" s="18" t="inlineStr">
        <is>
          <t>Tamo Junto Comercial e Solucoes Ltda</t>
        </is>
      </c>
      <c r="C15" s="18" t="inlineStr">
        <is>
          <t>Refil Carbon Tech 5"</t>
        </is>
      </c>
      <c r="D15" s="27" t="n">
        <v>60</v>
      </c>
      <c r="E15" s="18" t="inlineStr">
        <is>
          <t>Pix</t>
        </is>
      </c>
      <c r="F15" s="19" t="n"/>
      <c r="G15" s="19" t="n"/>
      <c r="H15" s="21" t="n"/>
      <c r="I15" s="18" t="inlineStr">
        <is>
          <t>NFC-e 8773</t>
        </is>
      </c>
      <c r="J15" s="18" t="n"/>
      <c r="K15" s="10" t="inlineStr">
        <is>
          <t>Estornos de Vendas (Cancelamentos)</t>
        </is>
      </c>
      <c r="L15" s="11">
        <f>SUMIF(H5:H134,K15,G5:G134)</f>
        <v/>
      </c>
    </row>
    <row r="16">
      <c r="A16" s="44" t="n">
        <v>46028</v>
      </c>
      <c r="B16" s="45" t="inlineStr">
        <is>
          <t>Consumidor Final</t>
        </is>
      </c>
      <c r="C16" s="45" t="inlineStr">
        <is>
          <t>Refil IBBL C+5 + Pré Filtro</t>
        </is>
      </c>
      <c r="D16" s="46" t="n">
        <v>170</v>
      </c>
      <c r="E16" s="45" t="inlineStr">
        <is>
          <t>Dinheiro</t>
        </is>
      </c>
      <c r="F16" s="47" t="n"/>
      <c r="G16" s="48" t="n"/>
      <c r="H16" s="49" t="n"/>
      <c r="I16" s="45" t="inlineStr">
        <is>
          <t>NFC-e 8774</t>
        </is>
      </c>
      <c r="K16" t="inlineStr">
        <is>
          <t>Outras Despesas</t>
        </is>
      </c>
      <c r="L16" s="11">
        <f>SUMIF(H5:H134,K16,G5:G134)</f>
        <v/>
      </c>
    </row>
    <row r="17" ht="15.75" customHeight="1" s="157">
      <c r="A17" s="17" t="n">
        <v>46028</v>
      </c>
      <c r="B17" s="18" t="inlineStr">
        <is>
          <t>Consumidor Final</t>
        </is>
      </c>
      <c r="C17" s="18" t="inlineStr">
        <is>
          <t>4x Refil PP</t>
        </is>
      </c>
      <c r="D17" s="27" t="n">
        <v>260</v>
      </c>
      <c r="E17" s="18" t="inlineStr">
        <is>
          <t>Crédito Parcelado</t>
        </is>
      </c>
      <c r="F17" s="19" t="n"/>
      <c r="G17" s="19" t="n"/>
      <c r="H17" s="21" t="n"/>
      <c r="I17" s="18" t="inlineStr">
        <is>
          <t>NFC-e 8775</t>
        </is>
      </c>
      <c r="J17" s="18" t="n"/>
      <c r="K17" t="inlineStr">
        <is>
          <t>Pro Labore Edilânia</t>
        </is>
      </c>
      <c r="L17">
        <f>SUMIF(H5:H134,K17,G5:G134)</f>
        <v/>
      </c>
    </row>
    <row r="18" ht="15.75" customHeight="1" s="157">
      <c r="A18" s="44" t="n">
        <v>46028</v>
      </c>
      <c r="B18" s="45" t="inlineStr">
        <is>
          <t>Bomboniere Doce Mania - Veronildo Basilio</t>
        </is>
      </c>
      <c r="C18" s="45" t="inlineStr">
        <is>
          <t>Purificador Everest Fit Prata + Pré Filtro</t>
        </is>
      </c>
      <c r="D18" s="46" t="n">
        <v>1420</v>
      </c>
      <c r="E18" s="45" t="inlineStr">
        <is>
          <t>Dinheiro</t>
        </is>
      </c>
      <c r="F18" s="47" t="n"/>
      <c r="G18" s="48" t="n"/>
      <c r="H18" s="49" t="n"/>
      <c r="I18" s="45" t="inlineStr">
        <is>
          <t>NF-e 4020</t>
        </is>
      </c>
      <c r="J18" t="inlineStr">
        <is>
          <t>EMP-0188</t>
        </is>
      </c>
      <c r="K18" t="inlineStr">
        <is>
          <t>Total</t>
        </is>
      </c>
      <c r="L18">
        <f>SUM(L5:L16)</f>
        <v/>
      </c>
    </row>
    <row r="19">
      <c r="A19" s="17" t="n">
        <v>46028</v>
      </c>
      <c r="B19" s="18" t="inlineStr">
        <is>
          <t>Jacobina Veiculos</t>
        </is>
      </c>
      <c r="C19" s="18" t="n"/>
      <c r="D19" s="27" t="n">
        <v>180</v>
      </c>
      <c r="E19" s="18" t="n"/>
      <c r="F19" s="19" t="n"/>
      <c r="G19" s="19" t="n"/>
      <c r="H19" s="21" t="n"/>
      <c r="I19" s="18" t="inlineStr">
        <is>
          <t>Livro Caixa: Recebimento à vista Gerado pelo sistema (Doc. 8776)</t>
        </is>
      </c>
      <c r="J19" s="18" t="inlineStr">
        <is>
          <t>EMP-0201</t>
        </is>
      </c>
      <c r="K19" t="inlineStr">
        <is>
          <t>Capital de Giro (BB) — ainda a devolver</t>
        </is>
      </c>
      <c r="L19" s="32">
        <f>SUMIFS('Capital de Giro (BB)'!D9:D200,'Capital de Giro (BB)'!A9:A200,"&gt;="&amp;DATE(2026,1,1),'Capital de Giro (BB)'!A9:A200,"&lt;="&amp;DATE(2026,1,31),'Capital de Giro (BB)'!E9:E200,"A Devolver")</f>
        <v/>
      </c>
    </row>
    <row r="20">
      <c r="A20" s="44" t="n">
        <v>46028</v>
      </c>
      <c r="B20" s="45" t="inlineStr">
        <is>
          <t>Jacobina Veiculos</t>
        </is>
      </c>
      <c r="C20" s="45" t="inlineStr">
        <is>
          <t>Refil Everest + Pré Filtro</t>
        </is>
      </c>
      <c r="D20" s="46" t="n">
        <v>190</v>
      </c>
      <c r="E20" s="45" t="inlineStr">
        <is>
          <t>Dinheiro</t>
        </is>
      </c>
      <c r="F20" s="47" t="n"/>
      <c r="G20" s="48" t="n"/>
      <c r="H20" s="49" t="n"/>
      <c r="I20" s="45" t="inlineStr">
        <is>
          <t>NFC-e 8777</t>
        </is>
      </c>
      <c r="J20" t="inlineStr">
        <is>
          <t>EMP-0201</t>
        </is>
      </c>
    </row>
    <row r="21">
      <c r="A21" s="17" t="n">
        <v>46028</v>
      </c>
      <c r="B21" s="18" t="inlineStr">
        <is>
          <t>Clinica Odonto Gold</t>
        </is>
      </c>
      <c r="C21" s="18" t="inlineStr">
        <is>
          <t>Refil Everest</t>
        </is>
      </c>
      <c r="D21" s="27" t="n">
        <v>140</v>
      </c>
      <c r="E21" s="18" t="inlineStr">
        <is>
          <t>Dinheiro</t>
        </is>
      </c>
      <c r="F21" s="19" t="n"/>
      <c r="G21" s="19" t="n"/>
      <c r="H21" s="21" t="n"/>
      <c r="I21" s="18" t="inlineStr">
        <is>
          <t>NFC-e 8778</t>
        </is>
      </c>
      <c r="J21" s="18" t="inlineStr">
        <is>
          <t>EMP-0194</t>
        </is>
      </c>
    </row>
    <row r="22">
      <c r="A22" s="44" t="n">
        <v>46028</v>
      </c>
      <c r="B22" s="45" t="inlineStr">
        <is>
          <t>Vilas Boas Shopping da Construcao Ltda</t>
        </is>
      </c>
      <c r="C22" s="45" t="inlineStr">
        <is>
          <t>2x Refil Everest</t>
        </is>
      </c>
      <c r="D22" s="46" t="n">
        <v>280</v>
      </c>
      <c r="E22" s="45" t="n"/>
      <c r="F22" s="47" t="n"/>
      <c r="G22" s="48" t="n"/>
      <c r="H22" s="49" t="n"/>
      <c r="I22" s="45" t="inlineStr">
        <is>
          <t>NF-e 4022 · nota faturada a prazo (forma de recebimento não consta na nota)</t>
        </is>
      </c>
    </row>
    <row r="23">
      <c r="A23" s="17" t="n">
        <v>46028</v>
      </c>
      <c r="B23" s="18" t="inlineStr">
        <is>
          <t>Rejane Magalhães Borges Maia</t>
        </is>
      </c>
      <c r="C23" s="18" t="inlineStr">
        <is>
          <t>Refil Everest + Pré Filtro</t>
        </is>
      </c>
      <c r="D23" s="27" t="n">
        <v>190</v>
      </c>
      <c r="E23" s="18" t="inlineStr">
        <is>
          <t>Pix</t>
        </is>
      </c>
      <c r="F23" s="19" t="n"/>
      <c r="G23" s="19" t="n"/>
      <c r="H23" s="21" t="n"/>
      <c r="I23" s="18" t="inlineStr">
        <is>
          <t>NFC-e 8779</t>
        </is>
      </c>
      <c r="J23" s="18" t="inlineStr">
        <is>
          <t>CLI-0656</t>
        </is>
      </c>
    </row>
    <row r="24">
      <c r="A24" s="44" t="n">
        <v>46028</v>
      </c>
      <c r="B24" s="45" t="inlineStr">
        <is>
          <t>Buriti veículos, peças e serviços Ltda (Ford)</t>
        </is>
      </c>
      <c r="C24" s="45" t="inlineStr">
        <is>
          <t>Refil Pro Life</t>
        </is>
      </c>
      <c r="D24" s="46" t="n">
        <v>140</v>
      </c>
      <c r="E24" s="45" t="n"/>
      <c r="F24" s="47" t="n"/>
      <c r="G24" s="48" t="n"/>
      <c r="H24" s="49" t="n"/>
      <c r="I24" s="45" t="inlineStr">
        <is>
          <t>NF-e 4005 · nota faturada a prazo (forma de recebimento não consta na nota) · venda de 16/12/2025 — pagamento recebido em 06/01/2026</t>
        </is>
      </c>
      <c r="J24" t="inlineStr">
        <is>
          <t>EMP-0035</t>
        </is>
      </c>
    </row>
    <row r="25">
      <c r="A25" s="17" t="n">
        <v>46028</v>
      </c>
      <c r="B25" s="18" t="inlineStr">
        <is>
          <t>Master Comercial de Veículos Ltda - Loja</t>
        </is>
      </c>
      <c r="C25" s="18" t="inlineStr">
        <is>
          <t>Refil Everest + Refil Pro Life</t>
        </is>
      </c>
      <c r="D25" s="27" t="n">
        <v>280</v>
      </c>
      <c r="E25" s="18" t="n"/>
      <c r="F25" s="19" t="n"/>
      <c r="G25" s="19" t="n"/>
      <c r="H25" s="21" t="n"/>
      <c r="I25" s="18" t="inlineStr">
        <is>
          <t>NF-e 4004 · nota faturada a prazo (forma de recebimento não consta na nota) · venda de 16/12/2025 — pagamento recebido em 06/01/2026</t>
        </is>
      </c>
      <c r="J25" s="18" t="inlineStr">
        <is>
          <t>EMP-0100</t>
        </is>
      </c>
    </row>
    <row r="26">
      <c r="A26" s="44" t="n">
        <v>46028</v>
      </c>
      <c r="B26" s="45" t="inlineStr">
        <is>
          <t>Real Sociedade Portuguesa de Beneficencia 16 de Setembro</t>
        </is>
      </c>
      <c r="C26" s="45" t="inlineStr">
        <is>
          <t>4x Refil Everest + Refil Carbon Tech 5"</t>
        </is>
      </c>
      <c r="D26" s="46" t="n">
        <v>540</v>
      </c>
      <c r="E26" s="45" t="n"/>
      <c r="F26" s="47" t="n"/>
      <c r="G26" s="48" t="n"/>
      <c r="H26" s="49" t="n"/>
      <c r="I26" s="45" t="inlineStr">
        <is>
          <t>NF-e 4021. Recebimento não constava no Livro Caixa; conferido e baixado no DigiSat em 28/09/2026.</t>
        </is>
      </c>
    </row>
    <row r="27">
      <c r="A27" s="17" t="n">
        <v>46028</v>
      </c>
      <c r="B27" s="18" t="inlineStr">
        <is>
          <t>Estorno de recebimento — Jacobina Veiculos Ltda</t>
        </is>
      </c>
      <c r="C27" s="18" t="n"/>
      <c r="D27" s="27" t="n"/>
      <c r="E27" s="18" t="n"/>
      <c r="F27" s="19" t="n"/>
      <c r="G27" s="19" t="n">
        <v>180</v>
      </c>
      <c r="H27" s="21" t="inlineStr">
        <is>
          <t>Estornos de Vendas (Cancelamentos)</t>
        </is>
      </c>
      <c r="I27" s="18" t="inlineStr">
        <is>
          <t>Livro Caixa: Estorno de recebimento do documento: Gerado pelo sistema (Doc. 877)</t>
        </is>
      </c>
      <c r="J27" s="18" t="n"/>
    </row>
    <row r="28">
      <c r="A28" s="44" t="n">
        <v>46029</v>
      </c>
      <c r="B28" s="45" t="inlineStr">
        <is>
          <t>Leal Vilas Boas &amp; Cia Ltda</t>
        </is>
      </c>
      <c r="C28" s="45" t="inlineStr">
        <is>
          <t>Purificador Everest Star Prata + Pré Filtro</t>
        </is>
      </c>
      <c r="D28" s="46" t="n">
        <v>1508</v>
      </c>
      <c r="E28" s="45" t="inlineStr">
        <is>
          <t>Dinheiro</t>
        </is>
      </c>
      <c r="F28" s="47" t="n"/>
      <c r="G28" s="48" t="n"/>
      <c r="H28" s="49" t="n"/>
      <c r="I28" s="45" t="inlineStr">
        <is>
          <t>NF-e 4023</t>
        </is>
      </c>
    </row>
    <row r="29" ht="15.75" customHeight="1" s="157">
      <c r="A29" s="17" t="n">
        <v>46029</v>
      </c>
      <c r="B29" s="18" t="inlineStr">
        <is>
          <t>Consumidor Final</t>
        </is>
      </c>
      <c r="C29" s="18" t="inlineStr">
        <is>
          <t>Conexao Reta Rosca 1/2 Bspt P/Tubo 1/4 Pol Branca</t>
        </is>
      </c>
      <c r="D29" s="27" t="n">
        <v>20</v>
      </c>
      <c r="E29" s="18" t="inlineStr">
        <is>
          <t>Dinheiro</t>
        </is>
      </c>
      <c r="F29" s="19" t="n"/>
      <c r="G29" s="19" t="n"/>
      <c r="H29" s="21" t="n"/>
      <c r="I29" s="18" t="inlineStr">
        <is>
          <t>NFC-e 8780</t>
        </is>
      </c>
      <c r="J29" s="18" t="n"/>
    </row>
    <row r="30">
      <c r="A30" s="44" t="n">
        <v>46029</v>
      </c>
      <c r="B30" s="45" t="inlineStr">
        <is>
          <t>Jose Augusto Ribeiro Oliveira</t>
        </is>
      </c>
      <c r="C30" s="45" t="inlineStr">
        <is>
          <t>Pré Filtro</t>
        </is>
      </c>
      <c r="D30" s="46" t="n">
        <v>60</v>
      </c>
      <c r="E30" s="45" t="inlineStr">
        <is>
          <t>Crédito Parcelado</t>
        </is>
      </c>
      <c r="F30" s="47" t="n"/>
      <c r="G30" s="48" t="n"/>
      <c r="H30" s="49" t="n"/>
      <c r="I30" s="45" t="inlineStr">
        <is>
          <t>NFC-e 8781</t>
        </is>
      </c>
    </row>
    <row r="31">
      <c r="A31" s="17" t="n">
        <v>46029</v>
      </c>
      <c r="B31" s="18" t="inlineStr">
        <is>
          <t>Consumidor Final</t>
        </is>
      </c>
      <c r="C31" s="18" t="inlineStr">
        <is>
          <t>Mangueira (1 m) + Registro</t>
        </is>
      </c>
      <c r="D31" s="27" t="n">
        <v>40</v>
      </c>
      <c r="E31" s="18" t="inlineStr">
        <is>
          <t>Dinheiro</t>
        </is>
      </c>
      <c r="F31" s="19" t="n"/>
      <c r="G31" s="19" t="n"/>
      <c r="H31" s="21" t="n"/>
      <c r="I31" s="18" t="inlineStr">
        <is>
          <t>NFC-e 8782</t>
        </is>
      </c>
      <c r="J31" s="18" t="n"/>
    </row>
    <row r="32">
      <c r="A32" s="44" t="n">
        <v>46029</v>
      </c>
      <c r="B32" s="45" t="inlineStr">
        <is>
          <t>Consumidor Final</t>
        </is>
      </c>
      <c r="C32" s="45" t="inlineStr">
        <is>
          <t>Refil Top Color</t>
        </is>
      </c>
      <c r="D32" s="46" t="n">
        <v>95</v>
      </c>
      <c r="E32" s="45" t="inlineStr">
        <is>
          <t>Pix</t>
        </is>
      </c>
      <c r="F32" s="47" t="n"/>
      <c r="G32" s="48" t="n"/>
      <c r="H32" s="49" t="n"/>
      <c r="I32" s="45" t="inlineStr">
        <is>
          <t>NFC-e 8783</t>
        </is>
      </c>
    </row>
    <row r="33">
      <c r="A33" s="17" t="n">
        <v>46029</v>
      </c>
      <c r="B33" s="18" t="inlineStr">
        <is>
          <t>Consumidor Final</t>
        </is>
      </c>
      <c r="C33" s="18" t="inlineStr">
        <is>
          <t>Refil FP4</t>
        </is>
      </c>
      <c r="D33" s="27" t="n">
        <v>85</v>
      </c>
      <c r="E33" s="18" t="inlineStr">
        <is>
          <t>Pix</t>
        </is>
      </c>
      <c r="F33" s="19" t="n"/>
      <c r="G33" s="19" t="n"/>
      <c r="H33" s="21" t="n"/>
      <c r="I33" s="18" t="inlineStr">
        <is>
          <t>NFC-e 8784</t>
        </is>
      </c>
      <c r="J33" s="18" t="n"/>
    </row>
    <row r="34">
      <c r="A34" s="44" t="n">
        <v>46029</v>
      </c>
      <c r="B34" s="45" t="inlineStr">
        <is>
          <t>Filtros Planeta Agua Ind e Com Ltda</t>
        </is>
      </c>
      <c r="C34" s="45" t="n"/>
      <c r="D34" s="46" t="n"/>
      <c r="E34" s="45" t="n"/>
      <c r="F34" s="47" t="n"/>
      <c r="G34" s="48" t="n">
        <v>513.0700000000001</v>
      </c>
      <c r="H34" s="49" t="inlineStr">
        <is>
          <t>Fornecedores / Mercadoria</t>
        </is>
      </c>
      <c r="I34" s="45" t="inlineStr">
        <is>
          <t>NF 125587 de 10/12/2025 · parcela 1/4 (venc. 07/01/2026) · compra total R$ 1.793,26 (IPI R$ 86,32): 5x Refil Lacqua + 15x Refil Fit Poe Pp 9.3/4 + 10x Refil Carbon Block 5 Pol + 5x Refil Top Color + 5x Refil Acquatec + 5x Refiil Carbon Tech 9.3/4 Pol + 20x Refil Poli Flu Plissado 9.3/4 + 5x Refil Fpa16 + Mangueira · Livro Caixa</t>
        </is>
      </c>
    </row>
    <row r="35">
      <c r="A35" s="17" t="n">
        <v>46029</v>
      </c>
      <c r="B35" s="18" t="inlineStr">
        <is>
          <t>Conta de Energia Loja</t>
        </is>
      </c>
      <c r="C35" s="18" t="n"/>
      <c r="D35" s="27" t="n"/>
      <c r="E35" s="18" t="n"/>
      <c r="F35" s="19" t="n"/>
      <c r="G35" s="19" t="n">
        <v>159.68</v>
      </c>
      <c r="H35" s="21" t="inlineStr">
        <is>
          <t>Água, Energia e Internet</t>
        </is>
      </c>
      <c r="I35" s="18" t="inlineStr">
        <is>
          <t>Livro Caixa: Pagamento parcela CONTA DE ENERGIA LOJA (Doc. 1) · Companhia de Eletricidade do Estado da Bahia Coelba</t>
        </is>
      </c>
      <c r="J35" s="18" t="n"/>
    </row>
    <row r="36">
      <c r="A36" s="44" t="n">
        <v>46030</v>
      </c>
      <c r="B36" s="45" t="inlineStr">
        <is>
          <t>Ana Marcia Rosario de Oliveira</t>
        </is>
      </c>
      <c r="C36" s="45" t="inlineStr">
        <is>
          <t>Purificador Everest Slim Prata</t>
        </is>
      </c>
      <c r="D36" s="46" t="n">
        <v>1448</v>
      </c>
      <c r="E36" s="45" t="inlineStr">
        <is>
          <t>Dinheiro</t>
        </is>
      </c>
      <c r="F36" s="47" t="n"/>
      <c r="G36" s="48" t="n"/>
      <c r="H36" s="49" t="n"/>
      <c r="I36" s="45" t="inlineStr">
        <is>
          <t>NF-e 4024</t>
        </is>
      </c>
    </row>
    <row r="37">
      <c r="A37" s="17" t="n">
        <v>46030</v>
      </c>
      <c r="B37" s="18" t="inlineStr">
        <is>
          <t>Euzete Maria de Oliveira Araujo</t>
        </is>
      </c>
      <c r="C37" s="18" t="inlineStr">
        <is>
          <t>Refil Everest</t>
        </is>
      </c>
      <c r="D37" s="27" t="n">
        <v>140</v>
      </c>
      <c r="E37" s="18" t="inlineStr">
        <is>
          <t>Pix</t>
        </is>
      </c>
      <c r="F37" s="19" t="n"/>
      <c r="G37" s="19" t="n"/>
      <c r="H37" s="21" t="n"/>
      <c r="I37" s="18" t="inlineStr">
        <is>
          <t>NF-e 4025</t>
        </is>
      </c>
      <c r="J37" s="18" t="n"/>
    </row>
    <row r="38">
      <c r="A38" s="44" t="n">
        <v>46030</v>
      </c>
      <c r="B38" s="45" t="inlineStr">
        <is>
          <t>Consumidor Final</t>
        </is>
      </c>
      <c r="C38" s="45" t="inlineStr">
        <is>
          <t>Refil Top Color</t>
        </is>
      </c>
      <c r="D38" s="46" t="n">
        <v>95</v>
      </c>
      <c r="E38" s="45" t="inlineStr">
        <is>
          <t>Crédito Parcelado</t>
        </is>
      </c>
      <c r="F38" s="47" t="n"/>
      <c r="G38" s="48" t="n"/>
      <c r="H38" s="49" t="n"/>
      <c r="I38" s="45" t="inlineStr">
        <is>
          <t>NFC-e 8785</t>
        </is>
      </c>
    </row>
    <row r="39" ht="15.75" customHeight="1" s="157">
      <c r="A39" s="17" t="n">
        <v>46030</v>
      </c>
      <c r="B39" s="18" t="inlineStr">
        <is>
          <t>Consumidor Final</t>
        </is>
      </c>
      <c r="C39" s="18" t="inlineStr">
        <is>
          <t>Refil Top Color</t>
        </is>
      </c>
      <c r="D39" s="27" t="n">
        <v>95</v>
      </c>
      <c r="E39" s="18" t="inlineStr">
        <is>
          <t>Dinheiro</t>
        </is>
      </c>
      <c r="F39" s="19" t="n"/>
      <c r="G39" s="19" t="n"/>
      <c r="H39" s="21" t="n"/>
      <c r="I39" s="18" t="inlineStr">
        <is>
          <t>NFC-e 8786</t>
        </is>
      </c>
      <c r="J39" s="18" t="n"/>
    </row>
    <row r="40">
      <c r="A40" s="44" t="n">
        <v>46030</v>
      </c>
      <c r="B40" s="45" t="inlineStr">
        <is>
          <t>Consumidor Final</t>
        </is>
      </c>
      <c r="C40" s="45" t="inlineStr">
        <is>
          <t>Mangueira (1 m)</t>
        </is>
      </c>
      <c r="D40" s="46" t="n">
        <v>10</v>
      </c>
      <c r="E40" s="45" t="inlineStr">
        <is>
          <t>Dinheiro</t>
        </is>
      </c>
      <c r="F40" s="47" t="n"/>
      <c r="G40" s="48" t="n"/>
      <c r="H40" s="49" t="n"/>
      <c r="I40" s="45" t="inlineStr">
        <is>
          <t>NFC-e 8787</t>
        </is>
      </c>
    </row>
    <row r="41">
      <c r="A41" s="17" t="n">
        <v>46030</v>
      </c>
      <c r="B41" s="18" t="inlineStr">
        <is>
          <t>Consumidor Final</t>
        </is>
      </c>
      <c r="C41" s="18" t="inlineStr">
        <is>
          <t>Refil Universal</t>
        </is>
      </c>
      <c r="D41" s="27" t="n">
        <v>30</v>
      </c>
      <c r="E41" s="18" t="inlineStr">
        <is>
          <t>Dinheiro</t>
        </is>
      </c>
      <c r="F41" s="19" t="n"/>
      <c r="G41" s="19" t="n"/>
      <c r="H41" s="21" t="n"/>
      <c r="I41" s="18" t="inlineStr">
        <is>
          <t>NFC-e 8788</t>
        </is>
      </c>
      <c r="J41" s="18" t="n"/>
    </row>
    <row r="42" ht="15.75" customHeight="1" s="157">
      <c r="A42" s="44" t="n">
        <v>46030</v>
      </c>
      <c r="B42" s="45" t="inlineStr">
        <is>
          <t>Everest Refrigeracao e Industria</t>
        </is>
      </c>
      <c r="C42" s="45" t="n"/>
      <c r="D42" s="46" t="n"/>
      <c r="E42" s="45" t="n"/>
      <c r="F42" s="47" t="n"/>
      <c r="G42" s="48" t="n">
        <v>781.4</v>
      </c>
      <c r="H42" s="49" t="inlineStr">
        <is>
          <t>Fornecedores / Mercadoria</t>
        </is>
      </c>
      <c r="I42" s="45" t="inlineStr">
        <is>
          <t>NF 361446 de 10/10/2025 · parcela 3/5 (venc. 08/01/2026) · compra total R$ 3.906,99: Purificador Everest Fit Preto + Purificador Everest Star Branco + Purificador Everest Star Preto + Purificador Everest Slim Branco + 4x Purificador Everest Baby Branco + 4x Purificador Everest Baby Preto · Livro Caixa</t>
        </is>
      </c>
    </row>
    <row r="43">
      <c r="A43" s="17" t="n">
        <v>46030</v>
      </c>
      <c r="B43" s="18" t="inlineStr">
        <is>
          <t>Shopee (Torneiras)</t>
        </is>
      </c>
      <c r="C43" s="18" t="n"/>
      <c r="D43" s="27" t="n"/>
      <c r="E43" s="18" t="n"/>
      <c r="F43" s="19" t="n"/>
      <c r="G43" s="19" t="n">
        <v>143.09</v>
      </c>
      <c r="H43" s="21" t="inlineStr">
        <is>
          <t>Tarifas Bancárias e Cartão</t>
        </is>
      </c>
      <c r="I43" s="18" t="inlineStr">
        <is>
          <t>Livro Caixa: Pagamento parcela SHOPEE (TORNEIRAS) (Doc. 1) · Adyen do Brasil Intituicao Pagamento Ltda</t>
        </is>
      </c>
      <c r="J43" s="18" t="n"/>
    </row>
    <row r="44">
      <c r="A44" s="44" t="n">
        <v>46031</v>
      </c>
      <c r="B44" s="45" t="inlineStr">
        <is>
          <t>Consumidor Final</t>
        </is>
      </c>
      <c r="C44" s="45" t="inlineStr">
        <is>
          <t>Refil Universal</t>
        </is>
      </c>
      <c r="D44" s="46" t="n">
        <v>35</v>
      </c>
      <c r="E44" s="45" t="inlineStr">
        <is>
          <t>Débito</t>
        </is>
      </c>
      <c r="F44" s="47" t="n"/>
      <c r="G44" s="48" t="n"/>
      <c r="H44" s="49" t="n"/>
      <c r="I44" s="45" t="inlineStr">
        <is>
          <t>NFC-e 8789</t>
        </is>
      </c>
    </row>
    <row r="45">
      <c r="A45" s="17" t="n">
        <v>46031</v>
      </c>
      <c r="B45" s="18" t="inlineStr">
        <is>
          <t>Consumidor Final</t>
        </is>
      </c>
      <c r="C45" s="18" t="inlineStr">
        <is>
          <t>Refil FP4</t>
        </is>
      </c>
      <c r="D45" s="27" t="n">
        <v>80</v>
      </c>
      <c r="E45" s="18" t="inlineStr">
        <is>
          <t>Pix</t>
        </is>
      </c>
      <c r="F45" s="19" t="n"/>
      <c r="G45" s="19" t="n"/>
      <c r="H45" s="21" t="n"/>
      <c r="I45" s="18" t="inlineStr">
        <is>
          <t>NFC-e 8790</t>
        </is>
      </c>
      <c r="J45" s="18" t="n"/>
    </row>
    <row r="46">
      <c r="A46" s="44" t="n">
        <v>46031</v>
      </c>
      <c r="B46" s="45" t="inlineStr">
        <is>
          <t>Danielma da Silva Bezerra Brasileiro</t>
        </is>
      </c>
      <c r="C46" s="45" t="inlineStr">
        <is>
          <t>Refil Everest</t>
        </is>
      </c>
      <c r="D46" s="46" t="n">
        <v>140</v>
      </c>
      <c r="E46" s="45" t="inlineStr">
        <is>
          <t>Crédito Parcelado</t>
        </is>
      </c>
      <c r="F46" s="47" t="n"/>
      <c r="G46" s="48" t="n"/>
      <c r="H46" s="49" t="n"/>
      <c r="I46" s="45" t="inlineStr">
        <is>
          <t>NFC-e 8791</t>
        </is>
      </c>
    </row>
    <row r="47">
      <c r="A47" s="17" t="n">
        <v>46031</v>
      </c>
      <c r="B47" s="18" t="inlineStr">
        <is>
          <t>Uniao Leste Brasileira da Iasd</t>
        </is>
      </c>
      <c r="C47" s="18" t="n"/>
      <c r="D47" s="27" t="n">
        <v>170</v>
      </c>
      <c r="E47" s="18" t="n"/>
      <c r="F47" s="19" t="n"/>
      <c r="G47" s="19" t="n"/>
      <c r="H47" s="21" t="n"/>
      <c r="I47" s="18" t="inlineStr">
        <is>
          <t>Livro Caixa: Recebimento à vista Gerado pelo sistema. (Doc. 4026)</t>
        </is>
      </c>
      <c r="J47" s="18" t="n"/>
    </row>
    <row r="48" ht="15.75" customHeight="1" s="157">
      <c r="A48" s="44" t="n">
        <v>46031</v>
      </c>
      <c r="B48" s="45" t="inlineStr">
        <is>
          <t>Uniao Leste Brasileira da Iasd</t>
        </is>
      </c>
      <c r="C48" s="45" t="inlineStr">
        <is>
          <t>Refil Everest + Registro</t>
        </is>
      </c>
      <c r="D48" s="46" t="n">
        <v>170</v>
      </c>
      <c r="E48" s="45" t="n"/>
      <c r="F48" s="47" t="n"/>
      <c r="G48" s="48" t="n"/>
      <c r="H48" s="49" t="n"/>
      <c r="I48" s="45" t="inlineStr">
        <is>
          <t>NF-e 4027 · nota faturada a prazo (forma de recebimento não consta na nota)</t>
        </is>
      </c>
    </row>
    <row r="49">
      <c r="A49" s="17" t="n">
        <v>46031</v>
      </c>
      <c r="B49" s="18" t="inlineStr">
        <is>
          <t>Estorno de recebimento — Uniao Leste Brasileira da Iasd</t>
        </is>
      </c>
      <c r="C49" s="18" t="n"/>
      <c r="D49" s="27" t="n"/>
      <c r="E49" s="18" t="n"/>
      <c r="F49" s="19" t="n"/>
      <c r="G49" s="19" t="n">
        <v>170</v>
      </c>
      <c r="H49" s="21" t="inlineStr">
        <is>
          <t>Estornos de Vendas (Cancelamentos)</t>
        </is>
      </c>
      <c r="I49" s="18" t="inlineStr">
        <is>
          <t>Livro Caixa: Estorno de recebimento do documento: Gerado pelo sistema. (Doc. 40)</t>
        </is>
      </c>
      <c r="J49" s="18" t="n"/>
    </row>
    <row r="50">
      <c r="A50" s="44" t="n">
        <v>46032</v>
      </c>
      <c r="B50" s="45" t="inlineStr">
        <is>
          <t>Consumidor Final</t>
        </is>
      </c>
      <c r="C50" s="45" t="inlineStr">
        <is>
          <t>Mangueira (2 m)</t>
        </is>
      </c>
      <c r="D50" s="46" t="n">
        <v>20</v>
      </c>
      <c r="E50" s="45" t="inlineStr">
        <is>
          <t>Crédito Parcelado</t>
        </is>
      </c>
      <c r="F50" s="47" t="n"/>
      <c r="G50" s="48" t="n"/>
      <c r="H50" s="49" t="n"/>
      <c r="I50" s="45" t="inlineStr">
        <is>
          <t>NFC-e 8792</t>
        </is>
      </c>
    </row>
    <row r="51">
      <c r="A51" s="17" t="n">
        <v>46032</v>
      </c>
      <c r="B51" s="18" t="inlineStr">
        <is>
          <t>Consumidor Final</t>
        </is>
      </c>
      <c r="C51" s="18" t="inlineStr">
        <is>
          <t>2x Conexao Reta Rosca 1/2 Bspt P/Tubo 1/4 Pol Branca</t>
        </is>
      </c>
      <c r="D51" s="27" t="n">
        <v>50</v>
      </c>
      <c r="E51" s="18" t="inlineStr">
        <is>
          <t>Crédito Parcelado</t>
        </is>
      </c>
      <c r="F51" s="19" t="n"/>
      <c r="G51" s="19" t="n"/>
      <c r="H51" s="21" t="n"/>
      <c r="I51" s="18" t="inlineStr">
        <is>
          <t>NFC-e 8793</t>
        </is>
      </c>
      <c r="J51" s="18" t="n"/>
    </row>
    <row r="52">
      <c r="A52" s="44" t="n">
        <v>46032</v>
      </c>
      <c r="B52" s="45" t="inlineStr">
        <is>
          <t>Consumidor Final</t>
        </is>
      </c>
      <c r="C52" s="45" t="inlineStr">
        <is>
          <t>Mangueira (3 m)</t>
        </is>
      </c>
      <c r="D52" s="46" t="n">
        <v>30</v>
      </c>
      <c r="E52" s="45" t="inlineStr">
        <is>
          <t>Dinheiro</t>
        </is>
      </c>
      <c r="F52" s="47" t="n"/>
      <c r="G52" s="48" t="n"/>
      <c r="H52" s="49" t="n"/>
      <c r="I52" s="45" t="inlineStr">
        <is>
          <t>NFC-e 8794</t>
        </is>
      </c>
    </row>
    <row r="53" ht="15.75" customHeight="1" s="157">
      <c r="A53" s="17" t="n">
        <v>46034</v>
      </c>
      <c r="B53" s="18" t="inlineStr">
        <is>
          <t>Ten Solucoes, e Tecnologia Ltda</t>
        </is>
      </c>
      <c r="C53" s="18" t="inlineStr">
        <is>
          <t>Refil Carbon Tech 5" + Refil Plissado</t>
        </is>
      </c>
      <c r="D53" s="27" t="n">
        <v>160</v>
      </c>
      <c r="E53" s="18" t="inlineStr">
        <is>
          <t>Dinheiro</t>
        </is>
      </c>
      <c r="F53" s="19" t="n"/>
      <c r="G53" s="19" t="n"/>
      <c r="H53" s="21" t="n"/>
      <c r="I53" s="18" t="inlineStr">
        <is>
          <t>NF-e 4028</t>
        </is>
      </c>
      <c r="J53" s="18" t="n"/>
    </row>
    <row r="54">
      <c r="A54" s="44" t="n">
        <v>46034</v>
      </c>
      <c r="B54" s="45" t="inlineStr">
        <is>
          <t>Mariua Construcoes Ltda</t>
        </is>
      </c>
      <c r="C54" s="45" t="inlineStr">
        <is>
          <t>Refil Plissado + Refil Carbon Tech 9"</t>
        </is>
      </c>
      <c r="D54" s="46" t="n">
        <v>180</v>
      </c>
      <c r="E54" s="45" t="inlineStr">
        <is>
          <t>Dinheiro</t>
        </is>
      </c>
      <c r="F54" s="47" t="n"/>
      <c r="G54" s="48" t="n"/>
      <c r="H54" s="49" t="n"/>
      <c r="I54" s="45" t="inlineStr">
        <is>
          <t>NF-e 4029</t>
        </is>
      </c>
    </row>
    <row r="55">
      <c r="A55" s="17" t="n">
        <v>46034</v>
      </c>
      <c r="B55" s="18" t="inlineStr">
        <is>
          <t>Everest Refrigeracao e Industria</t>
        </is>
      </c>
      <c r="C55" s="18" t="n"/>
      <c r="D55" s="27" t="n"/>
      <c r="E55" s="18" t="n"/>
      <c r="F55" s="19" t="n"/>
      <c r="G55" s="19" t="n">
        <v>841.0599999999999</v>
      </c>
      <c r="H55" s="21" t="inlineStr">
        <is>
          <t>Fornecedores / Mercadoria</t>
        </is>
      </c>
      <c r="I55" s="18" t="inlineStr">
        <is>
          <t>NF 366264 de 11/12/2025 · parcela 1/5 (venc. 10/01/2026) · compra total R$ 4.205,29: Purificador Everest Slim Branco + Purificador Everest Slim Prata + 2x Purificador Everest Star Branco + Purificador Everest Star Prata + Purificador Everest Plus Prata · Livro Caixa</t>
        </is>
      </c>
      <c r="J55" s="18" t="n"/>
    </row>
    <row r="56">
      <c r="A56" s="44" t="n">
        <v>46034</v>
      </c>
      <c r="B56" s="45" t="inlineStr">
        <is>
          <t>Everest Refrigeracao e Industria</t>
        </is>
      </c>
      <c r="C56" s="45" t="n"/>
      <c r="D56" s="46" t="n"/>
      <c r="E56" s="45" t="n"/>
      <c r="F56" s="47" t="n"/>
      <c r="G56" s="48" t="n">
        <v>577.35</v>
      </c>
      <c r="H56" s="49" t="inlineStr">
        <is>
          <t>Fornecedores / Mercadoria</t>
        </is>
      </c>
      <c r="I56" s="45" t="inlineStr">
        <is>
          <t>NF 357294 de 14/08/2025 · parcela 5/5 (venc. 11/01/2026) · compra total R$ 2.886,75: 2x Purificador Everest Plus Branco + 2x Purificador Everest Slim Branco · Livro Caixa</t>
        </is>
      </c>
    </row>
    <row r="57">
      <c r="A57" s="17" t="n">
        <v>46034</v>
      </c>
      <c r="B57" s="18" t="inlineStr">
        <is>
          <t>Ferias Wiliam 1 Parcela</t>
        </is>
      </c>
      <c r="C57" s="18" t="n"/>
      <c r="D57" s="27" t="n"/>
      <c r="E57" s="18" t="n"/>
      <c r="F57" s="19" t="n"/>
      <c r="G57" s="19" t="n">
        <v>1405</v>
      </c>
      <c r="H57" s="21" t="inlineStr">
        <is>
          <t>Salários, Comissões e Encargos</t>
        </is>
      </c>
      <c r="I57" s="18" t="inlineStr">
        <is>
          <t>Livro Caixa: Pagamento parcela FERIAS WILIAM 1 PARCELA (Doc. 1) · Wiliam Pinto Bispo</t>
        </is>
      </c>
      <c r="J57" s="18" t="n"/>
    </row>
    <row r="58">
      <c r="A58" s="44" t="n">
        <v>46035</v>
      </c>
      <c r="B58" s="45" t="inlineStr">
        <is>
          <t>Consumidor Final</t>
        </is>
      </c>
      <c r="C58" s="45" t="inlineStr">
        <is>
          <t>Mangueira (1 m) + Conexao Reta Rosca 1/2 Bspt P/Tubo 1/4 Pol Branca</t>
        </is>
      </c>
      <c r="D58" s="46" t="n">
        <v>40</v>
      </c>
      <c r="E58" s="45" t="inlineStr">
        <is>
          <t>Dinheiro</t>
        </is>
      </c>
      <c r="F58" s="47" t="n"/>
      <c r="G58" s="48" t="n"/>
      <c r="H58" s="49" t="n"/>
      <c r="I58" s="45" t="inlineStr">
        <is>
          <t>NFC-e 8795</t>
        </is>
      </c>
    </row>
    <row r="59">
      <c r="A59" s="17" t="n">
        <v>46035</v>
      </c>
      <c r="B59" s="18" t="inlineStr">
        <is>
          <t>Cleber Santos Carvalho</t>
        </is>
      </c>
      <c r="C59" s="18" t="inlineStr">
        <is>
          <t>Refil Everest</t>
        </is>
      </c>
      <c r="D59" s="27" t="n">
        <v>140</v>
      </c>
      <c r="E59" s="18" t="inlineStr">
        <is>
          <t>Crédito Parcelado</t>
        </is>
      </c>
      <c r="F59" s="19" t="n"/>
      <c r="G59" s="19" t="n"/>
      <c r="H59" s="21" t="n"/>
      <c r="I59" s="18" t="inlineStr">
        <is>
          <t>NFC-e 8796</t>
        </is>
      </c>
      <c r="J59" s="18" t="n"/>
    </row>
    <row r="60">
      <c r="A60" s="44" t="n">
        <v>46035</v>
      </c>
      <c r="B60" s="45" t="inlineStr">
        <is>
          <t>Consumidor Final</t>
        </is>
      </c>
      <c r="C60" s="45" t="inlineStr">
        <is>
          <t>Refil Everest</t>
        </is>
      </c>
      <c r="D60" s="46" t="n">
        <v>140</v>
      </c>
      <c r="E60" s="45" t="inlineStr">
        <is>
          <t>Crédito Parcelado</t>
        </is>
      </c>
      <c r="F60" s="47" t="n"/>
      <c r="G60" s="48" t="n"/>
      <c r="H60" s="49" t="n"/>
      <c r="I60" s="45" t="inlineStr">
        <is>
          <t>NFC-e 8797</t>
        </is>
      </c>
    </row>
    <row r="61">
      <c r="A61" s="17" t="n">
        <v>46035</v>
      </c>
      <c r="B61" s="18" t="inlineStr">
        <is>
          <t>Consumidor Final</t>
        </is>
      </c>
      <c r="C61" s="18" t="inlineStr">
        <is>
          <t>Pré Filtro + Registro</t>
        </is>
      </c>
      <c r="D61" s="27" t="n">
        <v>90</v>
      </c>
      <c r="E61" s="18" t="inlineStr">
        <is>
          <t>Débito</t>
        </is>
      </c>
      <c r="F61" s="19" t="n"/>
      <c r="G61" s="19" t="n"/>
      <c r="H61" s="21" t="n"/>
      <c r="I61" s="18" t="inlineStr">
        <is>
          <t>NFC-e 8798</t>
        </is>
      </c>
      <c r="J61" s="18" t="n"/>
    </row>
    <row r="62">
      <c r="A62" s="44" t="n">
        <v>46035</v>
      </c>
      <c r="B62" s="45" t="inlineStr">
        <is>
          <t>Andradina Mota dos Santos</t>
        </is>
      </c>
      <c r="C62" s="45" t="inlineStr">
        <is>
          <t>Refil Pro Life + Pré Filtro</t>
        </is>
      </c>
      <c r="D62" s="46" t="n">
        <v>200</v>
      </c>
      <c r="E62" s="45" t="inlineStr">
        <is>
          <t>Dinheiro</t>
        </is>
      </c>
      <c r="F62" s="47" t="n"/>
      <c r="G62" s="48" t="n"/>
      <c r="H62" s="49" t="n"/>
      <c r="I62" s="45" t="inlineStr">
        <is>
          <t>NFC-e 8799</t>
        </is>
      </c>
      <c r="J62" t="inlineStr">
        <is>
          <t>CLI-0662</t>
        </is>
      </c>
    </row>
    <row r="63" ht="15.75" customHeight="1" s="157">
      <c r="A63" s="17" t="n">
        <v>46035</v>
      </c>
      <c r="B63" s="18" t="inlineStr">
        <is>
          <t>Maria da Conceição Costa e Silva</t>
        </is>
      </c>
      <c r="C63" s="18" t="inlineStr">
        <is>
          <t>Valvula Reguladora De Pressao Soft</t>
        </is>
      </c>
      <c r="D63" s="27" t="n">
        <v>50</v>
      </c>
      <c r="E63" s="18" t="inlineStr">
        <is>
          <t>Dinheiro</t>
        </is>
      </c>
      <c r="F63" s="19" t="n"/>
      <c r="G63" s="19" t="n"/>
      <c r="H63" s="21" t="n"/>
      <c r="I63" s="18" t="inlineStr">
        <is>
          <t>NFC-e 8800</t>
        </is>
      </c>
      <c r="J63" s="18" t="inlineStr">
        <is>
          <t>CLI-0651</t>
        </is>
      </c>
    </row>
    <row r="64">
      <c r="A64" s="44" t="n">
        <v>46035</v>
      </c>
      <c r="B64" s="45" t="inlineStr">
        <is>
          <t>José Tiago Souza</t>
        </is>
      </c>
      <c r="C64" s="45" t="inlineStr">
        <is>
          <t>Refil Pro Life + Pré Filtro</t>
        </is>
      </c>
      <c r="D64" s="46" t="n">
        <v>185</v>
      </c>
      <c r="E64" s="45" t="inlineStr">
        <is>
          <t>Pix</t>
        </is>
      </c>
      <c r="F64" s="47" t="n"/>
      <c r="G64" s="48" t="n"/>
      <c r="H64" s="49" t="n"/>
      <c r="I64" s="45" t="inlineStr">
        <is>
          <t>NFC-e 8801</t>
        </is>
      </c>
      <c r="J64" t="inlineStr">
        <is>
          <t>CLI-0661</t>
        </is>
      </c>
    </row>
    <row r="65">
      <c r="A65" s="17" t="n">
        <v>46035</v>
      </c>
      <c r="B65" s="18" t="inlineStr">
        <is>
          <t>Premiere Odontologia Ltda.Me - Ana Carolina</t>
        </is>
      </c>
      <c r="C65" s="18" t="inlineStr">
        <is>
          <t>Refil Everest</t>
        </is>
      </c>
      <c r="D65" s="27" t="n">
        <v>140</v>
      </c>
      <c r="E65" s="18" t="inlineStr">
        <is>
          <t>Pix</t>
        </is>
      </c>
      <c r="F65" s="19" t="n"/>
      <c r="G65" s="19" t="n"/>
      <c r="H65" s="21" t="n"/>
      <c r="I65" s="18" t="inlineStr">
        <is>
          <t>NFC-e 8802</t>
        </is>
      </c>
      <c r="J65" s="18" t="n"/>
    </row>
    <row r="66">
      <c r="A66" s="44" t="n">
        <v>46036</v>
      </c>
      <c r="B66" s="45" t="inlineStr">
        <is>
          <t xml:space="preserve">Clinica DentalClin - Igor Santos Silva ME </t>
        </is>
      </c>
      <c r="C66" s="45" t="inlineStr">
        <is>
          <t>Refil Everest</t>
        </is>
      </c>
      <c r="D66" s="46" t="n">
        <v>140</v>
      </c>
      <c r="E66" s="45" t="inlineStr">
        <is>
          <t>Pix</t>
        </is>
      </c>
      <c r="F66" s="47" t="n"/>
      <c r="G66" s="48" t="n"/>
      <c r="H66" s="49" t="n"/>
      <c r="I66" s="45" t="inlineStr">
        <is>
          <t>NFC-e 8803</t>
        </is>
      </c>
      <c r="J66" t="inlineStr">
        <is>
          <t>EMP-0077</t>
        </is>
      </c>
    </row>
    <row r="67">
      <c r="A67" s="17" t="n">
        <v>46036</v>
      </c>
      <c r="B67" s="18" t="inlineStr">
        <is>
          <t>Consumidor Final</t>
        </is>
      </c>
      <c r="C67" s="18" t="inlineStr">
        <is>
          <t>Refil Carbon Tech 9"</t>
        </is>
      </c>
      <c r="D67" s="27" t="n">
        <v>90</v>
      </c>
      <c r="E67" s="18" t="inlineStr">
        <is>
          <t>Pix</t>
        </is>
      </c>
      <c r="F67" s="19" t="n"/>
      <c r="G67" s="19" t="n"/>
      <c r="H67" s="21" t="n"/>
      <c r="I67" s="18" t="inlineStr">
        <is>
          <t>NFC-e 8804</t>
        </is>
      </c>
      <c r="J67" s="18" t="n"/>
    </row>
    <row r="68">
      <c r="A68" s="44" t="n">
        <v>46036</v>
      </c>
      <c r="B68" s="45" t="inlineStr">
        <is>
          <t>Consumidor Final</t>
        </is>
      </c>
      <c r="C68" s="45" t="inlineStr">
        <is>
          <t>Refil IBBL C+5</t>
        </is>
      </c>
      <c r="D68" s="46" t="n">
        <v>125</v>
      </c>
      <c r="E68" s="45" t="inlineStr">
        <is>
          <t>Pix</t>
        </is>
      </c>
      <c r="F68" s="47" t="n"/>
      <c r="G68" s="48" t="n"/>
      <c r="H68" s="49" t="n"/>
      <c r="I68" s="45" t="inlineStr">
        <is>
          <t>NFC-e 8805</t>
        </is>
      </c>
    </row>
    <row r="69">
      <c r="A69" s="17" t="n">
        <v>46037</v>
      </c>
      <c r="B69" s="18" t="inlineStr">
        <is>
          <t>PC Jacobina Administradora de Cartões LTDA</t>
        </is>
      </c>
      <c r="C69" s="18" t="inlineStr">
        <is>
          <t>Purificador Everest Star Preto</t>
        </is>
      </c>
      <c r="D69" s="27" t="n">
        <v>1348</v>
      </c>
      <c r="E69" s="18" t="inlineStr">
        <is>
          <t>Dinheiro</t>
        </is>
      </c>
      <c r="F69" s="19" t="n"/>
      <c r="G69" s="19" t="n"/>
      <c r="H69" s="21" t="n"/>
      <c r="I69" s="18" t="inlineStr">
        <is>
          <t>NF-e 4030</t>
        </is>
      </c>
      <c r="J69" s="18" t="inlineStr">
        <is>
          <t>EMP-0244</t>
        </is>
      </c>
    </row>
    <row r="70">
      <c r="A70" s="44" t="n">
        <v>46037</v>
      </c>
      <c r="B70" s="45" t="inlineStr">
        <is>
          <t>Pc Jacobina Administradora de Cartoes Ltda</t>
        </is>
      </c>
      <c r="C70" s="45" t="inlineStr">
        <is>
          <t>Valvula Reguladora De Pressao Soft</t>
        </is>
      </c>
      <c r="D70" s="46" t="n">
        <v>60</v>
      </c>
      <c r="E70" s="45" t="inlineStr">
        <is>
          <t>Crédito Parcelado</t>
        </is>
      </c>
      <c r="F70" s="47" t="n"/>
      <c r="G70" s="48" t="n"/>
      <c r="H70" s="49" t="n"/>
      <c r="I70" s="45" t="inlineStr">
        <is>
          <t>NFC-e 8806</t>
        </is>
      </c>
    </row>
    <row r="71">
      <c r="A71" s="17" t="n">
        <v>46037</v>
      </c>
      <c r="B71" s="18" t="inlineStr">
        <is>
          <t>Consumidor Final</t>
        </is>
      </c>
      <c r="C71" s="18" t="n"/>
      <c r="D71" s="27" t="n">
        <v>145</v>
      </c>
      <c r="E71" s="18" t="n"/>
      <c r="F71" s="19" t="n"/>
      <c r="G71" s="19" t="n"/>
      <c r="H71" s="21" t="n"/>
      <c r="I71" s="18" t="inlineStr">
        <is>
          <t>Livro Caixa: Recebimento à vista Gerado pelo sistema (Doc. 8807)</t>
        </is>
      </c>
      <c r="J71" s="18" t="n"/>
    </row>
    <row r="72">
      <c r="A72" s="44" t="n">
        <v>46037</v>
      </c>
      <c r="B72" s="45" t="inlineStr">
        <is>
          <t>Consumidor Final</t>
        </is>
      </c>
      <c r="C72" s="45" t="inlineStr">
        <is>
          <t>Refil PP + Refil Plissado</t>
        </is>
      </c>
      <c r="D72" s="46" t="n">
        <v>135</v>
      </c>
      <c r="E72" s="45" t="inlineStr">
        <is>
          <t>Pix</t>
        </is>
      </c>
      <c r="F72" s="47" t="n"/>
      <c r="G72" s="48" t="n"/>
      <c r="H72" s="49" t="n"/>
      <c r="I72" s="45" t="inlineStr">
        <is>
          <t>NFC-e 8808</t>
        </is>
      </c>
    </row>
    <row r="73" ht="15.75" customHeight="1" s="157">
      <c r="A73" s="17" t="n">
        <v>46037</v>
      </c>
      <c r="B73" s="18" t="inlineStr">
        <is>
          <t>Estorno de recebimento — Cliente Consumidor</t>
        </is>
      </c>
      <c r="C73" s="18" t="n"/>
      <c r="D73" s="27" t="n"/>
      <c r="E73" s="18" t="n"/>
      <c r="F73" s="19" t="n"/>
      <c r="G73" s="19" t="n">
        <v>145</v>
      </c>
      <c r="H73" s="21" t="inlineStr">
        <is>
          <t>Estornos de Vendas (Cancelamentos)</t>
        </is>
      </c>
      <c r="I73" s="18" t="inlineStr">
        <is>
          <t>Livro Caixa: Estorno de recebimento do documento: Gerado pelo sistema (Doc. 880)</t>
        </is>
      </c>
      <c r="J73" s="18" t="n"/>
    </row>
    <row r="74">
      <c r="A74" s="44" t="n">
        <v>46038</v>
      </c>
      <c r="B74" s="45" t="inlineStr">
        <is>
          <t>Consumidor Final</t>
        </is>
      </c>
      <c r="C74" s="45" t="inlineStr">
        <is>
          <t>Vela Filtro de Barro</t>
        </is>
      </c>
      <c r="D74" s="46" t="n">
        <v>10</v>
      </c>
      <c r="E74" s="45" t="inlineStr">
        <is>
          <t>Dinheiro</t>
        </is>
      </c>
      <c r="F74" s="47" t="n"/>
      <c r="G74" s="48" t="n"/>
      <c r="H74" s="49" t="n"/>
      <c r="I74" s="45" t="inlineStr">
        <is>
          <t>NFC-e 8809</t>
        </is>
      </c>
    </row>
    <row r="75">
      <c r="A75" s="17" t="n">
        <v>46038</v>
      </c>
      <c r="B75" s="18" t="inlineStr">
        <is>
          <t>Tarcisio Oliveira Lima</t>
        </is>
      </c>
      <c r="C75" s="18" t="n"/>
      <c r="D75" s="27" t="n"/>
      <c r="E75" s="18" t="n"/>
      <c r="F75" s="19" t="n"/>
      <c r="G75" s="19" t="n">
        <v>455.4</v>
      </c>
      <c r="H75" s="21" t="inlineStr">
        <is>
          <t>Contabilidade</t>
        </is>
      </c>
      <c r="I75" s="18" t="inlineStr">
        <is>
          <t>Livro Caixa: Pagamento parcela TARCISIO OLIVEIRA LIMA (Doc. 1) · Contabilidade Tarcisio Oliveira Lima</t>
        </is>
      </c>
      <c r="J75" s="18" t="n"/>
    </row>
    <row r="76">
      <c r="A76" s="44" t="n">
        <v>46038</v>
      </c>
      <c r="B76" s="45" t="inlineStr">
        <is>
          <t>Everest Refrigeracao e Industria</t>
        </is>
      </c>
      <c r="C76" s="45" t="n"/>
      <c r="D76" s="46" t="n"/>
      <c r="E76" s="45" t="n"/>
      <c r="F76" s="47" t="n"/>
      <c r="G76" s="48" t="n">
        <v>824.74</v>
      </c>
      <c r="H76" s="49" t="inlineStr">
        <is>
          <t>Fornecedores / Mercadoria</t>
        </is>
      </c>
      <c r="I76" s="45" t="inlineStr">
        <is>
          <t>NF 357493 de 19/08/2025 · parcela 5/5 (venc. 16/01/2026) · compra total R$ 4.123,62: Purificador Everest Star Branco + Purificador Everest Star Prata + Purificador Everest Star Cereja + Purificador Everest Slim Prata + Purificador Everest Fit Branco + Purificador Everest Fit Prata · Livro Caixa</t>
        </is>
      </c>
    </row>
    <row r="77">
      <c r="A77" s="17" t="n">
        <v>46038</v>
      </c>
      <c r="B77" s="18" t="inlineStr">
        <is>
          <t>Filtros Planeta Agua Ind e Com Ltda</t>
        </is>
      </c>
      <c r="C77" s="18" t="n"/>
      <c r="D77" s="27" t="n"/>
      <c r="E77" s="18" t="n"/>
      <c r="F77" s="19" t="n"/>
      <c r="G77" s="19" t="n">
        <v>771.5599999999999</v>
      </c>
      <c r="H77" s="21" t="inlineStr">
        <is>
          <t>Fornecedores / Mercadoria</t>
        </is>
      </c>
      <c r="I77" s="18" t="inlineStr">
        <is>
          <t>NF 123868 de 24/10/2025 · parcela 5/5 (venc. 16/01/2026) · compra total R$ 4.058,44 (IPI R$ 200,60): 50x Refil Pro Life + 5x Refil Top Color + 5x Refil Fp4 + 20x Refil Carbon Tech 9.3/4 Pol + 10x Refil Top Multifilter + 5x Refil Top Color Fast + 10x Refil Fpa14 + 5x Refil Fpa22 + 5x Carcaca Fit 9.3/4 Pol Branca + 5x Conexão T + 5x Refil Fpa16 · Livro Caixa</t>
        </is>
      </c>
      <c r="J77" s="18" t="n"/>
    </row>
    <row r="78">
      <c r="A78" s="44" t="n">
        <v>46038</v>
      </c>
      <c r="B78" s="45" t="inlineStr">
        <is>
          <t>Jamef</t>
        </is>
      </c>
      <c r="C78" s="45" t="n"/>
      <c r="D78" s="46" t="n"/>
      <c r="E78" s="45" t="n"/>
      <c r="F78" s="47" t="n"/>
      <c r="G78" s="48" t="n">
        <v>358.82</v>
      </c>
      <c r="H78" s="49" t="inlineStr">
        <is>
          <t>Transporte e Entregas</t>
        </is>
      </c>
      <c r="I78" s="45" t="inlineStr">
        <is>
          <t>Livro Caixa: Pagamento parcela JAMEF (Doc. 1) · Jamef Transportes Ltda</t>
        </is>
      </c>
    </row>
    <row r="79" ht="15.75" customHeight="1" s="157">
      <c r="A79" s="17" t="n">
        <v>46041</v>
      </c>
      <c r="B79" s="18" t="inlineStr">
        <is>
          <t>Lucas Santos Pinto de Souza</t>
        </is>
      </c>
      <c r="C79" s="18" t="inlineStr">
        <is>
          <t>Purificador Everest Star Branco</t>
        </is>
      </c>
      <c r="D79" s="27" t="n">
        <v>1398</v>
      </c>
      <c r="E79" s="18" t="inlineStr">
        <is>
          <t>Dinheiro</t>
        </is>
      </c>
      <c r="F79" s="19" t="n"/>
      <c r="G79" s="19" t="n"/>
      <c r="H79" s="21" t="n"/>
      <c r="I79" s="18" t="inlineStr">
        <is>
          <t>NF-e 4031</t>
        </is>
      </c>
      <c r="J79" s="18" t="inlineStr">
        <is>
          <t>CLI-0676</t>
        </is>
      </c>
    </row>
    <row r="80">
      <c r="A80" s="44" t="n">
        <v>46041</v>
      </c>
      <c r="B80" s="45" t="inlineStr">
        <is>
          <t>Ila Cariele  Correia Dantas</t>
        </is>
      </c>
      <c r="C80" s="45" t="inlineStr">
        <is>
          <t>Refil Everest</t>
        </is>
      </c>
      <c r="D80" s="46" t="n">
        <v>140</v>
      </c>
      <c r="E80" s="45" t="inlineStr">
        <is>
          <t>Pix</t>
        </is>
      </c>
      <c r="F80" s="47" t="n"/>
      <c r="G80" s="48" t="n"/>
      <c r="H80" s="49" t="n"/>
      <c r="I80" s="45" t="inlineStr">
        <is>
          <t>NFC-e 8810</t>
        </is>
      </c>
    </row>
    <row r="81">
      <c r="A81" s="17" t="n">
        <v>46041</v>
      </c>
      <c r="B81" s="18" t="inlineStr">
        <is>
          <t>Odontoclass Almeida &amp; Gois Ltda</t>
        </is>
      </c>
      <c r="C81" s="18" t="inlineStr">
        <is>
          <t>Refil Everest</t>
        </is>
      </c>
      <c r="D81" s="27" t="n">
        <v>140</v>
      </c>
      <c r="E81" s="18" t="inlineStr">
        <is>
          <t>Crédito Parcelado</t>
        </is>
      </c>
      <c r="F81" s="19" t="n"/>
      <c r="G81" s="19" t="n"/>
      <c r="H81" s="21" t="n"/>
      <c r="I81" s="18" t="inlineStr">
        <is>
          <t>NFC-e 8811</t>
        </is>
      </c>
      <c r="J81" s="18" t="n"/>
    </row>
    <row r="82">
      <c r="A82" s="44" t="n">
        <v>46041</v>
      </c>
      <c r="B82" s="45" t="inlineStr">
        <is>
          <t>Suelene Soares Lima</t>
        </is>
      </c>
      <c r="C82" s="45" t="inlineStr">
        <is>
          <t>Refil Everest</t>
        </is>
      </c>
      <c r="D82" s="46" t="n">
        <v>140</v>
      </c>
      <c r="E82" s="45" t="inlineStr">
        <is>
          <t>Dinheiro</t>
        </is>
      </c>
      <c r="F82" s="47" t="n"/>
      <c r="G82" s="48" t="n"/>
      <c r="H82" s="49" t="n"/>
      <c r="I82" s="45" t="inlineStr">
        <is>
          <t>NFC-e 8812</t>
        </is>
      </c>
      <c r="J82" t="inlineStr">
        <is>
          <t>CLI-0665</t>
        </is>
      </c>
    </row>
    <row r="83">
      <c r="A83" s="17" t="n">
        <v>46041</v>
      </c>
      <c r="B83" s="18" t="inlineStr">
        <is>
          <t>Eversoft Ind e Com de Plasticos Ltda</t>
        </is>
      </c>
      <c r="C83" s="18" t="n"/>
      <c r="D83" s="27" t="n"/>
      <c r="E83" s="18" t="n"/>
      <c r="F83" s="19" t="n"/>
      <c r="G83" s="19" t="n">
        <v>878.92</v>
      </c>
      <c r="H83" s="21" t="inlineStr">
        <is>
          <t>Fornecedores / Mercadoria</t>
        </is>
      </c>
      <c r="I83" s="18" t="inlineStr">
        <is>
          <t>NF 67435 de 19/09/2025 · parcela 4/5 (venc. 17/01/2026) · compra total R$ 4.394,61: 100x Refil Everest · Livro Caixa</t>
        </is>
      </c>
      <c r="J83" s="18" t="n"/>
    </row>
    <row r="84">
      <c r="A84" s="44" t="n">
        <v>46041</v>
      </c>
      <c r="B84" s="45" t="inlineStr">
        <is>
          <t>Filtros Planeta Agua</t>
        </is>
      </c>
      <c r="C84" s="45" t="n"/>
      <c r="D84" s="46" t="n"/>
      <c r="E84" s="45" t="n"/>
      <c r="F84" s="47" t="n"/>
      <c r="G84" s="48" t="n">
        <v>519.1900000000001</v>
      </c>
      <c r="H84" s="49" t="inlineStr">
        <is>
          <t>Fornecedores / Mercadoria</t>
        </is>
      </c>
      <c r="I84" s="45" t="inlineStr">
        <is>
          <t>Livro Caixa: Pagamento à vista: FILTROS PLANETA AGUA (Doc. 1) · Filtros Planeta Agua Ind e Com Ltda</t>
        </is>
      </c>
    </row>
    <row r="85">
      <c r="A85" s="17" t="n">
        <v>46042</v>
      </c>
      <c r="B85" s="18" t="inlineStr">
        <is>
          <t>Silva &amp; Silva Sociedade de Advogados</t>
        </is>
      </c>
      <c r="C85" s="18" t="inlineStr">
        <is>
          <t>Refil Everest</t>
        </is>
      </c>
      <c r="D85" s="27" t="n">
        <v>140</v>
      </c>
      <c r="E85" s="18" t="inlineStr">
        <is>
          <t>Pix</t>
        </is>
      </c>
      <c r="F85" s="19" t="n"/>
      <c r="G85" s="19" t="n"/>
      <c r="H85" s="21" t="n"/>
      <c r="I85" s="18" t="inlineStr">
        <is>
          <t>NF-e 4032</t>
        </is>
      </c>
      <c r="J85" s="18" t="n"/>
    </row>
    <row r="86">
      <c r="A86" s="44" t="n">
        <v>46042</v>
      </c>
      <c r="B86" s="45" t="inlineStr">
        <is>
          <t>Consumidor Final</t>
        </is>
      </c>
      <c r="C86" s="45" t="inlineStr">
        <is>
          <t>2x Refil Everest + Suporte</t>
        </is>
      </c>
      <c r="D86" s="46" t="n">
        <v>320</v>
      </c>
      <c r="E86" s="45" t="inlineStr">
        <is>
          <t>Crédito Parcelado</t>
        </is>
      </c>
      <c r="F86" s="47" t="n"/>
      <c r="G86" s="48" t="n"/>
      <c r="H86" s="49" t="n"/>
      <c r="I86" s="45" t="inlineStr">
        <is>
          <t>NFC-e 8813</t>
        </is>
      </c>
    </row>
    <row r="87">
      <c r="A87" s="17" t="n">
        <v>46042</v>
      </c>
      <c r="B87" s="18" t="inlineStr">
        <is>
          <t>Maria Alencar de Souza</t>
        </is>
      </c>
      <c r="C87" s="18" t="inlineStr">
        <is>
          <t>Refil Everest</t>
        </is>
      </c>
      <c r="D87" s="27" t="n">
        <v>140</v>
      </c>
      <c r="E87" s="18" t="inlineStr">
        <is>
          <t>Dinheiro</t>
        </is>
      </c>
      <c r="F87" s="19" t="n"/>
      <c r="G87" s="19" t="n"/>
      <c r="H87" s="21" t="n"/>
      <c r="I87" s="18" t="inlineStr">
        <is>
          <t>NFC-e 8814</t>
        </is>
      </c>
      <c r="J87" s="18" t="inlineStr">
        <is>
          <t>CLI-0669</t>
        </is>
      </c>
    </row>
    <row r="88">
      <c r="A88" s="44" t="n">
        <v>46042</v>
      </c>
      <c r="B88" s="45" t="inlineStr">
        <is>
          <t>Costa e Sa Advogados</t>
        </is>
      </c>
      <c r="C88" s="45" t="inlineStr">
        <is>
          <t>Refil FPA14</t>
        </is>
      </c>
      <c r="D88" s="46" t="n">
        <v>100</v>
      </c>
      <c r="E88" s="45" t="inlineStr">
        <is>
          <t>Dinheiro</t>
        </is>
      </c>
      <c r="F88" s="47" t="n"/>
      <c r="G88" s="48" t="n"/>
      <c r="H88" s="49" t="n"/>
      <c r="I88" s="45" t="inlineStr">
        <is>
          <t>NF-e 4033</t>
        </is>
      </c>
      <c r="J88" t="inlineStr">
        <is>
          <t>EMP-0316</t>
        </is>
      </c>
    </row>
    <row r="89">
      <c r="A89" s="17" t="n">
        <v>46042</v>
      </c>
      <c r="B89" s="18" t="inlineStr">
        <is>
          <t>Floripes da Silva Cunha</t>
        </is>
      </c>
      <c r="C89" s="18" t="inlineStr">
        <is>
          <t>Refil Everest</t>
        </is>
      </c>
      <c r="D89" s="27" t="n">
        <v>140</v>
      </c>
      <c r="E89" s="18" t="inlineStr">
        <is>
          <t>Débito</t>
        </is>
      </c>
      <c r="F89" s="19" t="n"/>
      <c r="G89" s="19" t="n"/>
      <c r="H89" s="21" t="n"/>
      <c r="I89" s="18" t="inlineStr">
        <is>
          <t>NFC-e 8815</t>
        </is>
      </c>
      <c r="J89" s="18" t="n"/>
    </row>
    <row r="90">
      <c r="A90" s="44" t="n">
        <v>46042</v>
      </c>
      <c r="B90" s="45" t="inlineStr">
        <is>
          <t>J Diesel Motores e Reparos Automotivos Eireli</t>
        </is>
      </c>
      <c r="C90" s="45" t="inlineStr">
        <is>
          <t>Refil Everest</t>
        </is>
      </c>
      <c r="D90" s="46" t="n">
        <v>140</v>
      </c>
      <c r="E90" s="45" t="inlineStr">
        <is>
          <t>Dinheiro</t>
        </is>
      </c>
      <c r="F90" s="47" t="n"/>
      <c r="G90" s="48" t="n"/>
      <c r="H90" s="49" t="n"/>
      <c r="I90" s="45" t="inlineStr">
        <is>
          <t>NF-e 4034</t>
        </is>
      </c>
    </row>
    <row r="91">
      <c r="A91" s="17" t="n">
        <v>46042</v>
      </c>
      <c r="B91" s="18" t="inlineStr">
        <is>
          <t>Arivaldo Pereira Teixeira</t>
        </is>
      </c>
      <c r="C91" s="18" t="inlineStr">
        <is>
          <t>Refil Everest</t>
        </is>
      </c>
      <c r="D91" s="27" t="n">
        <v>140</v>
      </c>
      <c r="E91" s="18" t="inlineStr">
        <is>
          <t>Pix</t>
        </is>
      </c>
      <c r="F91" s="19" t="n"/>
      <c r="G91" s="19" t="n"/>
      <c r="H91" s="21" t="n"/>
      <c r="I91" s="18" t="inlineStr">
        <is>
          <t>NFC-e 8816</t>
        </is>
      </c>
      <c r="J91" s="18" t="n"/>
    </row>
    <row r="92">
      <c r="A92" s="44" t="n">
        <v>46042</v>
      </c>
      <c r="B92" s="45" t="inlineStr">
        <is>
          <t>Everest Refrigeracao e Industria</t>
        </is>
      </c>
      <c r="C92" s="45" t="n"/>
      <c r="D92" s="46" t="n"/>
      <c r="E92" s="45" t="n"/>
      <c r="F92" s="47" t="n"/>
      <c r="G92" s="48" t="n">
        <v>800.65</v>
      </c>
      <c r="H92" s="49" t="inlineStr">
        <is>
          <t>Fornecedores / Mercadoria</t>
        </is>
      </c>
      <c r="I92" s="45" t="inlineStr">
        <is>
          <t>NF 362188 de 22/10/2025 · parcela 3/5 (venc. 20/01/2026) · compra total R$ 4.003,24: Purificador Everest Fit Branco + Purificador Everest Fit Prata + Purificador Everest Slim Branco + Purificador Everest Slim Prata + Purificador Everest Star Branco + 4x Purificador Everest Baby Cereja · Livro Caixa</t>
        </is>
      </c>
    </row>
    <row r="93">
      <c r="A93" s="17" t="n">
        <v>46042</v>
      </c>
      <c r="B93" s="18" t="inlineStr">
        <is>
          <t>Guia do Fgts Digital</t>
        </is>
      </c>
      <c r="C93" s="18" t="n"/>
      <c r="D93" s="27" t="n"/>
      <c r="E93" s="18" t="n"/>
      <c r="F93" s="19" t="n"/>
      <c r="G93" s="19" t="n">
        <v>249.44</v>
      </c>
      <c r="H93" s="21" t="inlineStr">
        <is>
          <t>Impostos e Taxas</t>
        </is>
      </c>
      <c r="I93" s="18" t="inlineStr">
        <is>
          <t>Livro Caixa: Pagamento parcela GUIA DO FGTS DIGITAL (Doc. 1) · Planeta Agua Ltda</t>
        </is>
      </c>
      <c r="J93" s="18" t="n"/>
    </row>
    <row r="94">
      <c r="A94" s="44" t="n">
        <v>46042</v>
      </c>
      <c r="B94" s="45" t="inlineStr">
        <is>
          <t>Documento de Arrecadação de Receitas Fe</t>
        </is>
      </c>
      <c r="C94" s="45" t="n"/>
      <c r="D94" s="46" t="n"/>
      <c r="E94" s="45" t="n"/>
      <c r="F94" s="47" t="n"/>
      <c r="G94" s="48" t="n">
        <v>402.06</v>
      </c>
      <c r="H94" s="49" t="inlineStr">
        <is>
          <t>Impostos e Taxas</t>
        </is>
      </c>
      <c r="I94" s="45" t="inlineStr">
        <is>
          <t>Livro Caixa: Pagamento parcela DOCUMENTO DE ARRECADAÇÃO DE RECEITAS FE · Planeta Agua Ltda</t>
        </is>
      </c>
    </row>
    <row r="95">
      <c r="A95" s="17" t="n">
        <v>46042</v>
      </c>
      <c r="B95" s="18" t="inlineStr">
        <is>
          <t>Simples Nacional</t>
        </is>
      </c>
      <c r="C95" s="18" t="n"/>
      <c r="D95" s="27" t="n"/>
      <c r="E95" s="18" t="n"/>
      <c r="F95" s="19" t="n"/>
      <c r="G95" s="19" t="n">
        <v>1644.44</v>
      </c>
      <c r="H95" s="21" t="inlineStr">
        <is>
          <t>Impostos e Taxas</t>
        </is>
      </c>
      <c r="I95" s="18" t="inlineStr">
        <is>
          <t>Livro Caixa: Pagamento à vista: SIMPLES NACIONAL (Doc. 1) · Planeta Agua Ltda</t>
        </is>
      </c>
      <c r="J95" s="18" t="n"/>
    </row>
    <row r="96">
      <c r="A96" s="44" t="n">
        <v>46043</v>
      </c>
      <c r="B96" s="45" t="inlineStr">
        <is>
          <t>Consumidor Final</t>
        </is>
      </c>
      <c r="C96" s="45" t="inlineStr">
        <is>
          <t>Refil Acquatec</t>
        </is>
      </c>
      <c r="D96" s="46" t="n">
        <v>85</v>
      </c>
      <c r="E96" s="45" t="inlineStr">
        <is>
          <t>Dinheiro</t>
        </is>
      </c>
      <c r="F96" s="47" t="n"/>
      <c r="G96" s="48" t="n"/>
      <c r="H96" s="49" t="n"/>
      <c r="I96" s="45" t="inlineStr">
        <is>
          <t>NFC-e 8817</t>
        </is>
      </c>
    </row>
    <row r="97">
      <c r="A97" s="17" t="n">
        <v>46043</v>
      </c>
      <c r="B97" s="18" t="inlineStr">
        <is>
          <t>Vivalda Vieira de Brito</t>
        </is>
      </c>
      <c r="C97" s="18" t="inlineStr">
        <is>
          <t>Refil Everest</t>
        </is>
      </c>
      <c r="D97" s="27" t="n">
        <v>140</v>
      </c>
      <c r="E97" s="18" t="inlineStr">
        <is>
          <t>Dinheiro</t>
        </is>
      </c>
      <c r="F97" s="19" t="n"/>
      <c r="G97" s="19" t="n"/>
      <c r="H97" s="21" t="n"/>
      <c r="I97" s="18" t="inlineStr">
        <is>
          <t>NFC-e 8818</t>
        </is>
      </c>
      <c r="J97" s="18" t="inlineStr">
        <is>
          <t>CLI-0668</t>
        </is>
      </c>
    </row>
    <row r="98">
      <c r="A98" s="44" t="n">
        <v>46043</v>
      </c>
      <c r="B98" s="45" t="inlineStr">
        <is>
          <t>Sebastiao Alves da Silva</t>
        </is>
      </c>
      <c r="C98" s="45" t="inlineStr">
        <is>
          <t>Refil Everest + Suporte</t>
        </is>
      </c>
      <c r="D98" s="46" t="n">
        <v>200</v>
      </c>
      <c r="E98" s="45" t="inlineStr">
        <is>
          <t>Crédito Parcelado</t>
        </is>
      </c>
      <c r="F98" s="47" t="n"/>
      <c r="G98" s="48" t="n"/>
      <c r="H98" s="49" t="n"/>
      <c r="I98" s="45" t="inlineStr">
        <is>
          <t>NFC-e 8819</t>
        </is>
      </c>
    </row>
    <row r="99">
      <c r="A99" s="17" t="n">
        <v>46043</v>
      </c>
      <c r="B99" s="18" t="inlineStr">
        <is>
          <t>Bio Imagem Serviço de Diagnostico - Copa</t>
        </is>
      </c>
      <c r="C99" s="18" t="inlineStr">
        <is>
          <t>2x Refil Everest</t>
        </is>
      </c>
      <c r="D99" s="27" t="n">
        <v>280</v>
      </c>
      <c r="E99" s="18" t="inlineStr">
        <is>
          <t>Dinheiro</t>
        </is>
      </c>
      <c r="F99" s="19" t="n"/>
      <c r="G99" s="19" t="n"/>
      <c r="H99" s="21" t="n"/>
      <c r="I99" s="18" t="inlineStr">
        <is>
          <t>NF-e 4035</t>
        </is>
      </c>
      <c r="J99" s="18" t="inlineStr">
        <is>
          <t>EMP-0030</t>
        </is>
      </c>
    </row>
    <row r="100" ht="15.75" customHeight="1" s="157">
      <c r="A100" s="44" t="n">
        <v>46043</v>
      </c>
      <c r="B100" s="45" t="inlineStr">
        <is>
          <t>Clinica Odonto X</t>
        </is>
      </c>
      <c r="C100" s="45" t="inlineStr">
        <is>
          <t>Refil Everest</t>
        </is>
      </c>
      <c r="D100" s="46" t="n">
        <v>140</v>
      </c>
      <c r="E100" s="45" t="inlineStr">
        <is>
          <t>Dinheiro</t>
        </is>
      </c>
      <c r="F100" s="47" t="n"/>
      <c r="G100" s="48" t="n"/>
      <c r="H100" s="49" t="n"/>
      <c r="I100" s="45" t="inlineStr">
        <is>
          <t>NF-e 4036</t>
        </is>
      </c>
      <c r="J100" t="inlineStr">
        <is>
          <t>EMP-0306</t>
        </is>
      </c>
    </row>
    <row r="101">
      <c r="A101" s="17" t="n">
        <v>46043</v>
      </c>
      <c r="B101" s="18" t="inlineStr">
        <is>
          <t>Consumidor Final</t>
        </is>
      </c>
      <c r="C101" s="18" t="inlineStr">
        <is>
          <t>Suporte</t>
        </is>
      </c>
      <c r="D101" s="27" t="n">
        <v>40</v>
      </c>
      <c r="E101" s="18" t="inlineStr">
        <is>
          <t>Débito</t>
        </is>
      </c>
      <c r="F101" s="19" t="n"/>
      <c r="G101" s="19" t="n"/>
      <c r="H101" s="21" t="n"/>
      <c r="I101" s="18" t="inlineStr">
        <is>
          <t>NFC-e 8820</t>
        </is>
      </c>
      <c r="J101" s="18" t="n"/>
    </row>
    <row r="102" ht="15.75" customHeight="1" s="157">
      <c r="A102" s="44" t="n">
        <v>46043</v>
      </c>
      <c r="B102" s="45" t="inlineStr">
        <is>
          <t>Consumidor Final</t>
        </is>
      </c>
      <c r="C102" s="45" t="inlineStr">
        <is>
          <t>Mangueira (1 m)</t>
        </is>
      </c>
      <c r="D102" s="46" t="n">
        <v>10</v>
      </c>
      <c r="E102" s="45" t="inlineStr">
        <is>
          <t>Crédito Parcelado</t>
        </is>
      </c>
      <c r="F102" s="47" t="n"/>
      <c r="G102" s="48" t="n"/>
      <c r="H102" s="49" t="n"/>
      <c r="I102" s="45" t="inlineStr">
        <is>
          <t>NFC-e 8821</t>
        </is>
      </c>
    </row>
    <row r="103">
      <c r="A103" s="17" t="n">
        <v>46043</v>
      </c>
      <c r="B103" s="18" t="inlineStr">
        <is>
          <t>Consumidor Final</t>
        </is>
      </c>
      <c r="C103" s="18" t="inlineStr">
        <is>
          <t>Mangueira (1 m)</t>
        </is>
      </c>
      <c r="D103" s="27" t="n">
        <v>10</v>
      </c>
      <c r="E103" s="18" t="inlineStr">
        <is>
          <t>Débito</t>
        </is>
      </c>
      <c r="F103" s="19" t="n"/>
      <c r="G103" s="19" t="n"/>
      <c r="H103" s="21" t="n"/>
      <c r="I103" s="18" t="inlineStr">
        <is>
          <t>NFC-e 8822</t>
        </is>
      </c>
      <c r="J103" s="18" t="n"/>
    </row>
    <row r="104" ht="15.75" customHeight="1" s="157">
      <c r="A104" s="44" t="n">
        <v>46043</v>
      </c>
      <c r="B104" s="45" t="inlineStr">
        <is>
          <t>Banco do Nordeste do Brasil</t>
        </is>
      </c>
      <c r="C104" s="45" t="inlineStr">
        <is>
          <t>Refil Everest + Pré Filtro</t>
        </is>
      </c>
      <c r="D104" s="46" t="n">
        <v>200</v>
      </c>
      <c r="E104" s="45" t="inlineStr">
        <is>
          <t>Dinheiro</t>
        </is>
      </c>
      <c r="F104" s="47" t="n"/>
      <c r="G104" s="48" t="n"/>
      <c r="H104" s="49" t="n"/>
      <c r="I104" s="45" t="inlineStr">
        <is>
          <t>NF-e 4037</t>
        </is>
      </c>
      <c r="J104" t="inlineStr">
        <is>
          <t>EMP-0220</t>
        </is>
      </c>
    </row>
    <row r="105">
      <c r="A105" s="17" t="n">
        <v>46043</v>
      </c>
      <c r="B105" s="18" t="inlineStr">
        <is>
          <t>Filtros Planeta Agua Ind e Com Ltda</t>
        </is>
      </c>
      <c r="C105" s="18" t="n"/>
      <c r="D105" s="27" t="n"/>
      <c r="E105" s="18" t="n"/>
      <c r="F105" s="19" t="n"/>
      <c r="G105" s="19" t="n">
        <v>426.73</v>
      </c>
      <c r="H105" s="21" t="inlineStr">
        <is>
          <t>Fornecedores / Mercadoria</t>
        </is>
      </c>
      <c r="I105" s="18" t="inlineStr">
        <is>
          <t>NF 125587 de 10/12/2025 · parcela 2/4 (venc. 21/01/2026) · compra total R$ 1.793,26 (IPI R$ 86,32): 5x Refil Lacqua + 15x Refil Fit Poe Pp 9.3/4 + 10x Refil Carbon Block 5 Pol + 5x Refil Top Color + 5x Refil Acquatec + 5x Refiil Carbon Tech 9.3/4 Pol + 20x Refil Poli Flu Plissado 9.3/4 + 5x Refil Fpa16 + Mangueira · Livro Caixa</t>
        </is>
      </c>
      <c r="J105" s="18" t="n"/>
    </row>
    <row r="106">
      <c r="A106" s="44" t="n">
        <v>46043</v>
      </c>
      <c r="B106" s="45" t="inlineStr">
        <is>
          <t>Jamef</t>
        </is>
      </c>
      <c r="C106" s="45" t="n"/>
      <c r="D106" s="46" t="n"/>
      <c r="E106" s="45" t="n"/>
      <c r="F106" s="47" t="n"/>
      <c r="G106" s="48" t="n">
        <v>418.41</v>
      </c>
      <c r="H106" s="49" t="inlineStr">
        <is>
          <t>Transporte e Entregas</t>
        </is>
      </c>
      <c r="I106" s="45" t="inlineStr">
        <is>
          <t>Livro Caixa: Pagamento à vista: JAMEF (Doc. 1) · Jamef Transportes Ltda</t>
        </is>
      </c>
    </row>
    <row r="107">
      <c r="A107" s="17" t="n">
        <v>46044</v>
      </c>
      <c r="B107" s="18" t="inlineStr">
        <is>
          <t>Consumidor Final</t>
        </is>
      </c>
      <c r="C107" s="18" t="inlineStr">
        <is>
          <t>Conexao Reta Rosca 1/2 Bspt P/Tubo 1/4 Pol Branca + Mangueira (1 m)</t>
        </is>
      </c>
      <c r="D107" s="27" t="n">
        <v>35</v>
      </c>
      <c r="E107" s="18" t="inlineStr">
        <is>
          <t>Crédito Parcelado</t>
        </is>
      </c>
      <c r="F107" s="19" t="n"/>
      <c r="G107" s="19" t="n"/>
      <c r="H107" s="21" t="n"/>
      <c r="I107" s="18" t="inlineStr">
        <is>
          <t>NFC-e 8823</t>
        </is>
      </c>
      <c r="J107" s="18" t="n"/>
    </row>
    <row r="108">
      <c r="A108" s="44" t="n">
        <v>46044</v>
      </c>
      <c r="B108" s="45" t="inlineStr">
        <is>
          <t>Consumidor Final</t>
        </is>
      </c>
      <c r="C108" s="45" t="inlineStr">
        <is>
          <t>Refil Everest</t>
        </is>
      </c>
      <c r="D108" s="46" t="n">
        <v>135</v>
      </c>
      <c r="E108" s="45" t="inlineStr">
        <is>
          <t>Dinheiro</t>
        </is>
      </c>
      <c r="F108" s="47" t="n"/>
      <c r="G108" s="48" t="n"/>
      <c r="H108" s="49" t="n"/>
      <c r="I108" s="45" t="inlineStr">
        <is>
          <t>NFC-e 8824</t>
        </is>
      </c>
    </row>
    <row r="109">
      <c r="A109" s="17" t="n">
        <v>46044</v>
      </c>
      <c r="B109" s="18" t="inlineStr">
        <is>
          <t>Central do Suplemento</t>
        </is>
      </c>
      <c r="C109" s="18" t="inlineStr">
        <is>
          <t>Refil Everest</t>
        </is>
      </c>
      <c r="D109" s="27" t="n">
        <v>140</v>
      </c>
      <c r="E109" s="18" t="inlineStr">
        <is>
          <t>Dinheiro</t>
        </is>
      </c>
      <c r="F109" s="19" t="n"/>
      <c r="G109" s="19" t="n"/>
      <c r="H109" s="21" t="n"/>
      <c r="I109" s="18" t="inlineStr">
        <is>
          <t>NF-e 4038</t>
        </is>
      </c>
      <c r="J109" s="18" t="inlineStr">
        <is>
          <t>EMP-0055</t>
        </is>
      </c>
    </row>
    <row r="110">
      <c r="A110" s="44" t="n">
        <v>46044</v>
      </c>
      <c r="B110" s="45" t="inlineStr">
        <is>
          <t>Consumidor Final</t>
        </is>
      </c>
      <c r="C110" s="45" t="inlineStr">
        <is>
          <t>Suporte</t>
        </is>
      </c>
      <c r="D110" s="46" t="n">
        <v>40</v>
      </c>
      <c r="E110" s="45" t="inlineStr">
        <is>
          <t>Crédito Parcelado</t>
        </is>
      </c>
      <c r="F110" s="47" t="n"/>
      <c r="G110" s="48" t="n"/>
      <c r="H110" s="49" t="n"/>
      <c r="I110" s="45" t="inlineStr">
        <is>
          <t>NFC-e 8825</t>
        </is>
      </c>
    </row>
    <row r="111">
      <c r="A111" s="17" t="n">
        <v>46044</v>
      </c>
      <c r="B111" s="18" t="inlineStr">
        <is>
          <t>Centro de Especialidades Odontomedicas Ltda</t>
        </is>
      </c>
      <c r="C111" s="18" t="inlineStr">
        <is>
          <t>2x Refil Everest</t>
        </is>
      </c>
      <c r="D111" s="27" t="n">
        <v>280</v>
      </c>
      <c r="E111" s="18" t="inlineStr">
        <is>
          <t>Aguardando Pagamento</t>
        </is>
      </c>
      <c r="F111" s="19" t="n"/>
      <c r="G111" s="19" t="n"/>
      <c r="H111" s="21" t="n"/>
      <c r="I111" s="18" t="inlineStr">
        <is>
          <t>NF-e 4039 · não recebido (conferido no DigiSat em 28/09/2026) — espelhado em Contas a Receber.</t>
        </is>
      </c>
      <c r="J111" s="18" t="n"/>
    </row>
    <row r="112">
      <c r="A112" s="44" t="n">
        <v>46045</v>
      </c>
      <c r="B112" s="45" t="inlineStr">
        <is>
          <t>Consumidor Final</t>
        </is>
      </c>
      <c r="C112" s="45" t="inlineStr">
        <is>
          <t>48x Refil Everest</t>
        </is>
      </c>
      <c r="D112" s="46" t="n">
        <v>2160</v>
      </c>
      <c r="E112" s="45" t="inlineStr">
        <is>
          <t>Dinheiro</t>
        </is>
      </c>
      <c r="F112" s="47" t="n"/>
      <c r="G112" s="48" t="n"/>
      <c r="H112" s="49" t="n"/>
      <c r="I112" s="45" t="inlineStr">
        <is>
          <t>NFC-e 8826</t>
        </is>
      </c>
    </row>
    <row r="113">
      <c r="A113" s="17" t="n">
        <v>46045</v>
      </c>
      <c r="B113" s="18" t="inlineStr">
        <is>
          <t>Int Odontologia - Larissa sena</t>
        </is>
      </c>
      <c r="C113" s="18" t="inlineStr">
        <is>
          <t>Refil Everest</t>
        </is>
      </c>
      <c r="D113" s="27" t="n">
        <v>140</v>
      </c>
      <c r="E113" s="18" t="inlineStr">
        <is>
          <t>Pix</t>
        </is>
      </c>
      <c r="F113" s="19" t="n"/>
      <c r="G113" s="19" t="n"/>
      <c r="H113" s="21" t="n"/>
      <c r="I113" s="18" t="inlineStr">
        <is>
          <t>NF-e 4040</t>
        </is>
      </c>
      <c r="J113" s="18" t="inlineStr">
        <is>
          <t>EMP-0184</t>
        </is>
      </c>
    </row>
    <row r="114">
      <c r="A114" s="44" t="n">
        <v>46045</v>
      </c>
      <c r="B114" s="45" t="inlineStr">
        <is>
          <t>Consumidor Final</t>
        </is>
      </c>
      <c r="C114" s="45" t="inlineStr">
        <is>
          <t>Refil Top Color</t>
        </is>
      </c>
      <c r="D114" s="46" t="n">
        <v>75</v>
      </c>
      <c r="E114" s="45" t="inlineStr">
        <is>
          <t>Dinheiro</t>
        </is>
      </c>
      <c r="F114" s="47" t="n"/>
      <c r="G114" s="48" t="n"/>
      <c r="H114" s="49" t="n"/>
      <c r="I114" s="45" t="inlineStr">
        <is>
          <t>NFC-e 8827</t>
        </is>
      </c>
    </row>
    <row r="115">
      <c r="A115" s="17" t="n">
        <v>46045</v>
      </c>
      <c r="B115" s="18" t="inlineStr">
        <is>
          <t>Consumidor Final</t>
        </is>
      </c>
      <c r="C115" s="18" t="inlineStr">
        <is>
          <t>2x Vela Filtro de Barro</t>
        </is>
      </c>
      <c r="D115" s="27" t="n">
        <v>24</v>
      </c>
      <c r="E115" s="18" t="inlineStr">
        <is>
          <t>Débito</t>
        </is>
      </c>
      <c r="F115" s="19" t="n"/>
      <c r="G115" s="19" t="n"/>
      <c r="H115" s="21" t="n"/>
      <c r="I115" s="18" t="inlineStr">
        <is>
          <t>NFC-e 8828</t>
        </is>
      </c>
      <c r="J115" s="18" t="n"/>
    </row>
    <row r="116">
      <c r="A116" s="44" t="n">
        <v>46046</v>
      </c>
      <c r="B116" s="45" t="inlineStr">
        <is>
          <t>Roberto Carlos de Souza</t>
        </is>
      </c>
      <c r="C116" s="45" t="inlineStr">
        <is>
          <t>Refil Everest + Suporte + Refil PP + Refil Carbon Tech 9"</t>
        </is>
      </c>
      <c r="D116" s="46" t="n">
        <v>313</v>
      </c>
      <c r="E116" s="45" t="inlineStr">
        <is>
          <t>Crédito Parcelado</t>
        </is>
      </c>
      <c r="F116" s="47" t="n"/>
      <c r="G116" s="48" t="n"/>
      <c r="H116" s="49" t="n"/>
      <c r="I116" s="45" t="inlineStr">
        <is>
          <t>NFC-e 8829</t>
        </is>
      </c>
    </row>
    <row r="117">
      <c r="A117" s="17" t="n">
        <v>46048</v>
      </c>
      <c r="B117" s="18" t="inlineStr">
        <is>
          <t>Burguer Jacobina Ltda</t>
        </is>
      </c>
      <c r="C117" s="18" t="inlineStr">
        <is>
          <t>Refil Everest</t>
        </is>
      </c>
      <c r="D117" s="27" t="n">
        <v>140</v>
      </c>
      <c r="E117" s="18" t="inlineStr">
        <is>
          <t>Dinheiro</t>
        </is>
      </c>
      <c r="F117" s="19" t="n"/>
      <c r="G117" s="19" t="n"/>
      <c r="H117" s="21" t="n"/>
      <c r="I117" s="18" t="inlineStr">
        <is>
          <t>NF-e 4041</t>
        </is>
      </c>
      <c r="J117" s="18" t="n"/>
    </row>
    <row r="118">
      <c r="A118" s="44" t="n">
        <v>46048</v>
      </c>
      <c r="B118" s="45" t="inlineStr">
        <is>
          <t>Icms Antecipação Parcial</t>
        </is>
      </c>
      <c r="C118" s="45" t="n"/>
      <c r="D118" s="46" t="n"/>
      <c r="E118" s="45" t="n"/>
      <c r="F118" s="47" t="n"/>
      <c r="G118" s="48" t="n">
        <v>1122.45</v>
      </c>
      <c r="H118" s="49" t="inlineStr">
        <is>
          <t>Impostos e Taxas</t>
        </is>
      </c>
      <c r="I118" s="45" t="inlineStr">
        <is>
          <t>Livro Caixa: Pagamento parcela ICMS ANTECIPAÇÃO PARCIAL (Doc. 1) · Planeta Agua Ltda</t>
        </is>
      </c>
    </row>
    <row r="119">
      <c r="A119" s="17" t="n">
        <v>46048</v>
      </c>
      <c r="B119" s="18" t="inlineStr">
        <is>
          <t>Eversoft Ind e Com de Plasticos Ltda</t>
        </is>
      </c>
      <c r="C119" s="18" t="n"/>
      <c r="D119" s="27" t="n"/>
      <c r="E119" s="18" t="n"/>
      <c r="F119" s="19" t="n"/>
      <c r="G119" s="19" t="n">
        <v>980.83</v>
      </c>
      <c r="H119" s="21" t="inlineStr">
        <is>
          <t>Fornecedores / Mercadoria</t>
        </is>
      </c>
      <c r="I119" s="18" t="inlineStr">
        <is>
          <t>NF 69107 de 27/11/2025 · parcela 2/5 (venc. 26/01/2026) · compra total R$ 4.904,13: 100x Refil Everest + 50x Pré Filtro · Livro Caixa</t>
        </is>
      </c>
      <c r="J119" s="18" t="n"/>
    </row>
    <row r="120">
      <c r="A120" s="44" t="n">
        <v>46048</v>
      </c>
      <c r="B120" s="45" t="inlineStr">
        <is>
          <t>Ferias Wiliam (Segunda Parcela)</t>
        </is>
      </c>
      <c r="C120" s="45" t="n"/>
      <c r="D120" s="46" t="n"/>
      <c r="E120" s="45" t="n"/>
      <c r="F120" s="47" t="n"/>
      <c r="G120" s="48" t="n">
        <v>1405</v>
      </c>
      <c r="H120" s="49" t="inlineStr">
        <is>
          <t>Salários, Comissões e Encargos</t>
        </is>
      </c>
      <c r="I120" s="45" t="inlineStr">
        <is>
          <t>Livro Caixa: Pagamento parcela FERIAS WILIAM (SEGUNDA PARCELA) (Doc. 1) · Wiliam Pinto Bispo</t>
        </is>
      </c>
    </row>
    <row r="121">
      <c r="A121" s="17" t="n">
        <v>46048</v>
      </c>
      <c r="B121" s="18" t="inlineStr">
        <is>
          <t>Jamef</t>
        </is>
      </c>
      <c r="C121" s="18" t="n"/>
      <c r="D121" s="27" t="n"/>
      <c r="E121" s="18" t="n"/>
      <c r="F121" s="19" t="n"/>
      <c r="G121" s="19" t="n">
        <v>420.82</v>
      </c>
      <c r="H121" s="21" t="inlineStr">
        <is>
          <t>Transporte e Entregas</t>
        </is>
      </c>
      <c r="I121" s="18" t="inlineStr">
        <is>
          <t>Livro Caixa: Pagamento parcela JAMEF (Doc. 1) · Jamef Transportes Ltda</t>
        </is>
      </c>
      <c r="J121" s="18" t="n"/>
    </row>
    <row r="122">
      <c r="A122" s="44" t="n">
        <v>46048</v>
      </c>
      <c r="B122" s="45" t="inlineStr">
        <is>
          <t>Eversoft Ind e Com de Plasticos Ltda</t>
        </is>
      </c>
      <c r="C122" s="45" t="n"/>
      <c r="D122" s="46" t="n"/>
      <c r="E122" s="45" t="n"/>
      <c r="F122" s="47" t="n"/>
      <c r="G122" s="48" t="n">
        <v>878.92</v>
      </c>
      <c r="H122" s="49" t="inlineStr">
        <is>
          <t>Fornecedores / Mercadoria</t>
        </is>
      </c>
      <c r="I122" s="45" t="inlineStr">
        <is>
          <t>NF 69886 de 30/12/2025 · parcela 1/5 (venc. 29/01/2026) · compra total R$ 4.394,61: 100x Refil Everest · Livro Caixa</t>
        </is>
      </c>
    </row>
    <row r="123">
      <c r="A123" s="17" t="n">
        <v>46049</v>
      </c>
      <c r="B123" s="18" t="inlineStr">
        <is>
          <t>Romeu Lopes Tinel</t>
        </is>
      </c>
      <c r="C123" s="18" t="inlineStr">
        <is>
          <t>Refil Everest</t>
        </is>
      </c>
      <c r="D123" s="27" t="n">
        <v>140</v>
      </c>
      <c r="E123" s="18" t="inlineStr">
        <is>
          <t>Débito</t>
        </is>
      </c>
      <c r="F123" s="19" t="n"/>
      <c r="G123" s="19" t="n"/>
      <c r="H123" s="21" t="n"/>
      <c r="I123" s="18" t="inlineStr">
        <is>
          <t>NFC-e 8830</t>
        </is>
      </c>
      <c r="J123" s="18" t="n"/>
    </row>
    <row r="124">
      <c r="A124" s="44" t="n">
        <v>46049</v>
      </c>
      <c r="B124" s="45" t="inlineStr">
        <is>
          <t>Wilson Luis Transportes e Servicos Ltda</t>
        </is>
      </c>
      <c r="C124" s="45" t="inlineStr">
        <is>
          <t>Refil Everest + Refil Plissado</t>
        </is>
      </c>
      <c r="D124" s="46" t="n">
        <v>250</v>
      </c>
      <c r="E124" s="45" t="inlineStr">
        <is>
          <t>Dinheiro</t>
        </is>
      </c>
      <c r="F124" s="47" t="n"/>
      <c r="G124" s="48" t="n"/>
      <c r="H124" s="49" t="n"/>
      <c r="I124" s="45" t="inlineStr">
        <is>
          <t>NF-e 4042</t>
        </is>
      </c>
    </row>
    <row r="125">
      <c r="A125" s="17" t="n">
        <v>46050</v>
      </c>
      <c r="B125" s="18" t="inlineStr">
        <is>
          <t>Tatiana Miranda Siqueira</t>
        </is>
      </c>
      <c r="C125" s="18" t="inlineStr">
        <is>
          <t>Refil Everest</t>
        </is>
      </c>
      <c r="D125" s="27" t="n">
        <v>135</v>
      </c>
      <c r="E125" s="18" t="inlineStr">
        <is>
          <t>Dinheiro</t>
        </is>
      </c>
      <c r="F125" s="19" t="n"/>
      <c r="G125" s="19" t="n"/>
      <c r="H125" s="21" t="n"/>
      <c r="I125" s="18" t="inlineStr">
        <is>
          <t>NF-e 4043</t>
        </is>
      </c>
      <c r="J125" s="18" t="inlineStr">
        <is>
          <t>CLI-0696</t>
        </is>
      </c>
    </row>
    <row r="126">
      <c r="A126" s="44" t="n">
        <v>46050</v>
      </c>
      <c r="B126" s="45" t="inlineStr">
        <is>
          <t>Audioclin Clinca Médica LTDA - Tarcisio Nascimento - Anexo 1 Clínica Médica</t>
        </is>
      </c>
      <c r="C126" s="45" t="inlineStr">
        <is>
          <t>Refil Pro Life + 3x Refil Everest</t>
        </is>
      </c>
      <c r="D126" s="46" t="n">
        <v>560</v>
      </c>
      <c r="E126" s="45" t="n"/>
      <c r="F126" s="47" t="n"/>
      <c r="G126" s="48" t="n"/>
      <c r="H126" s="49" t="n"/>
      <c r="I126" s="45" t="inlineStr">
        <is>
          <t>NF-e 4008 · nota faturada a prazo (forma de recebimento não consta na nota) · venda de 18/12/2025 — pagamento recebido em 28/01/2026</t>
        </is>
      </c>
      <c r="J126" t="inlineStr">
        <is>
          <t>EMP-0138</t>
        </is>
      </c>
    </row>
    <row r="127">
      <c r="A127" s="17" t="n">
        <v>46051</v>
      </c>
      <c r="B127" s="18" t="inlineStr">
        <is>
          <t>Tropical Motos LTDA</t>
        </is>
      </c>
      <c r="C127" s="18" t="inlineStr">
        <is>
          <t>4x Refil Everest + 3x Pré Filtro</t>
        </is>
      </c>
      <c r="D127" s="27" t="n">
        <v>670</v>
      </c>
      <c r="E127" s="18" t="inlineStr">
        <is>
          <t>Dinheiro</t>
        </is>
      </c>
      <c r="F127" s="19" t="n"/>
      <c r="G127" s="19" t="n"/>
      <c r="H127" s="21" t="n"/>
      <c r="I127" s="18" t="inlineStr">
        <is>
          <t>NF-e 4044</t>
        </is>
      </c>
      <c r="J127" s="18" t="inlineStr">
        <is>
          <t>EMP-0296</t>
        </is>
      </c>
    </row>
    <row r="128" ht="15.75" customHeight="1" s="157">
      <c r="A128" s="44" t="n">
        <v>46052</v>
      </c>
      <c r="B128" s="45" t="inlineStr">
        <is>
          <t>Lourival M de Souza</t>
        </is>
      </c>
      <c r="C128" s="45" t="inlineStr">
        <is>
          <t>Refil Plissado + Refil Carbon Tech 9" + Carcaça 9"</t>
        </is>
      </c>
      <c r="D128" s="46" t="n">
        <v>290</v>
      </c>
      <c r="E128" s="45" t="inlineStr">
        <is>
          <t>Dinheiro</t>
        </is>
      </c>
      <c r="F128" s="47" t="n"/>
      <c r="G128" s="48" t="n"/>
      <c r="H128" s="49" t="n"/>
      <c r="I128" s="45" t="inlineStr">
        <is>
          <t>NF-e 4045</t>
        </is>
      </c>
    </row>
    <row r="129">
      <c r="A129" s="17" t="n">
        <v>46052</v>
      </c>
      <c r="B129" s="18" t="inlineStr">
        <is>
          <t>Boticario - RLR Central LTDA - Loane Mesquia</t>
        </is>
      </c>
      <c r="C129" s="18" t="inlineStr">
        <is>
          <t>Refil Everest</t>
        </is>
      </c>
      <c r="D129" s="27" t="n">
        <v>135</v>
      </c>
      <c r="E129" s="18" t="inlineStr">
        <is>
          <t>Dinheiro</t>
        </is>
      </c>
      <c r="F129" s="19" t="n"/>
      <c r="G129" s="19" t="n"/>
      <c r="H129" s="21" t="n"/>
      <c r="I129" s="18" t="inlineStr">
        <is>
          <t>NF-e 4046</t>
        </is>
      </c>
      <c r="J129" s="18" t="inlineStr">
        <is>
          <t>EMP-0034</t>
        </is>
      </c>
    </row>
    <row r="130">
      <c r="A130" s="44" t="n">
        <v>46052</v>
      </c>
      <c r="B130" s="45" t="inlineStr">
        <is>
          <t xml:space="preserve">Instituição Adventista Nordeste Brasileiro </t>
        </is>
      </c>
      <c r="C130" s="45" t="inlineStr">
        <is>
          <t>Refil Multifilter + Refil Plissado + Refil Everest + Pré Filtro</t>
        </is>
      </c>
      <c r="D130" s="46" t="n">
        <v>370</v>
      </c>
      <c r="E130" s="45" t="inlineStr">
        <is>
          <t>Dinheiro</t>
        </is>
      </c>
      <c r="F130" s="47" t="n"/>
      <c r="G130" s="48" t="n"/>
      <c r="H130" s="49" t="n"/>
      <c r="I130" s="45" t="inlineStr">
        <is>
          <t>NF-e 4047</t>
        </is>
      </c>
      <c r="J130" t="inlineStr">
        <is>
          <t>ESC-0016</t>
        </is>
      </c>
    </row>
    <row r="131">
      <c r="A131" s="17" t="n">
        <v>46052</v>
      </c>
      <c r="B131" s="18" t="inlineStr">
        <is>
          <t>Laecio Guilherme da Silva</t>
        </is>
      </c>
      <c r="C131" s="18" t="inlineStr">
        <is>
          <t>Refil Everest</t>
        </is>
      </c>
      <c r="D131" s="27" t="n">
        <v>135</v>
      </c>
      <c r="E131" s="18" t="inlineStr">
        <is>
          <t>Débito</t>
        </is>
      </c>
      <c r="F131" s="19" t="n"/>
      <c r="G131" s="19" t="n"/>
      <c r="H131" s="21" t="n"/>
      <c r="I131" s="18" t="inlineStr">
        <is>
          <t>NFC-e 8831</t>
        </is>
      </c>
      <c r="J131" s="18" t="n"/>
    </row>
    <row r="132">
      <c r="A132" s="44" t="n">
        <v>46052</v>
      </c>
      <c r="B132" s="45" t="inlineStr">
        <is>
          <t>Gildete Pereria de Almeida Oliveira</t>
        </is>
      </c>
      <c r="C132" s="45" t="inlineStr">
        <is>
          <t>2x Refil Everest + Pré Filtro</t>
        </is>
      </c>
      <c r="D132" s="46" t="n">
        <v>80</v>
      </c>
      <c r="E132" s="45" t="n"/>
      <c r="F132" s="47" t="n"/>
      <c r="G132" s="48" t="n"/>
      <c r="H132" s="49" t="n"/>
      <c r="I132" s="45" t="inlineStr">
        <is>
          <t>NFC-e 8695 · venda de 01/12/2025, total R$ 340,00 — parcela 1 · nota faturada a prazo (forma de recebimento não consta na nota)</t>
        </is>
      </c>
      <c r="J132" t="inlineStr">
        <is>
          <t>CLI-0597</t>
        </is>
      </c>
    </row>
    <row r="133">
      <c r="A133" s="17" t="n">
        <v>46053</v>
      </c>
      <c r="B133" s="18" t="inlineStr">
        <is>
          <t>Salario Daniel</t>
        </is>
      </c>
      <c r="C133" s="18" t="n"/>
      <c r="D133" s="27" t="n"/>
      <c r="E133" s="18" t="n"/>
      <c r="F133" s="19" t="n"/>
      <c r="G133" s="19" t="n">
        <v>973.25</v>
      </c>
      <c r="H133" s="21" t="inlineStr">
        <is>
          <t>Salários, Comissões e Encargos</t>
        </is>
      </c>
      <c r="I133" s="18" t="inlineStr">
        <is>
          <t>Livro Caixa: Pagamento parcela SALARIO DANIEL (Doc. 1) · Daniel Barbosa dos Santos</t>
        </is>
      </c>
      <c r="J133" s="18" t="n"/>
    </row>
    <row r="134">
      <c r="A134" s="44" t="n">
        <v>46053</v>
      </c>
      <c r="B134" s="45" t="inlineStr">
        <is>
          <t>Salario Wiliam</t>
        </is>
      </c>
      <c r="C134" s="45" t="n"/>
      <c r="D134" s="46" t="n"/>
      <c r="E134" s="45" t="n"/>
      <c r="F134" s="47" t="n"/>
      <c r="G134" s="48" t="n">
        <v>1469.67</v>
      </c>
      <c r="H134" s="49" t="inlineStr">
        <is>
          <t>Salários, Comissões e Encargos</t>
        </is>
      </c>
      <c r="I134" s="45" t="inlineStr">
        <is>
          <t>Livro Caixa: Pagamento parcela SALARIO WILIAM (Doc. 1) · Wiliam Pinto Bispo</t>
        </is>
      </c>
    </row>
    <row r="135">
      <c r="A135" s="29" t="n"/>
      <c r="B135" s="43" t="inlineStr">
        <is>
          <t>TOTAL DO MÊS</t>
        </is>
      </c>
      <c r="C135" s="160" t="n"/>
      <c r="D135" s="8">
        <f>SUM(D5:D134)</f>
        <v/>
      </c>
      <c r="E135" s="8" t="n"/>
      <c r="F135" s="29">
        <f>SUM(F5:F134)</f>
        <v/>
      </c>
      <c r="G135" s="8">
        <f>SUM(G5:G134)</f>
        <v/>
      </c>
      <c r="H135" s="29" t="n"/>
      <c r="I135" s="29" t="n"/>
    </row>
    <row r="136">
      <c r="A136" s="30" t="n"/>
      <c r="B136" s="133" t="inlineStr">
        <is>
          <t>SALDO DO MÊS (Entradas líquidas − Despesas da loja)</t>
        </is>
      </c>
      <c r="D136" s="132">
        <f>(D135-F135-T5)-(L18-L19)</f>
        <v/>
      </c>
      <c r="F136" s="30" t="n"/>
      <c r="H136" s="30" t="n"/>
      <c r="I136" s="30" t="n"/>
    </row>
    <row r="149" ht="15.75" customHeight="1" s="157"/>
    <row r="165">
      <c r="K165" s="13" t="n"/>
      <c r="L165" s="14" t="n"/>
    </row>
    <row r="166">
      <c r="K166" s="42" t="n"/>
      <c r="L166" s="8" t="n"/>
    </row>
    <row r="167">
      <c r="K167" s="31" t="n"/>
      <c r="L167" s="31" t="n"/>
    </row>
    <row r="168">
      <c r="K168" s="31" t="n"/>
      <c r="L168" s="31" t="n"/>
    </row>
    <row r="173" ht="15.75" customHeight="1" s="157"/>
    <row r="176" ht="15.75" customHeight="1" s="157"/>
    <row r="184" ht="15.75" customHeight="1" s="157"/>
    <row r="185">
      <c r="K185" s="31" t="n"/>
      <c r="L185" s="31" t="n"/>
    </row>
    <row r="186" ht="15.75" customHeight="1" s="157">
      <c r="K186" s="31" t="n"/>
      <c r="L186" s="31" t="n"/>
    </row>
    <row r="187">
      <c r="K187" s="31" t="n"/>
      <c r="L187" s="31" t="n"/>
    </row>
    <row r="188">
      <c r="K188" s="31" t="n"/>
      <c r="L188" s="31" t="n"/>
    </row>
    <row r="189">
      <c r="K189" s="31" t="n"/>
      <c r="L189" s="31" t="n"/>
    </row>
  </sheetData>
  <mergeCells count="19">
    <mergeCell ref="P4:Q4"/>
    <mergeCell ref="P8:Q9"/>
    <mergeCell ref="T8:U9"/>
    <mergeCell ref="N7:O7"/>
    <mergeCell ref="R4:S4"/>
    <mergeCell ref="T4:U4"/>
    <mergeCell ref="A2:I2"/>
    <mergeCell ref="R7:S7"/>
    <mergeCell ref="P5:Q6"/>
    <mergeCell ref="R5:S6"/>
    <mergeCell ref="R8:S9"/>
    <mergeCell ref="P7:Q7"/>
    <mergeCell ref="T5:U6"/>
    <mergeCell ref="T7:U7"/>
    <mergeCell ref="A1:I1"/>
    <mergeCell ref="K4:L4"/>
    <mergeCell ref="N5:O6"/>
    <mergeCell ref="N4:O4"/>
    <mergeCell ref="N8:O9"/>
  </mergeCells>
  <conditionalFormatting sqref="R7:S7">
    <cfRule type="expression" priority="1" dxfId="1">
      <formula>LEFT($R$7,6)="PASSOU"</formula>
    </cfRule>
  </conditionalFormatting>
  <conditionalFormatting sqref="R8:S9">
    <cfRule type="expression" priority="2" dxfId="0">
      <formula>LEFT($R$7,6)="PASSOU"</formula>
    </cfRule>
  </conditionalFormatting>
  <conditionalFormatting sqref="T8:U9">
    <cfRule type="cellIs" priority="3" operator="lessThan" dxfId="0">
      <formula>0</formula>
    </cfRule>
  </conditionalFormatting>
  <conditionalFormatting sqref="R5:S6">
    <cfRule type="cellIs" priority="4" operator="lessThan" dxfId="0">
      <formula>0</formula>
    </cfRule>
  </conditionalFormatting>
  <dataValidations count="2">
    <dataValidation sqref="E5:E134" showDropDown="0" showInputMessage="0" showErrorMessage="0" allowBlank="1" type="list">
      <formula1>"Dinheiro,Pix,Débito,Crédito à Vista,Crédito Parcelado,Aguardando Pagamento"</formula1>
    </dataValidation>
    <dataValidation sqref="H5:H134" showDropDown="0" showInputMessage="0" showErrorMessage="0" allowBlank="1" type="list">
      <formula1>$K$5:$K$17</formula1>
    </dataValidation>
  </dataValidations>
  <hyperlinks>
    <hyperlink ref="A3" location="'Início'!A1" display="← Início"/>
  </hyperlink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tabColor rgb="FF6B46C1"/>
    <outlinePr summaryBelow="1" summaryRight="1"/>
    <pageSetUpPr/>
  </sheetPr>
  <dimension ref="A1:U18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13" bestFit="1" customWidth="1" style="157" min="1" max="1"/>
    <col width="42" customWidth="1" style="157" min="2" max="2"/>
    <col width="26" customWidth="1" style="157" min="3" max="3"/>
    <col width="14" customWidth="1" style="157" min="4" max="4"/>
    <col width="20" customWidth="1" style="157" min="5" max="5"/>
    <col width="16" customWidth="1" style="157" min="6" max="6"/>
    <col width="14" customWidth="1" style="157" min="7" max="7"/>
    <col width="26" customWidth="1" style="157" min="8" max="8"/>
    <col width="30" customWidth="1" style="157" min="9" max="9"/>
    <col width="11" customWidth="1" style="157" min="10" max="10"/>
    <col width="30" customWidth="1" style="157" min="11" max="11"/>
    <col width="14" customWidth="1" style="157" min="12" max="12"/>
    <col width="3" customWidth="1" style="157" min="13" max="13"/>
    <col width="13" customWidth="1" style="157" min="14" max="21"/>
  </cols>
  <sheetData>
    <row r="1" ht="25.5" customHeight="1" s="157">
      <c r="A1" s="223" t="inlineStr">
        <is>
          <t>RELATÓRIO FINANCEIRO — FEVEREIRO / 2026</t>
        </is>
      </c>
    </row>
    <row r="2">
      <c r="A2" s="228" t="inlineStr">
        <is>
          <t>Fluxo de caixa da loja — entradas montadas a partir das notas fiscais (XML do DigiSat), com cliente e produtos; saídas do Livro Caixa</t>
        </is>
      </c>
    </row>
    <row r="3">
      <c r="A3" s="127" t="inlineStr">
        <is>
          <t>← Início</t>
        </is>
      </c>
    </row>
    <row r="4" ht="20.1" customHeight="1" s="157">
      <c r="A4" s="1" t="inlineStr">
        <is>
          <t>Data</t>
        </is>
      </c>
      <c r="B4" s="1" t="inlineStr">
        <is>
          <t>Descrição / Cliente</t>
        </is>
      </c>
      <c r="C4" s="1" t="inlineStr">
        <is>
          <t>Produto</t>
        </is>
      </c>
      <c r="D4" s="1" t="inlineStr">
        <is>
          <t>Entrada (R$)</t>
        </is>
      </c>
      <c r="E4" s="1" t="inlineStr">
        <is>
          <t>Forma de Pagamento</t>
        </is>
      </c>
      <c r="F4" s="1" t="inlineStr">
        <is>
          <t>Taxa da Máquina (R$)</t>
        </is>
      </c>
      <c r="G4" s="1" t="inlineStr">
        <is>
          <t>Saída (R$)</t>
        </is>
      </c>
      <c r="H4" s="1" t="inlineStr">
        <is>
          <t>Categoria da Saída</t>
        </is>
      </c>
      <c r="I4" s="1" t="inlineStr">
        <is>
          <t>Observações</t>
        </is>
      </c>
      <c r="J4" s="1" t="inlineStr">
        <is>
          <t>ID Cliente</t>
        </is>
      </c>
      <c r="K4" s="233" t="inlineStr">
        <is>
          <t>Saídas por Categoria</t>
        </is>
      </c>
      <c r="L4" s="160" t="n"/>
      <c r="N4" s="224" t="inlineStr">
        <is>
          <t>FATURAMENTO</t>
        </is>
      </c>
      <c r="P4" s="232" t="inlineStr">
        <is>
          <t>DESPESAS</t>
        </is>
      </c>
      <c r="R4" s="221" t="inlineStr">
        <is>
          <t>SALDO ANTES DO PRÓ-LABORE</t>
        </is>
      </c>
      <c r="T4" s="207" t="inlineStr">
        <is>
          <t>A RECEBER</t>
        </is>
      </c>
    </row>
    <row r="5" ht="14.1" customHeight="1" s="157">
      <c r="A5" s="17" t="n">
        <v>46054</v>
      </c>
      <c r="B5" s="18" t="inlineStr">
        <is>
          <t>Aluguel Vitoria Maria</t>
        </is>
      </c>
      <c r="C5" s="18" t="n"/>
      <c r="D5" s="27" t="n"/>
      <c r="E5" s="18" t="n"/>
      <c r="F5" s="19" t="n"/>
      <c r="G5" s="19" t="n">
        <v>870</v>
      </c>
      <c r="H5" s="21" t="inlineStr">
        <is>
          <t>Aluguel</t>
        </is>
      </c>
      <c r="I5" s="18" t="inlineStr">
        <is>
          <t>Livro Caixa: Pagamento à vista: ALUGUEL VITORIA MARIA (Doc. 1) · Vitoria Maria F Santos</t>
        </is>
      </c>
      <c r="J5" s="18" t="n"/>
      <c r="K5" s="10" t="inlineStr">
        <is>
          <t>Fornecedores / Mercadoria</t>
        </is>
      </c>
      <c r="L5" s="11">
        <f>SUMIF(H5:H148,K5,G5:G148)</f>
        <v/>
      </c>
      <c r="N5" s="229">
        <f>D149-F149-T5</f>
        <v/>
      </c>
      <c r="P5" s="231">
        <f>L18-L19</f>
        <v/>
      </c>
      <c r="R5" s="230">
        <f>D150</f>
        <v/>
      </c>
      <c r="T5" s="212">
        <f>SUMIF(E5:E148,"Aguardando Pagamento",D5:D148)</f>
        <v/>
      </c>
    </row>
    <row r="6" ht="14.1" customHeight="1" s="157">
      <c r="A6" s="44" t="n">
        <v>46055</v>
      </c>
      <c r="B6" s="45" t="inlineStr">
        <is>
          <t>Terezinha Souza Maia</t>
        </is>
      </c>
      <c r="C6" s="45" t="inlineStr">
        <is>
          <t>Refil Everest + Pré Filtro</t>
        </is>
      </c>
      <c r="D6" s="46" t="n">
        <v>190</v>
      </c>
      <c r="E6" s="45" t="inlineStr">
        <is>
          <t>Pix</t>
        </is>
      </c>
      <c r="F6" s="47" t="n"/>
      <c r="G6" s="48" t="n"/>
      <c r="H6" s="49" t="n"/>
      <c r="I6" s="45" t="inlineStr">
        <is>
          <t>NFC-e 8832</t>
        </is>
      </c>
      <c r="J6" t="inlineStr">
        <is>
          <t>CLI-0644</t>
        </is>
      </c>
      <c r="K6" s="13" t="inlineStr">
        <is>
          <t>Aluguel</t>
        </is>
      </c>
      <c r="L6" s="14">
        <f>SUMIF(H5:H148,K6,G5:G148)</f>
        <v/>
      </c>
    </row>
    <row r="7" ht="15.75" customHeight="1" s="157">
      <c r="A7" s="17" t="n">
        <v>46055</v>
      </c>
      <c r="B7" s="18" t="inlineStr">
        <is>
          <t>Roberta Lima dos Santos</t>
        </is>
      </c>
      <c r="C7" s="18" t="inlineStr">
        <is>
          <t>Refil Everest</t>
        </is>
      </c>
      <c r="D7" s="27" t="n">
        <v>140</v>
      </c>
      <c r="E7" s="18" t="inlineStr">
        <is>
          <t>Crédito Parcelado</t>
        </is>
      </c>
      <c r="F7" s="19" t="n"/>
      <c r="G7" s="19" t="n"/>
      <c r="H7" s="21" t="n"/>
      <c r="I7" s="18" t="inlineStr">
        <is>
          <t>NFC-e 8833</t>
        </is>
      </c>
      <c r="J7" s="18" t="n"/>
      <c r="K7" s="10" t="inlineStr">
        <is>
          <t>Água, Energia e Internet</t>
        </is>
      </c>
      <c r="L7" s="11">
        <f>SUMIF(H5:H148,K7,G5:G148)</f>
        <v/>
      </c>
      <c r="N7" s="249" t="inlineStr">
        <is>
          <t>PRÓ-LABORE EDILÂNIA</t>
        </is>
      </c>
      <c r="P7" s="208" t="inlineStr">
        <is>
          <t>COMBINADO NO MÊS</t>
        </is>
      </c>
      <c r="R7" s="221">
        <f>IF(L17&gt;'Ponto de Equilíbrio'!$B$10,"PASSOU DO COMBINADO",IF(TODAY()&gt;EOMONTH(DATE(2026,2,1),0),"ABAIXO DO COMBINADO","AINDA PODE GASTAR"))</f>
        <v/>
      </c>
      <c r="T7" s="224" t="inlineStr">
        <is>
          <t>SOBRA FINAL DO MÊS</t>
        </is>
      </c>
    </row>
    <row r="8">
      <c r="A8" s="44" t="n">
        <v>46055</v>
      </c>
      <c r="B8" s="45" t="inlineStr">
        <is>
          <t>Joselia Sousa Bacelar</t>
        </is>
      </c>
      <c r="C8" s="45" t="inlineStr">
        <is>
          <t>Refil Everest</t>
        </is>
      </c>
      <c r="D8" s="46" t="n">
        <v>135</v>
      </c>
      <c r="E8" s="45" t="inlineStr">
        <is>
          <t>Dinheiro</t>
        </is>
      </c>
      <c r="F8" s="47" t="n"/>
      <c r="G8" s="48" t="n"/>
      <c r="H8" s="49" t="n"/>
      <c r="I8" s="45" t="inlineStr">
        <is>
          <t>NFC-e 8834</t>
        </is>
      </c>
      <c r="J8" t="inlineStr">
        <is>
          <t>CLI-0687</t>
        </is>
      </c>
      <c r="K8" s="13" t="inlineStr">
        <is>
          <t>Impostos e Taxas</t>
        </is>
      </c>
      <c r="L8" s="14">
        <f>SUMIF(H5:H148,K8,G5:G148)</f>
        <v/>
      </c>
      <c r="N8" s="250">
        <f>L17</f>
        <v/>
      </c>
      <c r="P8" s="215">
        <f>'Ponto de Equilíbrio'!$B$10</f>
        <v/>
      </c>
      <c r="R8" s="205">
        <f>ABS('Ponto de Equilíbrio'!$B$10-L17)</f>
        <v/>
      </c>
      <c r="T8" s="236">
        <f>R5-L17</f>
        <v/>
      </c>
    </row>
    <row r="9">
      <c r="A9" s="17" t="n">
        <v>46055</v>
      </c>
      <c r="B9" s="18" t="inlineStr">
        <is>
          <t xml:space="preserve">Edna da Silva Farias </t>
        </is>
      </c>
      <c r="C9" s="18" t="inlineStr">
        <is>
          <t>Refil Everest</t>
        </is>
      </c>
      <c r="D9" s="27" t="n">
        <v>140</v>
      </c>
      <c r="E9" s="18" t="inlineStr">
        <is>
          <t>Dinheiro</t>
        </is>
      </c>
      <c r="F9" s="19" t="n"/>
      <c r="G9" s="19" t="n"/>
      <c r="H9" s="21" t="n"/>
      <c r="I9" s="18" t="inlineStr">
        <is>
          <t>NFC-e 8835</t>
        </is>
      </c>
      <c r="J9" s="18" t="inlineStr">
        <is>
          <t>CLI-0686</t>
        </is>
      </c>
      <c r="K9" s="10" t="inlineStr">
        <is>
          <t>Tarifas Bancárias e Cartão</t>
        </is>
      </c>
      <c r="L9" s="11">
        <f>SUMIF(H5:H148,K9,G5:G148)</f>
        <v/>
      </c>
    </row>
    <row r="10">
      <c r="A10" s="44" t="n">
        <v>46055</v>
      </c>
      <c r="B10" s="45" t="inlineStr">
        <is>
          <t xml:space="preserve">Farmacia Popular - Cremilda Matos dos Santos </t>
        </is>
      </c>
      <c r="C10" s="45" t="inlineStr">
        <is>
          <t>Refil Everest + Pré Filtro</t>
        </is>
      </c>
      <c r="D10" s="46" t="n">
        <v>180</v>
      </c>
      <c r="E10" s="45" t="inlineStr">
        <is>
          <t>Dinheiro</t>
        </is>
      </c>
      <c r="F10" s="47" t="n"/>
      <c r="G10" s="48" t="n"/>
      <c r="H10" s="49" t="n"/>
      <c r="I10" s="45" t="inlineStr">
        <is>
          <t>NFC-e 8836</t>
        </is>
      </c>
      <c r="J10" t="inlineStr">
        <is>
          <t>EMP-0147</t>
        </is>
      </c>
      <c r="K10" s="13" t="inlineStr">
        <is>
          <t>Transporte e Entregas</t>
        </is>
      </c>
      <c r="L10" s="14">
        <f>SUMIF(H5:H148,K10,G5:G148)</f>
        <v/>
      </c>
    </row>
    <row r="11">
      <c r="A11" s="17" t="n">
        <v>46055</v>
      </c>
      <c r="B11" s="18" t="inlineStr">
        <is>
          <t>Vanete Nunes Franco</t>
        </is>
      </c>
      <c r="C11" s="18" t="inlineStr">
        <is>
          <t>Refil Everest</t>
        </is>
      </c>
      <c r="D11" s="27" t="n">
        <v>140</v>
      </c>
      <c r="E11" s="18" t="inlineStr">
        <is>
          <t>Crédito Parcelado</t>
        </is>
      </c>
      <c r="F11" s="19" t="n"/>
      <c r="G11" s="19" t="n"/>
      <c r="H11" s="21" t="n"/>
      <c r="I11" s="18" t="inlineStr">
        <is>
          <t>NFC-e 8837</t>
        </is>
      </c>
      <c r="J11" s="18" t="n"/>
      <c r="K11" s="10" t="inlineStr">
        <is>
          <t>Salários, Comissões e Encargos</t>
        </is>
      </c>
      <c r="L11" s="11">
        <f>SUMIF(H5:H148,K11,G5:G148)</f>
        <v/>
      </c>
    </row>
    <row r="12">
      <c r="A12" s="44" t="n">
        <v>46055</v>
      </c>
      <c r="B12" s="45" t="inlineStr">
        <is>
          <t>Catuaba Materiais de Construção</t>
        </is>
      </c>
      <c r="C12" s="45" t="inlineStr">
        <is>
          <t>Refil Everest</t>
        </is>
      </c>
      <c r="D12" s="46" t="n">
        <v>140</v>
      </c>
      <c r="E12" s="45" t="inlineStr">
        <is>
          <t>Dinheiro</t>
        </is>
      </c>
      <c r="F12" s="47" t="n"/>
      <c r="G12" s="48" t="n"/>
      <c r="H12" s="49" t="n"/>
      <c r="I12" s="45" t="inlineStr">
        <is>
          <t>NF-e 4048</t>
        </is>
      </c>
      <c r="J12" t="inlineStr">
        <is>
          <t>EMP-0051</t>
        </is>
      </c>
      <c r="K12" s="13" t="inlineStr">
        <is>
          <t>Contabilidade</t>
        </is>
      </c>
      <c r="L12" s="14">
        <f>SUMIF(H5:H148,K12,G5:G148)</f>
        <v/>
      </c>
    </row>
    <row r="13">
      <c r="A13" s="17" t="n">
        <v>46055</v>
      </c>
      <c r="B13" s="18" t="inlineStr">
        <is>
          <t>L Silva dos Santos - Leliane Silva</t>
        </is>
      </c>
      <c r="C13" s="18" t="inlineStr">
        <is>
          <t>Refil Everest</t>
        </is>
      </c>
      <c r="D13" s="27" t="n">
        <v>135</v>
      </c>
      <c r="E13" s="18" t="inlineStr">
        <is>
          <t>Pix</t>
        </is>
      </c>
      <c r="F13" s="19" t="n"/>
      <c r="G13" s="19" t="n"/>
      <c r="H13" s="21" t="n"/>
      <c r="I13" s="18" t="inlineStr">
        <is>
          <t>NF-e 4049</t>
        </is>
      </c>
      <c r="J13" s="18" t="n"/>
      <c r="K13" s="10" t="inlineStr">
        <is>
          <t>Manutenção e Reparos</t>
        </is>
      </c>
      <c r="L13" s="11">
        <f>SUMIF(H5:H148,K13,G5:G148)</f>
        <v/>
      </c>
    </row>
    <row r="14" ht="15.75" customHeight="1" s="157">
      <c r="A14" s="44" t="n">
        <v>46055</v>
      </c>
      <c r="B14" s="45" t="inlineStr">
        <is>
          <t>Cleidiomar Moreira Gonzaga</t>
        </is>
      </c>
      <c r="C14" s="45" t="inlineStr">
        <is>
          <t>Refil Everest</t>
        </is>
      </c>
      <c r="D14" s="46" t="n">
        <v>140</v>
      </c>
      <c r="E14" s="45" t="inlineStr">
        <is>
          <t>Crédito Parcelado</t>
        </is>
      </c>
      <c r="F14" s="47" t="n"/>
      <c r="G14" s="48" t="n"/>
      <c r="H14" s="49" t="n"/>
      <c r="I14" s="45" t="inlineStr">
        <is>
          <t>NFC-e 8838</t>
        </is>
      </c>
      <c r="K14" s="13" t="inlineStr">
        <is>
          <t>Material de Limpeza e Escritório</t>
        </is>
      </c>
      <c r="L14" s="14">
        <f>SUMIF(H5:H148,K14,G5:G148)</f>
        <v/>
      </c>
    </row>
    <row r="15" ht="15.75" customHeight="1" s="157">
      <c r="A15" s="17" t="n">
        <v>46055</v>
      </c>
      <c r="B15" s="18" t="inlineStr">
        <is>
          <t>Consumidor Final</t>
        </is>
      </c>
      <c r="C15" s="18" t="inlineStr">
        <is>
          <t>Refil Everest + Registro</t>
        </is>
      </c>
      <c r="D15" s="27" t="n">
        <v>175</v>
      </c>
      <c r="E15" s="18" t="inlineStr">
        <is>
          <t>Pix</t>
        </is>
      </c>
      <c r="F15" s="19" t="n"/>
      <c r="G15" s="19" t="n"/>
      <c r="H15" s="21" t="n"/>
      <c r="I15" s="18" t="inlineStr">
        <is>
          <t>NFC-e 8839</t>
        </is>
      </c>
      <c r="J15" s="18" t="n"/>
      <c r="K15" s="10" t="inlineStr">
        <is>
          <t>Estornos de Vendas (Cancelamentos)</t>
        </is>
      </c>
      <c r="L15" s="11">
        <f>SUMIF(H5:H148,K15,G5:G148)</f>
        <v/>
      </c>
    </row>
    <row r="16">
      <c r="A16" s="44" t="n">
        <v>46055</v>
      </c>
      <c r="B16" s="45" t="inlineStr">
        <is>
          <t>Amanda Caroline Vieria Bispo - Clinica Sorriso Lindo</t>
        </is>
      </c>
      <c r="C16" s="45" t="inlineStr">
        <is>
          <t>Termostato</t>
        </is>
      </c>
      <c r="D16" s="46" t="n">
        <v>170</v>
      </c>
      <c r="E16" s="45" t="inlineStr">
        <is>
          <t>Pix</t>
        </is>
      </c>
      <c r="F16" s="47" t="n"/>
      <c r="G16" s="48" t="n"/>
      <c r="H16" s="49" t="n"/>
      <c r="I16" s="45" t="inlineStr">
        <is>
          <t>NFC-e 8840</t>
        </is>
      </c>
      <c r="K16" t="inlineStr">
        <is>
          <t>Outras Despesas</t>
        </is>
      </c>
      <c r="L16" s="11">
        <f>SUMIF(H5:H148,K16,G5:G148)</f>
        <v/>
      </c>
    </row>
    <row r="17" ht="15.75" customHeight="1" s="157">
      <c r="A17" s="17" t="n">
        <v>46055</v>
      </c>
      <c r="B17" s="18" t="inlineStr">
        <is>
          <t>Instituto Psicopedagogico Maria Rita Eireli</t>
        </is>
      </c>
      <c r="C17" s="18" t="inlineStr">
        <is>
          <t>Refil Everest</t>
        </is>
      </c>
      <c r="D17" s="27" t="n">
        <v>160</v>
      </c>
      <c r="E17" s="18" t="inlineStr">
        <is>
          <t>Pix</t>
        </is>
      </c>
      <c r="F17" s="19" t="n"/>
      <c r="G17" s="19" t="n"/>
      <c r="H17" s="21" t="n"/>
      <c r="I17" s="18" t="inlineStr">
        <is>
          <t>NF-e 4050</t>
        </is>
      </c>
      <c r="J17" s="18" t="n"/>
      <c r="K17" t="inlineStr">
        <is>
          <t>Pro Labore Edilânia</t>
        </is>
      </c>
      <c r="L17">
        <f>SUMIF(H5:H148,K17,G5:G148)</f>
        <v/>
      </c>
    </row>
    <row r="18" ht="15.75" customHeight="1" s="157">
      <c r="A18" s="44" t="n">
        <v>46055</v>
      </c>
      <c r="B18" s="45" t="inlineStr">
        <is>
          <t>Maria Carolina Gomes Vasconcelos Ltda</t>
        </is>
      </c>
      <c r="C18" s="45" t="inlineStr">
        <is>
          <t>Refil Everest</t>
        </is>
      </c>
      <c r="D18" s="46" t="n">
        <v>140</v>
      </c>
      <c r="E18" s="45" t="inlineStr">
        <is>
          <t>Dinheiro</t>
        </is>
      </c>
      <c r="F18" s="47" t="n"/>
      <c r="G18" s="48" t="n"/>
      <c r="H18" s="49" t="n"/>
      <c r="I18" s="45" t="inlineStr">
        <is>
          <t>NF-e 4051</t>
        </is>
      </c>
      <c r="K18" t="inlineStr">
        <is>
          <t>Total</t>
        </is>
      </c>
      <c r="L18">
        <f>SUM(L5:L16)</f>
        <v/>
      </c>
    </row>
    <row r="19">
      <c r="A19" s="17" t="n">
        <v>46055</v>
      </c>
      <c r="B19" s="18" t="inlineStr">
        <is>
          <t>Tiago Rodrigo de Araujo Valgueiro</t>
        </is>
      </c>
      <c r="C19" s="18" t="inlineStr">
        <is>
          <t>Refil Everest</t>
        </is>
      </c>
      <c r="D19" s="27" t="n">
        <v>140</v>
      </c>
      <c r="E19" s="18" t="inlineStr">
        <is>
          <t>Pix</t>
        </is>
      </c>
      <c r="F19" s="19" t="n"/>
      <c r="G19" s="19" t="n"/>
      <c r="H19" s="21" t="n"/>
      <c r="I19" s="18" t="inlineStr">
        <is>
          <t>NFC-e 8841</t>
        </is>
      </c>
      <c r="J19" s="18" t="inlineStr">
        <is>
          <t>CLI-0681</t>
        </is>
      </c>
      <c r="K19" t="inlineStr">
        <is>
          <t>Capital de Giro (BB) — ainda a devolver</t>
        </is>
      </c>
      <c r="L19" s="32">
        <f>SUMIFS('Capital de Giro (BB)'!D9:D200,'Capital de Giro (BB)'!A9:A200,"&gt;="&amp;DATE(2026,2,1),'Capital de Giro (BB)'!A9:A200,"&lt;="&amp;DATE(2026,2,28),'Capital de Giro (BB)'!E9:E200,"A Devolver")</f>
        <v/>
      </c>
    </row>
    <row r="20">
      <c r="A20" s="44" t="n">
        <v>46055</v>
      </c>
      <c r="B20" s="45" t="inlineStr">
        <is>
          <t>Arlindo Galdino dos Santos Junior - Floricelia Carvalho</t>
        </is>
      </c>
      <c r="C20" s="45" t="inlineStr">
        <is>
          <t>Refil Everest</t>
        </is>
      </c>
      <c r="D20" s="46" t="n">
        <v>140</v>
      </c>
      <c r="E20" s="45" t="inlineStr">
        <is>
          <t>Crédito Parcelado</t>
        </is>
      </c>
      <c r="F20" s="47" t="n"/>
      <c r="G20" s="48" t="n"/>
      <c r="H20" s="49" t="n"/>
      <c r="I20" s="45" t="inlineStr">
        <is>
          <t>NFC-e 8842</t>
        </is>
      </c>
    </row>
    <row r="21">
      <c r="A21" s="17" t="n">
        <v>46055</v>
      </c>
      <c r="B21" s="18" t="inlineStr">
        <is>
          <t>Fagner Palmeiras Gomes</t>
        </is>
      </c>
      <c r="C21" s="18" t="inlineStr">
        <is>
          <t>Purificador Everest Slim Branco</t>
        </is>
      </c>
      <c r="D21" s="27" t="n">
        <v>1398</v>
      </c>
      <c r="E21" s="18" t="inlineStr">
        <is>
          <t>Dinheiro</t>
        </is>
      </c>
      <c r="F21" s="19" t="n"/>
      <c r="G21" s="19" t="n"/>
      <c r="H21" s="21" t="n"/>
      <c r="I21" s="18" t="inlineStr">
        <is>
          <t>NF-e 4052</t>
        </is>
      </c>
      <c r="J21" s="18" t="n"/>
    </row>
    <row r="22">
      <c r="A22" s="44" t="n">
        <v>46055</v>
      </c>
      <c r="B22" s="45" t="inlineStr">
        <is>
          <t>Alex Assis Ferreira Franco</t>
        </is>
      </c>
      <c r="C22" s="45" t="inlineStr">
        <is>
          <t>Refil Everest + Pré Filtro</t>
        </is>
      </c>
      <c r="D22" s="46" t="n">
        <v>180</v>
      </c>
      <c r="E22" s="45" t="inlineStr">
        <is>
          <t>Dinheiro</t>
        </is>
      </c>
      <c r="F22" s="47" t="n"/>
      <c r="G22" s="48" t="n"/>
      <c r="H22" s="49" t="n"/>
      <c r="I22" s="45" t="inlineStr">
        <is>
          <t>NFC-e 8843</t>
        </is>
      </c>
      <c r="J22" t="inlineStr">
        <is>
          <t>CLI-0361</t>
        </is>
      </c>
    </row>
    <row r="23">
      <c r="A23" s="17" t="n">
        <v>46055</v>
      </c>
      <c r="B23" s="18" t="inlineStr">
        <is>
          <t>Consumidor Final</t>
        </is>
      </c>
      <c r="C23" s="18" t="inlineStr">
        <is>
          <t>Refil Prolux</t>
        </is>
      </c>
      <c r="D23" s="27" t="n">
        <v>100</v>
      </c>
      <c r="E23" s="18" t="inlineStr">
        <is>
          <t>Pix</t>
        </is>
      </c>
      <c r="F23" s="19" t="n"/>
      <c r="G23" s="19" t="n"/>
      <c r="H23" s="21" t="n"/>
      <c r="I23" s="18" t="inlineStr">
        <is>
          <t>NFC-e 8844</t>
        </is>
      </c>
      <c r="J23" s="18" t="n"/>
    </row>
    <row r="24">
      <c r="A24" s="44" t="n">
        <v>46055</v>
      </c>
      <c r="B24" s="45" t="inlineStr">
        <is>
          <t>Colegio Aquarela LTDA</t>
        </is>
      </c>
      <c r="C24" s="45" t="inlineStr">
        <is>
          <t>Refil Carbon Tech 9" + Refil Plissado</t>
        </is>
      </c>
      <c r="D24" s="46" t="n">
        <v>180</v>
      </c>
      <c r="E24" s="45" t="inlineStr">
        <is>
          <t>Dinheiro</t>
        </is>
      </c>
      <c r="F24" s="47" t="n"/>
      <c r="G24" s="48" t="n"/>
      <c r="H24" s="49" t="n"/>
      <c r="I24" s="45" t="inlineStr">
        <is>
          <t>NF-e 4053</t>
        </is>
      </c>
      <c r="J24" t="inlineStr">
        <is>
          <t>ESC-0017</t>
        </is>
      </c>
    </row>
    <row r="25">
      <c r="A25" s="17" t="n">
        <v>46055</v>
      </c>
      <c r="B25" s="18" t="inlineStr">
        <is>
          <t>Adriana Mota da Silva</t>
        </is>
      </c>
      <c r="C25" s="18" t="inlineStr">
        <is>
          <t>Refil Everest</t>
        </is>
      </c>
      <c r="D25" s="27" t="n">
        <v>140</v>
      </c>
      <c r="E25" s="18" t="inlineStr">
        <is>
          <t>Débito</t>
        </is>
      </c>
      <c r="F25" s="19" t="n"/>
      <c r="G25" s="19" t="n"/>
      <c r="H25" s="21" t="n"/>
      <c r="I25" s="18" t="inlineStr">
        <is>
          <t>NFC-e 8845</t>
        </is>
      </c>
      <c r="J25" s="18" t="n"/>
    </row>
    <row r="26">
      <c r="A26" s="44" t="n">
        <v>46055</v>
      </c>
      <c r="B26" s="45" t="inlineStr">
        <is>
          <t>Neide Fagundes - Laercio Guilherme</t>
        </is>
      </c>
      <c r="C26" s="45" t="inlineStr">
        <is>
          <t>Refil Everest</t>
        </is>
      </c>
      <c r="D26" s="46" t="n">
        <v>140</v>
      </c>
      <c r="E26" s="45" t="inlineStr">
        <is>
          <t>Débito</t>
        </is>
      </c>
      <c r="F26" s="47" t="n"/>
      <c r="G26" s="48" t="n"/>
      <c r="H26" s="49" t="n"/>
      <c r="I26" s="45" t="inlineStr">
        <is>
          <t>NFC-e 8846</t>
        </is>
      </c>
    </row>
    <row r="27">
      <c r="A27" s="17" t="n">
        <v>46055</v>
      </c>
      <c r="B27" s="18" t="inlineStr">
        <is>
          <t>Rivanildo Amorin Lagos - Cladenir Amorin</t>
        </is>
      </c>
      <c r="C27" s="18" t="inlineStr">
        <is>
          <t>Refil Everest + Pré Filtro</t>
        </is>
      </c>
      <c r="D27" s="27" t="n">
        <v>190</v>
      </c>
      <c r="E27" s="18" t="inlineStr">
        <is>
          <t>Dinheiro</t>
        </is>
      </c>
      <c r="F27" s="19" t="n"/>
      <c r="G27" s="19" t="n"/>
      <c r="H27" s="21" t="n"/>
      <c r="I27" s="18" t="inlineStr">
        <is>
          <t>NFC-e 8847</t>
        </is>
      </c>
      <c r="J27" s="18" t="inlineStr">
        <is>
          <t>CLI-0691</t>
        </is>
      </c>
    </row>
    <row r="28">
      <c r="A28" s="44" t="n">
        <v>46055</v>
      </c>
      <c r="B28" s="45" t="inlineStr">
        <is>
          <t>Consumidor Final</t>
        </is>
      </c>
      <c r="C28" s="45" t="inlineStr">
        <is>
          <t>Conexao Reta Rosca 1/2 Bspt P/Tubo 1/4 Pol Branca</t>
        </is>
      </c>
      <c r="D28" s="46" t="n">
        <v>20</v>
      </c>
      <c r="E28" s="45" t="inlineStr">
        <is>
          <t>Pix</t>
        </is>
      </c>
      <c r="F28" s="47" t="n"/>
      <c r="G28" s="48" t="n"/>
      <c r="H28" s="49" t="n"/>
      <c r="I28" s="45" t="inlineStr">
        <is>
          <t>NFC-e 8848</t>
        </is>
      </c>
    </row>
    <row r="29" ht="15.75" customHeight="1" s="157">
      <c r="A29" s="17" t="n">
        <v>46055</v>
      </c>
      <c r="B29" s="18" t="inlineStr">
        <is>
          <t>Consumidor Final</t>
        </is>
      </c>
      <c r="C29" s="18" t="inlineStr">
        <is>
          <t>Refil PP</t>
        </is>
      </c>
      <c r="D29" s="27" t="n">
        <v>70</v>
      </c>
      <c r="E29" s="18" t="inlineStr">
        <is>
          <t>Dinheiro</t>
        </is>
      </c>
      <c r="F29" s="19" t="n"/>
      <c r="G29" s="19" t="n"/>
      <c r="H29" s="21" t="n"/>
      <c r="I29" s="18" t="inlineStr">
        <is>
          <t>NFC-e 8849</t>
        </is>
      </c>
      <c r="J29" s="18" t="n"/>
    </row>
    <row r="30">
      <c r="A30" s="44" t="n">
        <v>46056</v>
      </c>
      <c r="B30" s="45" t="inlineStr">
        <is>
          <t>Consumidor Final</t>
        </is>
      </c>
      <c r="C30" s="45" t="inlineStr">
        <is>
          <t>Refil Pro Life + Pré Filtro</t>
        </is>
      </c>
      <c r="D30" s="46" t="n">
        <v>200</v>
      </c>
      <c r="E30" s="45" t="inlineStr">
        <is>
          <t>Pix</t>
        </is>
      </c>
      <c r="F30" s="47" t="n"/>
      <c r="G30" s="48" t="n"/>
      <c r="H30" s="49" t="n"/>
      <c r="I30" s="45" t="inlineStr">
        <is>
          <t>NFC-e 8850</t>
        </is>
      </c>
    </row>
    <row r="31">
      <c r="A31" s="17" t="n">
        <v>46056</v>
      </c>
      <c r="B31" s="18" t="inlineStr">
        <is>
          <t>Consumidor Final</t>
        </is>
      </c>
      <c r="C31" s="18" t="n"/>
      <c r="D31" s="27" t="n">
        <v>30</v>
      </c>
      <c r="E31" s="18" t="n"/>
      <c r="F31" s="19" t="n"/>
      <c r="G31" s="19" t="n"/>
      <c r="H31" s="21" t="n"/>
      <c r="I31" s="18" t="inlineStr">
        <is>
          <t>Livro Caixa: Recebimento à vista Gerado pelo sistema (Doc. 8851)</t>
        </is>
      </c>
      <c r="J31" s="18" t="n"/>
    </row>
    <row r="32">
      <c r="A32" s="44" t="n">
        <v>46056</v>
      </c>
      <c r="B32" s="45" t="inlineStr">
        <is>
          <t>Consumidor Final</t>
        </is>
      </c>
      <c r="C32" s="45" t="inlineStr">
        <is>
          <t>Mangueira (6 m)</t>
        </is>
      </c>
      <c r="D32" s="46" t="n">
        <v>30</v>
      </c>
      <c r="E32" s="45" t="inlineStr">
        <is>
          <t>Pix</t>
        </is>
      </c>
      <c r="F32" s="47" t="n"/>
      <c r="G32" s="48" t="n"/>
      <c r="H32" s="49" t="n"/>
      <c r="I32" s="45" t="inlineStr">
        <is>
          <t>NFC-e 8852</t>
        </is>
      </c>
    </row>
    <row r="33">
      <c r="A33" s="17" t="n">
        <v>46056</v>
      </c>
      <c r="B33" s="18" t="inlineStr">
        <is>
          <t>Consumidor Final</t>
        </is>
      </c>
      <c r="C33" s="18" t="inlineStr">
        <is>
          <t>Mangueira (1 m)</t>
        </is>
      </c>
      <c r="D33" s="27" t="n">
        <v>10</v>
      </c>
      <c r="E33" s="18" t="inlineStr">
        <is>
          <t>Dinheiro</t>
        </is>
      </c>
      <c r="F33" s="19" t="n"/>
      <c r="G33" s="19" t="n"/>
      <c r="H33" s="21" t="n"/>
      <c r="I33" s="18" t="inlineStr">
        <is>
          <t>NFC-e 8853</t>
        </is>
      </c>
      <c r="J33" s="18" t="n"/>
    </row>
    <row r="34">
      <c r="A34" s="44" t="n">
        <v>46056</v>
      </c>
      <c r="B34" s="45" t="inlineStr">
        <is>
          <t>Consumidor Final</t>
        </is>
      </c>
      <c r="C34" s="45" t="inlineStr">
        <is>
          <t>Refil Carbon Tech</t>
        </is>
      </c>
      <c r="D34" s="46" t="n">
        <v>65</v>
      </c>
      <c r="E34" s="45" t="inlineStr">
        <is>
          <t>Pix</t>
        </is>
      </c>
      <c r="F34" s="47" t="n"/>
      <c r="G34" s="48" t="n"/>
      <c r="H34" s="49" t="n"/>
      <c r="I34" s="45" t="inlineStr">
        <is>
          <t>NFC-e 8854</t>
        </is>
      </c>
    </row>
    <row r="35">
      <c r="A35" s="17" t="n">
        <v>46056</v>
      </c>
      <c r="B35" s="18" t="inlineStr">
        <is>
          <t>Renata Campos Tavares Gomes Nunes - Cepi Pediatria</t>
        </is>
      </c>
      <c r="C35" s="18" t="inlineStr">
        <is>
          <t>Refil Everest</t>
        </is>
      </c>
      <c r="D35" s="27" t="n">
        <v>140</v>
      </c>
      <c r="E35" s="18" t="inlineStr">
        <is>
          <t>Pix</t>
        </is>
      </c>
      <c r="F35" s="19" t="n"/>
      <c r="G35" s="19" t="n"/>
      <c r="H35" s="21" t="n"/>
      <c r="I35" s="18" t="inlineStr">
        <is>
          <t>NF-e 4055</t>
        </is>
      </c>
      <c r="J35" s="18" t="n"/>
    </row>
    <row r="36">
      <c r="A36" s="44" t="n">
        <v>46056</v>
      </c>
      <c r="B36" s="45" t="inlineStr">
        <is>
          <t>Consumidor Final</t>
        </is>
      </c>
      <c r="C36" s="45" t="inlineStr">
        <is>
          <t>Refil FPA16</t>
        </is>
      </c>
      <c r="D36" s="46" t="n">
        <v>90</v>
      </c>
      <c r="E36" s="45" t="inlineStr">
        <is>
          <t>Pix</t>
        </is>
      </c>
      <c r="F36" s="47" t="n"/>
      <c r="G36" s="48" t="n"/>
      <c r="H36" s="49" t="n"/>
      <c r="I36" s="45" t="inlineStr">
        <is>
          <t>NFC-e 8855</t>
        </is>
      </c>
    </row>
    <row r="37">
      <c r="A37" s="17" t="n">
        <v>46056</v>
      </c>
      <c r="B37" s="18" t="inlineStr">
        <is>
          <t>Estorno de recebimento — Cliente Consumidor</t>
        </is>
      </c>
      <c r="C37" s="18" t="n"/>
      <c r="D37" s="27" t="n"/>
      <c r="E37" s="18" t="n"/>
      <c r="F37" s="19" t="n"/>
      <c r="G37" s="19" t="n">
        <v>30</v>
      </c>
      <c r="H37" s="21" t="inlineStr">
        <is>
          <t>Estornos de Vendas (Cancelamentos)</t>
        </is>
      </c>
      <c r="I37" s="18" t="inlineStr">
        <is>
          <t>Livro Caixa: Estorno de recebimento do documento: Gerado pelo sistema (Doc. 885)</t>
        </is>
      </c>
      <c r="J37" s="18" t="n"/>
    </row>
    <row r="38">
      <c r="A38" s="44" t="n">
        <v>46056</v>
      </c>
      <c r="B38" s="45" t="inlineStr">
        <is>
          <t>Everest Refrigeracao e Industria</t>
        </is>
      </c>
      <c r="C38" s="45" t="n"/>
      <c r="D38" s="46" t="n"/>
      <c r="E38" s="45" t="n"/>
      <c r="F38" s="47" t="n"/>
      <c r="G38" s="48" t="n">
        <v>597.74</v>
      </c>
      <c r="H38" s="49" t="inlineStr">
        <is>
          <t>Fornecedores / Mercadoria</t>
        </is>
      </c>
      <c r="I38" s="45" t="inlineStr">
        <is>
          <t>NF 358698 de 04/09/2025 · parcela 5/5 (venc. 01/02/2026) · compra total R$ 2.988,70: Purificador Everest Plus Preto + Purificador Everest Star Preto + Purificador Everest Plus Prata + Purificador Everest Fit Preto · Livro Caixa</t>
        </is>
      </c>
    </row>
    <row r="39" ht="15.75" customHeight="1" s="157">
      <c r="A39" s="17" t="n">
        <v>46056</v>
      </c>
      <c r="B39" s="18" t="inlineStr">
        <is>
          <t>Embasa Adriano</t>
        </is>
      </c>
      <c r="C39" s="18" t="n"/>
      <c r="D39" s="27" t="n"/>
      <c r="E39" s="18" t="n"/>
      <c r="F39" s="19" t="n"/>
      <c r="G39" s="19" t="n">
        <v>74.27</v>
      </c>
      <c r="H39" s="21" t="inlineStr">
        <is>
          <t>Pro Labore Edilânia</t>
        </is>
      </c>
      <c r="I39" s="18" t="inlineStr">
        <is>
          <t>Livro Caixa: Pagamento à vista: EMBASA ADRIANO (Doc. 2) · Adriano Silva Fontes</t>
        </is>
      </c>
      <c r="J39" s="18" t="n"/>
    </row>
    <row r="40">
      <c r="A40" s="44" t="n">
        <v>46056</v>
      </c>
      <c r="B40" s="45" t="inlineStr">
        <is>
          <t>Coelba Adriano</t>
        </is>
      </c>
      <c r="C40" s="45" t="n"/>
      <c r="D40" s="46" t="n"/>
      <c r="E40" s="45" t="n"/>
      <c r="F40" s="47" t="n"/>
      <c r="G40" s="48" t="n">
        <v>435.39</v>
      </c>
      <c r="H40" s="49" t="inlineStr">
        <is>
          <t>Pro Labore Edilânia</t>
        </is>
      </c>
      <c r="I40" s="45" t="inlineStr">
        <is>
          <t>Livro Caixa: Pagamento à vista: COELBA ADRIANO (Doc. 1) · Adriano Silva Fontes</t>
        </is>
      </c>
    </row>
    <row r="41">
      <c r="A41" s="17" t="n">
        <v>46056</v>
      </c>
      <c r="B41" s="18" t="inlineStr">
        <is>
          <t>Filtros Planeta Agua Ind e Com Ltda</t>
        </is>
      </c>
      <c r="C41" s="18" t="n"/>
      <c r="D41" s="27" t="n"/>
      <c r="E41" s="18" t="n"/>
      <c r="F41" s="19" t="n"/>
      <c r="G41" s="19" t="n">
        <v>426.73</v>
      </c>
      <c r="H41" s="21" t="inlineStr">
        <is>
          <t>Fornecedores / Mercadoria</t>
        </is>
      </c>
      <c r="I41" s="18" t="inlineStr">
        <is>
          <t>NF 125587 de 10/12/2025 · parcela 3/4 (venc. 04/02/2026) · compra total R$ 1.793,26 (IPI R$ 86,32): 5x Refil Lacqua + 15x Refil Fit Poe Pp 9.3/4 + 10x Refil Carbon Block 5 Pol + 5x Refil Top Color + 5x Refil Acquatec + 5x Refiil Carbon Tech 9.3/4 Pol + 20x Refil Poli Flu Plissado 9.3/4 + 5x Refil Fpa16 + Mangueira · Livro Caixa</t>
        </is>
      </c>
      <c r="J41" s="18" t="n"/>
    </row>
    <row r="42" ht="15.75" customHeight="1" s="157">
      <c r="A42" s="44" t="n">
        <v>46056</v>
      </c>
      <c r="B42" s="45" t="inlineStr">
        <is>
          <t>Coelba Loja</t>
        </is>
      </c>
      <c r="C42" s="45" t="n"/>
      <c r="D42" s="46" t="n"/>
      <c r="E42" s="45" t="n"/>
      <c r="F42" s="47" t="n"/>
      <c r="G42" s="48" t="n">
        <v>145.99</v>
      </c>
      <c r="H42" s="49" t="inlineStr">
        <is>
          <t>Água, Energia e Internet</t>
        </is>
      </c>
      <c r="I42" s="45" t="inlineStr">
        <is>
          <t>Livro Caixa: Pagamento parcela COELBA LOJA (Doc. 1) · Companhia de Eletricidade do Estado da Bahia Coelba</t>
        </is>
      </c>
    </row>
    <row r="43">
      <c r="A43" s="17" t="n">
        <v>46057</v>
      </c>
      <c r="B43" s="18" t="inlineStr">
        <is>
          <t>Salão do Reino Congregação Oeste</t>
        </is>
      </c>
      <c r="C43" s="18" t="inlineStr">
        <is>
          <t>Refil Everest</t>
        </is>
      </c>
      <c r="D43" s="27" t="n">
        <v>90</v>
      </c>
      <c r="E43" s="18" t="inlineStr">
        <is>
          <t>Dinheiro</t>
        </is>
      </c>
      <c r="F43" s="19" t="n"/>
      <c r="G43" s="19" t="n"/>
      <c r="H43" s="21" t="n"/>
      <c r="I43" s="18" t="inlineStr">
        <is>
          <t>NF-e 4056</t>
        </is>
      </c>
      <c r="J43" s="18" t="inlineStr">
        <is>
          <t>EMP-0270</t>
        </is>
      </c>
    </row>
    <row r="44">
      <c r="A44" s="44" t="n">
        <v>46057</v>
      </c>
      <c r="B44" s="45" t="inlineStr">
        <is>
          <t>Tarcisio Fialho Cesar Cardoso</t>
        </is>
      </c>
      <c r="C44" s="45" t="inlineStr">
        <is>
          <t>Refil Pro Life</t>
        </is>
      </c>
      <c r="D44" s="46" t="n">
        <v>130</v>
      </c>
      <c r="E44" s="45" t="n"/>
      <c r="F44" s="47" t="n"/>
      <c r="G44" s="48" t="n"/>
      <c r="H44" s="49" t="n"/>
      <c r="I44" s="45" t="inlineStr">
        <is>
          <t>NFC-e 8856 · nota faturada a prazo (forma de recebimento não consta na nota)</t>
        </is>
      </c>
      <c r="J44" t="inlineStr">
        <is>
          <t>CLI-0643</t>
        </is>
      </c>
    </row>
    <row r="45">
      <c r="A45" s="17" t="n">
        <v>46057</v>
      </c>
      <c r="B45" s="18" t="inlineStr">
        <is>
          <t>Igreja Evangelica Assembleia de Deus</t>
        </is>
      </c>
      <c r="C45" s="18" t="inlineStr">
        <is>
          <t>Refil Multifilter + Refil Plissado</t>
        </is>
      </c>
      <c r="D45" s="27" t="n">
        <v>180</v>
      </c>
      <c r="E45" s="18" t="n"/>
      <c r="F45" s="19" t="n"/>
      <c r="G45" s="19" t="n"/>
      <c r="H45" s="21" t="n"/>
      <c r="I45" s="18" t="inlineStr">
        <is>
          <t>NF-e 4057 · nota faturada a prazo (forma de recebimento não consta na nota)</t>
        </is>
      </c>
      <c r="J45" s="18" t="inlineStr">
        <is>
          <t>EMP-0176</t>
        </is>
      </c>
    </row>
    <row r="46">
      <c r="A46" s="44" t="n">
        <v>46057</v>
      </c>
      <c r="B46" s="45" t="inlineStr">
        <is>
          <t>Consumidor Final</t>
        </is>
      </c>
      <c r="C46" s="45" t="inlineStr">
        <is>
          <t>Refil Carbon Tech 9"</t>
        </is>
      </c>
      <c r="D46" s="46" t="n">
        <v>80</v>
      </c>
      <c r="E46" s="45" t="inlineStr">
        <is>
          <t>Pix</t>
        </is>
      </c>
      <c r="F46" s="47" t="n"/>
      <c r="G46" s="48" t="n"/>
      <c r="H46" s="49" t="n"/>
      <c r="I46" s="45" t="inlineStr">
        <is>
          <t>NFC-e 8857</t>
        </is>
      </c>
    </row>
    <row r="47">
      <c r="A47" s="17" t="n">
        <v>46057</v>
      </c>
      <c r="B47" s="18" t="inlineStr">
        <is>
          <t>Consumidor Final</t>
        </is>
      </c>
      <c r="C47" s="18" t="inlineStr">
        <is>
          <t>Refil Everest</t>
        </is>
      </c>
      <c r="D47" s="27" t="n">
        <v>140</v>
      </c>
      <c r="E47" s="18" t="inlineStr">
        <is>
          <t>Dinheiro</t>
        </is>
      </c>
      <c r="F47" s="19" t="n"/>
      <c r="G47" s="19" t="n"/>
      <c r="H47" s="21" t="n"/>
      <c r="I47" s="18" t="inlineStr">
        <is>
          <t>NFC-e 8858</t>
        </is>
      </c>
      <c r="J47" s="18" t="n"/>
    </row>
    <row r="48" ht="15.75" customHeight="1" s="157">
      <c r="A48" s="44" t="n">
        <v>46058</v>
      </c>
      <c r="B48" s="45" t="inlineStr">
        <is>
          <t>Tatiana Miranda Siqueira</t>
        </is>
      </c>
      <c r="C48" s="45" t="inlineStr">
        <is>
          <t>Refil Everest + Pré Filtro</t>
        </is>
      </c>
      <c r="D48" s="46" t="n">
        <v>190</v>
      </c>
      <c r="E48" s="45" t="inlineStr">
        <is>
          <t>Pix</t>
        </is>
      </c>
      <c r="F48" s="47" t="n"/>
      <c r="G48" s="48" t="n"/>
      <c r="H48" s="49" t="n"/>
      <c r="I48" s="45" t="inlineStr">
        <is>
          <t>NFC-e 8859</t>
        </is>
      </c>
      <c r="J48" t="inlineStr">
        <is>
          <t>CLI-0696</t>
        </is>
      </c>
    </row>
    <row r="49">
      <c r="A49" s="17" t="n">
        <v>46058</v>
      </c>
      <c r="B49" s="18" t="inlineStr">
        <is>
          <t>Consumidor Final</t>
        </is>
      </c>
      <c r="C49" s="18" t="inlineStr">
        <is>
          <t>Refil Plissado</t>
        </is>
      </c>
      <c r="D49" s="27" t="n">
        <v>100</v>
      </c>
      <c r="E49" s="18" t="inlineStr">
        <is>
          <t>Dinheiro</t>
        </is>
      </c>
      <c r="F49" s="19" t="n"/>
      <c r="G49" s="19" t="n"/>
      <c r="H49" s="21" t="n"/>
      <c r="I49" s="18" t="inlineStr">
        <is>
          <t>NFC-e 8860</t>
        </is>
      </c>
      <c r="J49" s="18" t="n"/>
    </row>
    <row r="50">
      <c r="A50" s="44" t="n">
        <v>46058</v>
      </c>
      <c r="B50" s="45" t="inlineStr">
        <is>
          <t>Vitali jacobina Ltda</t>
        </is>
      </c>
      <c r="C50" s="45" t="inlineStr">
        <is>
          <t>Refil Everest</t>
        </is>
      </c>
      <c r="D50" s="46" t="n">
        <v>140</v>
      </c>
      <c r="E50" s="45" t="n"/>
      <c r="F50" s="47" t="n"/>
      <c r="G50" s="48" t="n"/>
      <c r="H50" s="49" t="n"/>
      <c r="I50" s="45" t="inlineStr">
        <is>
          <t>NF-e 4058 · nota faturada a prazo (forma de recebimento não consta na nota) · venda de 04/02/2026 — pagamento recebido em 05/02/2026</t>
        </is>
      </c>
      <c r="J50" t="inlineStr">
        <is>
          <t>EMP-0305</t>
        </is>
      </c>
    </row>
    <row r="51">
      <c r="A51" s="17" t="n">
        <v>46058</v>
      </c>
      <c r="B51" s="18" t="inlineStr">
        <is>
          <t>Payaya Loja de Conveniencias e Auto Pecas Ltda</t>
        </is>
      </c>
      <c r="C51" s="18" t="inlineStr">
        <is>
          <t>Purificador Everest Slim Preto + 2x Purificador Everest Baby Preto</t>
        </is>
      </c>
      <c r="D51" s="27" t="n">
        <v>2470</v>
      </c>
      <c r="E51" s="18" t="inlineStr">
        <is>
          <t>Dinheiro</t>
        </is>
      </c>
      <c r="F51" s="19" t="n"/>
      <c r="G51" s="19" t="n"/>
      <c r="H51" s="21" t="n"/>
      <c r="I51" s="18" t="inlineStr">
        <is>
          <t>NF-e 4059</t>
        </is>
      </c>
      <c r="J51" s="18" t="n"/>
    </row>
    <row r="52">
      <c r="A52" s="44" t="n">
        <v>46058</v>
      </c>
      <c r="B52" s="45" t="inlineStr">
        <is>
          <t>Ieda Bahia de Andrade - Tarcisio Bahia</t>
        </is>
      </c>
      <c r="C52" s="45" t="inlineStr">
        <is>
          <t>Refil Everest</t>
        </is>
      </c>
      <c r="D52" s="46" t="n">
        <v>140</v>
      </c>
      <c r="E52" s="45" t="inlineStr">
        <is>
          <t>Dinheiro</t>
        </is>
      </c>
      <c r="F52" s="47" t="n"/>
      <c r="G52" s="48" t="n"/>
      <c r="H52" s="49" t="n"/>
      <c r="I52" s="45" t="inlineStr">
        <is>
          <t>NFC-e 8861</t>
        </is>
      </c>
      <c r="J52" t="inlineStr">
        <is>
          <t>CLI-0697</t>
        </is>
      </c>
    </row>
    <row r="53" ht="15.75" customHeight="1" s="157">
      <c r="A53" s="17" t="n">
        <v>46058</v>
      </c>
      <c r="B53" s="18" t="inlineStr">
        <is>
          <t>Pedro Wesley Passos Alves</t>
        </is>
      </c>
      <c r="C53" s="18" t="inlineStr">
        <is>
          <t>Purificador Everest Plus Prata</t>
        </is>
      </c>
      <c r="D53" s="27" t="n">
        <v>1501.56</v>
      </c>
      <c r="E53" s="18" t="inlineStr">
        <is>
          <t>Dinheiro</t>
        </is>
      </c>
      <c r="F53" s="19" t="n"/>
      <c r="G53" s="19" t="n"/>
      <c r="H53" s="21" t="n"/>
      <c r="I53" s="18" t="inlineStr">
        <is>
          <t>NF-e 4060</t>
        </is>
      </c>
      <c r="J53" s="18" t="inlineStr">
        <is>
          <t>CLI-0316</t>
        </is>
      </c>
    </row>
    <row r="54">
      <c r="A54" s="44" t="n">
        <v>46059</v>
      </c>
      <c r="B54" s="45" t="inlineStr">
        <is>
          <t>Maria Nilzete Santos Carvalho - Florisvaldo Alves Carvalho</t>
        </is>
      </c>
      <c r="C54" s="45" t="inlineStr">
        <is>
          <t>Refil Everest</t>
        </is>
      </c>
      <c r="D54" s="46" t="n">
        <v>140</v>
      </c>
      <c r="E54" s="45" t="inlineStr">
        <is>
          <t>Crédito Parcelado</t>
        </is>
      </c>
      <c r="F54" s="47" t="n"/>
      <c r="G54" s="48" t="n"/>
      <c r="H54" s="49" t="n"/>
      <c r="I54" s="45" t="inlineStr">
        <is>
          <t>NFC-e 8862</t>
        </is>
      </c>
    </row>
    <row r="55">
      <c r="A55" s="17" t="n">
        <v>46059</v>
      </c>
      <c r="B55" s="18" t="inlineStr">
        <is>
          <t xml:space="preserve">Matheus Guimarães Oliveira </t>
        </is>
      </c>
      <c r="C55" s="18" t="inlineStr">
        <is>
          <t>Refil Everest</t>
        </is>
      </c>
      <c r="D55" s="27" t="n">
        <v>140</v>
      </c>
      <c r="E55" s="18" t="inlineStr">
        <is>
          <t>Pix</t>
        </is>
      </c>
      <c r="F55" s="19" t="n"/>
      <c r="G55" s="19" t="n"/>
      <c r="H55" s="21" t="n"/>
      <c r="I55" s="18" t="inlineStr">
        <is>
          <t>NFC-e 8863</t>
        </is>
      </c>
      <c r="J55" s="18" t="inlineStr">
        <is>
          <t>CLI-0700</t>
        </is>
      </c>
    </row>
    <row r="56">
      <c r="A56" s="44" t="n">
        <v>46059</v>
      </c>
      <c r="B56" s="45" t="inlineStr">
        <is>
          <t>Consumidor Final</t>
        </is>
      </c>
      <c r="C56" s="45" t="inlineStr">
        <is>
          <t>Refil Everest</t>
        </is>
      </c>
      <c r="D56" s="46" t="n">
        <v>140</v>
      </c>
      <c r="E56" s="45" t="inlineStr">
        <is>
          <t>Dinheiro</t>
        </is>
      </c>
      <c r="F56" s="47" t="n"/>
      <c r="G56" s="48" t="n"/>
      <c r="H56" s="49" t="n"/>
      <c r="I56" s="45" t="inlineStr">
        <is>
          <t>NFC-e 8864</t>
        </is>
      </c>
    </row>
    <row r="57">
      <c r="A57" s="17" t="n">
        <v>46059</v>
      </c>
      <c r="B57" s="18" t="inlineStr">
        <is>
          <t>Creuza Miranda Freire - Crisleide</t>
        </is>
      </c>
      <c r="C57" s="18" t="inlineStr">
        <is>
          <t>Refil Pro Life</t>
        </is>
      </c>
      <c r="D57" s="27" t="n">
        <v>140</v>
      </c>
      <c r="E57" s="18" t="inlineStr">
        <is>
          <t>Dinheiro</t>
        </is>
      </c>
      <c r="F57" s="19" t="n"/>
      <c r="G57" s="19" t="n"/>
      <c r="H57" s="21" t="n"/>
      <c r="I57" s="18" t="inlineStr">
        <is>
          <t>NFC-e 8865</t>
        </is>
      </c>
      <c r="J57" s="18" t="inlineStr">
        <is>
          <t>CLI-0701</t>
        </is>
      </c>
    </row>
    <row r="58">
      <c r="A58" s="44" t="n">
        <v>46060</v>
      </c>
      <c r="B58" s="45" t="inlineStr">
        <is>
          <t>Consumidor Final</t>
        </is>
      </c>
      <c r="C58" s="45" t="inlineStr">
        <is>
          <t>Refil Top Color</t>
        </is>
      </c>
      <c r="D58" s="46" t="n">
        <v>80</v>
      </c>
      <c r="E58" s="45" t="inlineStr">
        <is>
          <t>Débito</t>
        </is>
      </c>
      <c r="F58" s="47" t="n"/>
      <c r="G58" s="48" t="n"/>
      <c r="H58" s="49" t="n"/>
      <c r="I58" s="45" t="inlineStr">
        <is>
          <t>NFC-e 8866</t>
        </is>
      </c>
    </row>
    <row r="59">
      <c r="A59" s="17" t="n">
        <v>46060</v>
      </c>
      <c r="B59" s="18" t="inlineStr">
        <is>
          <t>Consumidor Final</t>
        </is>
      </c>
      <c r="C59" s="18" t="inlineStr">
        <is>
          <t>Refil Universal</t>
        </is>
      </c>
      <c r="D59" s="27" t="n">
        <v>35</v>
      </c>
      <c r="E59" s="18" t="inlineStr">
        <is>
          <t>Dinheiro</t>
        </is>
      </c>
      <c r="F59" s="19" t="n"/>
      <c r="G59" s="19" t="n"/>
      <c r="H59" s="21" t="n"/>
      <c r="I59" s="18" t="inlineStr">
        <is>
          <t>NFC-e 8867</t>
        </is>
      </c>
      <c r="J59" s="18" t="n"/>
    </row>
    <row r="60">
      <c r="A60" s="44" t="n">
        <v>46060</v>
      </c>
      <c r="B60" s="45" t="inlineStr">
        <is>
          <t>Consumidor Final</t>
        </is>
      </c>
      <c r="C60" s="45" t="inlineStr">
        <is>
          <t>Suporte</t>
        </is>
      </c>
      <c r="D60" s="46" t="n">
        <v>40</v>
      </c>
      <c r="E60" s="45" t="inlineStr">
        <is>
          <t>Dinheiro</t>
        </is>
      </c>
      <c r="F60" s="47" t="n"/>
      <c r="G60" s="48" t="n"/>
      <c r="H60" s="49" t="n"/>
      <c r="I60" s="45" t="inlineStr">
        <is>
          <t>NFC-e 8868</t>
        </is>
      </c>
    </row>
    <row r="61">
      <c r="A61" s="17" t="n">
        <v>46060</v>
      </c>
      <c r="B61" s="18" t="inlineStr">
        <is>
          <t>Consumidor Final</t>
        </is>
      </c>
      <c r="C61" s="18" t="inlineStr">
        <is>
          <t>Refil Pro Life</t>
        </is>
      </c>
      <c r="D61" s="27" t="n">
        <v>140</v>
      </c>
      <c r="E61" s="18" t="inlineStr">
        <is>
          <t>Dinheiro</t>
        </is>
      </c>
      <c r="F61" s="19" t="n"/>
      <c r="G61" s="19" t="n"/>
      <c r="H61" s="21" t="n"/>
      <c r="I61" s="18" t="inlineStr">
        <is>
          <t>NFC-e 8869</t>
        </is>
      </c>
      <c r="J61" s="18" t="n"/>
    </row>
    <row r="62">
      <c r="A62" s="44" t="n">
        <v>46062</v>
      </c>
      <c r="B62" s="45" t="inlineStr">
        <is>
          <t>Consumidor Final</t>
        </is>
      </c>
      <c r="C62" s="45" t="n"/>
      <c r="D62" s="46" t="n">
        <v>135</v>
      </c>
      <c r="E62" s="45" t="n"/>
      <c r="F62" s="47" t="n"/>
      <c r="G62" s="48" t="n"/>
      <c r="H62" s="49" t="n"/>
      <c r="I62" s="45" t="inlineStr">
        <is>
          <t>Livro Caixa: Recebimento à vista Gerado pelo sistema (Doc. 8870)</t>
        </is>
      </c>
    </row>
    <row r="63" ht="15.75" customHeight="1" s="157">
      <c r="A63" s="17" t="n">
        <v>46062</v>
      </c>
      <c r="B63" s="18" t="inlineStr">
        <is>
          <t>Luiz Carlos Rodrigues da Silva - Maria Lucia</t>
        </is>
      </c>
      <c r="C63" s="18" t="inlineStr">
        <is>
          <t>Refil Pro Life</t>
        </is>
      </c>
      <c r="D63" s="27" t="n">
        <v>135</v>
      </c>
      <c r="E63" s="18" t="inlineStr">
        <is>
          <t>Débito</t>
        </is>
      </c>
      <c r="F63" s="19" t="n"/>
      <c r="G63" s="19" t="n"/>
      <c r="H63" s="21" t="n"/>
      <c r="I63" s="18" t="inlineStr">
        <is>
          <t>NFC-e 8871</t>
        </is>
      </c>
      <c r="J63" s="18" t="n"/>
    </row>
    <row r="64">
      <c r="A64" s="44" t="n">
        <v>46062</v>
      </c>
      <c r="B64" s="45" t="inlineStr">
        <is>
          <t>Helena Cruz</t>
        </is>
      </c>
      <c r="C64" s="45" t="inlineStr">
        <is>
          <t>Refil Everest</t>
        </is>
      </c>
      <c r="D64" s="46" t="n">
        <v>130</v>
      </c>
      <c r="E64" s="45" t="inlineStr">
        <is>
          <t>Dinheiro</t>
        </is>
      </c>
      <c r="F64" s="47" t="n"/>
      <c r="G64" s="48" t="n"/>
      <c r="H64" s="49" t="n"/>
      <c r="I64" s="45" t="inlineStr">
        <is>
          <t>NFC-e 8872</t>
        </is>
      </c>
      <c r="J64" t="inlineStr">
        <is>
          <t>CLI-0704</t>
        </is>
      </c>
    </row>
    <row r="65">
      <c r="A65" s="17" t="n">
        <v>46062</v>
      </c>
      <c r="B65" s="18" t="inlineStr">
        <is>
          <t>Marsilia Marmores e Granitos Erelli</t>
        </is>
      </c>
      <c r="C65" s="18" t="inlineStr">
        <is>
          <t>Refil Pro Life</t>
        </is>
      </c>
      <c r="D65" s="27" t="n">
        <v>140</v>
      </c>
      <c r="E65" s="18" t="n"/>
      <c r="F65" s="19" t="n"/>
      <c r="G65" s="19" t="n"/>
      <c r="H65" s="21" t="n"/>
      <c r="I65" s="18" t="inlineStr">
        <is>
          <t>NF-e 4063 · nota faturada a prazo (forma de recebimento não consta na nota)</t>
        </is>
      </c>
      <c r="J65" s="18" t="inlineStr">
        <is>
          <t>EMP-0216</t>
        </is>
      </c>
    </row>
    <row r="66">
      <c r="A66" s="44" t="n">
        <v>46062</v>
      </c>
      <c r="B66" s="45" t="inlineStr">
        <is>
          <t>Estorno de recebimento — Cielo S. A.</t>
        </is>
      </c>
      <c r="C66" s="45" t="n"/>
      <c r="D66" s="46" t="n"/>
      <c r="E66" s="45" t="n"/>
      <c r="F66" s="47" t="n"/>
      <c r="G66" s="48" t="n">
        <v>135</v>
      </c>
      <c r="H66" s="49" t="inlineStr">
        <is>
          <t>Estornos de Vendas (Cancelamentos)</t>
        </is>
      </c>
      <c r="I66" s="45" t="inlineStr">
        <is>
          <t>Livro Caixa: Estorno de recebimento do documento: Gerado pelo sistema (Doc. 887)</t>
        </is>
      </c>
    </row>
    <row r="67">
      <c r="A67" s="17" t="n">
        <v>46063</v>
      </c>
      <c r="B67" s="18" t="inlineStr">
        <is>
          <t>Temistocles de Carvalho Andrade</t>
        </is>
      </c>
      <c r="C67" s="18" t="inlineStr">
        <is>
          <t>Refil Everest</t>
        </is>
      </c>
      <c r="D67" s="27" t="n">
        <v>140</v>
      </c>
      <c r="E67" s="18" t="inlineStr">
        <is>
          <t>Dinheiro</t>
        </is>
      </c>
      <c r="F67" s="19" t="n"/>
      <c r="G67" s="19" t="n"/>
      <c r="H67" s="21" t="n"/>
      <c r="I67" s="18" t="inlineStr">
        <is>
          <t>NFC-e 8873</t>
        </is>
      </c>
      <c r="J67" s="18" t="inlineStr">
        <is>
          <t>CLI-0679</t>
        </is>
      </c>
    </row>
    <row r="68">
      <c r="A68" s="44" t="n">
        <v>46063</v>
      </c>
      <c r="B68" s="45" t="inlineStr">
        <is>
          <t>Papelaria Castro - Itamar Castro Ribeiro LTDA</t>
        </is>
      </c>
      <c r="C68" s="45" t="inlineStr">
        <is>
          <t>Refil Pro Life + Pré Filtro</t>
        </is>
      </c>
      <c r="D68" s="46" t="n">
        <v>185</v>
      </c>
      <c r="E68" s="45" t="inlineStr">
        <is>
          <t>Dinheiro</t>
        </is>
      </c>
      <c r="F68" s="47" t="n"/>
      <c r="G68" s="48" t="n"/>
      <c r="H68" s="49" t="n"/>
      <c r="I68" s="45" t="inlineStr">
        <is>
          <t>NF-e 4064</t>
        </is>
      </c>
      <c r="J68" t="inlineStr">
        <is>
          <t>EMP-0243</t>
        </is>
      </c>
    </row>
    <row r="69">
      <c r="A69" s="17" t="n">
        <v>46063</v>
      </c>
      <c r="B69" s="18" t="inlineStr">
        <is>
          <t>Maria Conceição Carvalho Mesquita</t>
        </is>
      </c>
      <c r="C69" s="18" t="n"/>
      <c r="D69" s="27" t="n">
        <v>135</v>
      </c>
      <c r="E69" s="18" t="n"/>
      <c r="F69" s="19" t="n"/>
      <c r="G69" s="19" t="n"/>
      <c r="H69" s="21" t="n"/>
      <c r="I69" s="18" t="inlineStr">
        <is>
          <t>Livro Caixa: Recebimento à vista Gerado pelo sistema (Doc. 8874)</t>
        </is>
      </c>
      <c r="J69" s="18" t="inlineStr">
        <is>
          <t>CLI-0702</t>
        </is>
      </c>
    </row>
    <row r="70">
      <c r="A70" s="44" t="n">
        <v>46063</v>
      </c>
      <c r="B70" s="45" t="inlineStr">
        <is>
          <t>Ronaldo Ferreira dos Anjos - Maria Lucia</t>
        </is>
      </c>
      <c r="C70" s="45" t="inlineStr">
        <is>
          <t>Refil Everest</t>
        </is>
      </c>
      <c r="D70" s="46" t="n">
        <v>135</v>
      </c>
      <c r="E70" s="45" t="inlineStr">
        <is>
          <t>Pix</t>
        </is>
      </c>
      <c r="F70" s="47" t="n"/>
      <c r="G70" s="48" t="n"/>
      <c r="H70" s="49" t="n"/>
      <c r="I70" s="45" t="inlineStr">
        <is>
          <t>NFC-e 8875</t>
        </is>
      </c>
    </row>
    <row r="71">
      <c r="A71" s="17" t="n">
        <v>46063</v>
      </c>
      <c r="B71" s="18" t="inlineStr">
        <is>
          <t>Consumidor Final</t>
        </is>
      </c>
      <c r="C71" s="18" t="inlineStr">
        <is>
          <t>Registro + Mangueira (1 m)</t>
        </is>
      </c>
      <c r="D71" s="27" t="n">
        <v>40</v>
      </c>
      <c r="E71" s="18" t="inlineStr">
        <is>
          <t>Crédito Parcelado</t>
        </is>
      </c>
      <c r="F71" s="19" t="n"/>
      <c r="G71" s="19" t="n"/>
      <c r="H71" s="21" t="n"/>
      <c r="I71" s="18" t="inlineStr">
        <is>
          <t>NFC-e 8876</t>
        </is>
      </c>
      <c r="J71" s="18" t="n"/>
    </row>
    <row r="72">
      <c r="A72" s="44" t="n">
        <v>46063</v>
      </c>
      <c r="B72" s="45" t="inlineStr">
        <is>
          <t>Kaline Pinto Marques - Stenio Carlos Ribeiro</t>
        </is>
      </c>
      <c r="C72" s="45" t="inlineStr">
        <is>
          <t>Refil Everest + Pré Filtro</t>
        </is>
      </c>
      <c r="D72" s="46" t="n">
        <v>200</v>
      </c>
      <c r="E72" s="45" t="inlineStr">
        <is>
          <t>Crédito Parcelado</t>
        </is>
      </c>
      <c r="F72" s="47" t="n"/>
      <c r="G72" s="48" t="n"/>
      <c r="H72" s="49" t="n"/>
      <c r="I72" s="45" t="inlineStr">
        <is>
          <t>NFC-e 8877</t>
        </is>
      </c>
    </row>
    <row r="73" ht="15.75" customHeight="1" s="157">
      <c r="A73" s="17" t="n">
        <v>46063</v>
      </c>
      <c r="B73" s="18" t="inlineStr">
        <is>
          <t>Maria José Azevedo de Almeida</t>
        </is>
      </c>
      <c r="C73" s="18" t="inlineStr">
        <is>
          <t>Refil Everest</t>
        </is>
      </c>
      <c r="D73" s="27" t="n">
        <v>140</v>
      </c>
      <c r="E73" s="18" t="inlineStr">
        <is>
          <t>Dinheiro</t>
        </is>
      </c>
      <c r="F73" s="19" t="n"/>
      <c r="G73" s="19" t="n"/>
      <c r="H73" s="21" t="n"/>
      <c r="I73" s="18" t="inlineStr">
        <is>
          <t>NFC-e 8878</t>
        </is>
      </c>
      <c r="J73" s="18" t="inlineStr">
        <is>
          <t>CLI-0706</t>
        </is>
      </c>
    </row>
    <row r="74">
      <c r="A74" s="44" t="n">
        <v>46063</v>
      </c>
      <c r="B74" s="45" t="inlineStr">
        <is>
          <t>Consumidor Final</t>
        </is>
      </c>
      <c r="C74" s="45" t="inlineStr">
        <is>
          <t>Vela Filtro de Barro</t>
        </is>
      </c>
      <c r="D74" s="46" t="n">
        <v>10</v>
      </c>
      <c r="E74" s="45" t="inlineStr">
        <is>
          <t>Dinheiro</t>
        </is>
      </c>
      <c r="F74" s="47" t="n"/>
      <c r="G74" s="48" t="n"/>
      <c r="H74" s="49" t="n"/>
      <c r="I74" s="45" t="inlineStr">
        <is>
          <t>NFC-e 8879</t>
        </is>
      </c>
    </row>
    <row r="75">
      <c r="A75" s="17" t="n">
        <v>46063</v>
      </c>
      <c r="B75" s="18" t="inlineStr">
        <is>
          <t>Maria Conceição Carvalho Mesquita</t>
        </is>
      </c>
      <c r="C75" s="18" t="inlineStr">
        <is>
          <t>Refil Everest + Refil Pro Life</t>
        </is>
      </c>
      <c r="D75" s="27" t="n">
        <v>270</v>
      </c>
      <c r="E75" s="18" t="inlineStr">
        <is>
          <t>Pix</t>
        </is>
      </c>
      <c r="F75" s="19" t="n"/>
      <c r="G75" s="19" t="n"/>
      <c r="H75" s="21" t="n"/>
      <c r="I75" s="18" t="inlineStr">
        <is>
          <t>NFC-e 8880</t>
        </is>
      </c>
      <c r="J75" s="18" t="inlineStr">
        <is>
          <t>CLI-0702</t>
        </is>
      </c>
    </row>
    <row r="76">
      <c r="A76" s="44" t="n">
        <v>46063</v>
      </c>
      <c r="B76" s="45" t="inlineStr">
        <is>
          <t>L A Laboratorio de Analises Matos Ltda</t>
        </is>
      </c>
      <c r="C76" s="45" t="inlineStr">
        <is>
          <t>Refil Everest</t>
        </is>
      </c>
      <c r="D76" s="46" t="n">
        <v>140</v>
      </c>
      <c r="E76" s="45" t="n"/>
      <c r="F76" s="47" t="n"/>
      <c r="G76" s="48" t="n"/>
      <c r="H76" s="49" t="n"/>
      <c r="I76" s="45" t="inlineStr">
        <is>
          <t>NF-e 4065. Recebimento não constava no Livro Caixa; conferido e baixado no DigiSat em 28/09/2026.</t>
        </is>
      </c>
    </row>
    <row r="77">
      <c r="A77" s="17" t="n">
        <v>46063</v>
      </c>
      <c r="B77" s="18" t="inlineStr">
        <is>
          <t>Estorno de recebimento — Maria Conceicao Carvalho Mesquita Maia - Loane Mesquita</t>
        </is>
      </c>
      <c r="C77" s="18" t="n"/>
      <c r="D77" s="27" t="n"/>
      <c r="E77" s="18" t="n"/>
      <c r="F77" s="19" t="n"/>
      <c r="G77" s="19" t="n">
        <v>135</v>
      </c>
      <c r="H77" s="21" t="inlineStr">
        <is>
          <t>Estornos de Vendas (Cancelamentos)</t>
        </is>
      </c>
      <c r="I77" s="18" t="inlineStr">
        <is>
          <t>Livro Caixa: Estorno de recebimento do documento: Gerado pelo sistema (Doc. 887)</t>
        </is>
      </c>
      <c r="J77" s="18" t="n"/>
    </row>
    <row r="78">
      <c r="A78" s="44" t="n">
        <v>46064</v>
      </c>
      <c r="B78" s="45" t="inlineStr">
        <is>
          <t>Camioneiro Auto Pecas Eireli Epp</t>
        </is>
      </c>
      <c r="C78" s="45" t="inlineStr">
        <is>
          <t>Refil Everest + Pré Filtro</t>
        </is>
      </c>
      <c r="D78" s="46" t="n">
        <v>190</v>
      </c>
      <c r="E78" s="45" t="inlineStr">
        <is>
          <t>Pix</t>
        </is>
      </c>
      <c r="F78" s="47" t="n"/>
      <c r="G78" s="48" t="n"/>
      <c r="H78" s="49" t="n"/>
      <c r="I78" s="45" t="inlineStr">
        <is>
          <t>NF-e 4066</t>
        </is>
      </c>
    </row>
    <row r="79" ht="15.75" customHeight="1" s="157">
      <c r="A79" s="17" t="n">
        <v>46064</v>
      </c>
      <c r="B79" s="18" t="inlineStr">
        <is>
          <t>Valeria Menezes Almeida</t>
        </is>
      </c>
      <c r="C79" s="18" t="inlineStr">
        <is>
          <t>Refil Everest</t>
        </is>
      </c>
      <c r="D79" s="27" t="n">
        <v>140</v>
      </c>
      <c r="E79" s="18" t="inlineStr">
        <is>
          <t>Crédito Parcelado</t>
        </is>
      </c>
      <c r="F79" s="19" t="n"/>
      <c r="G79" s="19" t="n"/>
      <c r="H79" s="21" t="n"/>
      <c r="I79" s="18" t="inlineStr">
        <is>
          <t>NFC-e 8881</t>
        </is>
      </c>
      <c r="J79" s="18" t="n"/>
    </row>
    <row r="80">
      <c r="A80" s="44" t="n">
        <v>46064</v>
      </c>
      <c r="B80" s="45" t="inlineStr">
        <is>
          <t>Maiara Nascimento Grassi Sangalo - Marcus Antonio</t>
        </is>
      </c>
      <c r="C80" s="45" t="inlineStr">
        <is>
          <t>Refil Everest + Pré Filtro + Refil Pro Life</t>
        </is>
      </c>
      <c r="D80" s="46" t="n">
        <v>340</v>
      </c>
      <c r="E80" s="45" t="inlineStr">
        <is>
          <t>Pix</t>
        </is>
      </c>
      <c r="F80" s="47" t="n"/>
      <c r="G80" s="48" t="n"/>
      <c r="H80" s="49" t="n"/>
      <c r="I80" s="45" t="inlineStr">
        <is>
          <t>NFC-e 8882</t>
        </is>
      </c>
      <c r="J80" t="inlineStr">
        <is>
          <t>CLI-0711</t>
        </is>
      </c>
    </row>
    <row r="81">
      <c r="A81" s="17" t="n">
        <v>46064</v>
      </c>
      <c r="B81" s="18" t="inlineStr">
        <is>
          <t>Consumidor Final</t>
        </is>
      </c>
      <c r="C81" s="18" t="inlineStr">
        <is>
          <t>Mangueira (2 m)</t>
        </is>
      </c>
      <c r="D81" s="27" t="n">
        <v>20</v>
      </c>
      <c r="E81" s="18" t="inlineStr">
        <is>
          <t>Débito</t>
        </is>
      </c>
      <c r="F81" s="19" t="n"/>
      <c r="G81" s="19" t="n"/>
      <c r="H81" s="21" t="n"/>
      <c r="I81" s="18" t="inlineStr">
        <is>
          <t>NFC-e 8883</t>
        </is>
      </c>
      <c r="J81" s="18" t="n"/>
    </row>
    <row r="82">
      <c r="A82" s="44" t="n">
        <v>46064</v>
      </c>
      <c r="B82" s="45" t="inlineStr">
        <is>
          <t>Real Calçados</t>
        </is>
      </c>
      <c r="C82" s="45" t="inlineStr">
        <is>
          <t>2x Refil Everest + Refil Pro Life + 2x Pré Filtro</t>
        </is>
      </c>
      <c r="D82" s="46" t="n">
        <v>500</v>
      </c>
      <c r="E82" s="45" t="inlineStr">
        <is>
          <t>Dinheiro</t>
        </is>
      </c>
      <c r="F82" s="47" t="n"/>
      <c r="G82" s="48" t="n"/>
      <c r="H82" s="49" t="n"/>
      <c r="I82" s="45" t="inlineStr">
        <is>
          <t>NF-e 4067</t>
        </is>
      </c>
      <c r="J82" t="inlineStr">
        <is>
          <t>EMP-0255</t>
        </is>
      </c>
    </row>
    <row r="83">
      <c r="A83" s="17" t="n">
        <v>46064</v>
      </c>
      <c r="B83" s="18" t="inlineStr">
        <is>
          <t>Jordana Alves de Lima Ribeiro</t>
        </is>
      </c>
      <c r="C83" s="18" t="inlineStr">
        <is>
          <t>Refil Everest</t>
        </is>
      </c>
      <c r="D83" s="27" t="n">
        <v>140</v>
      </c>
      <c r="E83" s="18" t="inlineStr">
        <is>
          <t>Crédito Parcelado</t>
        </is>
      </c>
      <c r="F83" s="19" t="n"/>
      <c r="G83" s="19" t="n"/>
      <c r="H83" s="21" t="n"/>
      <c r="I83" s="18" t="inlineStr">
        <is>
          <t>NFC-e 8884</t>
        </is>
      </c>
      <c r="J83" s="18" t="n"/>
    </row>
    <row r="84">
      <c r="A84" s="44" t="n">
        <v>46065</v>
      </c>
      <c r="B84" s="45" t="inlineStr">
        <is>
          <t>Patricia Lima Franco Barbosa</t>
        </is>
      </c>
      <c r="C84" s="45" t="inlineStr">
        <is>
          <t>Purificador Everest Fit Prata</t>
        </is>
      </c>
      <c r="D84" s="46" t="n">
        <v>1448</v>
      </c>
      <c r="E84" s="45" t="inlineStr">
        <is>
          <t>Dinheiro</t>
        </is>
      </c>
      <c r="F84" s="47" t="n"/>
      <c r="G84" s="48" t="n"/>
      <c r="H84" s="49" t="n"/>
      <c r="I84" s="45" t="inlineStr">
        <is>
          <t>NF-e 4069</t>
        </is>
      </c>
      <c r="J84" t="inlineStr">
        <is>
          <t>CLI-0715</t>
        </is>
      </c>
    </row>
    <row r="85">
      <c r="A85" s="17" t="n">
        <v>46065</v>
      </c>
      <c r="B85" s="18" t="inlineStr">
        <is>
          <t>Rosiane Ferreira Lima / Aldo</t>
        </is>
      </c>
      <c r="C85" s="18" t="inlineStr">
        <is>
          <t>Refil Pro Life</t>
        </is>
      </c>
      <c r="D85" s="27" t="n">
        <v>135</v>
      </c>
      <c r="E85" s="18" t="inlineStr">
        <is>
          <t>Dinheiro</t>
        </is>
      </c>
      <c r="F85" s="19" t="n"/>
      <c r="G85" s="19" t="n"/>
      <c r="H85" s="21" t="n"/>
      <c r="I85" s="18" t="inlineStr">
        <is>
          <t>NFC-e 8885</t>
        </is>
      </c>
      <c r="J85" s="18" t="inlineStr">
        <is>
          <t>CLI-0713</t>
        </is>
      </c>
    </row>
    <row r="86">
      <c r="A86" s="44" t="n">
        <v>46065</v>
      </c>
      <c r="B86" s="45" t="inlineStr">
        <is>
          <t>Nubia Dantas Silva - Vinicius Silva</t>
        </is>
      </c>
      <c r="C86" s="45" t="inlineStr">
        <is>
          <t>Refil Pro Life + Pré Filtro</t>
        </is>
      </c>
      <c r="D86" s="46" t="n">
        <v>200</v>
      </c>
      <c r="E86" s="45" t="inlineStr">
        <is>
          <t>Crédito Parcelado</t>
        </is>
      </c>
      <c r="F86" s="47" t="n"/>
      <c r="G86" s="48" t="n"/>
      <c r="H86" s="49" t="n"/>
      <c r="I86" s="45" t="inlineStr">
        <is>
          <t>NFC-e 8886</t>
        </is>
      </c>
    </row>
    <row r="87">
      <c r="A87" s="17" t="n">
        <v>46066</v>
      </c>
      <c r="B87" s="18" t="inlineStr">
        <is>
          <t>Lucelio Pereira do Nascimento</t>
        </is>
      </c>
      <c r="C87" s="18" t="inlineStr">
        <is>
          <t>Refil Everest</t>
        </is>
      </c>
      <c r="D87" s="27" t="n">
        <v>130</v>
      </c>
      <c r="E87" s="18" t="inlineStr">
        <is>
          <t>Pix</t>
        </is>
      </c>
      <c r="F87" s="19" t="n"/>
      <c r="G87" s="19" t="n"/>
      <c r="H87" s="21" t="n"/>
      <c r="I87" s="18" t="inlineStr">
        <is>
          <t>NFC-e 8887</t>
        </is>
      </c>
      <c r="J87" s="18" t="inlineStr">
        <is>
          <t>CLI-0335</t>
        </is>
      </c>
    </row>
    <row r="88">
      <c r="A88" s="44" t="n">
        <v>46066</v>
      </c>
      <c r="B88" s="45" t="inlineStr">
        <is>
          <t>Carneiro Ultra Drogaria LTDA - Filial 02</t>
        </is>
      </c>
      <c r="C88" s="45" t="inlineStr">
        <is>
          <t>Refil Everest</t>
        </is>
      </c>
      <c r="D88" s="46" t="n">
        <v>140</v>
      </c>
      <c r="E88" s="45" t="inlineStr">
        <is>
          <t>Dinheiro</t>
        </is>
      </c>
      <c r="F88" s="47" t="n"/>
      <c r="G88" s="48" t="n"/>
      <c r="H88" s="49" t="n"/>
      <c r="I88" s="45" t="inlineStr">
        <is>
          <t>NF-e 4070</t>
        </is>
      </c>
      <c r="J88" t="inlineStr">
        <is>
          <t>EMP-0044</t>
        </is>
      </c>
    </row>
    <row r="89">
      <c r="A89" s="17" t="n">
        <v>46066</v>
      </c>
      <c r="B89" s="18" t="inlineStr">
        <is>
          <t>Atacadão das Confecções e Utilidades LTDA</t>
        </is>
      </c>
      <c r="C89" s="18" t="inlineStr">
        <is>
          <t>Refil Everest</t>
        </is>
      </c>
      <c r="D89" s="27" t="n">
        <v>140</v>
      </c>
      <c r="E89" s="18" t="inlineStr">
        <is>
          <t>Dinheiro</t>
        </is>
      </c>
      <c r="F89" s="19" t="n"/>
      <c r="G89" s="19" t="n"/>
      <c r="H89" s="21" t="n"/>
      <c r="I89" s="18" t="inlineStr">
        <is>
          <t>NF-e 4071</t>
        </is>
      </c>
      <c r="J89" s="18" t="inlineStr">
        <is>
          <t>EMP-0018</t>
        </is>
      </c>
    </row>
    <row r="90">
      <c r="A90" s="44" t="n">
        <v>46066</v>
      </c>
      <c r="B90" s="45" t="inlineStr">
        <is>
          <t>Elisete Pereira da Silva</t>
        </is>
      </c>
      <c r="C90" s="45" t="inlineStr">
        <is>
          <t>Refil Everest</t>
        </is>
      </c>
      <c r="D90" s="46" t="n">
        <v>140</v>
      </c>
      <c r="E90" s="45" t="inlineStr">
        <is>
          <t>Dinheiro</t>
        </is>
      </c>
      <c r="F90" s="47" t="n"/>
      <c r="G90" s="48" t="n"/>
      <c r="H90" s="49" t="n"/>
      <c r="I90" s="45" t="inlineStr">
        <is>
          <t>NFC-e 8888</t>
        </is>
      </c>
      <c r="J90" t="inlineStr">
        <is>
          <t>CLI-0716</t>
        </is>
      </c>
    </row>
    <row r="91">
      <c r="A91" s="17" t="n">
        <v>46066</v>
      </c>
      <c r="B91" s="18" t="inlineStr">
        <is>
          <t>Tesla Imagem Medicina Diagnostica Ltda</t>
        </is>
      </c>
      <c r="C91" s="18" t="inlineStr">
        <is>
          <t>3x Refil Everest + 2x Pré Filtro</t>
        </is>
      </c>
      <c r="D91" s="27" t="n">
        <v>540</v>
      </c>
      <c r="E91" s="18" t="n"/>
      <c r="F91" s="19" t="n"/>
      <c r="G91" s="19" t="n"/>
      <c r="H91" s="21" t="n"/>
      <c r="I91" s="18" t="inlineStr">
        <is>
          <t>NF-e 4062 · nota faturada a prazo (forma de recebimento não consta na nota) · venda de 09/02/2026 — pagamento recebido em 13/02/2026</t>
        </is>
      </c>
      <c r="J91" s="18" t="inlineStr">
        <is>
          <t>EMP-0289</t>
        </is>
      </c>
    </row>
    <row r="92">
      <c r="A92" s="44" t="n">
        <v>46066</v>
      </c>
      <c r="B92" s="45" t="inlineStr">
        <is>
          <t>Everest Refrigeracao e Industria</t>
        </is>
      </c>
      <c r="C92" s="45" t="n"/>
      <c r="D92" s="46" t="n"/>
      <c r="E92" s="45" t="n"/>
      <c r="F92" s="47" t="n"/>
      <c r="G92" s="48" t="n">
        <v>781.4</v>
      </c>
      <c r="H92" s="49" t="inlineStr">
        <is>
          <t>Fornecedores / Mercadoria</t>
        </is>
      </c>
      <c r="I92" s="45" t="inlineStr">
        <is>
          <t>NF 361446 de 10/10/2025 · parcela 4/5 (venc. 07/02/2026) · compra total R$ 3.906,99: Purificador Everest Fit Preto + Purificador Everest Star Branco + Purificador Everest Star Preto + Purificador Everest Slim Branco + 4x Purificador Everest Baby Branco + 4x Purificador Everest Baby Preto · Livro Caixa</t>
        </is>
      </c>
    </row>
    <row r="93">
      <c r="A93" s="17" t="n">
        <v>46066</v>
      </c>
      <c r="B93" s="18" t="inlineStr">
        <is>
          <t>Everest Refrigeracao e Industria</t>
        </is>
      </c>
      <c r="C93" s="18" t="n"/>
      <c r="D93" s="27" t="n"/>
      <c r="E93" s="18" t="n"/>
      <c r="F93" s="19" t="n"/>
      <c r="G93" s="19" t="n">
        <v>810.99</v>
      </c>
      <c r="H93" s="21" t="inlineStr">
        <is>
          <t>Fornecedores / Mercadoria</t>
        </is>
      </c>
      <c r="I93" s="18" t="inlineStr">
        <is>
          <t>NF 368012 de 08/01/2026 · parcela 1/5 (venc. 07/02/2026) · compra total R$ 4.054,97: Purificador Everest Fit Branco + 2x Purificador Everest Slim Branco + Purificador Everest Slim Preto + 2x Purificador Everest Star Branco · Livro Caixa</t>
        </is>
      </c>
      <c r="J93" s="18" t="n"/>
    </row>
    <row r="94">
      <c r="A94" s="44" t="n">
        <v>46066</v>
      </c>
      <c r="B94" s="45" t="inlineStr">
        <is>
          <t>Everest Refrigeracao e Industria</t>
        </is>
      </c>
      <c r="C94" s="45" t="n"/>
      <c r="D94" s="46" t="n"/>
      <c r="E94" s="45" t="n"/>
      <c r="F94" s="47" t="n"/>
      <c r="G94" s="48" t="n">
        <v>841.0599999999999</v>
      </c>
      <c r="H94" s="49" t="inlineStr">
        <is>
          <t>Fornecedores / Mercadoria</t>
        </is>
      </c>
      <c r="I94" s="45" t="inlineStr">
        <is>
          <t>NF 366264 de 11/12/2025 · parcela 2/5 (venc. 09/02/2026) · compra total R$ 4.205,29: Purificador Everest Slim Branco + Purificador Everest Slim Prata + 2x Purificador Everest Star Branco + Purificador Everest Star Prata + Purificador Everest Plus Prata · Livro Caixa</t>
        </is>
      </c>
    </row>
    <row r="95">
      <c r="A95" s="17" t="n">
        <v>46066</v>
      </c>
      <c r="B95" s="18" t="inlineStr">
        <is>
          <t>Jamef</t>
        </is>
      </c>
      <c r="C95" s="18" t="n"/>
      <c r="D95" s="27" t="n"/>
      <c r="E95" s="18" t="n"/>
      <c r="F95" s="19" t="n"/>
      <c r="G95" s="19" t="n">
        <v>477.32</v>
      </c>
      <c r="H95" s="21" t="inlineStr">
        <is>
          <t>Transporte e Entregas</t>
        </is>
      </c>
      <c r="I95" s="18" t="inlineStr">
        <is>
          <t>Livro Caixa: Pagamento parcela JAMEF (Doc. 1) · Jamef Transportes Ltda</t>
        </is>
      </c>
      <c r="J95" s="18" t="n"/>
    </row>
    <row r="96">
      <c r="A96" s="44" t="n">
        <v>46066</v>
      </c>
      <c r="B96" s="45" t="inlineStr">
        <is>
          <t>Everest Refrigeracao e Industria</t>
        </is>
      </c>
      <c r="C96" s="45" t="n"/>
      <c r="D96" s="46" t="n"/>
      <c r="E96" s="45" t="n"/>
      <c r="F96" s="47" t="n"/>
      <c r="G96" s="48" t="n">
        <v>865.5</v>
      </c>
      <c r="H96" s="49" t="inlineStr">
        <is>
          <t>Fornecedores / Mercadoria</t>
        </is>
      </c>
      <c r="I96" s="45" t="inlineStr">
        <is>
          <t>NF 368529 de 14/01/2026 · parcela 1/5 (venc. 13/02/2026) · compra total R$ 4.327,52: Purificador Everest Plus Branco + Purificador Everest Plus Prata + Purificador Everest Star Prata + Purificador Everest Slim Prata + Purificador Everest Fit Prata + Purificador Everest Fit Branco · Livro Caixa</t>
        </is>
      </c>
    </row>
    <row r="97">
      <c r="A97" s="17" t="n">
        <v>46067</v>
      </c>
      <c r="B97" s="18" t="inlineStr">
        <is>
          <t>Neide Ferreira de Jesus</t>
        </is>
      </c>
      <c r="C97" s="18" t="inlineStr">
        <is>
          <t>Refil Everest</t>
        </is>
      </c>
      <c r="D97" s="27" t="n">
        <v>140</v>
      </c>
      <c r="E97" s="18" t="inlineStr">
        <is>
          <t>Pix</t>
        </is>
      </c>
      <c r="F97" s="19" t="n"/>
      <c r="G97" s="19" t="n"/>
      <c r="H97" s="21" t="n"/>
      <c r="I97" s="18" t="inlineStr">
        <is>
          <t>NFC-e 8889</t>
        </is>
      </c>
      <c r="J97" s="18" t="inlineStr">
        <is>
          <t>CLI-0717</t>
        </is>
      </c>
    </row>
    <row r="98">
      <c r="A98" s="44" t="n">
        <v>46067</v>
      </c>
      <c r="B98" s="45" t="inlineStr">
        <is>
          <t>Consumidor Final</t>
        </is>
      </c>
      <c r="C98" s="45" t="inlineStr">
        <is>
          <t>2x Refil FPA14</t>
        </is>
      </c>
      <c r="D98" s="46" t="n">
        <v>175</v>
      </c>
      <c r="E98" s="45" t="inlineStr">
        <is>
          <t>Pix</t>
        </is>
      </c>
      <c r="F98" s="47" t="n"/>
      <c r="G98" s="48" t="n"/>
      <c r="H98" s="49" t="n"/>
      <c r="I98" s="45" t="inlineStr">
        <is>
          <t>NFC-e 8890</t>
        </is>
      </c>
    </row>
    <row r="99">
      <c r="A99" s="17" t="n">
        <v>46067</v>
      </c>
      <c r="B99" s="18" t="inlineStr">
        <is>
          <t>Consumidor Final</t>
        </is>
      </c>
      <c r="C99" s="18" t="inlineStr">
        <is>
          <t>Carcaça 9" + Refil Carbon Tech 5"</t>
        </is>
      </c>
      <c r="D99" s="27" t="n">
        <v>150</v>
      </c>
      <c r="E99" s="18" t="inlineStr">
        <is>
          <t>Dinheiro</t>
        </is>
      </c>
      <c r="F99" s="19" t="n"/>
      <c r="G99" s="19" t="n"/>
      <c r="H99" s="21" t="n"/>
      <c r="I99" s="18" t="inlineStr">
        <is>
          <t>NFC-e 8891</t>
        </is>
      </c>
      <c r="J99" s="18" t="n"/>
    </row>
    <row r="100" ht="15.75" customHeight="1" s="157">
      <c r="A100" s="44" t="n">
        <v>46067</v>
      </c>
      <c r="B100" s="45" t="inlineStr">
        <is>
          <t>Consumidor Final</t>
        </is>
      </c>
      <c r="C100" s="45" t="inlineStr">
        <is>
          <t>Conexao Em T Rosca De 1/2 Com Engate Rapido Reto 1/4 X 1/4</t>
        </is>
      </c>
      <c r="D100" s="46" t="n">
        <v>37</v>
      </c>
      <c r="E100" s="45" t="inlineStr">
        <is>
          <t>Crédito Parcelado</t>
        </is>
      </c>
      <c r="F100" s="47" t="n"/>
      <c r="G100" s="48" t="n"/>
      <c r="H100" s="49" t="n"/>
      <c r="I100" s="45" t="inlineStr">
        <is>
          <t>NFC-e 8892</t>
        </is>
      </c>
    </row>
    <row r="101">
      <c r="A101" s="17" t="n">
        <v>46067</v>
      </c>
      <c r="B101" s="18" t="inlineStr">
        <is>
          <t>Godoval Matos Lacerda / Maria da Conceicao</t>
        </is>
      </c>
      <c r="C101" s="18" t="inlineStr">
        <is>
          <t>Refil Everest + Pré Filtro</t>
        </is>
      </c>
      <c r="D101" s="27" t="n">
        <v>180</v>
      </c>
      <c r="E101" s="18" t="inlineStr">
        <is>
          <t>Dinheiro</t>
        </is>
      </c>
      <c r="F101" s="19" t="n"/>
      <c r="G101" s="19" t="n"/>
      <c r="H101" s="21" t="n"/>
      <c r="I101" s="18" t="inlineStr">
        <is>
          <t>NFC-e 8893</t>
        </is>
      </c>
      <c r="J101" s="18" t="n"/>
    </row>
    <row r="102" ht="15.75" customHeight="1" s="157">
      <c r="A102" s="44" t="n">
        <v>46071</v>
      </c>
      <c r="B102" s="45" t="inlineStr">
        <is>
          <t>Ligia Miranda</t>
        </is>
      </c>
      <c r="C102" s="45" t="inlineStr">
        <is>
          <t>Refil Everest</t>
        </is>
      </c>
      <c r="D102" s="46" t="n">
        <v>140</v>
      </c>
      <c r="E102" s="45" t="inlineStr">
        <is>
          <t>Pix</t>
        </is>
      </c>
      <c r="F102" s="47" t="n"/>
      <c r="G102" s="48" t="n"/>
      <c r="H102" s="49" t="n"/>
      <c r="I102" s="45" t="inlineStr">
        <is>
          <t>NFC-e 8894</t>
        </is>
      </c>
      <c r="J102" t="inlineStr">
        <is>
          <t>CLI-0720</t>
        </is>
      </c>
    </row>
    <row r="103">
      <c r="A103" s="17" t="n">
        <v>46071</v>
      </c>
      <c r="B103" s="18" t="inlineStr">
        <is>
          <t>Consumidor Final</t>
        </is>
      </c>
      <c r="C103" s="18" t="inlineStr">
        <is>
          <t>Refil Pro Life</t>
        </is>
      </c>
      <c r="D103" s="27" t="n">
        <v>130</v>
      </c>
      <c r="E103" s="18" t="inlineStr">
        <is>
          <t>Dinheiro</t>
        </is>
      </c>
      <c r="F103" s="19" t="n"/>
      <c r="G103" s="19" t="n"/>
      <c r="H103" s="21" t="n"/>
      <c r="I103" s="18" t="inlineStr">
        <is>
          <t>NFC-e 8895</t>
        </is>
      </c>
      <c r="J103" s="18" t="n"/>
    </row>
    <row r="104" ht="15.75" customHeight="1" s="157">
      <c r="A104" s="44" t="n">
        <v>46071</v>
      </c>
      <c r="B104" s="45" t="inlineStr">
        <is>
          <t>Cristiane Oliveira Soares</t>
        </is>
      </c>
      <c r="C104" s="45" t="inlineStr">
        <is>
          <t>Refil Pro Life</t>
        </is>
      </c>
      <c r="D104" s="46" t="n">
        <v>140</v>
      </c>
      <c r="E104" s="45" t="inlineStr">
        <is>
          <t>Crédito Parcelado</t>
        </is>
      </c>
      <c r="F104" s="47" t="n"/>
      <c r="G104" s="48" t="n"/>
      <c r="H104" s="49" t="n"/>
      <c r="I104" s="45" t="inlineStr">
        <is>
          <t>NFC-e 8896</t>
        </is>
      </c>
    </row>
    <row r="105">
      <c r="A105" s="17" t="n">
        <v>46071</v>
      </c>
      <c r="B105" s="18" t="inlineStr">
        <is>
          <t>Aldo Henrique do Nascimento Freitas</t>
        </is>
      </c>
      <c r="C105" s="18" t="inlineStr">
        <is>
          <t>Refil Pro Life</t>
        </is>
      </c>
      <c r="D105" s="27" t="n">
        <v>140</v>
      </c>
      <c r="E105" s="18" t="inlineStr">
        <is>
          <t>Pix</t>
        </is>
      </c>
      <c r="F105" s="19" t="n"/>
      <c r="G105" s="19" t="n"/>
      <c r="H105" s="21" t="n"/>
      <c r="I105" s="18" t="inlineStr">
        <is>
          <t>NFC-e 8897</t>
        </is>
      </c>
      <c r="J105" s="18" t="n"/>
    </row>
    <row r="106">
      <c r="A106" s="44" t="n">
        <v>46071</v>
      </c>
      <c r="B106" s="45" t="inlineStr">
        <is>
          <t>Silvaneide Teixeira Gama Fontes</t>
        </is>
      </c>
      <c r="C106" s="45" t="inlineStr">
        <is>
          <t>Suporte</t>
        </is>
      </c>
      <c r="D106" s="46" t="n">
        <v>40</v>
      </c>
      <c r="E106" s="45" t="inlineStr">
        <is>
          <t>Crédito Parcelado</t>
        </is>
      </c>
      <c r="F106" s="47" t="n"/>
      <c r="G106" s="48" t="n"/>
      <c r="H106" s="49" t="n"/>
      <c r="I106" s="45" t="inlineStr">
        <is>
          <t>NFC-e 8898</t>
        </is>
      </c>
    </row>
    <row r="107">
      <c r="A107" s="17" t="n">
        <v>46071</v>
      </c>
      <c r="B107" s="18" t="inlineStr">
        <is>
          <t>Tarcisio Oliveira Lima</t>
        </is>
      </c>
      <c r="C107" s="18" t="n"/>
      <c r="D107" s="27" t="n"/>
      <c r="E107" s="18" t="n"/>
      <c r="F107" s="19" t="n"/>
      <c r="G107" s="19" t="n">
        <v>486.32</v>
      </c>
      <c r="H107" s="21" t="inlineStr">
        <is>
          <t>Contabilidade</t>
        </is>
      </c>
      <c r="I107" s="18" t="inlineStr">
        <is>
          <t>Livro Caixa: Pagamento parcela TARCISIO OLIVEIRA LIMA (Doc. 1) · Tarcisio Oliveira Lima</t>
        </is>
      </c>
      <c r="J107" s="18" t="n"/>
    </row>
    <row r="108">
      <c r="A108" s="44" t="n">
        <v>46071</v>
      </c>
      <c r="B108" s="45" t="inlineStr">
        <is>
          <t>Eversoft Ind e Com de Plasticos Ltda</t>
        </is>
      </c>
      <c r="C108" s="45" t="n"/>
      <c r="D108" s="46" t="n"/>
      <c r="E108" s="45" t="n"/>
      <c r="F108" s="47" t="n"/>
      <c r="G108" s="48" t="n">
        <v>878.9299999999999</v>
      </c>
      <c r="H108" s="49" t="inlineStr">
        <is>
          <t>Fornecedores / Mercadoria</t>
        </is>
      </c>
      <c r="I108" s="45" t="inlineStr">
        <is>
          <t>NF 67435 de 19/09/2025 · parcela 5/5 (venc. 16/02/2026) · compra total R$ 4.394,61: 100x Refil Everest · Livro Caixa</t>
        </is>
      </c>
    </row>
    <row r="109">
      <c r="A109" s="17" t="n">
        <v>46071</v>
      </c>
      <c r="B109" s="18" t="inlineStr">
        <is>
          <t>Filtros Planeta Agua Ind e Com Ltda</t>
        </is>
      </c>
      <c r="C109" s="18" t="n"/>
      <c r="D109" s="27" t="n"/>
      <c r="E109" s="18" t="n"/>
      <c r="F109" s="19" t="n"/>
      <c r="G109" s="19" t="n">
        <v>508.43</v>
      </c>
      <c r="H109" s="21" t="inlineStr">
        <is>
          <t>Fornecedores / Mercadoria</t>
        </is>
      </c>
      <c r="I109" s="18" t="inlineStr">
        <is>
          <t>NF 126565 de 20/01/2026 · parcela 1/4 (venc. 17/02/2026) · compra total R$ 1.771,04 (IPI R$ 87,54): 65x Refil Pro Life · Livro Caixa</t>
        </is>
      </c>
      <c r="J109" s="18" t="n"/>
    </row>
    <row r="110">
      <c r="A110" s="44" t="n">
        <v>46071</v>
      </c>
      <c r="B110" s="45" t="inlineStr">
        <is>
          <t>Filtros Planeta Agua Ind e Com Ltda</t>
        </is>
      </c>
      <c r="C110" s="45" t="n"/>
      <c r="D110" s="46" t="n"/>
      <c r="E110" s="45" t="n"/>
      <c r="F110" s="47" t="n"/>
      <c r="G110" s="48" t="n">
        <v>426.73</v>
      </c>
      <c r="H110" s="49" t="inlineStr">
        <is>
          <t>Fornecedores / Mercadoria</t>
        </is>
      </c>
      <c r="I110" s="45" t="inlineStr">
        <is>
          <t>NF 125587 de 10/12/2025 · parcela 4/4 (venc. 18/02/2026) · compra total R$ 1.793,26 (IPI R$ 86,32): 5x Refil Lacqua + 15x Refil Fit Poe Pp 9.3/4 + 10x Refil Carbon Block 5 Pol + 5x Refil Top Color + 5x Refil Acquatec + 5x Refiil Carbon Tech 9.3/4 Pol + 20x Refil Poli Flu Plissado 9.3/4 + 5x Refil Fpa16 + Mangueira · Livro Caixa</t>
        </is>
      </c>
    </row>
    <row r="111">
      <c r="A111" s="17" t="n">
        <v>46071</v>
      </c>
      <c r="B111" s="18" t="inlineStr">
        <is>
          <t>Everest Refrigeracao e Industria</t>
        </is>
      </c>
      <c r="C111" s="18" t="n"/>
      <c r="D111" s="27" t="n"/>
      <c r="E111" s="18" t="n"/>
      <c r="F111" s="19" t="n"/>
      <c r="G111" s="19" t="n">
        <v>800.65</v>
      </c>
      <c r="H111" s="21" t="inlineStr">
        <is>
          <t>Fornecedores / Mercadoria</t>
        </is>
      </c>
      <c r="I111" s="18" t="inlineStr">
        <is>
          <t>NF 362188 de 22/10/2025 · parcela 4/5 (venc. 19/02/2026) · compra total R$ 4.003,24: Purificador Everest Fit Branco + Purificador Everest Fit Prata + Purificador Everest Slim Branco + Purificador Everest Slim Prata + Purificador Everest Star Branco + 4x Purificador Everest Baby Cereja · Livro Caixa</t>
        </is>
      </c>
      <c r="J111" s="18" t="n"/>
    </row>
    <row r="112">
      <c r="A112" s="44" t="n">
        <v>46072</v>
      </c>
      <c r="B112" s="45" t="inlineStr">
        <is>
          <t>Consumidor Final</t>
        </is>
      </c>
      <c r="C112" s="45" t="inlineStr">
        <is>
          <t>Refil FPA16</t>
        </is>
      </c>
      <c r="D112" s="46" t="n">
        <v>90</v>
      </c>
      <c r="E112" s="45" t="inlineStr">
        <is>
          <t>Débito</t>
        </is>
      </c>
      <c r="F112" s="47" t="n"/>
      <c r="G112" s="48" t="n"/>
      <c r="H112" s="49" t="n"/>
      <c r="I112" s="45" t="inlineStr">
        <is>
          <t>NFC-e 8899</t>
        </is>
      </c>
    </row>
    <row r="113">
      <c r="A113" s="17" t="n">
        <v>46072</v>
      </c>
      <c r="B113" s="18" t="inlineStr">
        <is>
          <t>Roberio Antonio Bonfim da Silva</t>
        </is>
      </c>
      <c r="C113" s="18" t="inlineStr">
        <is>
          <t>Refil Everest</t>
        </is>
      </c>
      <c r="D113" s="27" t="n">
        <v>140</v>
      </c>
      <c r="E113" s="18" t="inlineStr">
        <is>
          <t>Pix</t>
        </is>
      </c>
      <c r="F113" s="19" t="n"/>
      <c r="G113" s="19" t="n"/>
      <c r="H113" s="21" t="n"/>
      <c r="I113" s="18" t="inlineStr">
        <is>
          <t>NFC-e 8900</t>
        </is>
      </c>
      <c r="J113" s="18" t="inlineStr">
        <is>
          <t>CLI-0723</t>
        </is>
      </c>
    </row>
    <row r="114">
      <c r="A114" s="44" t="n">
        <v>46073</v>
      </c>
      <c r="B114" s="45" t="inlineStr">
        <is>
          <t>Suziana de Oliveira</t>
        </is>
      </c>
      <c r="C114" s="45" t="inlineStr">
        <is>
          <t>Refil Everest</t>
        </is>
      </c>
      <c r="D114" s="46" t="n">
        <v>140</v>
      </c>
      <c r="E114" s="45" t="inlineStr">
        <is>
          <t>Crédito Parcelado</t>
        </is>
      </c>
      <c r="F114" s="47" t="n"/>
      <c r="G114" s="48" t="n"/>
      <c r="H114" s="49" t="n"/>
      <c r="I114" s="45" t="inlineStr">
        <is>
          <t>NFC-e 8901</t>
        </is>
      </c>
    </row>
    <row r="115">
      <c r="A115" s="17" t="n">
        <v>46073</v>
      </c>
      <c r="B115" s="18" t="inlineStr">
        <is>
          <t>Vanuzia Maria dos Santos</t>
        </is>
      </c>
      <c r="C115" s="18" t="inlineStr">
        <is>
          <t>Purificador Everest Fit Preto</t>
        </is>
      </c>
      <c r="D115" s="27" t="n">
        <v>1448</v>
      </c>
      <c r="E115" s="18" t="inlineStr">
        <is>
          <t>Dinheiro</t>
        </is>
      </c>
      <c r="F115" s="19" t="n"/>
      <c r="G115" s="19" t="n"/>
      <c r="H115" s="21" t="n"/>
      <c r="I115" s="18" t="inlineStr">
        <is>
          <t>NF-e 4076</t>
        </is>
      </c>
      <c r="J115" s="18" t="n"/>
    </row>
    <row r="116">
      <c r="A116" s="44" t="n">
        <v>46073</v>
      </c>
      <c r="B116" s="45" t="inlineStr">
        <is>
          <t>Consumidor Final</t>
        </is>
      </c>
      <c r="C116" s="45" t="inlineStr">
        <is>
          <t>Refil E3 Compacto</t>
        </is>
      </c>
      <c r="D116" s="46" t="n">
        <v>75</v>
      </c>
      <c r="E116" s="45" t="inlineStr">
        <is>
          <t>Crédito Parcelado</t>
        </is>
      </c>
      <c r="F116" s="47" t="n"/>
      <c r="G116" s="48" t="n"/>
      <c r="H116" s="49" t="n"/>
      <c r="I116" s="45" t="inlineStr">
        <is>
          <t>NFC-e 8902</t>
        </is>
      </c>
    </row>
    <row r="117">
      <c r="A117" s="17" t="n">
        <v>46073</v>
      </c>
      <c r="B117" s="18" t="inlineStr">
        <is>
          <t>Igreja Messianica Mundial do Brasil</t>
        </is>
      </c>
      <c r="C117" s="18" t="inlineStr">
        <is>
          <t>Mangueira (1 m)</t>
        </is>
      </c>
      <c r="D117" s="27" t="n">
        <v>30</v>
      </c>
      <c r="E117" s="18" t="inlineStr">
        <is>
          <t>Aguardando Pagamento</t>
        </is>
      </c>
      <c r="F117" s="19" t="n"/>
      <c r="G117" s="19" t="n"/>
      <c r="H117" s="21" t="n"/>
      <c r="I117" s="18" t="inlineStr">
        <is>
          <t>NF-e 4075 · não recebido (conferido no DigiSat em 28/09/2026) — espelhado em Contas a Receber.</t>
        </is>
      </c>
      <c r="J117" s="18" t="inlineStr">
        <is>
          <t>EMP-0177</t>
        </is>
      </c>
    </row>
    <row r="118">
      <c r="A118" s="44" t="n">
        <v>46073</v>
      </c>
      <c r="B118" s="45" t="inlineStr">
        <is>
          <t>Receitas Federais</t>
        </is>
      </c>
      <c r="C118" s="45" t="n"/>
      <c r="D118" s="46" t="n"/>
      <c r="E118" s="45" t="n"/>
      <c r="F118" s="47" t="n"/>
      <c r="G118" s="48" t="n">
        <v>478.17</v>
      </c>
      <c r="H118" s="49" t="inlineStr">
        <is>
          <t>Impostos e Taxas</t>
        </is>
      </c>
      <c r="I118" s="45" t="inlineStr">
        <is>
          <t>Livro Caixa: Pagamento parcela RECEITAS FEDERAIS (Doc. 1) · Planeta Agua Ltda</t>
        </is>
      </c>
    </row>
    <row r="119">
      <c r="A119" s="17" t="n">
        <v>46073</v>
      </c>
      <c r="B119" s="18" t="inlineStr">
        <is>
          <t>Guia do Fgts Digital</t>
        </is>
      </c>
      <c r="C119" s="18" t="n"/>
      <c r="D119" s="27" t="n"/>
      <c r="E119" s="18" t="n"/>
      <c r="F119" s="19" t="n"/>
      <c r="G119" s="19" t="n">
        <v>309.78</v>
      </c>
      <c r="H119" s="21" t="inlineStr">
        <is>
          <t>Impostos e Taxas</t>
        </is>
      </c>
      <c r="I119" s="18" t="inlineStr">
        <is>
          <t>Livro Caixa: Pagamento parcela GUIA DO FGTS DIGITAL (Doc. 1) · Planeta Agua Ltda</t>
        </is>
      </c>
      <c r="J119" s="18" t="n"/>
    </row>
    <row r="120">
      <c r="A120" s="44" t="n">
        <v>46073</v>
      </c>
      <c r="B120" s="45" t="inlineStr">
        <is>
          <t>Documento de Arrecadação do Simples Na</t>
        </is>
      </c>
      <c r="C120" s="45" t="n"/>
      <c r="D120" s="46" t="n"/>
      <c r="E120" s="45" t="n"/>
      <c r="F120" s="47" t="n"/>
      <c r="G120" s="48" t="n">
        <v>1219.79</v>
      </c>
      <c r="H120" s="49" t="inlineStr">
        <is>
          <t>Impostos e Taxas</t>
        </is>
      </c>
      <c r="I120" s="45" t="inlineStr">
        <is>
          <t>Livro Caixa: Pagamento parcela DOCUMENTO DE ARRECADAÇÃO DO SIMPLES NA · Planeta Agua Ltda</t>
        </is>
      </c>
    </row>
    <row r="121">
      <c r="A121" s="17" t="n">
        <v>46076</v>
      </c>
      <c r="B121" s="18" t="inlineStr">
        <is>
          <t>Ualasse Santos Cruz</t>
        </is>
      </c>
      <c r="C121" s="18" t="inlineStr">
        <is>
          <t>Refil Everest</t>
        </is>
      </c>
      <c r="D121" s="27" t="n">
        <v>140</v>
      </c>
      <c r="E121" s="18" t="inlineStr">
        <is>
          <t>Pix</t>
        </is>
      </c>
      <c r="F121" s="19" t="n"/>
      <c r="G121" s="19" t="n"/>
      <c r="H121" s="21" t="n"/>
      <c r="I121" s="18" t="inlineStr">
        <is>
          <t>NFC-e 8903</t>
        </is>
      </c>
      <c r="J121" s="18" t="inlineStr">
        <is>
          <t>CLI-0726</t>
        </is>
      </c>
    </row>
    <row r="122">
      <c r="A122" s="44" t="n">
        <v>46076</v>
      </c>
      <c r="B122" s="45" t="inlineStr">
        <is>
          <t>Thaise Teixeira Rocha da Silva</t>
        </is>
      </c>
      <c r="C122" s="45" t="inlineStr">
        <is>
          <t>Refil Everest</t>
        </is>
      </c>
      <c r="D122" s="46" t="n">
        <v>135</v>
      </c>
      <c r="E122" s="45" t="inlineStr">
        <is>
          <t>Dinheiro</t>
        </is>
      </c>
      <c r="F122" s="47" t="n"/>
      <c r="G122" s="48" t="n"/>
      <c r="H122" s="49" t="n"/>
      <c r="I122" s="45" t="inlineStr">
        <is>
          <t>NFC-e 8904</t>
        </is>
      </c>
      <c r="J122" t="inlineStr">
        <is>
          <t>CLI-0727</t>
        </is>
      </c>
    </row>
    <row r="123">
      <c r="A123" s="17" t="n">
        <v>46076</v>
      </c>
      <c r="B123" s="18" t="inlineStr">
        <is>
          <t>Mariana Santos Cunha Moraes</t>
        </is>
      </c>
      <c r="C123" s="18" t="inlineStr">
        <is>
          <t>Purificador Everest Baby Preto</t>
        </is>
      </c>
      <c r="D123" s="27" t="n">
        <v>510</v>
      </c>
      <c r="E123" s="18" t="inlineStr">
        <is>
          <t>Dinheiro</t>
        </is>
      </c>
      <c r="F123" s="19" t="n"/>
      <c r="G123" s="19" t="n"/>
      <c r="H123" s="21" t="n"/>
      <c r="I123" s="18" t="inlineStr">
        <is>
          <t>NF-e 4077</t>
        </is>
      </c>
      <c r="J123" s="18" t="inlineStr">
        <is>
          <t>CLI-0728</t>
        </is>
      </c>
    </row>
    <row r="124">
      <c r="A124" s="44" t="n">
        <v>46076</v>
      </c>
      <c r="B124" s="45" t="inlineStr">
        <is>
          <t>Juliane Rosa de Oliveira</t>
        </is>
      </c>
      <c r="C124" s="45" t="inlineStr">
        <is>
          <t>Refil Everest</t>
        </is>
      </c>
      <c r="D124" s="46" t="n">
        <v>140</v>
      </c>
      <c r="E124" s="45" t="inlineStr">
        <is>
          <t>Crédito Parcelado</t>
        </is>
      </c>
      <c r="F124" s="47" t="n"/>
      <c r="G124" s="48" t="n"/>
      <c r="H124" s="49" t="n"/>
      <c r="I124" s="45" t="inlineStr">
        <is>
          <t>NFC-e 8905</t>
        </is>
      </c>
    </row>
    <row r="125">
      <c r="A125" s="17" t="n">
        <v>46076</v>
      </c>
      <c r="B125" s="18" t="inlineStr">
        <is>
          <t>Clinica Medica Jayme D Almeida Cruz Ltda</t>
        </is>
      </c>
      <c r="C125" s="18" t="inlineStr">
        <is>
          <t>Refil Everest</t>
        </is>
      </c>
      <c r="D125" s="27" t="n">
        <v>140</v>
      </c>
      <c r="E125" s="18" t="n"/>
      <c r="F125" s="19" t="n"/>
      <c r="G125" s="19" t="n"/>
      <c r="H125" s="21" t="n"/>
      <c r="I125" s="18" t="inlineStr">
        <is>
          <t>NF-e 4078. Recebimento não constava no Livro Caixa; conferido e baixado no DigiSat em 28/09/2026.</t>
        </is>
      </c>
      <c r="J125" s="18" t="n"/>
    </row>
    <row r="126">
      <c r="A126" s="44" t="n">
        <v>46077</v>
      </c>
      <c r="B126" s="45" t="inlineStr">
        <is>
          <t>Angelice Moreira Brasileiro</t>
        </is>
      </c>
      <c r="C126" s="45" t="inlineStr">
        <is>
          <t>Refil Everest</t>
        </is>
      </c>
      <c r="D126" s="46" t="n">
        <v>140</v>
      </c>
      <c r="E126" s="45" t="inlineStr">
        <is>
          <t>Dinheiro</t>
        </is>
      </c>
      <c r="F126" s="47" t="n"/>
      <c r="G126" s="48" t="n"/>
      <c r="H126" s="49" t="n"/>
      <c r="I126" s="45" t="inlineStr">
        <is>
          <t>NFC-e 8906</t>
        </is>
      </c>
      <c r="J126" t="inlineStr">
        <is>
          <t>CLI-0729</t>
        </is>
      </c>
    </row>
    <row r="127">
      <c r="A127" s="17" t="n">
        <v>46077</v>
      </c>
      <c r="B127" s="18" t="inlineStr">
        <is>
          <t>Francis Roges Lauxen</t>
        </is>
      </c>
      <c r="C127" s="18" t="inlineStr">
        <is>
          <t>Refil Everest</t>
        </is>
      </c>
      <c r="D127" s="27" t="n">
        <v>140</v>
      </c>
      <c r="E127" s="18" t="inlineStr">
        <is>
          <t>Pix</t>
        </is>
      </c>
      <c r="F127" s="19" t="n"/>
      <c r="G127" s="19" t="n"/>
      <c r="H127" s="21" t="n"/>
      <c r="I127" s="18" t="inlineStr">
        <is>
          <t>NF-e 4079</t>
        </is>
      </c>
      <c r="J127" s="18" t="inlineStr">
        <is>
          <t>CLI-0730</t>
        </is>
      </c>
    </row>
    <row r="128" ht="15.75" customHeight="1" s="157">
      <c r="A128" s="44" t="n">
        <v>46077</v>
      </c>
      <c r="B128" s="45" t="inlineStr">
        <is>
          <t>Thaise Teixeira Rocha da Silva</t>
        </is>
      </c>
      <c r="C128" s="45" t="inlineStr">
        <is>
          <t>Purificador Everest Plus Branco</t>
        </is>
      </c>
      <c r="D128" s="46" t="n">
        <v>1498</v>
      </c>
      <c r="E128" s="45" t="inlineStr">
        <is>
          <t>Dinheiro</t>
        </is>
      </c>
      <c r="F128" s="47" t="n"/>
      <c r="G128" s="48" t="n"/>
      <c r="H128" s="49" t="n"/>
      <c r="I128" s="45" t="inlineStr">
        <is>
          <t>NF-e 4080</t>
        </is>
      </c>
      <c r="J128" t="inlineStr">
        <is>
          <t>CLI-0727</t>
        </is>
      </c>
    </row>
    <row r="129">
      <c r="A129" s="17" t="n">
        <v>46077</v>
      </c>
      <c r="B129" s="18" t="inlineStr">
        <is>
          <t>Consumidor Final</t>
        </is>
      </c>
      <c r="C129" s="18" t="inlineStr">
        <is>
          <t>2x Vela Filtro de Barro</t>
        </is>
      </c>
      <c r="D129" s="27" t="n">
        <v>24</v>
      </c>
      <c r="E129" s="18" t="inlineStr">
        <is>
          <t>Pix</t>
        </is>
      </c>
      <c r="F129" s="19" t="n"/>
      <c r="G129" s="19" t="n"/>
      <c r="H129" s="21" t="n"/>
      <c r="I129" s="18" t="inlineStr">
        <is>
          <t>NFC-e 8907</t>
        </is>
      </c>
      <c r="J129" s="18" t="n"/>
    </row>
    <row r="130">
      <c r="A130" s="44" t="n">
        <v>46078</v>
      </c>
      <c r="B130" s="45" t="inlineStr">
        <is>
          <t>Vanessa Silva do Carmo Ltd</t>
        </is>
      </c>
      <c r="C130" s="45" t="inlineStr">
        <is>
          <t>Refil Everest</t>
        </is>
      </c>
      <c r="D130" s="46" t="n">
        <v>140</v>
      </c>
      <c r="E130" s="45" t="inlineStr">
        <is>
          <t>Dinheiro</t>
        </is>
      </c>
      <c r="F130" s="47" t="n"/>
      <c r="G130" s="48" t="n"/>
      <c r="H130" s="49" t="n"/>
      <c r="I130" s="45" t="inlineStr">
        <is>
          <t>NF-e 4081</t>
        </is>
      </c>
    </row>
    <row r="131">
      <c r="A131" s="17" t="n">
        <v>46078</v>
      </c>
      <c r="B131" s="18" t="inlineStr">
        <is>
          <t>Supreme Odontologia - MS Odonto</t>
        </is>
      </c>
      <c r="C131" s="18" t="inlineStr">
        <is>
          <t>Refil Pro Life</t>
        </is>
      </c>
      <c r="D131" s="27" t="n">
        <v>140</v>
      </c>
      <c r="E131" s="18" t="n"/>
      <c r="F131" s="19" t="n"/>
      <c r="G131" s="19" t="n"/>
      <c r="H131" s="21" t="n"/>
      <c r="I131" s="18" t="inlineStr">
        <is>
          <t>NF-e 4082 · nota faturada a prazo (forma de recebimento não consta na nota)</t>
        </is>
      </c>
      <c r="J131" s="18" t="inlineStr">
        <is>
          <t>EMP-0287</t>
        </is>
      </c>
    </row>
    <row r="132">
      <c r="A132" s="44" t="n">
        <v>46079</v>
      </c>
      <c r="B132" s="45" t="inlineStr">
        <is>
          <t>Consumidor Final</t>
        </is>
      </c>
      <c r="C132" s="45" t="inlineStr">
        <is>
          <t>Refil Everest</t>
        </is>
      </c>
      <c r="D132" s="46" t="n">
        <v>140</v>
      </c>
      <c r="E132" s="45" t="inlineStr">
        <is>
          <t>Crédito Parcelado</t>
        </is>
      </c>
      <c r="F132" s="47" t="n"/>
      <c r="G132" s="48" t="n"/>
      <c r="H132" s="49" t="n"/>
      <c r="I132" s="45" t="inlineStr">
        <is>
          <t>NFC-e 8908</t>
        </is>
      </c>
    </row>
    <row r="133">
      <c r="A133" s="17" t="n">
        <v>46079</v>
      </c>
      <c r="B133" s="18" t="inlineStr">
        <is>
          <t>Maria Cleide de Oliveira</t>
        </is>
      </c>
      <c r="C133" s="18" t="inlineStr">
        <is>
          <t>Refil Pro Life</t>
        </is>
      </c>
      <c r="D133" s="27" t="n">
        <v>130</v>
      </c>
      <c r="E133" s="18" t="inlineStr">
        <is>
          <t>Dinheiro</t>
        </is>
      </c>
      <c r="F133" s="19" t="n"/>
      <c r="G133" s="19" t="n"/>
      <c r="H133" s="21" t="n"/>
      <c r="I133" s="18" t="inlineStr">
        <is>
          <t>NF-e 4083</t>
        </is>
      </c>
      <c r="J133" s="18" t="n"/>
    </row>
    <row r="134">
      <c r="A134" s="44" t="n">
        <v>46079</v>
      </c>
      <c r="B134" s="45" t="inlineStr">
        <is>
          <t>Maria Conceicao Dias da Silva</t>
        </is>
      </c>
      <c r="C134" s="45" t="inlineStr">
        <is>
          <t>Refil Everest</t>
        </is>
      </c>
      <c r="D134" s="46" t="n">
        <v>140</v>
      </c>
      <c r="E134" s="45" t="inlineStr">
        <is>
          <t>Crédito Parcelado</t>
        </is>
      </c>
      <c r="F134" s="47" t="n"/>
      <c r="G134" s="48" t="n"/>
      <c r="H134" s="49" t="n"/>
      <c r="I134" s="45" t="inlineStr">
        <is>
          <t>NFC-e 8909</t>
        </is>
      </c>
    </row>
    <row r="135">
      <c r="A135" s="17" t="n">
        <v>46080</v>
      </c>
      <c r="B135" s="18" t="inlineStr">
        <is>
          <t>Arsenio Pereira Teixeira</t>
        </is>
      </c>
      <c r="C135" s="18" t="inlineStr">
        <is>
          <t>Refil Pro Life</t>
        </is>
      </c>
      <c r="D135" s="27" t="n">
        <v>140</v>
      </c>
      <c r="E135" s="18" t="inlineStr">
        <is>
          <t>Dinheiro</t>
        </is>
      </c>
      <c r="F135" s="19" t="n"/>
      <c r="G135" s="19" t="n"/>
      <c r="H135" s="21" t="n"/>
      <c r="I135" s="18" t="inlineStr">
        <is>
          <t>NFC-e 8910</t>
        </is>
      </c>
      <c r="J135" s="18" t="inlineStr">
        <is>
          <t>CLI-0733</t>
        </is>
      </c>
    </row>
    <row r="136">
      <c r="A136" s="44" t="n">
        <v>46080</v>
      </c>
      <c r="B136" s="45" t="inlineStr">
        <is>
          <t>Renilde Teixeira</t>
        </is>
      </c>
      <c r="C136" s="45" t="inlineStr">
        <is>
          <t>Refil Everest</t>
        </is>
      </c>
      <c r="D136" s="46" t="n">
        <v>130</v>
      </c>
      <c r="E136" s="45" t="inlineStr">
        <is>
          <t>Pix</t>
        </is>
      </c>
      <c r="F136" s="47" t="n"/>
      <c r="G136" s="48" t="n"/>
      <c r="H136" s="49" t="n"/>
      <c r="I136" s="45" t="inlineStr">
        <is>
          <t>NFC-e 8911</t>
        </is>
      </c>
      <c r="J136" t="inlineStr">
        <is>
          <t>CLI-0734</t>
        </is>
      </c>
    </row>
    <row r="137">
      <c r="A137" s="17" t="n">
        <v>46080</v>
      </c>
      <c r="B137" s="18" t="inlineStr">
        <is>
          <t>Sertão Produtos Naturais Ltda</t>
        </is>
      </c>
      <c r="C137" s="18" t="inlineStr">
        <is>
          <t>Refil Everest</t>
        </is>
      </c>
      <c r="D137" s="27" t="n">
        <v>130</v>
      </c>
      <c r="E137" s="18" t="inlineStr">
        <is>
          <t>Pix</t>
        </is>
      </c>
      <c r="F137" s="19" t="n"/>
      <c r="G137" s="19" t="n"/>
      <c r="H137" s="21" t="n"/>
      <c r="I137" s="18" t="inlineStr">
        <is>
          <t>NF-e 4084</t>
        </is>
      </c>
      <c r="J137" s="18" t="inlineStr">
        <is>
          <t>EMP-0274</t>
        </is>
      </c>
    </row>
    <row r="138">
      <c r="A138" s="44" t="n">
        <v>46080</v>
      </c>
      <c r="B138" s="45" t="inlineStr">
        <is>
          <t>DrillGeo Geologia e Sondagens</t>
        </is>
      </c>
      <c r="C138" s="45" t="inlineStr">
        <is>
          <t>2x Refil Carbon Tech 9" + 2x Refil Plissado</t>
        </is>
      </c>
      <c r="D138" s="46" t="n">
        <v>360</v>
      </c>
      <c r="E138" s="45" t="n"/>
      <c r="F138" s="47" t="n"/>
      <c r="G138" s="48" t="n"/>
      <c r="H138" s="49" t="n"/>
      <c r="I138" s="45" t="inlineStr">
        <is>
          <t>NF-e 4072 · nota faturada a prazo (forma de recebimento não consta na nota) · venda de 18/02/2026 — pagamento recebido em 27/02/2026</t>
        </is>
      </c>
      <c r="J138" t="inlineStr">
        <is>
          <t>EMP-0125</t>
        </is>
      </c>
    </row>
    <row r="139">
      <c r="A139" s="17" t="n">
        <v>46080</v>
      </c>
      <c r="B139" s="18" t="inlineStr">
        <is>
          <t>Eversoft Ind e Com de Plasticos Ltda</t>
        </is>
      </c>
      <c r="C139" s="18" t="n"/>
      <c r="D139" s="27" t="n"/>
      <c r="E139" s="18" t="n"/>
      <c r="F139" s="19" t="n"/>
      <c r="G139" s="19" t="n">
        <v>878.92</v>
      </c>
      <c r="H139" s="21" t="inlineStr">
        <is>
          <t>Fornecedores / Mercadoria</t>
        </is>
      </c>
      <c r="I139" s="18" t="inlineStr">
        <is>
          <t>NF 68349 de 24/10/2025 · parcela 4/5 (venc. 21/02/2026) · compra total R$ 4.394,61: 100x Refil Everest · Livro Caixa</t>
        </is>
      </c>
      <c r="J139" s="18" t="n"/>
    </row>
    <row r="140">
      <c r="A140" s="44" t="n">
        <v>46080</v>
      </c>
      <c r="B140" s="45" t="inlineStr">
        <is>
          <t>Everest Refrigeracao e Industria</t>
        </is>
      </c>
      <c r="C140" s="45" t="n"/>
      <c r="D140" s="46" t="n"/>
      <c r="E140" s="45" t="n"/>
      <c r="F140" s="47" t="n"/>
      <c r="G140" s="48" t="n">
        <v>546.78</v>
      </c>
      <c r="H140" s="49" t="inlineStr">
        <is>
          <t>Fornecedores / Mercadoria</t>
        </is>
      </c>
      <c r="I140" s="45" t="inlineStr">
        <is>
          <t>NF 360351 de 25/09/2025 · parcela 5/5 (venc. 22/02/2026) · compra total R$ 2.733,82: Purificador Everest Fit Branco + Purificador Everest Fit Prata + Purificador Everest Slim Prata + Purificador Everest Star Branco · Livro Caixa</t>
        </is>
      </c>
    </row>
    <row r="141">
      <c r="A141" s="17" t="n">
        <v>46080</v>
      </c>
      <c r="B141" s="18" t="inlineStr">
        <is>
          <t>Eversoft Ind e Com de Plasticos Ltda</t>
        </is>
      </c>
      <c r="C141" s="18" t="n"/>
      <c r="D141" s="27" t="n"/>
      <c r="E141" s="18" t="n"/>
      <c r="F141" s="19" t="n"/>
      <c r="G141" s="19" t="n">
        <v>541.37</v>
      </c>
      <c r="H141" s="21" t="inlineStr">
        <is>
          <t>Fornecedores / Mercadoria</t>
        </is>
      </c>
      <c r="I141" s="18" t="inlineStr">
        <is>
          <t>NF 70444 de 23/01/2026 · parcela 1/5 (venc. 22/02/2026) · compra total R$ 2.706,83: 50x Refil Everest + 50x Pré Filtro · Livro Caixa</t>
        </is>
      </c>
      <c r="J141" s="18" t="n"/>
    </row>
    <row r="142">
      <c r="A142" s="44" t="n">
        <v>46080</v>
      </c>
      <c r="B142" s="45" t="inlineStr">
        <is>
          <t>Eversoft Ind e Com de Plasticos Ltda</t>
        </is>
      </c>
      <c r="C142" s="45" t="n"/>
      <c r="D142" s="46" t="n"/>
      <c r="E142" s="45" t="n"/>
      <c r="F142" s="47" t="n"/>
      <c r="G142" s="48" t="n">
        <v>980.83</v>
      </c>
      <c r="H142" s="49" t="inlineStr">
        <is>
          <t>Fornecedores / Mercadoria</t>
        </is>
      </c>
      <c r="I142" s="45" t="inlineStr">
        <is>
          <t>NF 69107 de 27/11/2025 · parcela 3/5 (venc. 25/02/2026) · compra total R$ 4.904,13: 100x Refil Everest + 50x Pré Filtro · Livro Caixa</t>
        </is>
      </c>
    </row>
    <row r="143">
      <c r="A143" s="17" t="n">
        <v>46080</v>
      </c>
      <c r="B143" s="18" t="inlineStr">
        <is>
          <t>Icms Antecipação Parcial</t>
        </is>
      </c>
      <c r="C143" s="18" t="n"/>
      <c r="D143" s="27" t="n"/>
      <c r="E143" s="18" t="n"/>
      <c r="F143" s="19" t="n"/>
      <c r="G143" s="19" t="n">
        <v>1808.35</v>
      </c>
      <c r="H143" s="21" t="inlineStr">
        <is>
          <t>Impostos e Taxas</t>
        </is>
      </c>
      <c r="I143" s="18" t="inlineStr">
        <is>
          <t>Livro Caixa: Pagamento parcela ICMS ANTECIPAÇÃO PARCIAL (Doc. 1) · Planeta Agua Ltda</t>
        </is>
      </c>
      <c r="J143" s="18" t="n"/>
    </row>
    <row r="144">
      <c r="A144" s="44" t="n">
        <v>46080</v>
      </c>
      <c r="B144" s="45" t="inlineStr">
        <is>
          <t>Everest Refrigeracao e Industria</t>
        </is>
      </c>
      <c r="C144" s="45" t="n"/>
      <c r="D144" s="46" t="n"/>
      <c r="E144" s="45" t="n"/>
      <c r="F144" s="47" t="n"/>
      <c r="G144" s="48" t="n">
        <v>1279.66</v>
      </c>
      <c r="H144" s="49" t="inlineStr">
        <is>
          <t>Fornecedores / Mercadoria</t>
        </is>
      </c>
      <c r="I144" s="45" t="inlineStr">
        <is>
          <t>NF 369793 de 28/01/2026 · parcela 1/3 (venc. 27/02/2026) · compra total R$ 3.838,20: Purificador Everest Star Branco + Purificador Everest Fit Preto + Purificador Everest Plus Preto + 8x Purificador Everest Baby Branco + 4x Purificador Everest Baby Preto · Livro Caixa</t>
        </is>
      </c>
    </row>
    <row r="145">
      <c r="A145" s="17" t="n">
        <v>46081</v>
      </c>
      <c r="B145" s="18" t="inlineStr">
        <is>
          <t>Mallan Araujo Neris</t>
        </is>
      </c>
      <c r="C145" s="18" t="inlineStr">
        <is>
          <t>Refil Everest + Pré Filtro + Mangueira (1 m)</t>
        </is>
      </c>
      <c r="D145" s="27" t="n">
        <v>212</v>
      </c>
      <c r="E145" s="18" t="inlineStr">
        <is>
          <t>Crédito Parcelado</t>
        </is>
      </c>
      <c r="F145" s="19" t="n"/>
      <c r="G145" s="19" t="n"/>
      <c r="H145" s="21" t="n"/>
      <c r="I145" s="18" t="inlineStr">
        <is>
          <t>NFC-e 8912</t>
        </is>
      </c>
      <c r="J145" s="18" t="n"/>
    </row>
    <row r="146">
      <c r="A146" s="44" t="n">
        <v>46081</v>
      </c>
      <c r="B146" s="45" t="inlineStr">
        <is>
          <t>Tais Santana Odontologia Ltda</t>
        </is>
      </c>
      <c r="C146" s="45" t="inlineStr">
        <is>
          <t>Refil Everest</t>
        </is>
      </c>
      <c r="D146" s="46" t="n">
        <v>140</v>
      </c>
      <c r="E146" s="45" t="n"/>
      <c r="F146" s="47" t="n"/>
      <c r="G146" s="48" t="n"/>
      <c r="H146" s="49" t="n"/>
      <c r="I146" s="45" t="inlineStr">
        <is>
          <t>NF-e 4068 · nota faturada a prazo (forma de recebimento não consta na nota) · venda de 11/02/2026 — pagamento recebido em 28/02/2026</t>
        </is>
      </c>
    </row>
    <row r="147">
      <c r="A147" s="17" t="n">
        <v>46081</v>
      </c>
      <c r="B147" s="18" t="inlineStr">
        <is>
          <t>Salario Wiliam</t>
        </is>
      </c>
      <c r="C147" s="18" t="n"/>
      <c r="D147" s="27" t="n"/>
      <c r="E147" s="18" t="n"/>
      <c r="F147" s="19" t="n"/>
      <c r="G147" s="19" t="n">
        <v>1571.32</v>
      </c>
      <c r="H147" s="21" t="inlineStr">
        <is>
          <t>Salários, Comissões e Encargos</t>
        </is>
      </c>
      <c r="I147" s="18" t="inlineStr">
        <is>
          <t>Livro Caixa: Pagamento parcela SALARIO WILIAM (Doc. 1) · Wiliam Pinto Bispo</t>
        </is>
      </c>
      <c r="J147" s="18" t="n"/>
    </row>
    <row r="148">
      <c r="A148" s="44" t="n">
        <v>46081</v>
      </c>
      <c r="B148" s="45" t="inlineStr">
        <is>
          <t>Salario Daniel</t>
        </is>
      </c>
      <c r="C148" s="45" t="n"/>
      <c r="D148" s="46" t="n"/>
      <c r="E148" s="45" t="n"/>
      <c r="F148" s="47" t="n"/>
      <c r="G148" s="48" t="n">
        <v>1517</v>
      </c>
      <c r="H148" s="49" t="inlineStr">
        <is>
          <t>Salários, Comissões e Encargos</t>
        </is>
      </c>
      <c r="I148" s="45" t="inlineStr">
        <is>
          <t>Livro Caixa: Pagamento à vista: SALARIO DANIEL (Doc. 1) · Daniel Barbosa dos Santos</t>
        </is>
      </c>
    </row>
    <row r="149" ht="15.75" customHeight="1" s="157">
      <c r="A149" s="29" t="n"/>
      <c r="B149" s="43" t="inlineStr">
        <is>
          <t>TOTAL DO MÊS</t>
        </is>
      </c>
      <c r="C149" s="160" t="n"/>
      <c r="D149" s="8">
        <f>SUM(D5:D148)</f>
        <v/>
      </c>
      <c r="E149" s="8" t="n"/>
      <c r="F149" s="29">
        <f>SUM(F5:F148)</f>
        <v/>
      </c>
      <c r="G149" s="8">
        <f>SUM(G5:G148)</f>
        <v/>
      </c>
      <c r="H149" s="29" t="n"/>
      <c r="I149" s="29" t="n"/>
    </row>
    <row r="150">
      <c r="A150" s="30" t="n"/>
      <c r="B150" s="133" t="inlineStr">
        <is>
          <t>SALDO DO MÊS (Entradas líquidas − Despesas da loja)</t>
        </is>
      </c>
      <c r="D150" s="132">
        <f>(D149-F149-T5)-(L18-L19)</f>
        <v/>
      </c>
      <c r="F150" s="30" t="n"/>
      <c r="H150" s="30" t="n"/>
      <c r="I150" s="30" t="n"/>
    </row>
    <row r="165">
      <c r="K165" s="13" t="n"/>
      <c r="L165" s="14" t="n"/>
    </row>
    <row r="166">
      <c r="K166" s="42" t="n"/>
      <c r="L166" s="8" t="n"/>
    </row>
    <row r="167">
      <c r="K167" s="31" t="n"/>
      <c r="L167" s="31" t="n"/>
    </row>
    <row r="168">
      <c r="K168" s="31" t="n"/>
      <c r="L168" s="31" t="n"/>
    </row>
    <row r="173" ht="15.75" customHeight="1" s="157"/>
    <row r="176" ht="15.75" customHeight="1" s="157"/>
    <row r="184" ht="15.75" customHeight="1" s="157"/>
    <row r="185">
      <c r="K185" s="31" t="n"/>
      <c r="L185" s="31" t="n"/>
    </row>
    <row r="186" ht="15.75" customHeight="1" s="157">
      <c r="K186" s="31" t="n"/>
      <c r="L186" s="31" t="n"/>
    </row>
    <row r="187">
      <c r="K187" s="31" t="n"/>
      <c r="L187" s="31" t="n"/>
    </row>
    <row r="188">
      <c r="K188" s="31" t="n"/>
      <c r="L188" s="31" t="n"/>
    </row>
    <row r="189">
      <c r="K189" s="31" t="n"/>
      <c r="L189" s="31" t="n"/>
    </row>
  </sheetData>
  <mergeCells count="19">
    <mergeCell ref="P4:Q4"/>
    <mergeCell ref="P8:Q9"/>
    <mergeCell ref="T8:U9"/>
    <mergeCell ref="N7:O7"/>
    <mergeCell ref="R4:S4"/>
    <mergeCell ref="T4:U4"/>
    <mergeCell ref="A2:I2"/>
    <mergeCell ref="R7:S7"/>
    <mergeCell ref="P5:Q6"/>
    <mergeCell ref="R5:S6"/>
    <mergeCell ref="R8:S9"/>
    <mergeCell ref="P7:Q7"/>
    <mergeCell ref="T5:U6"/>
    <mergeCell ref="T7:U7"/>
    <mergeCell ref="A1:I1"/>
    <mergeCell ref="K4:L4"/>
    <mergeCell ref="N5:O6"/>
    <mergeCell ref="N4:O4"/>
    <mergeCell ref="N8:O9"/>
  </mergeCells>
  <conditionalFormatting sqref="R7:S7">
    <cfRule type="expression" priority="1" dxfId="1">
      <formula>LEFT($R$7,6)="PASSOU"</formula>
    </cfRule>
  </conditionalFormatting>
  <conditionalFormatting sqref="R8:S9">
    <cfRule type="expression" priority="2" dxfId="0">
      <formula>LEFT($R$7,6)="PASSOU"</formula>
    </cfRule>
  </conditionalFormatting>
  <conditionalFormatting sqref="T8:U9">
    <cfRule type="cellIs" priority="3" operator="lessThan" dxfId="0">
      <formula>0</formula>
    </cfRule>
  </conditionalFormatting>
  <conditionalFormatting sqref="R5:S6">
    <cfRule type="cellIs" priority="4" operator="lessThan" dxfId="0">
      <formula>0</formula>
    </cfRule>
  </conditionalFormatting>
  <dataValidations count="2">
    <dataValidation sqref="E5:E148" showDropDown="0" showInputMessage="0" showErrorMessage="0" allowBlank="1" type="list">
      <formula1>"Dinheiro,Pix,Débito,Crédito à Vista,Crédito Parcelado,Aguardando Pagamento"</formula1>
    </dataValidation>
    <dataValidation sqref="H5:H148" showDropDown="0" showInputMessage="0" showErrorMessage="0" allowBlank="1" type="list">
      <formula1>$K$5:$K$17</formula1>
    </dataValidation>
  </dataValidations>
  <hyperlinks>
    <hyperlink ref="A3" location="'Início'!A1" display="← Início"/>
  </hyperlink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tabColor rgb="FF6B46C1"/>
    <outlinePr summaryBelow="1" summaryRight="1"/>
    <pageSetUpPr/>
  </sheetPr>
  <dimension ref="A1:U18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13" bestFit="1" customWidth="1" style="157" min="1" max="1"/>
    <col width="42" customWidth="1" style="157" min="2" max="2"/>
    <col width="26" customWidth="1" style="157" min="3" max="3"/>
    <col width="14" customWidth="1" style="157" min="4" max="4"/>
    <col width="20" customWidth="1" style="157" min="5" max="5"/>
    <col width="16" customWidth="1" style="157" min="6" max="6"/>
    <col width="14" customWidth="1" style="157" min="7" max="7"/>
    <col width="26" customWidth="1" style="157" min="8" max="8"/>
    <col width="30" customWidth="1" style="157" min="9" max="9"/>
    <col width="11" customWidth="1" style="157" min="10" max="10"/>
    <col width="30" customWidth="1" style="157" min="11" max="11"/>
    <col width="14" customWidth="1" style="157" min="12" max="12"/>
    <col width="3" customWidth="1" style="157" min="13" max="13"/>
    <col width="13" customWidth="1" style="157" min="14" max="21"/>
  </cols>
  <sheetData>
    <row r="1" ht="25.5" customHeight="1" s="157">
      <c r="A1" s="223" t="inlineStr">
        <is>
          <t>RELATÓRIO FINANCEIRO — MARÇO / 2026</t>
        </is>
      </c>
    </row>
    <row r="2">
      <c r="A2" s="228" t="inlineStr">
        <is>
          <t>Fluxo de caixa da loja — entradas montadas a partir das notas fiscais (XML do DigiSat), com cliente e produtos; saídas do Livro Caixa</t>
        </is>
      </c>
    </row>
    <row r="3">
      <c r="A3" s="127" t="inlineStr">
        <is>
          <t>← Início</t>
        </is>
      </c>
    </row>
    <row r="4" ht="20.1" customHeight="1" s="157">
      <c r="A4" s="1" t="inlineStr">
        <is>
          <t>Data</t>
        </is>
      </c>
      <c r="B4" s="1" t="inlineStr">
        <is>
          <t>Descrição / Cliente</t>
        </is>
      </c>
      <c r="C4" s="1" t="inlineStr">
        <is>
          <t>Produto</t>
        </is>
      </c>
      <c r="D4" s="1" t="inlineStr">
        <is>
          <t>Entrada (R$)</t>
        </is>
      </c>
      <c r="E4" s="1" t="inlineStr">
        <is>
          <t>Forma de Pagamento</t>
        </is>
      </c>
      <c r="F4" s="1" t="inlineStr">
        <is>
          <t>Taxa da Máquina (R$)</t>
        </is>
      </c>
      <c r="G4" s="1" t="inlineStr">
        <is>
          <t>Saída (R$)</t>
        </is>
      </c>
      <c r="H4" s="1" t="inlineStr">
        <is>
          <t>Categoria da Saída</t>
        </is>
      </c>
      <c r="I4" s="1" t="inlineStr">
        <is>
          <t>Observações</t>
        </is>
      </c>
      <c r="J4" s="1" t="inlineStr">
        <is>
          <t>ID Cliente</t>
        </is>
      </c>
      <c r="K4" s="233" t="inlineStr">
        <is>
          <t>Saídas por Categoria</t>
        </is>
      </c>
      <c r="L4" s="160" t="n"/>
      <c r="N4" s="224" t="inlineStr">
        <is>
          <t>FATURAMENTO</t>
        </is>
      </c>
      <c r="P4" s="232" t="inlineStr">
        <is>
          <t>DESPESAS</t>
        </is>
      </c>
      <c r="R4" s="221" t="inlineStr">
        <is>
          <t>SALDO ANTES DO PRÓ-LABORE</t>
        </is>
      </c>
      <c r="T4" s="207" t="inlineStr">
        <is>
          <t>A RECEBER</t>
        </is>
      </c>
    </row>
    <row r="5" ht="14.1" customHeight="1" s="157">
      <c r="A5" s="17" t="n">
        <v>46082</v>
      </c>
      <c r="B5" s="18" t="inlineStr">
        <is>
          <t>Aluguel Vitoria Maria</t>
        </is>
      </c>
      <c r="C5" s="18" t="n"/>
      <c r="D5" s="27" t="n"/>
      <c r="E5" s="18" t="n"/>
      <c r="F5" s="19" t="n"/>
      <c r="G5" s="19" t="n">
        <v>870</v>
      </c>
      <c r="H5" s="21" t="inlineStr">
        <is>
          <t>Aluguel</t>
        </is>
      </c>
      <c r="I5" s="18" t="inlineStr">
        <is>
          <t>Livro Caixa: Pagamento à vista: ALUGUEL VITORIA MARIA (Doc. 1) · Vitoria Maria F Santos</t>
        </is>
      </c>
      <c r="J5" s="18" t="n"/>
      <c r="K5" s="10" t="inlineStr">
        <is>
          <t>Fornecedores / Mercadoria</t>
        </is>
      </c>
      <c r="L5" s="11">
        <f>SUMIF(H5:H126,K5,G5:G126)</f>
        <v/>
      </c>
      <c r="N5" s="229">
        <f>D127-F127-T5</f>
        <v/>
      </c>
      <c r="P5" s="231">
        <f>L18-L19</f>
        <v/>
      </c>
      <c r="R5" s="230">
        <f>D128</f>
        <v/>
      </c>
      <c r="T5" s="212">
        <f>SUMIF(E5:E126,"Aguardando Pagamento",D5:D126)</f>
        <v/>
      </c>
    </row>
    <row r="6" ht="14.1" customHeight="1" s="157">
      <c r="A6" s="44" t="n">
        <v>46083</v>
      </c>
      <c r="B6" s="45" t="inlineStr">
        <is>
          <t>Consumidor Final</t>
        </is>
      </c>
      <c r="C6" s="45" t="inlineStr">
        <is>
          <t>Mangueira (1 m)</t>
        </is>
      </c>
      <c r="D6" s="46" t="n">
        <v>10</v>
      </c>
      <c r="E6" s="45" t="inlineStr">
        <is>
          <t>Dinheiro</t>
        </is>
      </c>
      <c r="F6" s="47" t="n"/>
      <c r="G6" s="48" t="n"/>
      <c r="H6" s="49" t="n"/>
      <c r="I6" s="45" t="inlineStr">
        <is>
          <t>NFC-e 8913</t>
        </is>
      </c>
      <c r="K6" s="13" t="inlineStr">
        <is>
          <t>Aluguel</t>
        </is>
      </c>
      <c r="L6" s="14">
        <f>SUMIF(H5:H126,K6,G5:G126)</f>
        <v/>
      </c>
    </row>
    <row r="7" ht="15.75" customHeight="1" s="157">
      <c r="A7" s="17" t="n">
        <v>46083</v>
      </c>
      <c r="B7" s="18" t="inlineStr">
        <is>
          <t>Consumidor Final</t>
        </is>
      </c>
      <c r="C7" s="18" t="inlineStr">
        <is>
          <t>Mangueira (1 m)</t>
        </is>
      </c>
      <c r="D7" s="27" t="n">
        <v>7</v>
      </c>
      <c r="E7" s="18" t="inlineStr">
        <is>
          <t>Pix</t>
        </is>
      </c>
      <c r="F7" s="19" t="n"/>
      <c r="G7" s="19" t="n"/>
      <c r="H7" s="21" t="n"/>
      <c r="I7" s="18" t="inlineStr">
        <is>
          <t>NFC-e 8914</t>
        </is>
      </c>
      <c r="J7" s="18" t="n"/>
      <c r="K7" s="10" t="inlineStr">
        <is>
          <t>Água, Energia e Internet</t>
        </is>
      </c>
      <c r="L7" s="11">
        <f>SUMIF(H5:H126,K7,G5:G126)</f>
        <v/>
      </c>
      <c r="N7" s="249" t="inlineStr">
        <is>
          <t>PRÓ-LABORE EDILÂNIA</t>
        </is>
      </c>
      <c r="P7" s="208" t="inlineStr">
        <is>
          <t>COMBINADO NO MÊS</t>
        </is>
      </c>
      <c r="R7" s="221">
        <f>IF(L17&gt;'Ponto de Equilíbrio'!$B$10,"PASSOU DO COMBINADO",IF(TODAY()&gt;EOMONTH(DATE(2026,3,1),0),"ABAIXO DO COMBINADO","AINDA PODE GASTAR"))</f>
        <v/>
      </c>
      <c r="T7" s="224" t="inlineStr">
        <is>
          <t>SOBRA FINAL DO MÊS</t>
        </is>
      </c>
    </row>
    <row r="8">
      <c r="A8" s="44" t="n">
        <v>46084</v>
      </c>
      <c r="B8" s="45" t="inlineStr">
        <is>
          <t>Lucas Souza</t>
        </is>
      </c>
      <c r="C8" s="45" t="inlineStr">
        <is>
          <t>Refil Everest</t>
        </is>
      </c>
      <c r="D8" s="46" t="n">
        <v>140</v>
      </c>
      <c r="E8" s="45" t="inlineStr">
        <is>
          <t>Pix</t>
        </is>
      </c>
      <c r="F8" s="47" t="n"/>
      <c r="G8" s="48" t="n"/>
      <c r="H8" s="49" t="n"/>
      <c r="I8" s="45" t="inlineStr">
        <is>
          <t>NF-e 4093</t>
        </is>
      </c>
      <c r="J8" t="inlineStr">
        <is>
          <t>CLI-0494</t>
        </is>
      </c>
      <c r="K8" s="13" t="inlineStr">
        <is>
          <t>Impostos e Taxas</t>
        </is>
      </c>
      <c r="L8" s="14">
        <f>SUMIF(H5:H126,K8,G5:G126)</f>
        <v/>
      </c>
      <c r="N8" s="250">
        <f>L17</f>
        <v/>
      </c>
      <c r="P8" s="215">
        <f>'Ponto de Equilíbrio'!$B$10</f>
        <v/>
      </c>
      <c r="R8" s="205">
        <f>ABS('Ponto de Equilíbrio'!$B$10-L17)</f>
        <v/>
      </c>
      <c r="T8" s="236">
        <f>R5-L17</f>
        <v/>
      </c>
    </row>
    <row r="9">
      <c r="A9" s="17" t="n">
        <v>46085</v>
      </c>
      <c r="B9" s="18" t="inlineStr">
        <is>
          <t>Lidia Maria Cardoso Silva</t>
        </is>
      </c>
      <c r="C9" s="18" t="inlineStr">
        <is>
          <t>Purificador Everest Slim Branco</t>
        </is>
      </c>
      <c r="D9" s="27" t="n">
        <v>1200</v>
      </c>
      <c r="E9" s="18" t="inlineStr">
        <is>
          <t>Dinheiro</t>
        </is>
      </c>
      <c r="F9" s="19" t="n"/>
      <c r="G9" s="19" t="n"/>
      <c r="H9" s="21" t="n"/>
      <c r="I9" s="18" t="inlineStr">
        <is>
          <t>NF-e 4094</t>
        </is>
      </c>
      <c r="J9" s="18" t="inlineStr">
        <is>
          <t>CLI-0740</t>
        </is>
      </c>
      <c r="K9" s="10" t="inlineStr">
        <is>
          <t>Tarifas Bancárias e Cartão</t>
        </is>
      </c>
      <c r="L9" s="11">
        <f>SUMIF(H5:H126,K9,G5:G126)</f>
        <v/>
      </c>
    </row>
    <row r="10">
      <c r="A10" s="44" t="n">
        <v>46085</v>
      </c>
      <c r="B10" s="45" t="inlineStr">
        <is>
          <t>Consumidor Final</t>
        </is>
      </c>
      <c r="C10" s="45" t="inlineStr">
        <is>
          <t>Refil BAG</t>
        </is>
      </c>
      <c r="D10" s="46" t="n">
        <v>50</v>
      </c>
      <c r="E10" s="45" t="inlineStr">
        <is>
          <t>Dinheiro</t>
        </is>
      </c>
      <c r="F10" s="47" t="n"/>
      <c r="G10" s="48" t="n"/>
      <c r="H10" s="49" t="n"/>
      <c r="I10" s="45" t="inlineStr">
        <is>
          <t>NFC-e 8915</t>
        </is>
      </c>
      <c r="K10" s="13" t="inlineStr">
        <is>
          <t>Transporte e Entregas</t>
        </is>
      </c>
      <c r="L10" s="14">
        <f>SUMIF(H5:H126,K10,G5:G126)</f>
        <v/>
      </c>
    </row>
    <row r="11">
      <c r="A11" s="17" t="n">
        <v>46085</v>
      </c>
      <c r="B11" s="18" t="inlineStr">
        <is>
          <t>Jackson Macedo de Sales</t>
        </is>
      </c>
      <c r="C11" s="18" t="inlineStr">
        <is>
          <t>Refil Carbon Tech 9"</t>
        </is>
      </c>
      <c r="D11" s="27" t="n">
        <v>60</v>
      </c>
      <c r="E11" s="18" t="inlineStr">
        <is>
          <t>Dinheiro</t>
        </is>
      </c>
      <c r="F11" s="19" t="n"/>
      <c r="G11" s="19" t="n"/>
      <c r="H11" s="21" t="n"/>
      <c r="I11" s="18" t="inlineStr">
        <is>
          <t>NF-e 4095</t>
        </is>
      </c>
      <c r="J11" s="18" t="n"/>
      <c r="K11" s="10" t="inlineStr">
        <is>
          <t>Salários, Comissões e Encargos</t>
        </is>
      </c>
      <c r="L11" s="11">
        <f>SUMIF(H5:H126,K11,G5:G126)</f>
        <v/>
      </c>
    </row>
    <row r="12">
      <c r="A12" s="44" t="n">
        <v>46085</v>
      </c>
      <c r="B12" s="45" t="inlineStr">
        <is>
          <t>Juliana Monteiro</t>
        </is>
      </c>
      <c r="C12" s="45" t="inlineStr">
        <is>
          <t>Refil Everest</t>
        </is>
      </c>
      <c r="D12" s="46" t="n">
        <v>140</v>
      </c>
      <c r="E12" s="45" t="inlineStr">
        <is>
          <t>Pix</t>
        </is>
      </c>
      <c r="F12" s="47" t="n"/>
      <c r="G12" s="48" t="n"/>
      <c r="H12" s="49" t="n"/>
      <c r="I12" s="45" t="inlineStr">
        <is>
          <t>NFC-e 8916</t>
        </is>
      </c>
      <c r="J12" t="inlineStr">
        <is>
          <t>CLI-0737</t>
        </is>
      </c>
      <c r="K12" s="13" t="inlineStr">
        <is>
          <t>Contabilidade</t>
        </is>
      </c>
      <c r="L12" s="14">
        <f>SUMIF(H5:H126,K12,G5:G126)</f>
        <v/>
      </c>
    </row>
    <row r="13">
      <c r="A13" s="17" t="n">
        <v>46085</v>
      </c>
      <c r="B13" s="18" t="inlineStr">
        <is>
          <t>Banco do Nordeste do Brasil</t>
        </is>
      </c>
      <c r="C13" s="18" t="inlineStr">
        <is>
          <t>Refil Everest + Pré Filtro</t>
        </is>
      </c>
      <c r="D13" s="27" t="n">
        <v>200</v>
      </c>
      <c r="E13" s="18" t="inlineStr">
        <is>
          <t>Dinheiro</t>
        </is>
      </c>
      <c r="F13" s="19" t="n"/>
      <c r="G13" s="19" t="n"/>
      <c r="H13" s="21" t="n"/>
      <c r="I13" s="18" t="inlineStr">
        <is>
          <t>NF-e 4097</t>
        </is>
      </c>
      <c r="J13" s="18" t="inlineStr">
        <is>
          <t>EMP-0220</t>
        </is>
      </c>
      <c r="K13" s="10" t="inlineStr">
        <is>
          <t>Manutenção e Reparos</t>
        </is>
      </c>
      <c r="L13" s="11">
        <f>SUMIF(H5:H126,K13,G5:G126)</f>
        <v/>
      </c>
    </row>
    <row r="14" ht="15.75" customHeight="1" s="157">
      <c r="A14" s="44" t="n">
        <v>46085</v>
      </c>
      <c r="B14" s="45" t="inlineStr">
        <is>
          <t>Centro de Cultura Anglo Americano de Jacobina LTDA - CCAA</t>
        </is>
      </c>
      <c r="C14" s="45" t="inlineStr">
        <is>
          <t>Refil Pro Life</t>
        </is>
      </c>
      <c r="D14" s="46" t="n">
        <v>120</v>
      </c>
      <c r="E14" s="45" t="inlineStr">
        <is>
          <t>Dinheiro</t>
        </is>
      </c>
      <c r="F14" s="47" t="n"/>
      <c r="G14" s="48" t="n"/>
      <c r="H14" s="49" t="n"/>
      <c r="I14" s="45" t="inlineStr">
        <is>
          <t>NF-e 4098</t>
        </is>
      </c>
      <c r="J14" t="inlineStr">
        <is>
          <t>EMP-0057</t>
        </is>
      </c>
      <c r="K14" s="13" t="inlineStr">
        <is>
          <t>Material de Limpeza e Escritório</t>
        </is>
      </c>
      <c r="L14" s="14">
        <f>SUMIF(H5:H126,K14,G5:G126)</f>
        <v/>
      </c>
    </row>
    <row r="15" ht="15.75" customHeight="1" s="157">
      <c r="A15" s="17" t="n">
        <v>46085</v>
      </c>
      <c r="B15" s="18" t="inlineStr">
        <is>
          <t>Banco do Nordeste do Brasil</t>
        </is>
      </c>
      <c r="C15" s="18" t="n"/>
      <c r="D15" s="27" t="n"/>
      <c r="E15" s="18" t="n"/>
      <c r="F15" s="19" t="n"/>
      <c r="G15" s="19" t="n">
        <v>200</v>
      </c>
      <c r="H15" s="21" t="inlineStr">
        <is>
          <t>Outras Despesas</t>
        </is>
      </c>
      <c r="I15" s="18" t="inlineStr">
        <is>
          <t>Livro Caixa: Pagamento à vista: Gerado pelo sistema. (Doc. 4096)</t>
        </is>
      </c>
      <c r="J15" s="18" t="n"/>
      <c r="K15" s="10" t="inlineStr">
        <is>
          <t>Estornos de Vendas (Cancelamentos)</t>
        </is>
      </c>
      <c r="L15" s="11">
        <f>SUMIF(H5:H126,K15,G5:G126)</f>
        <v/>
      </c>
    </row>
    <row r="16">
      <c r="A16" s="44" t="n">
        <v>46086</v>
      </c>
      <c r="B16" s="45" t="inlineStr">
        <is>
          <t>Eduardo da Cruz Cardoso Gomes</t>
        </is>
      </c>
      <c r="C16" s="45" t="inlineStr">
        <is>
          <t>Refil Everest</t>
        </is>
      </c>
      <c r="D16" s="46" t="n">
        <v>140</v>
      </c>
      <c r="E16" s="45" t="inlineStr">
        <is>
          <t>Crédito Parcelado</t>
        </is>
      </c>
      <c r="F16" s="47" t="n"/>
      <c r="G16" s="48" t="n"/>
      <c r="H16" s="49" t="n"/>
      <c r="I16" s="45" t="inlineStr">
        <is>
          <t>NFC-e 8917</t>
        </is>
      </c>
      <c r="K16" t="inlineStr">
        <is>
          <t>Outras Despesas</t>
        </is>
      </c>
      <c r="L16" s="11">
        <f>SUMIF(H5:H126,K16,G5:G126)</f>
        <v/>
      </c>
    </row>
    <row r="17" ht="15.75" customHeight="1" s="157">
      <c r="A17" s="17" t="n">
        <v>46087</v>
      </c>
      <c r="B17" s="18" t="inlineStr">
        <is>
          <t>Jacira do Carmo de Oliveira</t>
        </is>
      </c>
      <c r="C17" s="18" t="inlineStr">
        <is>
          <t>Purificador Everest Baby Preto</t>
        </is>
      </c>
      <c r="D17" s="27" t="n">
        <v>478</v>
      </c>
      <c r="E17" s="18" t="inlineStr">
        <is>
          <t>Dinheiro</t>
        </is>
      </c>
      <c r="F17" s="19" t="n"/>
      <c r="G17" s="19" t="n"/>
      <c r="H17" s="21" t="n"/>
      <c r="I17" s="18" t="inlineStr">
        <is>
          <t>NF-e 4099</t>
        </is>
      </c>
      <c r="J17" s="18" t="inlineStr">
        <is>
          <t>CLI-0742</t>
        </is>
      </c>
      <c r="K17" t="inlineStr">
        <is>
          <t>Pro Labore Edilânia</t>
        </is>
      </c>
      <c r="L17">
        <f>SUMIF(H5:H126,K17,G5:G126)</f>
        <v/>
      </c>
    </row>
    <row r="18" ht="15.75" customHeight="1" s="157">
      <c r="A18" s="44" t="n">
        <v>46088</v>
      </c>
      <c r="B18" s="45" t="inlineStr">
        <is>
          <t>Danilo Pereira Santos (Oficina)</t>
        </is>
      </c>
      <c r="C18" s="45" t="inlineStr">
        <is>
          <t>Purificador Everest Slim Prata</t>
        </is>
      </c>
      <c r="D18" s="46" t="n">
        <v>1348</v>
      </c>
      <c r="E18" s="45" t="inlineStr">
        <is>
          <t>Dinheiro</t>
        </is>
      </c>
      <c r="F18" s="47" t="n"/>
      <c r="G18" s="48" t="n"/>
      <c r="H18" s="49" t="n"/>
      <c r="I18" s="45" t="inlineStr">
        <is>
          <t>NF-e 4101</t>
        </is>
      </c>
      <c r="J18" t="inlineStr">
        <is>
          <t>CLI-0507</t>
        </is>
      </c>
      <c r="K18" t="inlineStr">
        <is>
          <t>Total</t>
        </is>
      </c>
      <c r="L18">
        <f>SUM(L5:L16)</f>
        <v/>
      </c>
    </row>
    <row r="19">
      <c r="A19" s="17" t="n">
        <v>46088</v>
      </c>
      <c r="B19" s="18" t="inlineStr">
        <is>
          <t>Eva Lages Matos de Freitas</t>
        </is>
      </c>
      <c r="C19" s="18" t="inlineStr">
        <is>
          <t>Refil Everest</t>
        </is>
      </c>
      <c r="D19" s="27" t="n">
        <v>70</v>
      </c>
      <c r="E19" s="18" t="n"/>
      <c r="F19" s="19" t="n"/>
      <c r="G19" s="19" t="n"/>
      <c r="H19" s="21" t="n"/>
      <c r="I19" s="18" t="inlineStr">
        <is>
          <t>NFC-e 8918 · venda de 07/03/2026, total R$ 140,00 — parcela 1 · nota faturada a prazo (forma de recebimento não consta na nota)</t>
        </is>
      </c>
      <c r="J19" s="18" t="inlineStr">
        <is>
          <t>CLI-0741</t>
        </is>
      </c>
      <c r="K19" t="inlineStr">
        <is>
          <t>Capital de Giro (BB) — ainda a devolver</t>
        </is>
      </c>
      <c r="L19" s="32">
        <f>SUMIFS('Capital de Giro (BB)'!D9:D200,'Capital de Giro (BB)'!A9:A200,"&gt;="&amp;DATE(2026,3,1),'Capital de Giro (BB)'!A9:A200,"&lt;="&amp;DATE(2026,3,31),'Capital de Giro (BB)'!E9:E200,"A Devolver")</f>
        <v/>
      </c>
    </row>
    <row r="20">
      <c r="A20" s="44" t="n">
        <v>46090</v>
      </c>
      <c r="B20" s="45" t="inlineStr">
        <is>
          <t>Paulo Vitor Biulchi dos Santos</t>
        </is>
      </c>
      <c r="C20" s="45" t="inlineStr">
        <is>
          <t>Refil Everest</t>
        </is>
      </c>
      <c r="D20" s="46" t="n">
        <v>140</v>
      </c>
      <c r="E20" s="45" t="inlineStr">
        <is>
          <t>Pix</t>
        </is>
      </c>
      <c r="F20" s="47" t="n"/>
      <c r="G20" s="48" t="n"/>
      <c r="H20" s="49" t="n"/>
      <c r="I20" s="45" t="inlineStr">
        <is>
          <t>NFC-e 8919</t>
        </is>
      </c>
      <c r="J20" t="inlineStr">
        <is>
          <t>CLI-0747</t>
        </is>
      </c>
    </row>
    <row r="21">
      <c r="A21" s="17" t="n">
        <v>46090</v>
      </c>
      <c r="B21" s="18" t="inlineStr">
        <is>
          <t xml:space="preserve">Carmen Steffens - Lucia Maria Oliveira Silva Dias EPP </t>
        </is>
      </c>
      <c r="C21" s="18" t="inlineStr">
        <is>
          <t>Refil Pro Life</t>
        </is>
      </c>
      <c r="D21" s="27" t="n">
        <v>140</v>
      </c>
      <c r="E21" s="18" t="n"/>
      <c r="F21" s="19" t="n"/>
      <c r="G21" s="19" t="n"/>
      <c r="H21" s="21" t="n"/>
      <c r="I21" s="18" t="inlineStr">
        <is>
          <t>NF-e 4100 · nota faturada a prazo (forma de recebimento não consta na nota) · venda de 06/03/2026 — pagamento recebido em 09/03/2026</t>
        </is>
      </c>
      <c r="J21" s="18" t="inlineStr">
        <is>
          <t>EMP-0039</t>
        </is>
      </c>
    </row>
    <row r="22">
      <c r="A22" s="44" t="n">
        <v>46090</v>
      </c>
      <c r="B22" s="45" t="inlineStr">
        <is>
          <t>Adilson Brasileiro dos Santos</t>
        </is>
      </c>
      <c r="C22" s="45" t="inlineStr">
        <is>
          <t>Refil Everest</t>
        </is>
      </c>
      <c r="D22" s="46" t="n">
        <v>140</v>
      </c>
      <c r="E22" s="45" t="inlineStr">
        <is>
          <t>Pix</t>
        </is>
      </c>
      <c r="F22" s="47" t="n"/>
      <c r="G22" s="48" t="n"/>
      <c r="H22" s="49" t="n"/>
      <c r="I22" s="45" t="inlineStr">
        <is>
          <t>NFC-e 8920</t>
        </is>
      </c>
      <c r="J22" t="inlineStr">
        <is>
          <t>CLI-0746</t>
        </is>
      </c>
    </row>
    <row r="23">
      <c r="A23" s="17" t="n">
        <v>46090</v>
      </c>
      <c r="B23" s="18" t="inlineStr">
        <is>
          <t>Consumidor Final</t>
        </is>
      </c>
      <c r="C23" s="18" t="inlineStr">
        <is>
          <t>Refil Carbon Tech 9"</t>
        </is>
      </c>
      <c r="D23" s="27" t="n">
        <v>80</v>
      </c>
      <c r="E23" s="18" t="inlineStr">
        <is>
          <t>Dinheiro</t>
        </is>
      </c>
      <c r="F23" s="19" t="n"/>
      <c r="G23" s="19" t="n"/>
      <c r="H23" s="21" t="n"/>
      <c r="I23" s="18" t="inlineStr">
        <is>
          <t>NFC-e 8921</t>
        </is>
      </c>
      <c r="J23" s="18" t="n"/>
    </row>
    <row r="24">
      <c r="A24" s="44" t="n">
        <v>46090</v>
      </c>
      <c r="B24" s="45" t="inlineStr">
        <is>
          <t>Eric Rodrigo Lopes Ribeiro</t>
        </is>
      </c>
      <c r="C24" s="45" t="inlineStr">
        <is>
          <t>Refil Pro Life + Pré Filtro</t>
        </is>
      </c>
      <c r="D24" s="46" t="n">
        <v>200</v>
      </c>
      <c r="E24" s="45" t="inlineStr">
        <is>
          <t>Crédito Parcelado</t>
        </is>
      </c>
      <c r="F24" s="47" t="n"/>
      <c r="G24" s="48" t="n"/>
      <c r="H24" s="49" t="n"/>
      <c r="I24" s="45" t="inlineStr">
        <is>
          <t>NFC-e 8922</t>
        </is>
      </c>
    </row>
    <row r="25">
      <c r="A25" s="17" t="n">
        <v>46090</v>
      </c>
      <c r="B25" s="18" t="inlineStr">
        <is>
          <t>Consumidor Final</t>
        </is>
      </c>
      <c r="C25" s="18" t="inlineStr">
        <is>
          <t>Mangueira (2 m)</t>
        </is>
      </c>
      <c r="D25" s="27" t="n">
        <v>18</v>
      </c>
      <c r="E25" s="18" t="inlineStr">
        <is>
          <t>Dinheiro</t>
        </is>
      </c>
      <c r="F25" s="19" t="n"/>
      <c r="G25" s="19" t="n"/>
      <c r="H25" s="21" t="n"/>
      <c r="I25" s="18" t="inlineStr">
        <is>
          <t>NFC-e 8923</t>
        </is>
      </c>
      <c r="J25" s="18" t="n"/>
    </row>
    <row r="26">
      <c r="A26" s="44" t="n">
        <v>46090</v>
      </c>
      <c r="B26" s="45" t="inlineStr">
        <is>
          <t>Serviço Nacional de Apredizagem Comercial - Senac</t>
        </is>
      </c>
      <c r="C26" s="45" t="inlineStr">
        <is>
          <t>Refil Everest</t>
        </is>
      </c>
      <c r="D26" s="46" t="n">
        <v>140</v>
      </c>
      <c r="E26" s="45" t="n"/>
      <c r="F26" s="47" t="n"/>
      <c r="G26" s="48" t="n"/>
      <c r="H26" s="49" t="n"/>
      <c r="I26" s="45" t="inlineStr">
        <is>
          <t>NF-e 4061 · nota faturada a prazo (forma de recebimento não consta na nota) · venda de 06/02/2026 — pagamento recebido em 09/03/2026</t>
        </is>
      </c>
      <c r="J26" t="inlineStr">
        <is>
          <t>EMP-0276</t>
        </is>
      </c>
    </row>
    <row r="27">
      <c r="A27" s="17" t="n">
        <v>46090</v>
      </c>
      <c r="B27" s="18" t="inlineStr">
        <is>
          <t>DrillGeo Geologia e Sondagens</t>
        </is>
      </c>
      <c r="C27" s="18" t="inlineStr">
        <is>
          <t>Refil Carbon Tech 9" + Refil Plissado</t>
        </is>
      </c>
      <c r="D27" s="27" t="n">
        <v>180</v>
      </c>
      <c r="E27" s="18" t="n"/>
      <c r="F27" s="19" t="n"/>
      <c r="G27" s="19" t="n"/>
      <c r="H27" s="21" t="n"/>
      <c r="I27" s="18" t="inlineStr">
        <is>
          <t>NF-e 4073 · nota faturada a prazo (forma de recebimento não consta na nota) · venda de 18/02/2026 — pagamento recebido em 09/03/2026</t>
        </is>
      </c>
      <c r="J27" s="18" t="inlineStr">
        <is>
          <t>EMP-0125</t>
        </is>
      </c>
    </row>
    <row r="28">
      <c r="A28" s="44" t="n">
        <v>46091</v>
      </c>
      <c r="B28" s="45" t="inlineStr">
        <is>
          <t>Leticia Santos Silva</t>
        </is>
      </c>
      <c r="C28" s="45" t="inlineStr">
        <is>
          <t>Refil Pro Life</t>
        </is>
      </c>
      <c r="D28" s="46" t="n">
        <v>140</v>
      </c>
      <c r="E28" s="45" t="inlineStr">
        <is>
          <t>Crédito Parcelado</t>
        </is>
      </c>
      <c r="F28" s="47" t="n"/>
      <c r="G28" s="48" t="n"/>
      <c r="H28" s="49" t="n"/>
      <c r="I28" s="45" t="inlineStr">
        <is>
          <t>NFC-e 8924</t>
        </is>
      </c>
    </row>
    <row r="29" ht="15.75" customHeight="1" s="157">
      <c r="A29" s="17" t="n">
        <v>46091</v>
      </c>
      <c r="B29" s="18" t="inlineStr">
        <is>
          <t>Ronaldo Nascimento Santos</t>
        </is>
      </c>
      <c r="C29" s="18" t="inlineStr">
        <is>
          <t>Refil Pro Life</t>
        </is>
      </c>
      <c r="D29" s="27" t="n">
        <v>140</v>
      </c>
      <c r="E29" s="18" t="inlineStr">
        <is>
          <t>Crédito Parcelado</t>
        </is>
      </c>
      <c r="F29" s="19" t="n"/>
      <c r="G29" s="19" t="n"/>
      <c r="H29" s="21" t="n"/>
      <c r="I29" s="18" t="inlineStr">
        <is>
          <t>NFC-e 8925</t>
        </is>
      </c>
      <c r="J29" s="18" t="n"/>
    </row>
    <row r="30">
      <c r="A30" s="44" t="n">
        <v>46091</v>
      </c>
      <c r="B30" s="45" t="inlineStr">
        <is>
          <t>Centro Medico Boa Saude</t>
        </is>
      </c>
      <c r="C30" s="45" t="inlineStr">
        <is>
          <t>Refil Everest</t>
        </is>
      </c>
      <c r="D30" s="46" t="n">
        <v>140</v>
      </c>
      <c r="E30" s="45" t="inlineStr">
        <is>
          <t>Pix</t>
        </is>
      </c>
      <c r="F30" s="47" t="n"/>
      <c r="G30" s="48" t="n"/>
      <c r="H30" s="49" t="n"/>
      <c r="I30" s="45" t="inlineStr">
        <is>
          <t>NF-e 4102</t>
        </is>
      </c>
      <c r="J30" t="inlineStr">
        <is>
          <t>EMP-0061</t>
        </is>
      </c>
    </row>
    <row r="31">
      <c r="A31" s="17" t="n">
        <v>46091</v>
      </c>
      <c r="B31" s="18" t="inlineStr">
        <is>
          <t>DFLL Serviços Medicos Ltda - ImCardio - Instituto Materno Cardiologico</t>
        </is>
      </c>
      <c r="C31" s="18" t="inlineStr">
        <is>
          <t>2x Refil Everest + 2x Pré Filtro</t>
        </is>
      </c>
      <c r="D31" s="27" t="n">
        <v>380</v>
      </c>
      <c r="E31" s="18" t="inlineStr">
        <is>
          <t>Dinheiro</t>
        </is>
      </c>
      <c r="F31" s="19" t="n"/>
      <c r="G31" s="19" t="n"/>
      <c r="H31" s="21" t="n"/>
      <c r="I31" s="18" t="inlineStr">
        <is>
          <t>NF-e 4103</t>
        </is>
      </c>
      <c r="J31" s="18" t="inlineStr">
        <is>
          <t>EMP-0116</t>
        </is>
      </c>
    </row>
    <row r="32">
      <c r="A32" s="44" t="n">
        <v>46092</v>
      </c>
      <c r="B32" s="45" t="inlineStr">
        <is>
          <t>Emperi Odontologia</t>
        </is>
      </c>
      <c r="C32" s="45" t="inlineStr">
        <is>
          <t>2x Refil Everest</t>
        </is>
      </c>
      <c r="D32" s="46" t="n">
        <v>280</v>
      </c>
      <c r="E32" s="45" t="inlineStr">
        <is>
          <t>Dinheiro</t>
        </is>
      </c>
      <c r="F32" s="47" t="n"/>
      <c r="G32" s="48" t="n"/>
      <c r="H32" s="49" t="n"/>
      <c r="I32" s="45" t="inlineStr">
        <is>
          <t>NF-e 4104</t>
        </is>
      </c>
      <c r="J32" t="inlineStr">
        <is>
          <t>EMP-0134</t>
        </is>
      </c>
    </row>
    <row r="33">
      <c r="A33" s="17" t="n">
        <v>46092</v>
      </c>
      <c r="B33" s="18" t="inlineStr">
        <is>
          <t>Uillian Tarçio Lopes Brito</t>
        </is>
      </c>
      <c r="C33" s="18" t="inlineStr">
        <is>
          <t>Refil Everest</t>
        </is>
      </c>
      <c r="D33" s="27" t="n">
        <v>140</v>
      </c>
      <c r="E33" s="18" t="inlineStr">
        <is>
          <t>Pix</t>
        </is>
      </c>
      <c r="F33" s="19" t="n"/>
      <c r="G33" s="19" t="n"/>
      <c r="H33" s="21" t="n"/>
      <c r="I33" s="18" t="inlineStr">
        <is>
          <t>NFC-e 8926</t>
        </is>
      </c>
      <c r="J33" s="18" t="inlineStr">
        <is>
          <t>CLI-0752</t>
        </is>
      </c>
    </row>
    <row r="34">
      <c r="A34" s="44" t="n">
        <v>46093</v>
      </c>
      <c r="B34" s="45" t="inlineStr">
        <is>
          <t>Consumidor Final</t>
        </is>
      </c>
      <c r="C34" s="45" t="inlineStr">
        <is>
          <t>Refil Carbon Tech 9"</t>
        </is>
      </c>
      <c r="D34" s="46" t="n">
        <v>60</v>
      </c>
      <c r="E34" s="45" t="inlineStr">
        <is>
          <t>Dinheiro</t>
        </is>
      </c>
      <c r="F34" s="47" t="n"/>
      <c r="G34" s="48" t="n"/>
      <c r="H34" s="49" t="n"/>
      <c r="I34" s="45" t="inlineStr">
        <is>
          <t>NFC-e 8927</t>
        </is>
      </c>
    </row>
    <row r="35">
      <c r="A35" s="17" t="n">
        <v>46093</v>
      </c>
      <c r="B35" s="18" t="inlineStr">
        <is>
          <t>Consumidor Final</t>
        </is>
      </c>
      <c r="C35" s="18" t="inlineStr">
        <is>
          <t>Refil Carbon Tech 9"</t>
        </is>
      </c>
      <c r="D35" s="27" t="n">
        <v>85</v>
      </c>
      <c r="E35" s="18" t="inlineStr">
        <is>
          <t>Crédito Parcelado</t>
        </is>
      </c>
      <c r="F35" s="19" t="n"/>
      <c r="G35" s="19" t="n"/>
      <c r="H35" s="21" t="n"/>
      <c r="I35" s="18" t="inlineStr">
        <is>
          <t>NFC-e 8928</t>
        </is>
      </c>
      <c r="J35" s="18" t="n"/>
    </row>
    <row r="36">
      <c r="A36" s="44" t="n">
        <v>46093</v>
      </c>
      <c r="B36" s="45" t="inlineStr">
        <is>
          <t>Consumidor Final</t>
        </is>
      </c>
      <c r="C36" s="45" t="inlineStr">
        <is>
          <t>2x Vela Filtro de Barro</t>
        </is>
      </c>
      <c r="D36" s="46" t="n">
        <v>24</v>
      </c>
      <c r="E36" s="45" t="inlineStr">
        <is>
          <t>Débito</t>
        </is>
      </c>
      <c r="F36" s="47" t="n"/>
      <c r="G36" s="48" t="n"/>
      <c r="H36" s="49" t="n"/>
      <c r="I36" s="45" t="inlineStr">
        <is>
          <t>NFC-e 8929</t>
        </is>
      </c>
    </row>
    <row r="37">
      <c r="A37" s="17" t="n">
        <v>46093</v>
      </c>
      <c r="B37" s="18" t="inlineStr">
        <is>
          <t>Consumidor Final</t>
        </is>
      </c>
      <c r="C37" s="18" t="inlineStr">
        <is>
          <t>Refil CP500 BR</t>
        </is>
      </c>
      <c r="D37" s="27" t="n">
        <v>90</v>
      </c>
      <c r="E37" s="18" t="inlineStr">
        <is>
          <t>Débito</t>
        </is>
      </c>
      <c r="F37" s="19" t="n"/>
      <c r="G37" s="19" t="n"/>
      <c r="H37" s="21" t="n"/>
      <c r="I37" s="18" t="inlineStr">
        <is>
          <t>NFC-e 8930</t>
        </is>
      </c>
      <c r="J37" s="18" t="n"/>
    </row>
    <row r="38">
      <c r="A38" s="44" t="n">
        <v>46093</v>
      </c>
      <c r="B38" s="45" t="inlineStr">
        <is>
          <t>Everest Refrigeracao e Industria</t>
        </is>
      </c>
      <c r="C38" s="45" t="n"/>
      <c r="D38" s="46" t="n"/>
      <c r="E38" s="45" t="n"/>
      <c r="F38" s="47" t="n"/>
      <c r="G38" s="48" t="n">
        <v>781.39</v>
      </c>
      <c r="H38" s="49" t="inlineStr">
        <is>
          <t>Fornecedores / Mercadoria</t>
        </is>
      </c>
      <c r="I38" s="45" t="inlineStr">
        <is>
          <t>NF 361446 de 10/10/2025 · parcela 5/5 (venc. 09/03/2026) · compra total R$ 3.906,99: Purificador Everest Fit Preto + Purificador Everest Star Branco + Purificador Everest Star Preto + Purificador Everest Slim Branco + 4x Purificador Everest Baby Branco + 4x Purificador Everest Baby Preto · Livro Caixa</t>
        </is>
      </c>
    </row>
    <row r="39" ht="15.75" customHeight="1" s="157">
      <c r="A39" s="17" t="n">
        <v>46093</v>
      </c>
      <c r="B39" s="18" t="inlineStr">
        <is>
          <t>Everest Refrigeracao e Industria</t>
        </is>
      </c>
      <c r="C39" s="18" t="n"/>
      <c r="D39" s="27" t="n"/>
      <c r="E39" s="18" t="n"/>
      <c r="F39" s="19" t="n"/>
      <c r="G39" s="19" t="n">
        <v>810.99</v>
      </c>
      <c r="H39" s="21" t="inlineStr">
        <is>
          <t>Fornecedores / Mercadoria</t>
        </is>
      </c>
      <c r="I39" s="18" t="inlineStr">
        <is>
          <t>NF 368012 de 08/01/2026 · parcela 2/5 (venc. 09/03/2026) · compra total R$ 4.054,97: Purificador Everest Fit Branco + 2x Purificador Everest Slim Branco + Purificador Everest Slim Preto + 2x Purificador Everest Star Branco · Livro Caixa</t>
        </is>
      </c>
      <c r="J39" s="18" t="n"/>
    </row>
    <row r="40">
      <c r="A40" s="44" t="n">
        <v>46093</v>
      </c>
      <c r="B40" s="45" t="inlineStr">
        <is>
          <t>Everest Refrigeracao e Industria</t>
        </is>
      </c>
      <c r="C40" s="45" t="n"/>
      <c r="D40" s="46" t="n"/>
      <c r="E40" s="45" t="n"/>
      <c r="F40" s="47" t="n"/>
      <c r="G40" s="48" t="n">
        <v>841.0599999999999</v>
      </c>
      <c r="H40" s="49" t="inlineStr">
        <is>
          <t>Fornecedores / Mercadoria</t>
        </is>
      </c>
      <c r="I40" s="45" t="inlineStr">
        <is>
          <t>NF 366264 de 11/12/2025 · parcela 3/5 (venc. 11/03/2026) · compra total R$ 4.205,29: Purificador Everest Slim Branco + Purificador Everest Slim Prata + 2x Purificador Everest Star Branco + Purificador Everest Star Prata + Purificador Everest Plus Prata · Livro Caixa</t>
        </is>
      </c>
    </row>
    <row r="41">
      <c r="A41" s="17" t="n">
        <v>46093</v>
      </c>
      <c r="B41" s="18" t="inlineStr">
        <is>
          <t>Jamef</t>
        </is>
      </c>
      <c r="C41" s="18" t="n"/>
      <c r="D41" s="27" t="n"/>
      <c r="E41" s="18" t="n"/>
      <c r="F41" s="19" t="n"/>
      <c r="G41" s="19" t="n">
        <v>708.72</v>
      </c>
      <c r="H41" s="21" t="inlineStr">
        <is>
          <t>Transporte e Entregas</t>
        </is>
      </c>
      <c r="I41" s="18" t="inlineStr">
        <is>
          <t>Livro Caixa: Pagamento parcela JAMEF (Doc. 1) · Jamef Transportes Ltda</t>
        </is>
      </c>
      <c r="J41" s="18" t="n"/>
    </row>
    <row r="42" ht="15.75" customHeight="1" s="157">
      <c r="A42" s="44" t="n">
        <v>46093</v>
      </c>
      <c r="B42" s="45" t="inlineStr">
        <is>
          <t>Culligan Latam Eireli</t>
        </is>
      </c>
      <c r="C42" s="45" t="n"/>
      <c r="D42" s="46" t="n"/>
      <c r="E42" s="45" t="n"/>
      <c r="F42" s="47" t="n"/>
      <c r="G42" s="48" t="n">
        <v>1391.96</v>
      </c>
      <c r="H42" s="49" t="inlineStr">
        <is>
          <t>Fornecedores / Mercadoria</t>
        </is>
      </c>
      <c r="I42" s="45" t="inlineStr">
        <is>
          <t>NF 132866 de 10/02/2026 · parcela 1/3 (venc. 12/03/2026) · compra total R$ 4.176,30: 30x Filtro De Agua Protection Lacrado + 50x Cofilter Lacrado - Pre C + 30x Filtro De Agua Natural Max + 10x Filtro De Agua Natural Lacrado · Livro Caixa</t>
        </is>
      </c>
    </row>
    <row r="43">
      <c r="A43" s="17" t="n">
        <v>46093</v>
      </c>
      <c r="B43" s="18" t="inlineStr">
        <is>
          <t>Conta de Energia Loja</t>
        </is>
      </c>
      <c r="C43" s="18" t="n"/>
      <c r="D43" s="27" t="n"/>
      <c r="E43" s="18" t="n"/>
      <c r="F43" s="19" t="n"/>
      <c r="G43" s="19" t="n">
        <v>139.92</v>
      </c>
      <c r="H43" s="21" t="inlineStr">
        <is>
          <t>Água, Energia e Internet</t>
        </is>
      </c>
      <c r="I43" s="18" t="inlineStr">
        <is>
          <t>Livro Caixa: Pagamento parcela CONTA DE ENERGIA LOJA (Doc. 1) · Companhia de Eletricidade do Estado da Bahia Coelba</t>
        </is>
      </c>
      <c r="J43" s="18" t="n"/>
    </row>
    <row r="44">
      <c r="A44" s="44" t="n">
        <v>46094</v>
      </c>
      <c r="B44" s="45" t="inlineStr">
        <is>
          <t>Jamille Oliveira Sousa Santos - Paulo Orlando</t>
        </is>
      </c>
      <c r="C44" s="45" t="inlineStr">
        <is>
          <t>Refil Everest</t>
        </is>
      </c>
      <c r="D44" s="46" t="n">
        <v>145</v>
      </c>
      <c r="E44" s="45" t="inlineStr">
        <is>
          <t>Crédito Parcelado</t>
        </is>
      </c>
      <c r="F44" s="47" t="n"/>
      <c r="G44" s="48" t="n"/>
      <c r="H44" s="49" t="n"/>
      <c r="I44" s="45" t="inlineStr">
        <is>
          <t>NFC-e 8931</t>
        </is>
      </c>
    </row>
    <row r="45">
      <c r="A45" s="17" t="n">
        <v>46094</v>
      </c>
      <c r="B45" s="18" t="inlineStr">
        <is>
          <t>Carneiro Ultra Drogaria LTDA - Filial 01</t>
        </is>
      </c>
      <c r="C45" s="18" t="inlineStr">
        <is>
          <t>Refil Everest + Pré Filtro</t>
        </is>
      </c>
      <c r="D45" s="27" t="n">
        <v>200</v>
      </c>
      <c r="E45" s="18" t="inlineStr">
        <is>
          <t>Dinheiro</t>
        </is>
      </c>
      <c r="F45" s="19" t="n"/>
      <c r="G45" s="19" t="n"/>
      <c r="H45" s="21" t="n"/>
      <c r="I45" s="18" t="inlineStr">
        <is>
          <t>NF-e 4106</t>
        </is>
      </c>
      <c r="J45" s="18" t="inlineStr">
        <is>
          <t>EMP-0043</t>
        </is>
      </c>
    </row>
    <row r="46">
      <c r="A46" s="44" t="n">
        <v>46095</v>
      </c>
      <c r="B46" s="45" t="inlineStr">
        <is>
          <t>Jairo Cesar Moro</t>
        </is>
      </c>
      <c r="C46" s="45" t="inlineStr">
        <is>
          <t>Purificador Everest Star Branco</t>
        </is>
      </c>
      <c r="D46" s="46" t="n">
        <v>1398</v>
      </c>
      <c r="E46" s="45" t="inlineStr">
        <is>
          <t>Dinheiro</t>
        </is>
      </c>
      <c r="F46" s="47" t="n"/>
      <c r="G46" s="48" t="n"/>
      <c r="H46" s="49" t="n"/>
      <c r="I46" s="45" t="inlineStr">
        <is>
          <t>NF-e 4107</t>
        </is>
      </c>
      <c r="J46" t="inlineStr">
        <is>
          <t>CLI-0755</t>
        </is>
      </c>
    </row>
    <row r="47">
      <c r="A47" s="17" t="n">
        <v>46095</v>
      </c>
      <c r="B47" s="18" t="inlineStr">
        <is>
          <t>RF Supermercado Brasil LTDA</t>
        </is>
      </c>
      <c r="C47" s="18" t="inlineStr">
        <is>
          <t>Refil E3 + 2x Refil Everest</t>
        </is>
      </c>
      <c r="D47" s="27" t="n">
        <v>370</v>
      </c>
      <c r="E47" s="18" t="n"/>
      <c r="F47" s="19" t="n"/>
      <c r="G47" s="19" t="n"/>
      <c r="H47" s="21" t="n"/>
      <c r="I47" s="18" t="inlineStr">
        <is>
          <t>NF-e 4085 · nota faturada a prazo (forma de recebimento não consta na nota) · venda de 27/02/2026 — pagamento recebido em 14/03/2026</t>
        </is>
      </c>
      <c r="J47" s="18" t="inlineStr">
        <is>
          <t>EMP-0261</t>
        </is>
      </c>
    </row>
    <row r="48" ht="15.75" customHeight="1" s="157">
      <c r="A48" s="44" t="n">
        <v>46095</v>
      </c>
      <c r="B48" s="45" t="inlineStr">
        <is>
          <t>RF Supermercado Brasil LTDA</t>
        </is>
      </c>
      <c r="C48" s="45" t="inlineStr">
        <is>
          <t>3x Refil Everest</t>
        </is>
      </c>
      <c r="D48" s="46" t="n">
        <v>420</v>
      </c>
      <c r="E48" s="45" t="n"/>
      <c r="F48" s="47" t="n"/>
      <c r="G48" s="48" t="n"/>
      <c r="H48" s="49" t="n"/>
      <c r="I48" s="45" t="inlineStr">
        <is>
          <t>NF-e 4086 · nota faturada a prazo (forma de recebimento não consta na nota) · venda de 27/02/2026 — pagamento recebido em 14/03/2026</t>
        </is>
      </c>
      <c r="J48" t="inlineStr">
        <is>
          <t>EMP-0261</t>
        </is>
      </c>
    </row>
    <row r="49">
      <c r="A49" s="17" t="n">
        <v>46097</v>
      </c>
      <c r="B49" s="18" t="inlineStr">
        <is>
          <t>L.C. Servicos e Transporte Ltda</t>
        </is>
      </c>
      <c r="C49" s="18" t="inlineStr">
        <is>
          <t>Bebedouro industrial 25L</t>
        </is>
      </c>
      <c r="D49" s="27" t="n">
        <v>2500</v>
      </c>
      <c r="E49" s="18" t="inlineStr">
        <is>
          <t>Pix</t>
        </is>
      </c>
      <c r="F49" s="19" t="n"/>
      <c r="G49" s="19" t="n"/>
      <c r="H49" s="21" t="n"/>
      <c r="I49" s="18" t="inlineStr">
        <is>
          <t>NF-e 4108</t>
        </is>
      </c>
      <c r="J49" s="18" t="n"/>
    </row>
    <row r="50">
      <c r="A50" s="44" t="n">
        <v>46097</v>
      </c>
      <c r="B50" s="45" t="inlineStr">
        <is>
          <t>Consumidor Final</t>
        </is>
      </c>
      <c r="C50" s="45" t="inlineStr">
        <is>
          <t>Refil Plissado + Refil FP4</t>
        </is>
      </c>
      <c r="D50" s="46" t="n">
        <v>165</v>
      </c>
      <c r="E50" s="45" t="inlineStr">
        <is>
          <t>Pix</t>
        </is>
      </c>
      <c r="F50" s="47" t="n"/>
      <c r="G50" s="48" t="n"/>
      <c r="H50" s="49" t="n"/>
      <c r="I50" s="45" t="inlineStr">
        <is>
          <t>NFC-e 8932</t>
        </is>
      </c>
    </row>
    <row r="51">
      <c r="A51" s="17" t="n">
        <v>46098</v>
      </c>
      <c r="B51" s="18" t="inlineStr">
        <is>
          <t>Jacy Lima da Silva</t>
        </is>
      </c>
      <c r="C51" s="18" t="inlineStr">
        <is>
          <t>Refil Everest</t>
        </is>
      </c>
      <c r="D51" s="27" t="n">
        <v>140</v>
      </c>
      <c r="E51" s="18" t="inlineStr">
        <is>
          <t>Dinheiro</t>
        </is>
      </c>
      <c r="F51" s="19" t="n"/>
      <c r="G51" s="19" t="n"/>
      <c r="H51" s="21" t="n"/>
      <c r="I51" s="18" t="inlineStr">
        <is>
          <t>NFC-e 8933</t>
        </is>
      </c>
      <c r="J51" s="18" t="inlineStr">
        <is>
          <t>CLI-0756</t>
        </is>
      </c>
    </row>
    <row r="52">
      <c r="A52" s="44" t="n">
        <v>46098</v>
      </c>
      <c r="B52" s="45" t="inlineStr">
        <is>
          <t>Sara Andreia Barros de Souza Santana - Escola Educare</t>
        </is>
      </c>
      <c r="C52" s="45" t="inlineStr">
        <is>
          <t>Refil Everest</t>
        </is>
      </c>
      <c r="D52" s="46" t="n">
        <v>135</v>
      </c>
      <c r="E52" s="45" t="inlineStr">
        <is>
          <t>Pix</t>
        </is>
      </c>
      <c r="F52" s="47" t="n"/>
      <c r="G52" s="48" t="n"/>
      <c r="H52" s="49" t="n"/>
      <c r="I52" s="45" t="inlineStr">
        <is>
          <t>NF-e 4109</t>
        </is>
      </c>
      <c r="J52" t="inlineStr">
        <is>
          <t>EMP-0272</t>
        </is>
      </c>
    </row>
    <row r="53" ht="15.75" customHeight="1" s="157">
      <c r="A53" s="17" t="n">
        <v>46098</v>
      </c>
      <c r="B53" s="18" t="inlineStr">
        <is>
          <t>Consumidor Final</t>
        </is>
      </c>
      <c r="C53" s="18" t="inlineStr">
        <is>
          <t>Refil Everest + Mangueira (1 m)</t>
        </is>
      </c>
      <c r="D53" s="27" t="n">
        <v>150</v>
      </c>
      <c r="E53" s="18" t="inlineStr">
        <is>
          <t>Pix</t>
        </is>
      </c>
      <c r="F53" s="19" t="n"/>
      <c r="G53" s="19" t="n"/>
      <c r="H53" s="21" t="n"/>
      <c r="I53" s="18" t="inlineStr">
        <is>
          <t>NFC-e 8934</t>
        </is>
      </c>
      <c r="J53" s="18" t="n"/>
    </row>
    <row r="54">
      <c r="A54" s="44" t="n">
        <v>46098</v>
      </c>
      <c r="B54" s="45" t="inlineStr">
        <is>
          <t>Consumidor Final</t>
        </is>
      </c>
      <c r="C54" s="45" t="inlineStr">
        <is>
          <t>Refil Everest</t>
        </is>
      </c>
      <c r="D54" s="46" t="n">
        <v>140</v>
      </c>
      <c r="E54" s="45" t="inlineStr">
        <is>
          <t>Pix</t>
        </is>
      </c>
      <c r="F54" s="47" t="n"/>
      <c r="G54" s="48" t="n"/>
      <c r="H54" s="49" t="n"/>
      <c r="I54" s="45" t="inlineStr">
        <is>
          <t>NFC-e 8935</t>
        </is>
      </c>
    </row>
    <row r="55">
      <c r="A55" s="17" t="n">
        <v>46098</v>
      </c>
      <c r="B55" s="18" t="inlineStr">
        <is>
          <t>Moab Lima Rios</t>
        </is>
      </c>
      <c r="C55" s="18" t="inlineStr">
        <is>
          <t>Refil Everest</t>
        </is>
      </c>
      <c r="D55" s="27" t="n">
        <v>140</v>
      </c>
      <c r="E55" s="18" t="inlineStr">
        <is>
          <t>Pix</t>
        </is>
      </c>
      <c r="F55" s="19" t="n"/>
      <c r="G55" s="19" t="n"/>
      <c r="H55" s="21" t="n"/>
      <c r="I55" s="18" t="inlineStr">
        <is>
          <t>NFC-e 8936</t>
        </is>
      </c>
      <c r="J55" s="18" t="inlineStr">
        <is>
          <t>OUT-0066</t>
        </is>
      </c>
    </row>
    <row r="56">
      <c r="A56" s="44" t="n">
        <v>46098</v>
      </c>
      <c r="B56" s="45" t="inlineStr">
        <is>
          <t>Consumidor Final</t>
        </is>
      </c>
      <c r="C56" s="45" t="inlineStr">
        <is>
          <t>Mangueira (1 m)</t>
        </is>
      </c>
      <c r="D56" s="46" t="n">
        <v>10</v>
      </c>
      <c r="E56" s="45" t="inlineStr">
        <is>
          <t>Dinheiro</t>
        </is>
      </c>
      <c r="F56" s="47" t="n"/>
      <c r="G56" s="48" t="n"/>
      <c r="H56" s="49" t="n"/>
      <c r="I56" s="45" t="inlineStr">
        <is>
          <t>NFC-e 8937</t>
        </is>
      </c>
    </row>
    <row r="57">
      <c r="A57" s="17" t="n">
        <v>46098</v>
      </c>
      <c r="B57" s="18" t="inlineStr">
        <is>
          <t>Consumidor Final</t>
        </is>
      </c>
      <c r="C57" s="18" t="inlineStr">
        <is>
          <t>Refil FPA14</t>
        </is>
      </c>
      <c r="D57" s="27" t="n">
        <v>95</v>
      </c>
      <c r="E57" s="18" t="inlineStr">
        <is>
          <t>Crédito Parcelado</t>
        </is>
      </c>
      <c r="F57" s="19" t="n"/>
      <c r="G57" s="19" t="n"/>
      <c r="H57" s="21" t="n"/>
      <c r="I57" s="18" t="inlineStr">
        <is>
          <t>NFC-e 8938</t>
        </is>
      </c>
      <c r="J57" s="18" t="n"/>
    </row>
    <row r="58">
      <c r="A58" s="44" t="n">
        <v>46098</v>
      </c>
      <c r="B58" s="45" t="inlineStr">
        <is>
          <t>Farmacia Dois de Julho - José Tiago Souza</t>
        </is>
      </c>
      <c r="C58" s="45" t="inlineStr">
        <is>
          <t>Refil Everest</t>
        </is>
      </c>
      <c r="D58" s="46" t="n">
        <v>140</v>
      </c>
      <c r="E58" s="45" t="inlineStr">
        <is>
          <t>Dinheiro</t>
        </is>
      </c>
      <c r="F58" s="47" t="n"/>
      <c r="G58" s="48" t="n"/>
      <c r="H58" s="49" t="n"/>
      <c r="I58" s="45" t="inlineStr">
        <is>
          <t>NFC-e 8939</t>
        </is>
      </c>
      <c r="J58" t="inlineStr">
        <is>
          <t>EMP-0144</t>
        </is>
      </c>
    </row>
    <row r="59">
      <c r="A59" s="17" t="n">
        <v>46098</v>
      </c>
      <c r="B59" s="18" t="inlineStr">
        <is>
          <t>Sandra Maria Vieira Moreira Araújo</t>
        </is>
      </c>
      <c r="C59" s="18" t="inlineStr">
        <is>
          <t>Purificador Everest Fit Prata</t>
        </is>
      </c>
      <c r="D59" s="27" t="n">
        <v>1300</v>
      </c>
      <c r="E59" s="18" t="inlineStr">
        <is>
          <t>Pix</t>
        </is>
      </c>
      <c r="F59" s="19" t="n"/>
      <c r="G59" s="19" t="n"/>
      <c r="H59" s="21" t="n"/>
      <c r="I59" s="18" t="inlineStr">
        <is>
          <t>NF-e 4110</t>
        </is>
      </c>
      <c r="J59" s="18" t="inlineStr">
        <is>
          <t>CLI-0758</t>
        </is>
      </c>
    </row>
    <row r="60">
      <c r="A60" s="44" t="n">
        <v>46099</v>
      </c>
      <c r="B60" s="45" t="inlineStr">
        <is>
          <t>Aspec Sociedade Paraibana de Educacao e Cultura Ltda</t>
        </is>
      </c>
      <c r="C60" s="45" t="inlineStr">
        <is>
          <t>24x Refil IBBL C+3</t>
        </is>
      </c>
      <c r="D60" s="46" t="n">
        <v>3000</v>
      </c>
      <c r="E60" s="45" t="n"/>
      <c r="F60" s="47" t="n"/>
      <c r="G60" s="48" t="n"/>
      <c r="H60" s="49" t="n"/>
      <c r="I60" s="45" t="inlineStr">
        <is>
          <t>NF-e 4089 · nota faturada a prazo (forma de recebimento não consta na nota) · venda de 27/02/2026 — pagamento recebido em 18/03/2026</t>
        </is>
      </c>
    </row>
    <row r="61">
      <c r="A61" s="17" t="n">
        <v>46099</v>
      </c>
      <c r="B61" s="18" t="inlineStr">
        <is>
          <t>Regina Cleia Cavalcant Ribeiro - Matheus Ribeiro</t>
        </is>
      </c>
      <c r="C61" s="18" t="inlineStr">
        <is>
          <t>Refil Everest + Pré Filtro + Mangueira (1 m)</t>
        </is>
      </c>
      <c r="D61" s="27" t="n">
        <v>210</v>
      </c>
      <c r="E61" s="18" t="inlineStr">
        <is>
          <t>Crédito Parcelado</t>
        </is>
      </c>
      <c r="F61" s="19" t="n"/>
      <c r="G61" s="19" t="n"/>
      <c r="H61" s="21" t="n"/>
      <c r="I61" s="18" t="inlineStr">
        <is>
          <t>NFC-e 8940</t>
        </is>
      </c>
      <c r="J61" s="18" t="n"/>
    </row>
    <row r="62">
      <c r="A62" s="44" t="n">
        <v>46099</v>
      </c>
      <c r="B62" s="45" t="inlineStr">
        <is>
          <t>Consumidor Final</t>
        </is>
      </c>
      <c r="C62" s="45" t="inlineStr">
        <is>
          <t>Refil Everest</t>
        </is>
      </c>
      <c r="D62" s="46" t="n">
        <v>140</v>
      </c>
      <c r="E62" s="45" t="inlineStr">
        <is>
          <t>Pix</t>
        </is>
      </c>
      <c r="F62" s="47" t="n"/>
      <c r="G62" s="48" t="n"/>
      <c r="H62" s="49" t="n"/>
      <c r="I62" s="45" t="inlineStr">
        <is>
          <t>NFC-e 8941</t>
        </is>
      </c>
    </row>
    <row r="63" ht="15.75" customHeight="1" s="157">
      <c r="A63" s="17" t="n">
        <v>46099</v>
      </c>
      <c r="B63" s="18" t="inlineStr">
        <is>
          <t>Valnice Jacobina Ribeiro Oliveira</t>
        </is>
      </c>
      <c r="C63" s="18" t="inlineStr">
        <is>
          <t>Refil Everest</t>
        </is>
      </c>
      <c r="D63" s="27" t="n">
        <v>140</v>
      </c>
      <c r="E63" s="18" t="inlineStr">
        <is>
          <t>Crédito Parcelado</t>
        </is>
      </c>
      <c r="F63" s="19" t="n"/>
      <c r="G63" s="19" t="n"/>
      <c r="H63" s="21" t="n"/>
      <c r="I63" s="18" t="inlineStr">
        <is>
          <t>NFC-e 8942</t>
        </is>
      </c>
      <c r="J63" s="18" t="n"/>
    </row>
    <row r="64">
      <c r="A64" s="44" t="n">
        <v>46099</v>
      </c>
      <c r="B64" s="45" t="inlineStr">
        <is>
          <t>Consumidor Final</t>
        </is>
      </c>
      <c r="C64" s="45" t="inlineStr">
        <is>
          <t>Refil FP4</t>
        </is>
      </c>
      <c r="D64" s="46" t="n">
        <v>80</v>
      </c>
      <c r="E64" s="45" t="inlineStr">
        <is>
          <t>Pix</t>
        </is>
      </c>
      <c r="F64" s="47" t="n"/>
      <c r="G64" s="48" t="n"/>
      <c r="H64" s="49" t="n"/>
      <c r="I64" s="45" t="inlineStr">
        <is>
          <t>NFC-e 8943</t>
        </is>
      </c>
    </row>
    <row r="65">
      <c r="A65" s="17" t="n">
        <v>46099</v>
      </c>
      <c r="B65" s="18" t="inlineStr">
        <is>
          <t>Consumidor Final</t>
        </is>
      </c>
      <c r="C65" s="18" t="inlineStr">
        <is>
          <t>Bico Rio</t>
        </is>
      </c>
      <c r="D65" s="27" t="n">
        <v>25</v>
      </c>
      <c r="E65" s="18" t="inlineStr">
        <is>
          <t>Pix</t>
        </is>
      </c>
      <c r="F65" s="19" t="n"/>
      <c r="G65" s="19" t="n"/>
      <c r="H65" s="21" t="n"/>
      <c r="I65" s="18" t="inlineStr">
        <is>
          <t>NFC-e 8944</t>
        </is>
      </c>
      <c r="J65" s="18" t="n"/>
    </row>
    <row r="66">
      <c r="A66" s="44" t="n">
        <v>46100</v>
      </c>
      <c r="B66" s="45" t="inlineStr">
        <is>
          <t>Consumidor Final</t>
        </is>
      </c>
      <c r="C66" s="45" t="inlineStr">
        <is>
          <t>Refil Top Color</t>
        </is>
      </c>
      <c r="D66" s="46" t="n">
        <v>95</v>
      </c>
      <c r="E66" s="45" t="inlineStr">
        <is>
          <t>Crédito Parcelado</t>
        </is>
      </c>
      <c r="F66" s="47" t="n"/>
      <c r="G66" s="48" t="n"/>
      <c r="H66" s="49" t="n"/>
      <c r="I66" s="45" t="inlineStr">
        <is>
          <t>NFC-e 8945</t>
        </is>
      </c>
    </row>
    <row r="67">
      <c r="A67" s="17" t="n">
        <v>46100</v>
      </c>
      <c r="B67" s="18" t="inlineStr">
        <is>
          <t>Consumidor Final</t>
        </is>
      </c>
      <c r="C67" s="18" t="inlineStr">
        <is>
          <t>Refil Acquatec</t>
        </is>
      </c>
      <c r="D67" s="27" t="n">
        <v>85</v>
      </c>
      <c r="E67" s="18" t="inlineStr">
        <is>
          <t>Pix</t>
        </is>
      </c>
      <c r="F67" s="19" t="n"/>
      <c r="G67" s="19" t="n"/>
      <c r="H67" s="21" t="n"/>
      <c r="I67" s="18" t="inlineStr">
        <is>
          <t>NFC-e 8946</t>
        </is>
      </c>
      <c r="J67" s="18" t="n"/>
    </row>
    <row r="68">
      <c r="A68" s="44" t="n">
        <v>46100</v>
      </c>
      <c r="B68" s="45" t="inlineStr">
        <is>
          <t>Newnet Consultoria e Informatica Ltda</t>
        </is>
      </c>
      <c r="C68" s="45" t="inlineStr">
        <is>
          <t>Refil Acquatec</t>
        </is>
      </c>
      <c r="D68" s="46" t="n">
        <v>90</v>
      </c>
      <c r="E68" s="45" t="n"/>
      <c r="F68" s="47" t="n"/>
      <c r="G68" s="48" t="n"/>
      <c r="H68" s="49" t="n"/>
      <c r="I68" s="45" t="inlineStr">
        <is>
          <t>NF-e 4111. Recebimento não constava no Livro Caixa; conferido e baixado no DigiSat em 28/09/2026.</t>
        </is>
      </c>
    </row>
    <row r="69">
      <c r="A69" s="17" t="n">
        <v>46101</v>
      </c>
      <c r="B69" s="18" t="inlineStr">
        <is>
          <t xml:space="preserve">Igreja Adventista Jacobina </t>
        </is>
      </c>
      <c r="C69" s="18" t="inlineStr">
        <is>
          <t>Refil Everest</t>
        </is>
      </c>
      <c r="D69" s="27" t="n">
        <v>140</v>
      </c>
      <c r="E69" s="18" t="inlineStr">
        <is>
          <t>Dinheiro</t>
        </is>
      </c>
      <c r="F69" s="19" t="n"/>
      <c r="G69" s="19" t="n"/>
      <c r="H69" s="21" t="n"/>
      <c r="I69" s="18" t="inlineStr">
        <is>
          <t>NF-e 4112</t>
        </is>
      </c>
      <c r="J69" s="18" t="inlineStr">
        <is>
          <t>EMP-0020</t>
        </is>
      </c>
    </row>
    <row r="70">
      <c r="A70" s="44" t="n">
        <v>46101</v>
      </c>
      <c r="B70" s="45" t="inlineStr">
        <is>
          <t>Ordem dos Advogados do Brasil Subsecao Jacobina Ba</t>
        </is>
      </c>
      <c r="C70" s="45" t="inlineStr">
        <is>
          <t>2x Refil Pro Life</t>
        </is>
      </c>
      <c r="D70" s="46" t="n">
        <v>280</v>
      </c>
      <c r="E70" s="45" t="n"/>
      <c r="F70" s="47" t="n"/>
      <c r="G70" s="48" t="n"/>
      <c r="H70" s="49" t="n"/>
      <c r="I70" s="45" t="inlineStr">
        <is>
          <t>NF-e 4105 · nota faturada a prazo (forma de recebimento não consta na nota) · venda de 12/03/2026 — pagamento recebido em 20/03/2026</t>
        </is>
      </c>
    </row>
    <row r="71">
      <c r="A71" s="17" t="n">
        <v>46101</v>
      </c>
      <c r="B71" s="18" t="inlineStr">
        <is>
          <t>David Dantas Martins Mendes</t>
        </is>
      </c>
      <c r="C71" s="18" t="inlineStr">
        <is>
          <t>Refil Everest</t>
        </is>
      </c>
      <c r="D71" s="27" t="n">
        <v>140</v>
      </c>
      <c r="E71" s="18" t="inlineStr">
        <is>
          <t>Pix</t>
        </is>
      </c>
      <c r="F71" s="19" t="n"/>
      <c r="G71" s="19" t="n"/>
      <c r="H71" s="21" t="n"/>
      <c r="I71" s="18" t="inlineStr">
        <is>
          <t>NF-e 4113</t>
        </is>
      </c>
      <c r="J71" s="18" t="n"/>
    </row>
    <row r="72">
      <c r="A72" s="44" t="n">
        <v>46101</v>
      </c>
      <c r="B72" s="45" t="inlineStr">
        <is>
          <t>Caio Cesar Souza Santos - Js Material de Construcao</t>
        </is>
      </c>
      <c r="C72" s="45" t="inlineStr">
        <is>
          <t>Refil Everest</t>
        </is>
      </c>
      <c r="D72" s="46" t="n">
        <v>140</v>
      </c>
      <c r="E72" s="45" t="inlineStr">
        <is>
          <t>Crédito Parcelado</t>
        </is>
      </c>
      <c r="F72" s="47" t="n"/>
      <c r="G72" s="48" t="n"/>
      <c r="H72" s="49" t="n"/>
      <c r="I72" s="45" t="inlineStr">
        <is>
          <t>NFC-e 8947</t>
        </is>
      </c>
    </row>
    <row r="73" ht="15.75" customHeight="1" s="157">
      <c r="A73" s="17" t="n">
        <v>46101</v>
      </c>
      <c r="B73" s="18" t="inlineStr">
        <is>
          <t>George Martins Silva</t>
        </is>
      </c>
      <c r="C73" s="18" t="inlineStr">
        <is>
          <t>Refil Everest + Pré Filtro</t>
        </is>
      </c>
      <c r="D73" s="27" t="n">
        <v>200</v>
      </c>
      <c r="E73" s="18" t="inlineStr">
        <is>
          <t>Pix</t>
        </is>
      </c>
      <c r="F73" s="19" t="n"/>
      <c r="G73" s="19" t="n"/>
      <c r="H73" s="21" t="n"/>
      <c r="I73" s="18" t="inlineStr">
        <is>
          <t>NFC-e 8948</t>
        </is>
      </c>
      <c r="J73" s="18" t="inlineStr">
        <is>
          <t>CLI-0763</t>
        </is>
      </c>
    </row>
    <row r="74">
      <c r="A74" s="44" t="n">
        <v>46101</v>
      </c>
      <c r="B74" s="45" t="inlineStr">
        <is>
          <t>Darline de Oliveira Almeida Liro</t>
        </is>
      </c>
      <c r="C74" s="45" t="inlineStr">
        <is>
          <t>Refil Everest</t>
        </is>
      </c>
      <c r="D74" s="46" t="n">
        <v>130</v>
      </c>
      <c r="E74" s="45" t="inlineStr">
        <is>
          <t>Pix</t>
        </is>
      </c>
      <c r="F74" s="47" t="n"/>
      <c r="G74" s="48" t="n"/>
      <c r="H74" s="49" t="n"/>
      <c r="I74" s="45" t="inlineStr">
        <is>
          <t>NFC-e 8949</t>
        </is>
      </c>
      <c r="J74" t="inlineStr">
        <is>
          <t>CLI-0765</t>
        </is>
      </c>
    </row>
    <row r="75">
      <c r="A75" s="17" t="n">
        <v>46101</v>
      </c>
      <c r="B75" s="18" t="inlineStr">
        <is>
          <t>Patios Nordeste Jacobina Spe Ltda</t>
        </is>
      </c>
      <c r="C75" s="18" t="inlineStr">
        <is>
          <t>Refil Top Color</t>
        </is>
      </c>
      <c r="D75" s="27" t="n">
        <v>95</v>
      </c>
      <c r="E75" s="18" t="inlineStr">
        <is>
          <t>Dinheiro</t>
        </is>
      </c>
      <c r="F75" s="19" t="n"/>
      <c r="G75" s="19" t="n"/>
      <c r="H75" s="21" t="n"/>
      <c r="I75" s="18" t="inlineStr">
        <is>
          <t>NF-e 4114</t>
        </is>
      </c>
      <c r="J75" s="18" t="n"/>
    </row>
    <row r="76">
      <c r="A76" s="44" t="n">
        <v>46101</v>
      </c>
      <c r="B76" s="45" t="inlineStr">
        <is>
          <t>Everest Refrigeracao e Industria</t>
        </is>
      </c>
      <c r="C76" s="45" t="n"/>
      <c r="D76" s="46" t="n"/>
      <c r="E76" s="45" t="n"/>
      <c r="F76" s="47" t="n"/>
      <c r="G76" s="48" t="n">
        <v>865.5</v>
      </c>
      <c r="H76" s="49" t="inlineStr">
        <is>
          <t>Fornecedores / Mercadoria</t>
        </is>
      </c>
      <c r="I76" s="45" t="inlineStr">
        <is>
          <t>NF 368529 de 14/01/2026 · parcela 2/5 (venc. 15/03/2026) · compra total R$ 4.327,52: Purificador Everest Plus Branco + Purificador Everest Plus Prata + Purificador Everest Star Prata + Purificador Everest Slim Prata + Purificador Everest Fit Prata + Purificador Everest Fit Branco · Livro Caixa</t>
        </is>
      </c>
    </row>
    <row r="77">
      <c r="A77" s="17" t="n">
        <v>46101</v>
      </c>
      <c r="B77" s="18" t="inlineStr">
        <is>
          <t>Tarcisio Oliveira Lima</t>
        </is>
      </c>
      <c r="C77" s="18" t="n"/>
      <c r="D77" s="27" t="n"/>
      <c r="E77" s="18" t="n"/>
      <c r="F77" s="19" t="n"/>
      <c r="G77" s="19" t="n">
        <v>486.32</v>
      </c>
      <c r="H77" s="21" t="inlineStr">
        <is>
          <t>Contabilidade</t>
        </is>
      </c>
      <c r="I77" s="18" t="inlineStr">
        <is>
          <t>Livro Caixa: Pagamento parcela TARCISIO OLIVEIRA LIMA (Doc. 1) · Tarcisio Oliveira Lima</t>
        </is>
      </c>
      <c r="J77" s="18" t="n"/>
    </row>
    <row r="78">
      <c r="A78" s="44" t="n">
        <v>46101</v>
      </c>
      <c r="B78" s="45" t="inlineStr">
        <is>
          <t>Filtros Planeta Agua Ind e Com Ltda</t>
        </is>
      </c>
      <c r="C78" s="45" t="n"/>
      <c r="D78" s="46" t="n"/>
      <c r="E78" s="45" t="n"/>
      <c r="F78" s="47" t="n"/>
      <c r="G78" s="48" t="n">
        <v>420.87</v>
      </c>
      <c r="H78" s="49" t="inlineStr">
        <is>
          <t>Fornecedores / Mercadoria</t>
        </is>
      </c>
      <c r="I78" s="45" t="inlineStr">
        <is>
          <t>NF 126565 de 20/01/2026 · parcela 3/4 (venc. 17/03/2026) · compra total R$ 1.771,04 (IPI R$ 87,54): 65x Refil Pro Life · Livro Caixa</t>
        </is>
      </c>
    </row>
    <row r="79" ht="15.75" customHeight="1" s="157">
      <c r="A79" s="17" t="n">
        <v>46101</v>
      </c>
      <c r="B79" s="18" t="inlineStr">
        <is>
          <t>Fgts</t>
        </is>
      </c>
      <c r="C79" s="18" t="n"/>
      <c r="D79" s="27" t="n"/>
      <c r="E79" s="18" t="n"/>
      <c r="F79" s="19" t="n"/>
      <c r="G79" s="19" t="n">
        <v>267.2</v>
      </c>
      <c r="H79" s="21" t="inlineStr">
        <is>
          <t>Impostos e Taxas</t>
        </is>
      </c>
      <c r="I79" s="18" t="inlineStr">
        <is>
          <t>Livro Caixa: Pagamento parcela FGTS (Doc. 1) · Planeta Agua Ltda</t>
        </is>
      </c>
      <c r="J79" s="18" t="n"/>
    </row>
    <row r="80">
      <c r="A80" s="44" t="n">
        <v>46101</v>
      </c>
      <c r="B80" s="45" t="inlineStr">
        <is>
          <t>Receitas Federais</t>
        </is>
      </c>
      <c r="C80" s="45" t="n"/>
      <c r="D80" s="46" t="n"/>
      <c r="E80" s="45" t="n"/>
      <c r="F80" s="47" t="n"/>
      <c r="G80" s="48" t="n">
        <v>430.27</v>
      </c>
      <c r="H80" s="49" t="inlineStr">
        <is>
          <t>Impostos e Taxas</t>
        </is>
      </c>
      <c r="I80" s="45" t="inlineStr">
        <is>
          <t>Livro Caixa: Pagamento parcela RECEITAS FEDERAIS (Doc. 2) · Planeta Agua Ltda</t>
        </is>
      </c>
    </row>
    <row r="81">
      <c r="A81" s="17" t="n">
        <v>46101</v>
      </c>
      <c r="B81" s="18" t="inlineStr">
        <is>
          <t>Simples Nacional</t>
        </is>
      </c>
      <c r="C81" s="18" t="n"/>
      <c r="D81" s="27" t="n"/>
      <c r="E81" s="18" t="n"/>
      <c r="F81" s="19" t="n"/>
      <c r="G81" s="19" t="n">
        <v>1829.8</v>
      </c>
      <c r="H81" s="21" t="inlineStr">
        <is>
          <t>Impostos e Taxas</t>
        </is>
      </c>
      <c r="I81" s="18" t="inlineStr">
        <is>
          <t>Livro Caixa: Pagamento parcela SIMPLES NACIONAL (Doc. 1) · Planeta Agua Ltda</t>
        </is>
      </c>
      <c r="J81" s="18" t="n"/>
    </row>
    <row r="82">
      <c r="A82" s="44" t="n">
        <v>46102</v>
      </c>
      <c r="B82" s="45" t="inlineStr">
        <is>
          <t>Socec - Sociedade Capibaribe de Educacao e Cultura S/A</t>
        </is>
      </c>
      <c r="C82" s="45" t="inlineStr">
        <is>
          <t>8x Refil IBBL C+3</t>
        </is>
      </c>
      <c r="D82" s="46" t="n">
        <v>1040</v>
      </c>
      <c r="E82" s="45" t="inlineStr">
        <is>
          <t>Pix</t>
        </is>
      </c>
      <c r="F82" s="47" t="n"/>
      <c r="G82" s="48" t="n"/>
      <c r="H82" s="49" t="n"/>
      <c r="I82" s="45" t="inlineStr">
        <is>
          <t>NF-e 4088 · Grupo Ânima — venda de 27/02/2026, Nota Paga no portal V360 em 21/03/2026. Recebimento não constava no Livro Caixa; baixa dada no DigiSat em 28/09/2026.</t>
        </is>
      </c>
    </row>
    <row r="83">
      <c r="A83" s="17" t="n">
        <v>46104</v>
      </c>
      <c r="B83" s="18" t="inlineStr">
        <is>
          <t>Maria do Carmo Mendes</t>
        </is>
      </c>
      <c r="C83" s="18" t="inlineStr">
        <is>
          <t>Refil Everest</t>
        </is>
      </c>
      <c r="D83" s="27" t="n">
        <v>130</v>
      </c>
      <c r="E83" s="18" t="inlineStr">
        <is>
          <t>Dinheiro</t>
        </is>
      </c>
      <c r="F83" s="19" t="n"/>
      <c r="G83" s="19" t="n"/>
      <c r="H83" s="21" t="n"/>
      <c r="I83" s="18" t="inlineStr">
        <is>
          <t>NFC-e 8950</t>
        </is>
      </c>
      <c r="J83" s="18" t="inlineStr">
        <is>
          <t>OUT-0061</t>
        </is>
      </c>
    </row>
    <row r="84">
      <c r="A84" s="44" t="n">
        <v>46104</v>
      </c>
      <c r="B84" s="45" t="inlineStr">
        <is>
          <t>Central do Suplemento</t>
        </is>
      </c>
      <c r="C84" s="45" t="inlineStr">
        <is>
          <t>Refil Everest</t>
        </is>
      </c>
      <c r="D84" s="46" t="n">
        <v>140</v>
      </c>
      <c r="E84" s="45" t="inlineStr">
        <is>
          <t>Dinheiro</t>
        </is>
      </c>
      <c r="F84" s="47" t="n"/>
      <c r="G84" s="48" t="n"/>
      <c r="H84" s="49" t="n"/>
      <c r="I84" s="45" t="inlineStr">
        <is>
          <t>NF-e 4116</t>
        </is>
      </c>
      <c r="J84" t="inlineStr">
        <is>
          <t>EMP-0055</t>
        </is>
      </c>
    </row>
    <row r="85">
      <c r="A85" s="17" t="n">
        <v>46104</v>
      </c>
      <c r="B85" s="18" t="inlineStr">
        <is>
          <t>Antonio Cesar Freitas Souza</t>
        </is>
      </c>
      <c r="C85" s="18" t="inlineStr">
        <is>
          <t>Refil Pro Life</t>
        </is>
      </c>
      <c r="D85" s="27" t="n">
        <v>140</v>
      </c>
      <c r="E85" s="18" t="inlineStr">
        <is>
          <t>Crédito Parcelado</t>
        </is>
      </c>
      <c r="F85" s="19" t="n"/>
      <c r="G85" s="19" t="n"/>
      <c r="H85" s="21" t="n"/>
      <c r="I85" s="18" t="inlineStr">
        <is>
          <t>NFC-e 8951</t>
        </is>
      </c>
      <c r="J85" s="18" t="n"/>
    </row>
    <row r="86">
      <c r="A86" s="44" t="n">
        <v>46104</v>
      </c>
      <c r="B86" s="45" t="inlineStr">
        <is>
          <t>Consumidor Final</t>
        </is>
      </c>
      <c r="C86" s="45" t="inlineStr">
        <is>
          <t>2x Refil Acquatec</t>
        </is>
      </c>
      <c r="D86" s="46" t="n">
        <v>190</v>
      </c>
      <c r="E86" s="45" t="inlineStr">
        <is>
          <t>Crédito Parcelado</t>
        </is>
      </c>
      <c r="F86" s="47" t="n"/>
      <c r="G86" s="48" t="n"/>
      <c r="H86" s="49" t="n"/>
      <c r="I86" s="45" t="inlineStr">
        <is>
          <t>NFC-e 8952</t>
        </is>
      </c>
    </row>
    <row r="87">
      <c r="A87" s="17" t="n">
        <v>46104</v>
      </c>
      <c r="B87" s="18" t="inlineStr">
        <is>
          <t>Centro de Estudos Calmonense</t>
        </is>
      </c>
      <c r="C87" s="18" t="inlineStr">
        <is>
          <t>Refil CP500 BR</t>
        </is>
      </c>
      <c r="D87" s="27" t="n">
        <v>90</v>
      </c>
      <c r="E87" s="18" t="inlineStr">
        <is>
          <t>Pix</t>
        </is>
      </c>
      <c r="F87" s="19" t="n"/>
      <c r="G87" s="19" t="n"/>
      <c r="H87" s="21" t="n"/>
      <c r="I87" s="18" t="inlineStr">
        <is>
          <t>NF-e 4117</t>
        </is>
      </c>
      <c r="J87" s="18" t="inlineStr">
        <is>
          <t>OUT-0011</t>
        </is>
      </c>
    </row>
    <row r="88">
      <c r="A88" s="44" t="n">
        <v>46104</v>
      </c>
      <c r="B88" s="45" t="inlineStr">
        <is>
          <t>Jose Alfredo de Oliveira Alkim - Maiara de Souza</t>
        </is>
      </c>
      <c r="C88" s="45" t="inlineStr">
        <is>
          <t>Refil Everest + Pré Filtro</t>
        </is>
      </c>
      <c r="D88" s="46" t="n">
        <v>200</v>
      </c>
      <c r="E88" s="45" t="inlineStr">
        <is>
          <t>Crédito Parcelado</t>
        </is>
      </c>
      <c r="F88" s="47" t="n"/>
      <c r="G88" s="48" t="n"/>
      <c r="H88" s="49" t="n"/>
      <c r="I88" s="45" t="inlineStr">
        <is>
          <t>NFC-e 8953</t>
        </is>
      </c>
    </row>
    <row r="89">
      <c r="A89" s="17" t="n">
        <v>46106</v>
      </c>
      <c r="B89" s="18" t="inlineStr">
        <is>
          <t>Jose Luciano Vieira Costa</t>
        </is>
      </c>
      <c r="C89" s="18" t="inlineStr">
        <is>
          <t>2x Refil Everest</t>
        </is>
      </c>
      <c r="D89" s="27" t="n">
        <v>280</v>
      </c>
      <c r="E89" s="18" t="inlineStr">
        <is>
          <t>Dinheiro</t>
        </is>
      </c>
      <c r="F89" s="19" t="n"/>
      <c r="G89" s="19" t="n"/>
      <c r="H89" s="21" t="n"/>
      <c r="I89" s="18" t="inlineStr">
        <is>
          <t>NF-e 4119</t>
        </is>
      </c>
      <c r="J89" s="18" t="n"/>
    </row>
    <row r="90">
      <c r="A90" s="44" t="n">
        <v>46106</v>
      </c>
      <c r="B90" s="45" t="inlineStr">
        <is>
          <t>Centro Medico de Jacobina LTDA - Clinica Santa Barbara</t>
        </is>
      </c>
      <c r="C90" s="45" t="inlineStr">
        <is>
          <t>3x Refil Everest</t>
        </is>
      </c>
      <c r="D90" s="46" t="n">
        <v>420</v>
      </c>
      <c r="E90" s="45" t="n"/>
      <c r="F90" s="47" t="n"/>
      <c r="G90" s="48" t="n"/>
      <c r="H90" s="49" t="n"/>
      <c r="I90" s="45" t="inlineStr">
        <is>
          <t>NF-e 4120 · nota faturada a prazo (forma de recebimento não consta na nota)</t>
        </is>
      </c>
      <c r="J90" t="inlineStr">
        <is>
          <t>EMP-0063</t>
        </is>
      </c>
    </row>
    <row r="91">
      <c r="A91" s="17" t="n">
        <v>46106</v>
      </c>
      <c r="B91" s="18" t="inlineStr">
        <is>
          <t>Metrica Construção Ltda</t>
        </is>
      </c>
      <c r="C91" s="18" t="inlineStr">
        <is>
          <t>Refil Everest + Mangueira (2 m)</t>
        </is>
      </c>
      <c r="D91" s="27" t="n">
        <v>160</v>
      </c>
      <c r="E91" s="18" t="inlineStr">
        <is>
          <t>Dinheiro</t>
        </is>
      </c>
      <c r="F91" s="19" t="n"/>
      <c r="G91" s="19" t="n"/>
      <c r="H91" s="21" t="n"/>
      <c r="I91" s="18" t="inlineStr">
        <is>
          <t>NF-e 4121</t>
        </is>
      </c>
      <c r="J91" s="18" t="inlineStr">
        <is>
          <t>EMP-0221</t>
        </is>
      </c>
    </row>
    <row r="92">
      <c r="A92" s="44" t="n">
        <v>46106</v>
      </c>
      <c r="B92" s="45" t="inlineStr">
        <is>
          <t>Consumidor Final</t>
        </is>
      </c>
      <c r="C92" s="45" t="inlineStr">
        <is>
          <t>Refil Universal</t>
        </is>
      </c>
      <c r="D92" s="46" t="n">
        <v>30</v>
      </c>
      <c r="E92" s="45" t="inlineStr">
        <is>
          <t>Dinheiro</t>
        </is>
      </c>
      <c r="F92" s="47" t="n"/>
      <c r="G92" s="48" t="n"/>
      <c r="H92" s="49" t="n"/>
      <c r="I92" s="45" t="inlineStr">
        <is>
          <t>NFC-e 8954</t>
        </is>
      </c>
    </row>
    <row r="93">
      <c r="A93" s="17" t="n">
        <v>46106</v>
      </c>
      <c r="B93" s="18" t="inlineStr">
        <is>
          <t>Consumidor Final</t>
        </is>
      </c>
      <c r="C93" s="18" t="inlineStr">
        <is>
          <t>Refil Universal</t>
        </is>
      </c>
      <c r="D93" s="27" t="n">
        <v>26</v>
      </c>
      <c r="E93" s="18" t="inlineStr">
        <is>
          <t>Crédito Parcelado</t>
        </is>
      </c>
      <c r="F93" s="19" t="n"/>
      <c r="G93" s="19" t="n"/>
      <c r="H93" s="21" t="n"/>
      <c r="I93" s="18" t="inlineStr">
        <is>
          <t>NFC-e 8955</t>
        </is>
      </c>
      <c r="J93" s="18" t="n"/>
    </row>
    <row r="94">
      <c r="A94" s="44" t="n">
        <v>46106</v>
      </c>
      <c r="B94" s="45" t="inlineStr">
        <is>
          <t>Vera Lucia Gomes Sampaio (Igreja Quadrangular)</t>
        </is>
      </c>
      <c r="C94" s="45" t="inlineStr">
        <is>
          <t>Purificador Everest Plus Branco</t>
        </is>
      </c>
      <c r="D94" s="46" t="n">
        <v>1500</v>
      </c>
      <c r="E94" s="45" t="inlineStr">
        <is>
          <t>Dinheiro</t>
        </is>
      </c>
      <c r="F94" s="47" t="n"/>
      <c r="G94" s="48" t="n"/>
      <c r="H94" s="49" t="n"/>
      <c r="I94" s="45" t="inlineStr">
        <is>
          <t>NF-e 4122</t>
        </is>
      </c>
      <c r="J94" t="inlineStr">
        <is>
          <t>CLI-0520</t>
        </is>
      </c>
    </row>
    <row r="95">
      <c r="A95" s="17" t="n">
        <v>46106</v>
      </c>
      <c r="B95" s="18" t="inlineStr">
        <is>
          <t>Climo Clínica Médica Oftalmológica  Ldta - Aloisio Sales</t>
        </is>
      </c>
      <c r="C95" s="18" t="inlineStr">
        <is>
          <t>Purificador Everest Star Branco</t>
        </is>
      </c>
      <c r="D95" s="27" t="n">
        <v>1298</v>
      </c>
      <c r="E95" s="18" t="n"/>
      <c r="F95" s="19" t="n"/>
      <c r="G95" s="19" t="n"/>
      <c r="H95" s="21" t="n"/>
      <c r="I95" s="18" t="inlineStr">
        <is>
          <t>NF-e 4118 · nota faturada a prazo (forma de recebimento não consta na nota) · venda de 24/03/2026 — pagamento recebido em 25/03/2026</t>
        </is>
      </c>
      <c r="J95" s="18" t="inlineStr">
        <is>
          <t>EMP-0067</t>
        </is>
      </c>
    </row>
    <row r="96">
      <c r="A96" s="44" t="n">
        <v>46107</v>
      </c>
      <c r="B96" s="45" t="inlineStr">
        <is>
          <t>R. M. Laboratorio Ltda.</t>
        </is>
      </c>
      <c r="C96" s="45" t="inlineStr">
        <is>
          <t>Refil Everest + Pré Filtro</t>
        </is>
      </c>
      <c r="D96" s="46" t="n">
        <v>200</v>
      </c>
      <c r="E96" s="45" t="n"/>
      <c r="F96" s="47" t="n"/>
      <c r="G96" s="48" t="n"/>
      <c r="H96" s="49" t="n"/>
      <c r="I96" s="45" t="inlineStr">
        <is>
          <t>NF-e 4123 · nota faturada a prazo (forma de recebimento não consta na nota) · venda de 25/03/2026 — pagamento recebido em 26/03/2026</t>
        </is>
      </c>
    </row>
    <row r="97">
      <c r="A97" s="17" t="n">
        <v>46107</v>
      </c>
      <c r="B97" s="18" t="inlineStr">
        <is>
          <t>Paulo Diogenes de Oliveira Eireli</t>
        </is>
      </c>
      <c r="C97" s="18" t="inlineStr">
        <is>
          <t>Refil Everest</t>
        </is>
      </c>
      <c r="D97" s="27" t="n">
        <v>135</v>
      </c>
      <c r="E97" s="18" t="inlineStr">
        <is>
          <t>Dinheiro</t>
        </is>
      </c>
      <c r="F97" s="19" t="n"/>
      <c r="G97" s="19" t="n"/>
      <c r="H97" s="21" t="n"/>
      <c r="I97" s="18" t="inlineStr">
        <is>
          <t>NF-e 4124</t>
        </is>
      </c>
      <c r="J97" s="18" t="n"/>
    </row>
    <row r="98">
      <c r="A98" s="44" t="n">
        <v>46107</v>
      </c>
      <c r="B98" s="45" t="inlineStr">
        <is>
          <t>Ages Educação Ltda - Irecê</t>
        </is>
      </c>
      <c r="C98" s="45" t="inlineStr">
        <is>
          <t>2x Pré Filtro IBBL + 2x Refil IBBL C+3</t>
        </is>
      </c>
      <c r="D98" s="46" t="n">
        <v>580</v>
      </c>
      <c r="E98" s="45" t="n"/>
      <c r="F98" s="47" t="n"/>
      <c r="G98" s="48" t="n"/>
      <c r="H98" s="49" t="n"/>
      <c r="I98" s="45" t="inlineStr">
        <is>
          <t>NF-e 4125 · nota faturada a prazo (forma de recebimento não consta na nota)</t>
        </is>
      </c>
      <c r="J98" t="inlineStr">
        <is>
          <t>ESC-0005</t>
        </is>
      </c>
    </row>
    <row r="99">
      <c r="A99" s="17" t="n">
        <v>46107</v>
      </c>
      <c r="B99" s="18" t="inlineStr">
        <is>
          <t>Everest Refrigeracao e Industria</t>
        </is>
      </c>
      <c r="C99" s="18" t="n"/>
      <c r="D99" s="27" t="n"/>
      <c r="E99" s="18" t="n"/>
      <c r="F99" s="19" t="n"/>
      <c r="G99" s="19" t="n">
        <v>800.64</v>
      </c>
      <c r="H99" s="21" t="inlineStr">
        <is>
          <t>Fornecedores / Mercadoria</t>
        </is>
      </c>
      <c r="I99" s="18" t="inlineStr">
        <is>
          <t>NF 362188 de 22/10/2025 · parcela 5/5 (venc. 21/03/2026) · compra total R$ 4.003,24: Purificador Everest Fit Branco + Purificador Everest Fit Prata + Purificador Everest Slim Branco + Purificador Everest Slim Prata + Purificador Everest Star Branco + 4x Purificador Everest Baby Cereja · Livro Caixa</t>
        </is>
      </c>
      <c r="J99" s="18" t="n"/>
    </row>
    <row r="100" ht="15.75" customHeight="1" s="157">
      <c r="A100" s="44" t="n">
        <v>46107</v>
      </c>
      <c r="B100" s="45" t="inlineStr">
        <is>
          <t>Eversoft Ind e Com de Plasticos Ltda</t>
        </is>
      </c>
      <c r="C100" s="45" t="n"/>
      <c r="D100" s="46" t="n"/>
      <c r="E100" s="45" t="n"/>
      <c r="F100" s="47" t="n"/>
      <c r="G100" s="48" t="n">
        <v>878.9299999999999</v>
      </c>
      <c r="H100" s="49" t="inlineStr">
        <is>
          <t>Fornecedores / Mercadoria</t>
        </is>
      </c>
      <c r="I100" s="45" t="inlineStr">
        <is>
          <t>NF 68349 de 24/10/2025 · parcela 5/5 (venc. 23/03/2026) · compra total R$ 4.394,61: 100x Refil Everest · Livro Caixa</t>
        </is>
      </c>
    </row>
    <row r="101">
      <c r="A101" s="17" t="n">
        <v>46107</v>
      </c>
      <c r="B101" s="18" t="inlineStr">
        <is>
          <t>Eversoft Ind e Com de Plasticos Ltda</t>
        </is>
      </c>
      <c r="C101" s="18" t="n"/>
      <c r="D101" s="27" t="n"/>
      <c r="E101" s="18" t="n"/>
      <c r="F101" s="19" t="n"/>
      <c r="G101" s="19" t="n">
        <v>541.37</v>
      </c>
      <c r="H101" s="21" t="inlineStr">
        <is>
          <t>Fornecedores / Mercadoria</t>
        </is>
      </c>
      <c r="I101" s="18" t="inlineStr">
        <is>
          <t>NF 70444 de 23/01/2026 · parcela 2/5 (venc. 24/03/2026) · compra total R$ 2.706,83: 50x Refil Everest + 50x Pré Filtro · Livro Caixa</t>
        </is>
      </c>
      <c r="J101" s="18" t="n"/>
    </row>
    <row r="102" ht="15.75" customHeight="1" s="157">
      <c r="A102" s="44" t="n">
        <v>46107</v>
      </c>
      <c r="B102" s="45" t="inlineStr">
        <is>
          <t>Eversoft Ind e Com de Plasticos Ltda</t>
        </is>
      </c>
      <c r="C102" s="45" t="n"/>
      <c r="D102" s="46" t="n"/>
      <c r="E102" s="45" t="n"/>
      <c r="F102" s="47" t="n"/>
      <c r="G102" s="48" t="n">
        <v>878.92</v>
      </c>
      <c r="H102" s="49" t="inlineStr">
        <is>
          <t>Fornecedores / Mercadoria</t>
        </is>
      </c>
      <c r="I102" s="45" t="inlineStr">
        <is>
          <t>NF 71084 de 23/02/2026 · parcela 1/5 (venc. 25/03/2026) · compra total R$ 4.394,61: 100x Refil Everest · Livro Caixa</t>
        </is>
      </c>
    </row>
    <row r="103">
      <c r="A103" s="17" t="n">
        <v>46107</v>
      </c>
      <c r="B103" s="18" t="inlineStr">
        <is>
          <t>Icms - Antecipação Parcial</t>
        </is>
      </c>
      <c r="C103" s="18" t="n"/>
      <c r="D103" s="27" t="n"/>
      <c r="E103" s="18" t="n"/>
      <c r="F103" s="19" t="n"/>
      <c r="G103" s="19" t="n">
        <v>1291.02</v>
      </c>
      <c r="H103" s="21" t="inlineStr">
        <is>
          <t>Impostos e Taxas</t>
        </is>
      </c>
      <c r="I103" s="18" t="inlineStr">
        <is>
          <t>Livro Caixa: Pagamento parcela ICMS - ANTECIPAÇÃO PARCIAL (Doc. 1) · Planeta Agua Ltda</t>
        </is>
      </c>
      <c r="J103" s="18" t="n"/>
    </row>
    <row r="104" ht="15.75" customHeight="1" s="157">
      <c r="A104" s="44" t="n">
        <v>46107</v>
      </c>
      <c r="B104" s="45" t="inlineStr">
        <is>
          <t>Jamef</t>
        </is>
      </c>
      <c r="C104" s="45" t="n"/>
      <c r="D104" s="46" t="n"/>
      <c r="E104" s="45" t="n"/>
      <c r="F104" s="47" t="n"/>
      <c r="G104" s="48" t="n">
        <v>452.14</v>
      </c>
      <c r="H104" s="49" t="inlineStr">
        <is>
          <t>Transporte e Entregas</t>
        </is>
      </c>
      <c r="I104" s="45" t="inlineStr">
        <is>
          <t>Livro Caixa: Pagamento parcela JAMEF (Doc. 1) · Jamef Transportes Ltda</t>
        </is>
      </c>
    </row>
    <row r="105">
      <c r="A105" s="17" t="n">
        <v>46107</v>
      </c>
      <c r="B105" s="18" t="inlineStr">
        <is>
          <t>Everest Refrigeracao e Industria</t>
        </is>
      </c>
      <c r="C105" s="18" t="n"/>
      <c r="D105" s="27" t="n"/>
      <c r="E105" s="18" t="n"/>
      <c r="F105" s="19" t="n"/>
      <c r="G105" s="19" t="n">
        <v>676.59</v>
      </c>
      <c r="H105" s="21" t="inlineStr">
        <is>
          <t>Fornecedores / Mercadoria</t>
        </is>
      </c>
      <c r="I105" s="18" t="inlineStr">
        <is>
          <t>NF 371358 de 24/02/2026 · parcela 1/5 (venc. 26/03/2026) · compra total R$ 3.382,95: 2x Purificador Everest Star Branco + Purificador Everest Slim Branco + Purificador Everest Fit Branco + Purificador Everest Fit Prata · Livro Caixa</t>
        </is>
      </c>
      <c r="J105" s="18" t="n"/>
    </row>
    <row r="106">
      <c r="A106" s="44" t="n">
        <v>46108</v>
      </c>
      <c r="B106" s="45" t="inlineStr">
        <is>
          <t>Consumidor Final</t>
        </is>
      </c>
      <c r="C106" s="45" t="inlineStr">
        <is>
          <t>2x Vela Filtro de Barro</t>
        </is>
      </c>
      <c r="D106" s="46" t="n">
        <v>20</v>
      </c>
      <c r="E106" s="45" t="inlineStr">
        <is>
          <t>Débito</t>
        </is>
      </c>
      <c r="F106" s="47" t="n"/>
      <c r="G106" s="48" t="n"/>
      <c r="H106" s="49" t="n"/>
      <c r="I106" s="45" t="inlineStr">
        <is>
          <t>NFC-e 8956</t>
        </is>
      </c>
    </row>
    <row r="107">
      <c r="A107" s="17" t="n">
        <v>46108</v>
      </c>
      <c r="B107" s="18" t="inlineStr">
        <is>
          <t>Eversoft Ind e Com de Plasticos Ltda</t>
        </is>
      </c>
      <c r="C107" s="18" t="n"/>
      <c r="D107" s="27" t="n"/>
      <c r="E107" s="18" t="n"/>
      <c r="F107" s="19" t="n"/>
      <c r="G107" s="19" t="n">
        <v>980.83</v>
      </c>
      <c r="H107" s="21" t="inlineStr">
        <is>
          <t>Fornecedores / Mercadoria</t>
        </is>
      </c>
      <c r="I107" s="18" t="inlineStr">
        <is>
          <t>NF 69107 de 27/11/2025 · parcela 4/5 (venc. 27/03/2026) · compra total R$ 4.904,13: 100x Refil Everest + 50x Pré Filtro · Livro Caixa</t>
        </is>
      </c>
      <c r="J107" s="18" t="n"/>
    </row>
    <row r="108">
      <c r="A108" s="44" t="n">
        <v>46109</v>
      </c>
      <c r="B108" s="45" t="inlineStr">
        <is>
          <t>Samille Fiscina Lima Lordello - Tiago (cartório)</t>
        </is>
      </c>
      <c r="C108" s="45" t="inlineStr">
        <is>
          <t>Refil Everest</t>
        </is>
      </c>
      <c r="D108" s="46" t="n">
        <v>140</v>
      </c>
      <c r="E108" s="45" t="inlineStr">
        <is>
          <t>Pix</t>
        </is>
      </c>
      <c r="F108" s="47" t="n"/>
      <c r="G108" s="48" t="n"/>
      <c r="H108" s="49" t="n"/>
      <c r="I108" s="45" t="inlineStr">
        <is>
          <t>NF-e 4128</t>
        </is>
      </c>
      <c r="J108" t="inlineStr">
        <is>
          <t>CLI-0508</t>
        </is>
      </c>
    </row>
    <row r="109">
      <c r="A109" s="17" t="n">
        <v>46109</v>
      </c>
      <c r="B109" s="18" t="inlineStr">
        <is>
          <t>Lucimara Oliveira Silva Neves</t>
        </is>
      </c>
      <c r="C109" s="18" t="inlineStr">
        <is>
          <t>Purificador Everest Slim Preto</t>
        </is>
      </c>
      <c r="D109" s="27" t="n">
        <v>1448</v>
      </c>
      <c r="E109" s="18" t="inlineStr">
        <is>
          <t>Dinheiro</t>
        </is>
      </c>
      <c r="F109" s="19" t="n"/>
      <c r="G109" s="19" t="n"/>
      <c r="H109" s="21" t="n"/>
      <c r="I109" s="18" t="inlineStr">
        <is>
          <t>NF-e 4129</t>
        </is>
      </c>
      <c r="J109" s="18" t="inlineStr">
        <is>
          <t>CLI-0769</t>
        </is>
      </c>
    </row>
    <row r="110">
      <c r="A110" s="44" t="n">
        <v>46109</v>
      </c>
      <c r="B110" s="45" t="inlineStr">
        <is>
          <t>Ages Empreendimentos Educacionais Ltda</t>
        </is>
      </c>
      <c r="C110" s="45" t="inlineStr">
        <is>
          <t>14x Refil IBBL C+3</t>
        </is>
      </c>
      <c r="D110" s="46" t="n">
        <v>2040</v>
      </c>
      <c r="E110" s="45" t="inlineStr">
        <is>
          <t>Pix</t>
        </is>
      </c>
      <c r="F110" s="47" t="n"/>
      <c r="G110" s="48" t="n"/>
      <c r="H110" s="49" t="n"/>
      <c r="I110" s="45" t="inlineStr">
        <is>
          <t>NF-e 4087 · Grupo Ânima — venda de 27/02/2026, Nota Paga no portal V360 em 28/03/2026. Recebimento não constava no Livro Caixa; baixa dada no DigiSat em 28/09/2026.</t>
        </is>
      </c>
    </row>
    <row r="111">
      <c r="A111" s="17" t="n">
        <v>46111</v>
      </c>
      <c r="B111" s="18" t="inlineStr">
        <is>
          <t>Paulo Eric de Sousa de Jacobina</t>
        </is>
      </c>
      <c r="C111" s="18" t="inlineStr">
        <is>
          <t>Refil Everest</t>
        </is>
      </c>
      <c r="D111" s="27" t="n">
        <v>140</v>
      </c>
      <c r="E111" s="18" t="inlineStr">
        <is>
          <t>Dinheiro</t>
        </is>
      </c>
      <c r="F111" s="19" t="n"/>
      <c r="G111" s="19" t="n"/>
      <c r="H111" s="21" t="n"/>
      <c r="I111" s="18" t="inlineStr">
        <is>
          <t>NF-e 4132</t>
        </is>
      </c>
      <c r="J111" s="18" t="n"/>
    </row>
    <row r="112">
      <c r="A112" s="44" t="n">
        <v>46111</v>
      </c>
      <c r="B112" s="45" t="inlineStr">
        <is>
          <t>Central do Suplemento</t>
        </is>
      </c>
      <c r="C112" s="45" t="inlineStr">
        <is>
          <t>Pré Filtro</t>
        </is>
      </c>
      <c r="D112" s="46" t="n">
        <v>60</v>
      </c>
      <c r="E112" s="45" t="inlineStr">
        <is>
          <t>Dinheiro</t>
        </is>
      </c>
      <c r="F112" s="47" t="n"/>
      <c r="G112" s="48" t="n"/>
      <c r="H112" s="49" t="n"/>
      <c r="I112" s="45" t="inlineStr">
        <is>
          <t>NF-e 4133</t>
        </is>
      </c>
      <c r="J112" t="inlineStr">
        <is>
          <t>EMP-0055</t>
        </is>
      </c>
    </row>
    <row r="113">
      <c r="A113" s="17" t="n">
        <v>46111</v>
      </c>
      <c r="B113" s="18" t="inlineStr">
        <is>
          <t>Cmc- Centro Medico Cardiovascular Ltda</t>
        </is>
      </c>
      <c r="C113" s="18" t="inlineStr">
        <is>
          <t>2x Refil Everest</t>
        </is>
      </c>
      <c r="D113" s="27" t="n">
        <v>260</v>
      </c>
      <c r="E113" s="18" t="inlineStr">
        <is>
          <t>Dinheiro</t>
        </is>
      </c>
      <c r="F113" s="19" t="n"/>
      <c r="G113" s="19" t="n"/>
      <c r="H113" s="21" t="n"/>
      <c r="I113" s="18" t="inlineStr">
        <is>
          <t>NF-e 4134</t>
        </is>
      </c>
      <c r="J113" s="18" t="n"/>
    </row>
    <row r="114">
      <c r="A114" s="44" t="n">
        <v>46111</v>
      </c>
      <c r="B114" s="45" t="inlineStr">
        <is>
          <t>Helena Nilva de Carvalho Moura</t>
        </is>
      </c>
      <c r="C114" s="45" t="inlineStr">
        <is>
          <t>Refil Everest</t>
        </is>
      </c>
      <c r="D114" s="46" t="n">
        <v>135</v>
      </c>
      <c r="E114" s="45" t="inlineStr">
        <is>
          <t>Dinheiro</t>
        </is>
      </c>
      <c r="F114" s="47" t="n"/>
      <c r="G114" s="48" t="n"/>
      <c r="H114" s="49" t="n"/>
      <c r="I114" s="45" t="inlineStr">
        <is>
          <t>NFC-e 8957</t>
        </is>
      </c>
      <c r="J114" t="inlineStr">
        <is>
          <t>CLI-0768</t>
        </is>
      </c>
    </row>
    <row r="115">
      <c r="A115" s="17" t="n">
        <v>46111</v>
      </c>
      <c r="B115" s="18" t="inlineStr">
        <is>
          <t>Igreja Batista Filadelfia</t>
        </is>
      </c>
      <c r="C115" s="18" t="inlineStr">
        <is>
          <t>3x Refil Everest + 2x Pré Filtro</t>
        </is>
      </c>
      <c r="D115" s="27" t="n">
        <v>540</v>
      </c>
      <c r="E115" s="18" t="n"/>
      <c r="F115" s="19" t="n"/>
      <c r="G115" s="19" t="n"/>
      <c r="H115" s="21" t="n"/>
      <c r="I115" s="18" t="inlineStr">
        <is>
          <t>NF-e 4130. Recebimento não constava no Livro Caixa; conferido e baixado no DigiSat em 28/09/2026.</t>
        </is>
      </c>
      <c r="J115" s="18" t="n"/>
    </row>
    <row r="116">
      <c r="A116" s="44" t="n">
        <v>46111</v>
      </c>
      <c r="B116" s="45" t="inlineStr">
        <is>
          <t>Transportadora e Locadora de Veiculos Mcr Ltda</t>
        </is>
      </c>
      <c r="C116" s="45" t="inlineStr">
        <is>
          <t>2x Refil Everest</t>
        </is>
      </c>
      <c r="D116" s="46" t="n">
        <v>280</v>
      </c>
      <c r="E116" s="45" t="n"/>
      <c r="F116" s="47" t="n"/>
      <c r="G116" s="48" t="n"/>
      <c r="H116" s="49" t="n"/>
      <c r="I116" s="45" t="inlineStr">
        <is>
          <t>NF-e 4131. Recebimento não constava no Livro Caixa; conferido e baixado no DigiSat em 28/09/2026.</t>
        </is>
      </c>
    </row>
    <row r="117">
      <c r="A117" s="17" t="n">
        <v>46111</v>
      </c>
      <c r="B117" s="18" t="inlineStr">
        <is>
          <t>Everest Refrigeracao e Industria</t>
        </is>
      </c>
      <c r="C117" s="18" t="n"/>
      <c r="D117" s="27" t="n"/>
      <c r="E117" s="18" t="n"/>
      <c r="F117" s="19" t="n"/>
      <c r="G117" s="19" t="n">
        <v>1279.27</v>
      </c>
      <c r="H117" s="21" t="inlineStr">
        <is>
          <t>Fornecedores / Mercadoria</t>
        </is>
      </c>
      <c r="I117" s="18" t="inlineStr">
        <is>
          <t>NF 369793 de 28/01/2026 · parcela 2/3 (venc. 29/03/2026) · compra total R$ 3.838,20: Purificador Everest Star Branco + Purificador Everest Fit Preto + Purificador Everest Plus Preto + 8x Purificador Everest Baby Branco + 4x Purificador Everest Baby Preto · Livro Caixa</t>
        </is>
      </c>
      <c r="J117" s="18" t="n"/>
    </row>
    <row r="118">
      <c r="A118" s="44" t="n">
        <v>46111</v>
      </c>
      <c r="B118" s="45" t="inlineStr">
        <is>
          <t>Eversoft Ind e Com de Plasticos Ltda</t>
        </is>
      </c>
      <c r="C118" s="45" t="n"/>
      <c r="D118" s="46" t="n"/>
      <c r="E118" s="45" t="n"/>
      <c r="F118" s="47" t="n"/>
      <c r="G118" s="48" t="n">
        <v>878.92</v>
      </c>
      <c r="H118" s="49" t="inlineStr">
        <is>
          <t>Fornecedores / Mercadoria</t>
        </is>
      </c>
      <c r="I118" s="45" t="inlineStr">
        <is>
          <t>NF 69886 de 30/12/2025 · parcela 3/5 (venc. 30/03/2026) · compra total R$ 4.394,61: 100x Refil Everest · Livro Caixa</t>
        </is>
      </c>
    </row>
    <row r="119">
      <c r="A119" s="17" t="n">
        <v>46112</v>
      </c>
      <c r="B119" s="18" t="inlineStr">
        <is>
          <t>Consumidor Final</t>
        </is>
      </c>
      <c r="C119" s="18" t="inlineStr">
        <is>
          <t>Refil IBBL C+3</t>
        </is>
      </c>
      <c r="D119" s="27" t="n">
        <v>100</v>
      </c>
      <c r="E119" s="18" t="inlineStr">
        <is>
          <t>Dinheiro</t>
        </is>
      </c>
      <c r="F119" s="19" t="n"/>
      <c r="G119" s="19" t="n"/>
      <c r="H119" s="21" t="n"/>
      <c r="I119" s="18" t="inlineStr">
        <is>
          <t>NFC-e 8958</t>
        </is>
      </c>
      <c r="J119" s="18" t="n"/>
    </row>
    <row r="120">
      <c r="A120" s="44" t="n">
        <v>46112</v>
      </c>
      <c r="B120" s="45" t="inlineStr">
        <is>
          <t>Jacqueline Costa de Barros Cezar &amp; Cia Ltda</t>
        </is>
      </c>
      <c r="C120" s="45" t="inlineStr">
        <is>
          <t>Refil Everest</t>
        </is>
      </c>
      <c r="D120" s="46" t="n">
        <v>140</v>
      </c>
      <c r="E120" s="45" t="inlineStr">
        <is>
          <t>Dinheiro</t>
        </is>
      </c>
      <c r="F120" s="47" t="n"/>
      <c r="G120" s="48" t="n"/>
      <c r="H120" s="49" t="n"/>
      <c r="I120" s="45" t="inlineStr">
        <is>
          <t>NF-e 4135</t>
        </is>
      </c>
    </row>
    <row r="121">
      <c r="A121" s="17" t="n">
        <v>46112</v>
      </c>
      <c r="B121" s="18" t="inlineStr">
        <is>
          <t>Dom - Nucleo de Terapias Integradas</t>
        </is>
      </c>
      <c r="C121" s="18" t="inlineStr">
        <is>
          <t>3x Refil Everest</t>
        </is>
      </c>
      <c r="D121" s="27" t="n">
        <v>420</v>
      </c>
      <c r="E121" s="18" t="inlineStr">
        <is>
          <t>Dinheiro</t>
        </is>
      </c>
      <c r="F121" s="19" t="n"/>
      <c r="G121" s="19" t="n"/>
      <c r="H121" s="21" t="n"/>
      <c r="I121" s="18" t="inlineStr">
        <is>
          <t>NF-e 4136</t>
        </is>
      </c>
      <c r="J121" s="18" t="n"/>
    </row>
    <row r="122">
      <c r="A122" s="44" t="n">
        <v>46112</v>
      </c>
      <c r="B122" s="45" t="inlineStr">
        <is>
          <t>Consumidor Final</t>
        </is>
      </c>
      <c r="C122" s="45" t="inlineStr">
        <is>
          <t>Refil Everest + Mangueira (1 m)</t>
        </is>
      </c>
      <c r="D122" s="46" t="n">
        <v>150</v>
      </c>
      <c r="E122" s="45" t="inlineStr">
        <is>
          <t>Crédito Parcelado</t>
        </is>
      </c>
      <c r="F122" s="47" t="n"/>
      <c r="G122" s="48" t="n"/>
      <c r="H122" s="49" t="n"/>
      <c r="I122" s="45" t="inlineStr">
        <is>
          <t>NFC-e 8959</t>
        </is>
      </c>
    </row>
    <row r="123">
      <c r="A123" s="17" t="n">
        <v>46112</v>
      </c>
      <c r="B123" s="18" t="inlineStr">
        <is>
          <t>Filtros Planeta Agua Ind e Com Ltda</t>
        </is>
      </c>
      <c r="C123" s="18" t="n"/>
      <c r="D123" s="27" t="n"/>
      <c r="E123" s="18" t="n"/>
      <c r="F123" s="19" t="n"/>
      <c r="G123" s="19" t="n">
        <v>420.87</v>
      </c>
      <c r="H123" s="21" t="inlineStr">
        <is>
          <t>Fornecedores / Mercadoria</t>
        </is>
      </c>
      <c r="I123" s="18" t="inlineStr">
        <is>
          <t>NF 126565 de 20/01/2026 · parcela 4/4 (venc. 31/03/2026) · compra total R$ 1.771,04 (IPI R$ 87,54): 65x Refil Pro Life · Livro Caixa</t>
        </is>
      </c>
      <c r="J123" s="18" t="n"/>
    </row>
    <row r="124">
      <c r="A124" s="44" t="n">
        <v>46112</v>
      </c>
      <c r="B124" s="45" t="inlineStr">
        <is>
          <t>Prefeitura Municipal de Jacobina</t>
        </is>
      </c>
      <c r="C124" s="45" t="n"/>
      <c r="D124" s="46" t="n"/>
      <c r="E124" s="45" t="n"/>
      <c r="F124" s="47" t="n"/>
      <c r="G124" s="48" t="n">
        <v>226.78</v>
      </c>
      <c r="H124" s="49" t="inlineStr">
        <is>
          <t>Impostos e Taxas</t>
        </is>
      </c>
      <c r="I124" s="45" t="inlineStr">
        <is>
          <t>Livro Caixa: Pagamento parcela PREFEITURA MUNICIPAL DE JACOBINA (Doc. 1) · Municipio de Jacobina</t>
        </is>
      </c>
    </row>
    <row r="125">
      <c r="A125" s="17" t="n">
        <v>46112</v>
      </c>
      <c r="B125" s="18" t="inlineStr">
        <is>
          <t>Salario Wiliam</t>
        </is>
      </c>
      <c r="C125" s="18" t="n"/>
      <c r="D125" s="27" t="n"/>
      <c r="E125" s="18" t="n"/>
      <c r="F125" s="19" t="n"/>
      <c r="G125" s="19" t="n">
        <v>1571.32</v>
      </c>
      <c r="H125" s="21" t="inlineStr">
        <is>
          <t>Salários, Comissões e Encargos</t>
        </is>
      </c>
      <c r="I125" s="18" t="inlineStr">
        <is>
          <t>Livro Caixa: Pagamento à vista: SALARIO WILIAM (Doc. 1) · Wiliam Pinto Bispo</t>
        </is>
      </c>
      <c r="J125" s="18" t="n"/>
    </row>
    <row r="126">
      <c r="A126" s="44" t="n">
        <v>46112</v>
      </c>
      <c r="B126" s="45" t="inlineStr">
        <is>
          <t>Salario Daniel</t>
        </is>
      </c>
      <c r="C126" s="45" t="n"/>
      <c r="D126" s="46" t="n"/>
      <c r="E126" s="45" t="n"/>
      <c r="F126" s="47" t="n"/>
      <c r="G126" s="48" t="n">
        <v>807.7</v>
      </c>
      <c r="H126" s="49" t="inlineStr">
        <is>
          <t>Salários, Comissões e Encargos</t>
        </is>
      </c>
      <c r="I126" s="45" t="inlineStr">
        <is>
          <t>Livro Caixa: Pagamento à vista: SALARIO DANIEL (Doc. 1) · Daniel Barbosa dos Santos</t>
        </is>
      </c>
    </row>
    <row r="127">
      <c r="A127" s="29" t="n"/>
      <c r="B127" s="43" t="inlineStr">
        <is>
          <t>TOTAL DO MÊS</t>
        </is>
      </c>
      <c r="C127" s="160" t="n"/>
      <c r="D127" s="8">
        <f>SUM(D5:D126)</f>
        <v/>
      </c>
      <c r="E127" s="8" t="n"/>
      <c r="F127" s="29">
        <f>SUM(F5:F126)</f>
        <v/>
      </c>
      <c r="G127" s="8">
        <f>SUM(G5:G126)</f>
        <v/>
      </c>
      <c r="H127" s="29" t="n"/>
      <c r="I127" s="29" t="n"/>
    </row>
    <row r="128" ht="15.75" customHeight="1" s="157">
      <c r="A128" s="30" t="n"/>
      <c r="B128" s="133" t="inlineStr">
        <is>
          <t>SALDO DO MÊS (Entradas líquidas − Despesas da loja)</t>
        </is>
      </c>
      <c r="D128" s="132">
        <f>(D127-F127-T5)-(L18-L19)</f>
        <v/>
      </c>
      <c r="F128" s="30" t="n"/>
      <c r="H128" s="30" t="n"/>
      <c r="I128" s="30" t="n"/>
    </row>
    <row r="149" ht="15.75" customHeight="1" s="157"/>
    <row r="165">
      <c r="K165" s="13" t="n"/>
      <c r="L165" s="14" t="n"/>
    </row>
    <row r="166">
      <c r="K166" s="42" t="n"/>
      <c r="L166" s="8" t="n"/>
    </row>
    <row r="167">
      <c r="K167" s="31" t="n"/>
      <c r="L167" s="31" t="n"/>
    </row>
    <row r="168">
      <c r="K168" s="31" t="n"/>
      <c r="L168" s="31" t="n"/>
    </row>
    <row r="173" ht="15.75" customHeight="1" s="157"/>
    <row r="176" ht="15.75" customHeight="1" s="157"/>
    <row r="184" ht="15.75" customHeight="1" s="157"/>
    <row r="185">
      <c r="K185" s="31" t="n"/>
      <c r="L185" s="31" t="n"/>
    </row>
    <row r="186" ht="15.75" customHeight="1" s="157">
      <c r="K186" s="31" t="n"/>
      <c r="L186" s="31" t="n"/>
    </row>
    <row r="187">
      <c r="K187" s="31" t="n"/>
      <c r="L187" s="31" t="n"/>
    </row>
    <row r="188">
      <c r="K188" s="31" t="n"/>
      <c r="L188" s="31" t="n"/>
    </row>
    <row r="189">
      <c r="K189" s="31" t="n"/>
      <c r="L189" s="31" t="n"/>
    </row>
  </sheetData>
  <mergeCells count="19">
    <mergeCell ref="P4:Q4"/>
    <mergeCell ref="P8:Q9"/>
    <mergeCell ref="T8:U9"/>
    <mergeCell ref="N7:O7"/>
    <mergeCell ref="R4:S4"/>
    <mergeCell ref="T4:U4"/>
    <mergeCell ref="A2:I2"/>
    <mergeCell ref="R7:S7"/>
    <mergeCell ref="P5:Q6"/>
    <mergeCell ref="R5:S6"/>
    <mergeCell ref="R8:S9"/>
    <mergeCell ref="P7:Q7"/>
    <mergeCell ref="T5:U6"/>
    <mergeCell ref="T7:U7"/>
    <mergeCell ref="A1:I1"/>
    <mergeCell ref="K4:L4"/>
    <mergeCell ref="N5:O6"/>
    <mergeCell ref="N4:O4"/>
    <mergeCell ref="N8:O9"/>
  </mergeCells>
  <conditionalFormatting sqref="R7:S7">
    <cfRule type="expression" priority="1" dxfId="1">
      <formula>LEFT($R$7,6)="PASSOU"</formula>
    </cfRule>
  </conditionalFormatting>
  <conditionalFormatting sqref="R8:S9">
    <cfRule type="expression" priority="2" dxfId="0">
      <formula>LEFT($R$7,6)="PASSOU"</formula>
    </cfRule>
  </conditionalFormatting>
  <conditionalFormatting sqref="T8:U9">
    <cfRule type="cellIs" priority="3" operator="lessThan" dxfId="0">
      <formula>0</formula>
    </cfRule>
  </conditionalFormatting>
  <conditionalFormatting sqref="R5:S6">
    <cfRule type="cellIs" priority="4" operator="lessThan" dxfId="0">
      <formula>0</formula>
    </cfRule>
  </conditionalFormatting>
  <dataValidations count="2">
    <dataValidation sqref="E5:E126" showDropDown="0" showInputMessage="0" showErrorMessage="0" allowBlank="1" type="list">
      <formula1>"Dinheiro,Pix,Débito,Crédito à Vista,Crédito Parcelado,Aguardando Pagamento"</formula1>
    </dataValidation>
    <dataValidation sqref="H5:H126" showDropDown="0" showInputMessage="0" showErrorMessage="0" allowBlank="1" type="list">
      <formula1>$K$5:$K$17</formula1>
    </dataValidation>
  </dataValidations>
  <hyperlinks>
    <hyperlink ref="A3" location="'Início'!A1" display="← Início"/>
  </hyperlink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tabColor rgb="FF6B46C1"/>
    <outlinePr summaryBelow="1" summaryRight="1"/>
    <pageSetUpPr/>
  </sheetPr>
  <dimension ref="A1:U18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13" bestFit="1" customWidth="1" style="157" min="1" max="1"/>
    <col width="42" customWidth="1" style="157" min="2" max="2"/>
    <col width="26" customWidth="1" style="157" min="3" max="3"/>
    <col width="14" customWidth="1" style="157" min="4" max="4"/>
    <col width="20" customWidth="1" style="157" min="5" max="5"/>
    <col width="16" customWidth="1" style="157" min="6" max="6"/>
    <col width="14" customWidth="1" style="157" min="7" max="7"/>
    <col width="26" customWidth="1" style="157" min="8" max="8"/>
    <col width="30" customWidth="1" style="157" min="9" max="9"/>
    <col width="11" customWidth="1" style="157" min="10" max="10"/>
    <col width="30" customWidth="1" style="157" min="11" max="11"/>
    <col width="14" customWidth="1" style="157" min="12" max="12"/>
    <col width="3" customWidth="1" style="157" min="13" max="13"/>
    <col width="13" customWidth="1" style="157" min="14" max="21"/>
  </cols>
  <sheetData>
    <row r="1" ht="25.5" customHeight="1" s="157">
      <c r="A1" s="223" t="inlineStr">
        <is>
          <t>RELATÓRIO FINANCEIRO — ABRIL / 2026</t>
        </is>
      </c>
    </row>
    <row r="2">
      <c r="A2" s="228" t="inlineStr">
        <is>
          <t>Fluxo de caixa da loja — entradas montadas a partir das notas fiscais (XML do DigiSat), com cliente e produtos; saídas do Livro Caixa</t>
        </is>
      </c>
    </row>
    <row r="3">
      <c r="A3" s="127" t="inlineStr">
        <is>
          <t>← Início</t>
        </is>
      </c>
    </row>
    <row r="4" ht="20.1" customHeight="1" s="157">
      <c r="A4" s="1" t="inlineStr">
        <is>
          <t>Data</t>
        </is>
      </c>
      <c r="B4" s="1" t="inlineStr">
        <is>
          <t>Descrição / Cliente</t>
        </is>
      </c>
      <c r="C4" s="1" t="inlineStr">
        <is>
          <t>Produto</t>
        </is>
      </c>
      <c r="D4" s="1" t="inlineStr">
        <is>
          <t>Entrada (R$)</t>
        </is>
      </c>
      <c r="E4" s="1" t="inlineStr">
        <is>
          <t>Forma de Pagamento</t>
        </is>
      </c>
      <c r="F4" s="1" t="inlineStr">
        <is>
          <t>Taxa da Máquina (R$)</t>
        </is>
      </c>
      <c r="G4" s="1" t="inlineStr">
        <is>
          <t>Saída (R$)</t>
        </is>
      </c>
      <c r="H4" s="1" t="inlineStr">
        <is>
          <t>Categoria da Saída</t>
        </is>
      </c>
      <c r="I4" s="1" t="inlineStr">
        <is>
          <t>Observações</t>
        </is>
      </c>
      <c r="J4" s="1" t="inlineStr">
        <is>
          <t>ID Cliente</t>
        </is>
      </c>
      <c r="K4" s="233" t="inlineStr">
        <is>
          <t>Saídas por Categoria</t>
        </is>
      </c>
      <c r="L4" s="160" t="n"/>
      <c r="N4" s="224" t="inlineStr">
        <is>
          <t>FATURAMENTO</t>
        </is>
      </c>
      <c r="P4" s="232" t="inlineStr">
        <is>
          <t>DESPESAS</t>
        </is>
      </c>
      <c r="R4" s="221" t="inlineStr">
        <is>
          <t>SALDO ANTES DO PRÓ-LABORE</t>
        </is>
      </c>
      <c r="T4" s="207" t="inlineStr">
        <is>
          <t>A RECEBER</t>
        </is>
      </c>
    </row>
    <row r="5" ht="14.1" customHeight="1" s="157">
      <c r="A5" s="17" t="n">
        <v>46113</v>
      </c>
      <c r="B5" s="18" t="inlineStr">
        <is>
          <t>Tatiana Miranda Siqueira</t>
        </is>
      </c>
      <c r="C5" s="18" t="inlineStr">
        <is>
          <t>Refil Everest + Mangueira (1 m)</t>
        </is>
      </c>
      <c r="D5" s="27" t="n">
        <v>150</v>
      </c>
      <c r="E5" s="18" t="inlineStr">
        <is>
          <t>Pix</t>
        </is>
      </c>
      <c r="F5" s="19" t="n"/>
      <c r="G5" s="19" t="n"/>
      <c r="H5" s="21" t="n"/>
      <c r="I5" s="18" t="inlineStr">
        <is>
          <t>NF-e 4138</t>
        </is>
      </c>
      <c r="J5" s="18" t="inlineStr">
        <is>
          <t>CLI-0696</t>
        </is>
      </c>
      <c r="K5" s="10" t="inlineStr">
        <is>
          <t>Fornecedores / Mercadoria</t>
        </is>
      </c>
      <c r="L5" s="11">
        <f>SUMIF(H5:H132,K5,G5:G132)</f>
        <v/>
      </c>
      <c r="N5" s="229">
        <f>D133-F133-T5</f>
        <v/>
      </c>
      <c r="P5" s="231">
        <f>L18-L19</f>
        <v/>
      </c>
      <c r="R5" s="230">
        <f>D134</f>
        <v/>
      </c>
      <c r="T5" s="212">
        <f>SUMIF(E5:E132,"Aguardando Pagamento",D5:D132)</f>
        <v/>
      </c>
    </row>
    <row r="6" ht="14.1" customHeight="1" s="157">
      <c r="A6" s="44" t="n">
        <v>46113</v>
      </c>
      <c r="B6" s="45" t="inlineStr">
        <is>
          <t>Consumidor Final</t>
        </is>
      </c>
      <c r="C6" s="45" t="inlineStr">
        <is>
          <t>Refil Everest</t>
        </is>
      </c>
      <c r="D6" s="46" t="n">
        <v>130</v>
      </c>
      <c r="E6" s="45" t="inlineStr">
        <is>
          <t>Dinheiro</t>
        </is>
      </c>
      <c r="F6" s="47" t="n"/>
      <c r="G6" s="48" t="n"/>
      <c r="H6" s="49" t="n"/>
      <c r="I6" s="45" t="inlineStr">
        <is>
          <t>NFC-e 8960</t>
        </is>
      </c>
      <c r="K6" s="13" t="inlineStr">
        <is>
          <t>Aluguel</t>
        </is>
      </c>
      <c r="L6" s="14">
        <f>SUMIF(H5:H132,K6,G5:G132)</f>
        <v/>
      </c>
    </row>
    <row r="7" ht="15.75" customHeight="1" s="157">
      <c r="A7" s="17" t="n">
        <v>46113</v>
      </c>
      <c r="B7" s="18" t="inlineStr">
        <is>
          <t>Rui Robson Ferreira Andrade - Maria lucia</t>
        </is>
      </c>
      <c r="C7" s="18" t="inlineStr">
        <is>
          <t>Purificador Everest Fit Branco</t>
        </is>
      </c>
      <c r="D7" s="27" t="n">
        <v>1348</v>
      </c>
      <c r="E7" s="18" t="inlineStr">
        <is>
          <t>Dinheiro</t>
        </is>
      </c>
      <c r="F7" s="19" t="n"/>
      <c r="G7" s="19" t="n"/>
      <c r="H7" s="21" t="n"/>
      <c r="I7" s="18" t="inlineStr">
        <is>
          <t>NF-e 4139</t>
        </is>
      </c>
      <c r="J7" s="18" t="inlineStr">
        <is>
          <t>CLI-0754</t>
        </is>
      </c>
      <c r="K7" s="10" t="inlineStr">
        <is>
          <t>Água, Energia e Internet</t>
        </is>
      </c>
      <c r="L7" s="11">
        <f>SUMIF(H5:H132,K7,G5:G132)</f>
        <v/>
      </c>
      <c r="N7" s="249" t="inlineStr">
        <is>
          <t>PRÓ-LABORE EDILÂNIA</t>
        </is>
      </c>
      <c r="P7" s="208" t="inlineStr">
        <is>
          <t>COMBINADO NO MÊS</t>
        </is>
      </c>
      <c r="R7" s="221">
        <f>IF(L17&gt;'Ponto de Equilíbrio'!$B$10,"PASSOU DO COMBINADO",IF(TODAY()&gt;EOMONTH(DATE(2026,4,1),0),"ABAIXO DO COMBINADO","AINDA PODE GASTAR"))</f>
        <v/>
      </c>
      <c r="T7" s="224" t="inlineStr">
        <is>
          <t>SOBRA FINAL DO MÊS</t>
        </is>
      </c>
    </row>
    <row r="8">
      <c r="A8" s="44" t="n">
        <v>46113</v>
      </c>
      <c r="B8" s="45" t="inlineStr">
        <is>
          <t>Embasa Adriano</t>
        </is>
      </c>
      <c r="C8" s="45" t="n"/>
      <c r="D8" s="46" t="n"/>
      <c r="E8" s="45" t="n"/>
      <c r="F8" s="47" t="n"/>
      <c r="G8" s="48" t="n">
        <v>51.61</v>
      </c>
      <c r="H8" s="49" t="inlineStr">
        <is>
          <t>Pro Labore Edilânia</t>
        </is>
      </c>
      <c r="I8" s="45" t="inlineStr">
        <is>
          <t>Livro Caixa: Pagamento parcela EMBASA ADRIANO (Doc. 1) · Empresa Baiana de Aguas e Saneamento Sa</t>
        </is>
      </c>
      <c r="K8" s="13" t="inlineStr">
        <is>
          <t>Impostos e Taxas</t>
        </is>
      </c>
      <c r="L8" s="14">
        <f>SUMIF(H5:H132,K8,G5:G132)</f>
        <v/>
      </c>
      <c r="N8" s="250">
        <f>L17</f>
        <v/>
      </c>
      <c r="P8" s="215">
        <f>'Ponto de Equilíbrio'!$B$10</f>
        <v/>
      </c>
      <c r="R8" s="205">
        <f>ABS('Ponto de Equilíbrio'!$B$10-L17)</f>
        <v/>
      </c>
      <c r="T8" s="236">
        <f>R5-L17</f>
        <v/>
      </c>
    </row>
    <row r="9">
      <c r="A9" s="17" t="n">
        <v>46113</v>
      </c>
      <c r="B9" s="18" t="inlineStr">
        <is>
          <t>Aluguel Vitoria Maria</t>
        </is>
      </c>
      <c r="C9" s="18" t="n"/>
      <c r="D9" s="27" t="n"/>
      <c r="E9" s="18" t="n"/>
      <c r="F9" s="19" t="n"/>
      <c r="G9" s="19" t="n">
        <v>870</v>
      </c>
      <c r="H9" s="21" t="inlineStr">
        <is>
          <t>Aluguel</t>
        </is>
      </c>
      <c r="I9" s="18" t="inlineStr">
        <is>
          <t>Livro Caixa: Pagamento à vista: ALUGUEL VITORIA MARIA (Doc. 1) · Vitoria Maria F Santos</t>
        </is>
      </c>
      <c r="J9" s="18" t="n"/>
      <c r="K9" s="10" t="inlineStr">
        <is>
          <t>Tarifas Bancárias e Cartão</t>
        </is>
      </c>
      <c r="L9" s="11">
        <f>SUMIF(H5:H132,K9,G5:G132)</f>
        <v/>
      </c>
    </row>
    <row r="10">
      <c r="A10" s="44" t="n">
        <v>46114</v>
      </c>
      <c r="B10" s="45" t="inlineStr">
        <is>
          <t>Consumidor Final</t>
        </is>
      </c>
      <c r="C10" s="45" t="inlineStr">
        <is>
          <t>Registro + Mangueira (1 m)</t>
        </is>
      </c>
      <c r="D10" s="46" t="n">
        <v>40</v>
      </c>
      <c r="E10" s="45" t="inlineStr">
        <is>
          <t>Dinheiro</t>
        </is>
      </c>
      <c r="F10" s="47" t="n"/>
      <c r="G10" s="48" t="n"/>
      <c r="H10" s="49" t="n"/>
      <c r="I10" s="45" t="inlineStr">
        <is>
          <t>NFC-e 8961</t>
        </is>
      </c>
      <c r="K10" s="13" t="inlineStr">
        <is>
          <t>Transporte e Entregas</t>
        </is>
      </c>
      <c r="L10" s="14">
        <f>SUMIF(H5:H132,K10,G5:G132)</f>
        <v/>
      </c>
    </row>
    <row r="11">
      <c r="A11" s="17" t="n">
        <v>46114</v>
      </c>
      <c r="B11" s="18" t="inlineStr">
        <is>
          <t>Consumidor Final</t>
        </is>
      </c>
      <c r="C11" s="18" t="inlineStr">
        <is>
          <t>Refil Acquatec + Refil Universal</t>
        </is>
      </c>
      <c r="D11" s="27" t="n">
        <v>125</v>
      </c>
      <c r="E11" s="18" t="inlineStr">
        <is>
          <t>Débito</t>
        </is>
      </c>
      <c r="F11" s="19" t="n"/>
      <c r="G11" s="19" t="n"/>
      <c r="H11" s="21" t="n"/>
      <c r="I11" s="18" t="inlineStr">
        <is>
          <t>NFC-e 8962</t>
        </is>
      </c>
      <c r="J11" s="18" t="n"/>
      <c r="K11" s="10" t="inlineStr">
        <is>
          <t>Salários, Comissões e Encargos</t>
        </is>
      </c>
      <c r="L11" s="11">
        <f>SUMIF(H5:H132,K11,G5:G132)</f>
        <v/>
      </c>
    </row>
    <row r="12">
      <c r="A12" s="44" t="n">
        <v>46114</v>
      </c>
      <c r="B12" s="45" t="inlineStr">
        <is>
          <t>Climo Clínica Médica Oftalmológica  Ldta - Aloisio Sales</t>
        </is>
      </c>
      <c r="C12" s="45" t="inlineStr">
        <is>
          <t>Refil Everest</t>
        </is>
      </c>
      <c r="D12" s="46" t="n">
        <v>140</v>
      </c>
      <c r="E12" s="45" t="inlineStr">
        <is>
          <t>Dinheiro</t>
        </is>
      </c>
      <c r="F12" s="47" t="n"/>
      <c r="G12" s="48" t="n"/>
      <c r="H12" s="49" t="n"/>
      <c r="I12" s="45" t="inlineStr">
        <is>
          <t>NF-e 4141</t>
        </is>
      </c>
      <c r="J12" t="inlineStr">
        <is>
          <t>EMP-0067</t>
        </is>
      </c>
      <c r="K12" s="13" t="inlineStr">
        <is>
          <t>Contabilidade</t>
        </is>
      </c>
      <c r="L12" s="14">
        <f>SUMIF(H5:H132,K12,G5:G132)</f>
        <v/>
      </c>
    </row>
    <row r="13">
      <c r="A13" s="17" t="n">
        <v>46115</v>
      </c>
      <c r="B13" s="18" t="inlineStr">
        <is>
          <t>Apec - Sociedade Potiguar de Educacao e Cultura Ltda</t>
        </is>
      </c>
      <c r="C13" s="18" t="inlineStr">
        <is>
          <t>2x Refil IBBL C+3 + Pré Filtro IBBL</t>
        </is>
      </c>
      <c r="D13" s="27" t="n">
        <v>440</v>
      </c>
      <c r="E13" s="18" t="inlineStr">
        <is>
          <t>Pix</t>
        </is>
      </c>
      <c r="F13" s="19" t="n"/>
      <c r="G13" s="19" t="n"/>
      <c r="H13" s="21" t="n"/>
      <c r="I13" s="18" t="inlineStr">
        <is>
          <t>NF-e 4091 · Grupo Ânima — venda de 02/03/2026, Nota Paga no portal V360 em 03/04/2026. Recebimento não constava no Livro Caixa; baixa dada no DigiSat em 28/09/2026.</t>
        </is>
      </c>
      <c r="J13" s="18" t="n"/>
      <c r="K13" s="10" t="inlineStr">
        <is>
          <t>Manutenção e Reparos</t>
        </is>
      </c>
      <c r="L13" s="11">
        <f>SUMIF(H5:H132,K13,G5:G132)</f>
        <v/>
      </c>
    </row>
    <row r="14" ht="15.75" customHeight="1" s="157">
      <c r="A14" s="44" t="n">
        <v>46116</v>
      </c>
      <c r="B14" s="45" t="inlineStr">
        <is>
          <t>Apec - Sociedade Potiguar de Educacao e Cultura Ltda</t>
        </is>
      </c>
      <c r="C14" s="45" t="inlineStr">
        <is>
          <t>3x Pré Filtro IBBL + 3x Refil IBBL C+3</t>
        </is>
      </c>
      <c r="D14" s="46" t="n">
        <v>870</v>
      </c>
      <c r="E14" s="45" t="inlineStr">
        <is>
          <t>Pix</t>
        </is>
      </c>
      <c r="F14" s="47" t="n"/>
      <c r="G14" s="48" t="n"/>
      <c r="H14" s="49" t="n"/>
      <c r="I14" s="45" t="inlineStr">
        <is>
          <t>NF-e 4092 · Grupo Ânima — venda de 02/03/2026, Nota Paga no portal V360 em 04/04/2026. Recebimento não constava no Livro Caixa; baixa dada no DigiSat em 28/09/2026.</t>
        </is>
      </c>
      <c r="K14" s="13" t="inlineStr">
        <is>
          <t>Material de Limpeza e Escritório</t>
        </is>
      </c>
      <c r="L14" s="14">
        <f>SUMIF(H5:H132,K14,G5:G132)</f>
        <v/>
      </c>
    </row>
    <row r="15" ht="15.75" customHeight="1" s="157">
      <c r="A15" s="17" t="n">
        <v>46118</v>
      </c>
      <c r="B15" s="18" t="inlineStr">
        <is>
          <t>Consumidor Final</t>
        </is>
      </c>
      <c r="C15" s="18" t="inlineStr">
        <is>
          <t>Refil Everest + Pré Filtro</t>
        </is>
      </c>
      <c r="D15" s="27" t="n">
        <v>150</v>
      </c>
      <c r="E15" s="18" t="inlineStr">
        <is>
          <t>Crédito Parcelado</t>
        </is>
      </c>
      <c r="F15" s="19" t="n"/>
      <c r="G15" s="19" t="n"/>
      <c r="H15" s="21" t="n"/>
      <c r="I15" s="18" t="inlineStr">
        <is>
          <t>NFC-e 8963</t>
        </is>
      </c>
      <c r="J15" s="18" t="n"/>
      <c r="K15" s="10" t="inlineStr">
        <is>
          <t>Estornos de Vendas (Cancelamentos)</t>
        </is>
      </c>
      <c r="L15" s="11">
        <f>SUMIF(H5:H132,K15,G5:G132)</f>
        <v/>
      </c>
    </row>
    <row r="16">
      <c r="A16" s="44" t="n">
        <v>46118</v>
      </c>
      <c r="B16" s="45" t="inlineStr">
        <is>
          <t>Consumidor Final</t>
        </is>
      </c>
      <c r="C16" s="45" t="inlineStr">
        <is>
          <t>Refil Everest</t>
        </is>
      </c>
      <c r="D16" s="46" t="n">
        <v>140</v>
      </c>
      <c r="E16" s="45" t="inlineStr">
        <is>
          <t>Pix</t>
        </is>
      </c>
      <c r="F16" s="47" t="n"/>
      <c r="G16" s="48" t="n"/>
      <c r="H16" s="49" t="n"/>
      <c r="I16" s="45" t="inlineStr">
        <is>
          <t>NFC-e 8964</t>
        </is>
      </c>
      <c r="K16" t="inlineStr">
        <is>
          <t>Outras Despesas</t>
        </is>
      </c>
      <c r="L16" s="11">
        <f>SUMIF(H5:H132,K16,G5:G132)</f>
        <v/>
      </c>
    </row>
    <row r="17" ht="15.75" customHeight="1" s="157">
      <c r="A17" s="17" t="n">
        <v>46118</v>
      </c>
      <c r="B17" s="18" t="inlineStr">
        <is>
          <t>Jucileide Texeira Gama Costa</t>
        </is>
      </c>
      <c r="C17" s="18" t="inlineStr">
        <is>
          <t>Refil Everest</t>
        </is>
      </c>
      <c r="D17" s="27" t="n">
        <v>140</v>
      </c>
      <c r="E17" s="18" t="inlineStr">
        <is>
          <t>Pix</t>
        </is>
      </c>
      <c r="F17" s="19" t="n"/>
      <c r="G17" s="19" t="n"/>
      <c r="H17" s="21" t="n"/>
      <c r="I17" s="18" t="inlineStr">
        <is>
          <t>NFC-e 8965</t>
        </is>
      </c>
      <c r="J17" s="18" t="inlineStr">
        <is>
          <t>CLI-0774</t>
        </is>
      </c>
      <c r="K17" t="inlineStr">
        <is>
          <t>Pro Labore Edilânia</t>
        </is>
      </c>
      <c r="L17">
        <f>SUMIF(H5:H132,K17,G5:G132)</f>
        <v/>
      </c>
    </row>
    <row r="18" ht="15.75" customHeight="1" s="157">
      <c r="A18" s="44" t="n">
        <v>46118</v>
      </c>
      <c r="B18" s="45" t="inlineStr">
        <is>
          <t>Maria Margareth Almeida Santos</t>
        </is>
      </c>
      <c r="C18" s="45" t="inlineStr">
        <is>
          <t>Refil Everest</t>
        </is>
      </c>
      <c r="D18" s="46" t="n">
        <v>140</v>
      </c>
      <c r="E18" s="45" t="inlineStr">
        <is>
          <t>Dinheiro</t>
        </is>
      </c>
      <c r="F18" s="47" t="n"/>
      <c r="G18" s="48" t="n"/>
      <c r="H18" s="49" t="n"/>
      <c r="I18" s="45" t="inlineStr">
        <is>
          <t>NF-e 4142</t>
        </is>
      </c>
      <c r="J18" t="inlineStr">
        <is>
          <t>CLI-0776</t>
        </is>
      </c>
      <c r="K18" t="inlineStr">
        <is>
          <t>Total</t>
        </is>
      </c>
      <c r="L18">
        <f>SUM(L5:L16)</f>
        <v/>
      </c>
    </row>
    <row r="19">
      <c r="A19" s="17" t="n">
        <v>46118</v>
      </c>
      <c r="B19" s="18" t="inlineStr">
        <is>
          <t>Carneiro e Silva Ltda - Farmacia Santo Antonio</t>
        </is>
      </c>
      <c r="C19" s="18" t="inlineStr">
        <is>
          <t>Refil Everest</t>
        </is>
      </c>
      <c r="D19" s="27" t="n">
        <v>130</v>
      </c>
      <c r="E19" s="18" t="inlineStr">
        <is>
          <t>Dinheiro</t>
        </is>
      </c>
      <c r="F19" s="19" t="n"/>
      <c r="G19" s="19" t="n"/>
      <c r="H19" s="21" t="n"/>
      <c r="I19" s="18" t="inlineStr">
        <is>
          <t>NF-e 4143</t>
        </is>
      </c>
      <c r="J19" s="18" t="inlineStr">
        <is>
          <t>EMP-0040</t>
        </is>
      </c>
      <c r="K19" t="inlineStr">
        <is>
          <t>Capital de Giro (BB) — ainda a devolver</t>
        </is>
      </c>
      <c r="L19" s="32">
        <f>SUMIFS('Capital de Giro (BB)'!D9:D200,'Capital de Giro (BB)'!A9:A200,"&gt;="&amp;DATE(2026,4,1),'Capital de Giro (BB)'!A9:A200,"&lt;="&amp;DATE(2026,4,30),'Capital de Giro (BB)'!E9:E200,"A Devolver")</f>
        <v/>
      </c>
    </row>
    <row r="20">
      <c r="A20" s="44" t="n">
        <v>46118</v>
      </c>
      <c r="B20" s="45" t="inlineStr">
        <is>
          <t>Mariano Paulo Farias</t>
        </is>
      </c>
      <c r="C20" s="45" t="inlineStr">
        <is>
          <t>Refil Everest + Mangueira (1 m)</t>
        </is>
      </c>
      <c r="D20" s="46" t="n">
        <v>140</v>
      </c>
      <c r="E20" s="45" t="inlineStr">
        <is>
          <t>Dinheiro</t>
        </is>
      </c>
      <c r="F20" s="47" t="n"/>
      <c r="G20" s="48" t="n"/>
      <c r="H20" s="49" t="n"/>
      <c r="I20" s="45" t="inlineStr">
        <is>
          <t>NFC-e 8966</t>
        </is>
      </c>
      <c r="J20" t="inlineStr">
        <is>
          <t>CLI-0778</t>
        </is>
      </c>
    </row>
    <row r="21">
      <c r="A21" s="17" t="n">
        <v>46118</v>
      </c>
      <c r="B21" s="18" t="inlineStr">
        <is>
          <t>Maria Margareth Almeida Santos</t>
        </is>
      </c>
      <c r="C21" s="18" t="inlineStr">
        <is>
          <t>Refil Pro Life</t>
        </is>
      </c>
      <c r="D21" s="27" t="n">
        <v>140</v>
      </c>
      <c r="E21" s="18" t="inlineStr">
        <is>
          <t>Crédito Parcelado</t>
        </is>
      </c>
      <c r="F21" s="19" t="n"/>
      <c r="G21" s="19" t="n"/>
      <c r="H21" s="21" t="n"/>
      <c r="I21" s="18" t="inlineStr">
        <is>
          <t>NFC-e 8967</t>
        </is>
      </c>
      <c r="J21" s="18" t="n"/>
    </row>
    <row r="22">
      <c r="A22" s="44" t="n">
        <v>46118</v>
      </c>
      <c r="B22" s="45" t="inlineStr">
        <is>
          <t>Socec - Sociedade Capibaribe de Educacao e Cultura Ltda</t>
        </is>
      </c>
      <c r="C22" s="45" t="inlineStr">
        <is>
          <t>20x Refil IBBL C+3</t>
        </is>
      </c>
      <c r="D22" s="46" t="n">
        <v>2600</v>
      </c>
      <c r="E22" s="45" t="inlineStr">
        <is>
          <t>Pix</t>
        </is>
      </c>
      <c r="F22" s="47" t="n"/>
      <c r="G22" s="48" t="n"/>
      <c r="H22" s="49" t="n"/>
      <c r="I22" s="45" t="inlineStr">
        <is>
          <t>NF-e 4090 · Grupo Ânima — venda de 02/03/2026, Nota Paga no portal V360 em 06/04/2026. Recebimento não constava no Livro Caixa; baixa dada no DigiSat em 28/09/2026.</t>
        </is>
      </c>
    </row>
    <row r="23">
      <c r="A23" s="17" t="n">
        <v>46119</v>
      </c>
      <c r="B23" s="18" t="inlineStr">
        <is>
          <t>Consumidor Final</t>
        </is>
      </c>
      <c r="C23" s="18" t="inlineStr">
        <is>
          <t>4x Refil Plissado + 2x Carcaça 9" + Suporte Metal Duplo Fit</t>
        </is>
      </c>
      <c r="D23" s="27" t="n">
        <v>630</v>
      </c>
      <c r="E23" s="18" t="inlineStr">
        <is>
          <t>Crédito Parcelado</t>
        </is>
      </c>
      <c r="F23" s="19" t="n"/>
      <c r="G23" s="19" t="n"/>
      <c r="H23" s="21" t="n"/>
      <c r="I23" s="18" t="inlineStr">
        <is>
          <t>NFC-e 8968</t>
        </is>
      </c>
      <c r="J23" s="18" t="n"/>
    </row>
    <row r="24">
      <c r="A24" s="44" t="n">
        <v>46119</v>
      </c>
      <c r="B24" s="45" t="inlineStr">
        <is>
          <t>Margarida Mesquita</t>
        </is>
      </c>
      <c r="C24" s="45" t="inlineStr">
        <is>
          <t>Refil Pro Life</t>
        </is>
      </c>
      <c r="D24" s="46" t="n">
        <v>140</v>
      </c>
      <c r="E24" s="45" t="inlineStr">
        <is>
          <t>Dinheiro</t>
        </is>
      </c>
      <c r="F24" s="47" t="n"/>
      <c r="G24" s="48" t="n"/>
      <c r="H24" s="49" t="n"/>
      <c r="I24" s="45" t="inlineStr">
        <is>
          <t>NFC-e 8969</t>
        </is>
      </c>
      <c r="J24" t="inlineStr">
        <is>
          <t>CLI-0777</t>
        </is>
      </c>
    </row>
    <row r="25">
      <c r="A25" s="17" t="n">
        <v>46119</v>
      </c>
      <c r="B25" s="18" t="inlineStr">
        <is>
          <t>Valdeci Souza Silva</t>
        </is>
      </c>
      <c r="C25" s="18" t="inlineStr">
        <is>
          <t>Refil Pro Life</t>
        </is>
      </c>
      <c r="D25" s="27" t="n">
        <v>70</v>
      </c>
      <c r="E25" s="18" t="n"/>
      <c r="F25" s="19" t="n"/>
      <c r="G25" s="19" t="n"/>
      <c r="H25" s="21" t="n"/>
      <c r="I25" s="18" t="inlineStr">
        <is>
          <t>NFC-e 8970 · venda de 07/04/2026, total R$ 140,00 — parcela 1 · nota faturada a prazo (forma de recebimento não consta na nota)</t>
        </is>
      </c>
      <c r="J25" s="18" t="inlineStr">
        <is>
          <t>CLI-0779</t>
        </is>
      </c>
    </row>
    <row r="26">
      <c r="A26" s="44" t="n">
        <v>46119</v>
      </c>
      <c r="B26" s="45" t="inlineStr">
        <is>
          <t>Cor e Fest</t>
        </is>
      </c>
      <c r="C26" s="45" t="inlineStr">
        <is>
          <t>Refil Everest + Pré Filtro</t>
        </is>
      </c>
      <c r="D26" s="46" t="n">
        <v>200</v>
      </c>
      <c r="E26" s="45" t="inlineStr">
        <is>
          <t>Dinheiro</t>
        </is>
      </c>
      <c r="F26" s="47" t="n"/>
      <c r="G26" s="48" t="n"/>
      <c r="H26" s="49" t="n"/>
      <c r="I26" s="45" t="inlineStr">
        <is>
          <t>NF-e 4145</t>
        </is>
      </c>
      <c r="J26" t="inlineStr">
        <is>
          <t>EMP-0109</t>
        </is>
      </c>
    </row>
    <row r="27">
      <c r="A27" s="17" t="n">
        <v>46119</v>
      </c>
      <c r="B27" s="18" t="inlineStr">
        <is>
          <t>Unilatus Servico Educacional Ltda Me</t>
        </is>
      </c>
      <c r="C27" s="18" t="inlineStr">
        <is>
          <t>Refil Pro Life + Pré Filtro + Suporte</t>
        </is>
      </c>
      <c r="D27" s="27" t="n">
        <v>240</v>
      </c>
      <c r="E27" s="18" t="n"/>
      <c r="F27" s="19" t="n"/>
      <c r="G27" s="19" t="n"/>
      <c r="H27" s="21" t="n"/>
      <c r="I27" s="18" t="inlineStr">
        <is>
          <t>NF-e 4144. Recebimento não constava no Livro Caixa; conferido e baixado no DigiSat em 28/09/2026.</t>
        </is>
      </c>
      <c r="J27" s="18" t="n"/>
    </row>
    <row r="28">
      <c r="A28" s="44" t="n">
        <v>46120</v>
      </c>
      <c r="B28" s="45" t="inlineStr">
        <is>
          <t>Iristela Miranda Paiva</t>
        </is>
      </c>
      <c r="C28" s="45" t="inlineStr">
        <is>
          <t>Purificador Everest Fit Preto</t>
        </is>
      </c>
      <c r="D28" s="46" t="n">
        <v>1448</v>
      </c>
      <c r="E28" s="45" t="inlineStr">
        <is>
          <t>Dinheiro</t>
        </is>
      </c>
      <c r="F28" s="47" t="n"/>
      <c r="G28" s="48" t="n"/>
      <c r="H28" s="49" t="n"/>
      <c r="I28" s="45" t="inlineStr">
        <is>
          <t>NF-e 4146</t>
        </is>
      </c>
      <c r="J28" t="inlineStr">
        <is>
          <t>CLI-0780</t>
        </is>
      </c>
    </row>
    <row r="29" ht="15.75" customHeight="1" s="157">
      <c r="A29" s="17" t="n">
        <v>46120</v>
      </c>
      <c r="B29" s="18" t="inlineStr">
        <is>
          <t>Frutos de Goiás - Rivael Sousa Santos</t>
        </is>
      </c>
      <c r="C29" s="18" t="inlineStr">
        <is>
          <t>2x Refil Everest + Pré Filtro</t>
        </is>
      </c>
      <c r="D29" s="27" t="n">
        <v>320</v>
      </c>
      <c r="E29" s="18" t="inlineStr">
        <is>
          <t>Dinheiro</t>
        </is>
      </c>
      <c r="F29" s="19" t="n"/>
      <c r="G29" s="19" t="n"/>
      <c r="H29" s="21" t="n"/>
      <c r="I29" s="18" t="inlineStr">
        <is>
          <t>NFC-e 8971</t>
        </is>
      </c>
      <c r="J29" s="18" t="inlineStr">
        <is>
          <t>EMP-0312</t>
        </is>
      </c>
    </row>
    <row r="30">
      <c r="A30" s="44" t="n">
        <v>46120</v>
      </c>
      <c r="B30" s="45" t="inlineStr">
        <is>
          <t>Maria Conceição</t>
        </is>
      </c>
      <c r="C30" s="45" t="inlineStr">
        <is>
          <t>Refil Pro Life</t>
        </is>
      </c>
      <c r="D30" s="46" t="n">
        <v>140</v>
      </c>
      <c r="E30" s="45" t="inlineStr">
        <is>
          <t>Pix</t>
        </is>
      </c>
      <c r="F30" s="47" t="n"/>
      <c r="G30" s="48" t="n"/>
      <c r="H30" s="49" t="n"/>
      <c r="I30" s="45" t="inlineStr">
        <is>
          <t>NFC-e 8972</t>
        </is>
      </c>
      <c r="J30" t="inlineStr">
        <is>
          <t>CLI-0297</t>
        </is>
      </c>
    </row>
    <row r="31">
      <c r="A31" s="17" t="n">
        <v>46121</v>
      </c>
      <c r="B31" s="18" t="inlineStr">
        <is>
          <t>Itan Souza Nascimento</t>
        </is>
      </c>
      <c r="C31" s="18" t="inlineStr">
        <is>
          <t>Refil Everest</t>
        </is>
      </c>
      <c r="D31" s="27" t="n">
        <v>140</v>
      </c>
      <c r="E31" s="18" t="inlineStr">
        <is>
          <t>Dinheiro</t>
        </is>
      </c>
      <c r="F31" s="19" t="n"/>
      <c r="G31" s="19" t="n"/>
      <c r="H31" s="21" t="n"/>
      <c r="I31" s="18" t="inlineStr">
        <is>
          <t>NFC-e 8973</t>
        </is>
      </c>
      <c r="J31" s="18" t="inlineStr">
        <is>
          <t>CLI-0781</t>
        </is>
      </c>
    </row>
    <row r="32">
      <c r="A32" s="44" t="n">
        <v>46121</v>
      </c>
      <c r="B32" s="45" t="inlineStr">
        <is>
          <t>Consumidor Final</t>
        </is>
      </c>
      <c r="C32" s="45" t="inlineStr">
        <is>
          <t>Refil PP</t>
        </is>
      </c>
      <c r="D32" s="46" t="n">
        <v>65</v>
      </c>
      <c r="E32" s="45" t="inlineStr">
        <is>
          <t>Pix</t>
        </is>
      </c>
      <c r="F32" s="47" t="n"/>
      <c r="G32" s="48" t="n"/>
      <c r="H32" s="49" t="n"/>
      <c r="I32" s="45" t="inlineStr">
        <is>
          <t>NFC-e 8974</t>
        </is>
      </c>
    </row>
    <row r="33">
      <c r="A33" s="17" t="n">
        <v>46121</v>
      </c>
      <c r="B33" s="18" t="inlineStr">
        <is>
          <t>Consumidor Final</t>
        </is>
      </c>
      <c r="C33" s="18" t="inlineStr">
        <is>
          <t>Vela Filtro de Barro</t>
        </is>
      </c>
      <c r="D33" s="27" t="n">
        <v>12</v>
      </c>
      <c r="E33" s="18" t="inlineStr">
        <is>
          <t>Débito</t>
        </is>
      </c>
      <c r="F33" s="19" t="n"/>
      <c r="G33" s="19" t="n"/>
      <c r="H33" s="21" t="n"/>
      <c r="I33" s="18" t="inlineStr">
        <is>
          <t>NFC-e 8975</t>
        </is>
      </c>
      <c r="J33" s="18" t="n"/>
    </row>
    <row r="34">
      <c r="A34" s="44" t="n">
        <v>46121</v>
      </c>
      <c r="B34" s="45" t="inlineStr">
        <is>
          <t>Consumidor Final</t>
        </is>
      </c>
      <c r="C34" s="45" t="inlineStr">
        <is>
          <t>Mangueira (2 m)</t>
        </is>
      </c>
      <c r="D34" s="46" t="n">
        <v>20</v>
      </c>
      <c r="E34" s="45" t="inlineStr">
        <is>
          <t>Débito</t>
        </is>
      </c>
      <c r="F34" s="47" t="n"/>
      <c r="G34" s="48" t="n"/>
      <c r="H34" s="49" t="n"/>
      <c r="I34" s="45" t="inlineStr">
        <is>
          <t>NFC-e 8976</t>
        </is>
      </c>
    </row>
    <row r="35">
      <c r="A35" s="17" t="n">
        <v>46122</v>
      </c>
      <c r="B35" s="18" t="inlineStr">
        <is>
          <t>Consumidor Final</t>
        </is>
      </c>
      <c r="C35" s="18" t="inlineStr">
        <is>
          <t>Refil Pro Life</t>
        </is>
      </c>
      <c r="D35" s="27" t="n">
        <v>140</v>
      </c>
      <c r="E35" s="18" t="inlineStr">
        <is>
          <t>Dinheiro</t>
        </is>
      </c>
      <c r="F35" s="19" t="n"/>
      <c r="G35" s="19" t="n"/>
      <c r="H35" s="21" t="n"/>
      <c r="I35" s="18" t="inlineStr">
        <is>
          <t>NFC-e 8977</t>
        </is>
      </c>
      <c r="J35" s="18" t="n"/>
    </row>
    <row r="36">
      <c r="A36" s="44" t="n">
        <v>46122</v>
      </c>
      <c r="B36" s="45" t="inlineStr">
        <is>
          <t>Consumidor Final</t>
        </is>
      </c>
      <c r="C36" s="45" t="inlineStr">
        <is>
          <t>Vela Filtro de Barro</t>
        </is>
      </c>
      <c r="D36" s="46" t="n">
        <v>10</v>
      </c>
      <c r="E36" s="45" t="inlineStr">
        <is>
          <t>Dinheiro</t>
        </is>
      </c>
      <c r="F36" s="47" t="n"/>
      <c r="G36" s="48" t="n"/>
      <c r="H36" s="49" t="n"/>
      <c r="I36" s="45" t="inlineStr">
        <is>
          <t>NFC-e 8978</t>
        </is>
      </c>
    </row>
    <row r="37">
      <c r="A37" s="17" t="n">
        <v>46123</v>
      </c>
      <c r="B37" s="18" t="inlineStr">
        <is>
          <t>Jaqueline Carneiro - Agripina</t>
        </is>
      </c>
      <c r="C37" s="18" t="inlineStr">
        <is>
          <t>Refil Everest + Bico Rio</t>
        </is>
      </c>
      <c r="D37" s="27" t="n">
        <v>170</v>
      </c>
      <c r="E37" s="18" t="inlineStr">
        <is>
          <t>Pix</t>
        </is>
      </c>
      <c r="F37" s="19" t="n"/>
      <c r="G37" s="19" t="n"/>
      <c r="H37" s="21" t="n"/>
      <c r="I37" s="18" t="inlineStr">
        <is>
          <t>NFC-e 8979</t>
        </is>
      </c>
      <c r="J37" s="18" t="inlineStr">
        <is>
          <t>CLI-0782</t>
        </is>
      </c>
    </row>
    <row r="38">
      <c r="A38" s="44" t="n">
        <v>46125</v>
      </c>
      <c r="B38" s="45" t="inlineStr">
        <is>
          <t>Joseni Menezes Almeida</t>
        </is>
      </c>
      <c r="C38" s="45" t="inlineStr">
        <is>
          <t>Refil Everest</t>
        </is>
      </c>
      <c r="D38" s="46" t="n">
        <v>140</v>
      </c>
      <c r="E38" s="45" t="inlineStr">
        <is>
          <t>Crédito Parcelado</t>
        </is>
      </c>
      <c r="F38" s="47" t="n"/>
      <c r="G38" s="48" t="n"/>
      <c r="H38" s="49" t="n"/>
      <c r="I38" s="45" t="inlineStr">
        <is>
          <t>NFC-e 8980</t>
        </is>
      </c>
    </row>
    <row r="39" ht="15.75" customHeight="1" s="157">
      <c r="A39" s="17" t="n">
        <v>46125</v>
      </c>
      <c r="B39" s="18" t="inlineStr">
        <is>
          <t>Adailton Sampaio Avelino</t>
        </is>
      </c>
      <c r="C39" s="18" t="inlineStr">
        <is>
          <t>Refil Pro Life</t>
        </is>
      </c>
      <c r="D39" s="27" t="n">
        <v>140</v>
      </c>
      <c r="E39" s="18" t="inlineStr">
        <is>
          <t>Pix</t>
        </is>
      </c>
      <c r="F39" s="19" t="n"/>
      <c r="G39" s="19" t="n"/>
      <c r="H39" s="21" t="n"/>
      <c r="I39" s="18" t="inlineStr">
        <is>
          <t>NFC-e 8981</t>
        </is>
      </c>
      <c r="J39" s="18" t="inlineStr">
        <is>
          <t>CLI-0787</t>
        </is>
      </c>
    </row>
    <row r="40">
      <c r="A40" s="44" t="n">
        <v>46125</v>
      </c>
      <c r="B40" s="45" t="inlineStr">
        <is>
          <t>Empresa Sertaneja de Hoteis Ltda - Hotel Serra do Ouro</t>
        </is>
      </c>
      <c r="C40" s="45" t="inlineStr">
        <is>
          <t>Refil Everest + Mangueira (5 m)</t>
        </is>
      </c>
      <c r="D40" s="46" t="n">
        <v>195</v>
      </c>
      <c r="E40" s="45" t="inlineStr">
        <is>
          <t>Pix</t>
        </is>
      </c>
      <c r="F40" s="47" t="n"/>
      <c r="G40" s="48" t="n"/>
      <c r="H40" s="49" t="n"/>
      <c r="I40" s="45" t="inlineStr">
        <is>
          <t>NF-e 4148</t>
        </is>
      </c>
      <c r="J40" t="inlineStr">
        <is>
          <t>EMP-0136</t>
        </is>
      </c>
    </row>
    <row r="41">
      <c r="A41" s="17" t="n">
        <v>46125</v>
      </c>
      <c r="B41" s="18" t="inlineStr">
        <is>
          <t>Jco Industria de Cosmeticos Ltda</t>
        </is>
      </c>
      <c r="C41" s="18" t="inlineStr">
        <is>
          <t>Purificador Everest Plus Branco</t>
        </is>
      </c>
      <c r="D41" s="27" t="n">
        <v>1498</v>
      </c>
      <c r="E41" s="18" t="inlineStr">
        <is>
          <t>Dinheiro</t>
        </is>
      </c>
      <c r="F41" s="19" t="n"/>
      <c r="G41" s="19" t="n"/>
      <c r="H41" s="21" t="n"/>
      <c r="I41" s="18" t="inlineStr">
        <is>
          <t>NF-e 4149</t>
        </is>
      </c>
      <c r="J41" s="18" t="n"/>
    </row>
    <row r="42" ht="15.75" customHeight="1" s="157">
      <c r="A42" s="44" t="n">
        <v>46125</v>
      </c>
      <c r="B42" s="45" t="inlineStr">
        <is>
          <t>Culligan Latam Eireli</t>
        </is>
      </c>
      <c r="C42" s="45" t="n"/>
      <c r="D42" s="46" t="n"/>
      <c r="E42" s="45" t="n"/>
      <c r="F42" s="47" t="n"/>
      <c r="G42" s="48" t="n">
        <v>1391.96</v>
      </c>
      <c r="H42" s="49" t="inlineStr">
        <is>
          <t>Fornecedores / Mercadoria</t>
        </is>
      </c>
      <c r="I42" s="45" t="inlineStr">
        <is>
          <t>NF 132866 de 10/02/2026 · parcela 2/3 (venc. 13/04/2026) · compra total R$ 4.176,30: 30x Filtro De Agua Protection Lacrado + 50x Cofilter Lacrado - Pre C + 30x Filtro De Agua Natural Max + 10x Filtro De Agua Natural Lacrado · Livro Caixa</t>
        </is>
      </c>
    </row>
    <row r="43">
      <c r="A43" s="17" t="n">
        <v>46126</v>
      </c>
      <c r="B43" s="18" t="inlineStr">
        <is>
          <t>Vania Menezes de Almeida</t>
        </is>
      </c>
      <c r="C43" s="18" t="inlineStr">
        <is>
          <t>Refil Pro Life</t>
        </is>
      </c>
      <c r="D43" s="27" t="n">
        <v>140</v>
      </c>
      <c r="E43" s="18" t="inlineStr">
        <is>
          <t>Crédito Parcelado</t>
        </is>
      </c>
      <c r="F43" s="19" t="n"/>
      <c r="G43" s="19" t="n"/>
      <c r="H43" s="21" t="n"/>
      <c r="I43" s="18" t="inlineStr">
        <is>
          <t>NFC-e 8982</t>
        </is>
      </c>
      <c r="J43" s="18" t="n"/>
    </row>
    <row r="44">
      <c r="A44" s="44" t="n">
        <v>46126</v>
      </c>
      <c r="B44" s="45" t="inlineStr">
        <is>
          <t>Ana Rosa Pereira de Oliveira</t>
        </is>
      </c>
      <c r="C44" s="45" t="inlineStr">
        <is>
          <t>Refil Pro Life</t>
        </is>
      </c>
      <c r="D44" s="46" t="n">
        <v>210</v>
      </c>
      <c r="E44" s="45" t="inlineStr">
        <is>
          <t>Crédito Parcelado</t>
        </is>
      </c>
      <c r="F44" s="47" t="n"/>
      <c r="G44" s="48" t="n"/>
      <c r="H44" s="49" t="n"/>
      <c r="I44" s="45" t="inlineStr">
        <is>
          <t>NFC-e 8983</t>
        </is>
      </c>
    </row>
    <row r="45">
      <c r="A45" s="17" t="n">
        <v>46126</v>
      </c>
      <c r="B45" s="18" t="inlineStr">
        <is>
          <t>Rosa Meire Pinto Miranda</t>
        </is>
      </c>
      <c r="C45" s="18" t="inlineStr">
        <is>
          <t>Refil Everest</t>
        </is>
      </c>
      <c r="D45" s="27" t="n">
        <v>140</v>
      </c>
      <c r="E45" s="18" t="inlineStr">
        <is>
          <t>Débito</t>
        </is>
      </c>
      <c r="F45" s="19" t="n"/>
      <c r="G45" s="19" t="n"/>
      <c r="H45" s="21" t="n"/>
      <c r="I45" s="18" t="inlineStr">
        <is>
          <t>NFC-e 8984</t>
        </is>
      </c>
      <c r="J45" s="18" t="n"/>
    </row>
    <row r="46">
      <c r="A46" s="44" t="n">
        <v>46126</v>
      </c>
      <c r="B46" s="45" t="inlineStr">
        <is>
          <t>Francisco Assis Menezes Oliveira</t>
        </is>
      </c>
      <c r="C46" s="45" t="inlineStr">
        <is>
          <t>Refil Everest</t>
        </is>
      </c>
      <c r="D46" s="46" t="n">
        <v>140</v>
      </c>
      <c r="E46" s="45" t="inlineStr">
        <is>
          <t>Débito</t>
        </is>
      </c>
      <c r="F46" s="47" t="n"/>
      <c r="G46" s="48" t="n"/>
      <c r="H46" s="49" t="n"/>
      <c r="I46" s="45" t="inlineStr">
        <is>
          <t>NFC-e 8985</t>
        </is>
      </c>
    </row>
    <row r="47">
      <c r="A47" s="17" t="n">
        <v>46126</v>
      </c>
      <c r="B47" s="18" t="inlineStr">
        <is>
          <t>Consumidor Final</t>
        </is>
      </c>
      <c r="C47" s="18" t="inlineStr">
        <is>
          <t>Refil Carbon Tech 9"</t>
        </is>
      </c>
      <c r="D47" s="27" t="n">
        <v>80</v>
      </c>
      <c r="E47" s="18" t="inlineStr">
        <is>
          <t>Dinheiro</t>
        </is>
      </c>
      <c r="F47" s="19" t="n"/>
      <c r="G47" s="19" t="n"/>
      <c r="H47" s="21" t="n"/>
      <c r="I47" s="18" t="inlineStr">
        <is>
          <t>NFC-e 8986</t>
        </is>
      </c>
      <c r="J47" s="18" t="n"/>
    </row>
    <row r="48" ht="15.75" customHeight="1" s="157">
      <c r="A48" s="44" t="n">
        <v>46126</v>
      </c>
      <c r="B48" s="45" t="inlineStr">
        <is>
          <t>Mais Fono Terapias Ltda</t>
        </is>
      </c>
      <c r="C48" s="45" t="inlineStr">
        <is>
          <t>Refil Acquatec + Refil Everest</t>
        </is>
      </c>
      <c r="D48" s="46" t="n">
        <v>230</v>
      </c>
      <c r="E48" s="45" t="n"/>
      <c r="F48" s="47" t="n"/>
      <c r="G48" s="48" t="n"/>
      <c r="H48" s="49" t="n"/>
      <c r="I48" s="45" t="inlineStr">
        <is>
          <t>NF-e 4150. Recebimento não constava no Livro Caixa; conferido e baixado no DigiSat em 28/09/2026.</t>
        </is>
      </c>
      <c r="J48" t="inlineStr">
        <is>
          <t>EMP-0212</t>
        </is>
      </c>
    </row>
    <row r="49">
      <c r="A49" s="17" t="n">
        <v>46127</v>
      </c>
      <c r="B49" s="18" t="inlineStr">
        <is>
          <t>RF Supermercado Brasil LTDA</t>
        </is>
      </c>
      <c r="C49" s="18" t="inlineStr">
        <is>
          <t>3x Refil Pro Life</t>
        </is>
      </c>
      <c r="D49" s="27" t="n">
        <v>420</v>
      </c>
      <c r="E49" s="18" t="n"/>
      <c r="F49" s="19" t="n"/>
      <c r="G49" s="19" t="n"/>
      <c r="H49" s="21" t="n"/>
      <c r="I49" s="18" t="inlineStr">
        <is>
          <t>NF-e 4074 · nota faturada a prazo (forma de recebimento não consta na nota) · venda de 19/02/2026 — pagamento recebido em 15/04/2026</t>
        </is>
      </c>
      <c r="J49" s="18" t="inlineStr">
        <is>
          <t>EMP-0261</t>
        </is>
      </c>
    </row>
    <row r="50">
      <c r="A50" s="44" t="n">
        <v>46127</v>
      </c>
      <c r="B50" s="45" t="inlineStr">
        <is>
          <t>Meu Dente Clinica Odontologica Ltda</t>
        </is>
      </c>
      <c r="C50" s="45" t="n"/>
      <c r="D50" s="46" t="n">
        <v>420</v>
      </c>
      <c r="E50" s="45" t="n"/>
      <c r="F50" s="47" t="n"/>
      <c r="G50" s="48" t="n"/>
      <c r="H50" s="49" t="n"/>
      <c r="I50" s="45" t="inlineStr">
        <is>
          <t>Livro Caixa: Recebimento à vista Gerado pelo sistema. (Doc. 4152)</t>
        </is>
      </c>
    </row>
    <row r="51">
      <c r="A51" s="17" t="n">
        <v>46127</v>
      </c>
      <c r="B51" s="18" t="inlineStr">
        <is>
          <t xml:space="preserve">Consultorio Odontologico Cleber Dourado </t>
        </is>
      </c>
      <c r="C51" s="18" t="inlineStr">
        <is>
          <t>Refil Everest</t>
        </is>
      </c>
      <c r="D51" s="27" t="n">
        <v>140</v>
      </c>
      <c r="E51" s="18" t="inlineStr">
        <is>
          <t>Dinheiro</t>
        </is>
      </c>
      <c r="F51" s="19" t="n"/>
      <c r="G51" s="19" t="n"/>
      <c r="H51" s="21" t="n"/>
      <c r="I51" s="18" t="inlineStr">
        <is>
          <t>NF-e 4153</t>
        </is>
      </c>
      <c r="J51" s="18" t="inlineStr">
        <is>
          <t>EMP-0101</t>
        </is>
      </c>
    </row>
    <row r="52">
      <c r="A52" s="44" t="n">
        <v>46127</v>
      </c>
      <c r="B52" s="45" t="inlineStr">
        <is>
          <t>Edelzuita Lima Ferreira</t>
        </is>
      </c>
      <c r="C52" s="45" t="inlineStr">
        <is>
          <t>Refil Everest</t>
        </is>
      </c>
      <c r="D52" s="46" t="n">
        <v>140</v>
      </c>
      <c r="E52" s="45" t="inlineStr">
        <is>
          <t>Dinheiro</t>
        </is>
      </c>
      <c r="F52" s="47" t="n"/>
      <c r="G52" s="48" t="n"/>
      <c r="H52" s="49" t="n"/>
      <c r="I52" s="45" t="inlineStr">
        <is>
          <t>NFC-e 8987</t>
        </is>
      </c>
      <c r="J52" t="inlineStr">
        <is>
          <t>CLI-0789</t>
        </is>
      </c>
    </row>
    <row r="53" ht="15.75" customHeight="1" s="157">
      <c r="A53" s="17" t="n">
        <v>46127</v>
      </c>
      <c r="B53" s="18" t="inlineStr">
        <is>
          <t>Semeco Serviços Medicos e Consultoria LTDA  - Sergio</t>
        </is>
      </c>
      <c r="C53" s="18" t="inlineStr">
        <is>
          <t>Refil Pro Life</t>
        </is>
      </c>
      <c r="D53" s="27" t="n">
        <v>140</v>
      </c>
      <c r="E53" s="18" t="inlineStr">
        <is>
          <t>Dinheiro</t>
        </is>
      </c>
      <c r="F53" s="19" t="n"/>
      <c r="G53" s="19" t="n"/>
      <c r="H53" s="21" t="n"/>
      <c r="I53" s="18" t="inlineStr">
        <is>
          <t>NF-e 4154</t>
        </is>
      </c>
      <c r="J53" s="18" t="inlineStr">
        <is>
          <t>EMP-0273</t>
        </is>
      </c>
    </row>
    <row r="54">
      <c r="A54" s="44" t="n">
        <v>46127</v>
      </c>
      <c r="B54" s="45" t="inlineStr">
        <is>
          <t>Clinica Medica Odonto Fis - Lar Protegido</t>
        </is>
      </c>
      <c r="C54" s="45" t="inlineStr">
        <is>
          <t>3x Refil Everest</t>
        </is>
      </c>
      <c r="D54" s="46" t="n">
        <v>399.99</v>
      </c>
      <c r="E54" s="45" t="inlineStr">
        <is>
          <t>Dinheiro</t>
        </is>
      </c>
      <c r="F54" s="47" t="n"/>
      <c r="G54" s="48" t="n"/>
      <c r="H54" s="49" t="n"/>
      <c r="I54" s="45" t="inlineStr">
        <is>
          <t>NF-e 4155</t>
        </is>
      </c>
    </row>
    <row r="55">
      <c r="A55" s="17" t="n">
        <v>46127</v>
      </c>
      <c r="B55" s="18" t="inlineStr">
        <is>
          <t>Samira Leal Vilas Boas</t>
        </is>
      </c>
      <c r="C55" s="18" t="inlineStr">
        <is>
          <t>Refil Everest</t>
        </is>
      </c>
      <c r="D55" s="27" t="n">
        <v>140</v>
      </c>
      <c r="E55" s="18" t="inlineStr">
        <is>
          <t>Dinheiro</t>
        </is>
      </c>
      <c r="F55" s="19" t="n"/>
      <c r="G55" s="19" t="n"/>
      <c r="H55" s="21" t="n"/>
      <c r="I55" s="18" t="inlineStr">
        <is>
          <t>NFC-e 8988</t>
        </is>
      </c>
      <c r="J55" s="18" t="inlineStr">
        <is>
          <t>CLI-0791</t>
        </is>
      </c>
    </row>
    <row r="56">
      <c r="A56" s="44" t="n">
        <v>46127</v>
      </c>
      <c r="B56" s="45" t="inlineStr">
        <is>
          <t>Tarcisio Oliveira Lima</t>
        </is>
      </c>
      <c r="C56" s="45" t="n"/>
      <c r="D56" s="46" t="n"/>
      <c r="E56" s="45" t="n"/>
      <c r="F56" s="47" t="n"/>
      <c r="G56" s="48" t="n">
        <v>486.32</v>
      </c>
      <c r="H56" s="49" t="inlineStr">
        <is>
          <t>Contabilidade</t>
        </is>
      </c>
      <c r="I56" s="45" t="inlineStr">
        <is>
          <t>Livro Caixa: Pagamento parcela TARCISIO OLIVEIRA LIMA (Doc. 1) · Tarcisio Oliveira Lima</t>
        </is>
      </c>
    </row>
    <row r="57">
      <c r="A57" s="17" t="n">
        <v>46127</v>
      </c>
      <c r="B57" s="18" t="inlineStr">
        <is>
          <t>Jamef</t>
        </is>
      </c>
      <c r="C57" s="18" t="n"/>
      <c r="D57" s="27" t="n"/>
      <c r="E57" s="18" t="n"/>
      <c r="F57" s="19" t="n"/>
      <c r="G57" s="19" t="n">
        <v>403.56</v>
      </c>
      <c r="H57" s="21" t="inlineStr">
        <is>
          <t>Transporte e Entregas</t>
        </is>
      </c>
      <c r="I57" s="18" t="inlineStr">
        <is>
          <t>Livro Caixa: Pagamento parcela JAMEF (Doc. 1) · Jamef Transportes Ltda</t>
        </is>
      </c>
      <c r="J57" s="18" t="n"/>
    </row>
    <row r="58">
      <c r="A58" s="44" t="n">
        <v>46127</v>
      </c>
      <c r="B58" s="45" t="inlineStr">
        <is>
          <t>Everest Refrigeracao e Industria</t>
        </is>
      </c>
      <c r="C58" s="45" t="n"/>
      <c r="D58" s="46" t="n"/>
      <c r="E58" s="45" t="n"/>
      <c r="F58" s="47" t="n"/>
      <c r="G58" s="48" t="n">
        <v>883.1</v>
      </c>
      <c r="H58" s="49" t="inlineStr">
        <is>
          <t>Fornecedores / Mercadoria</t>
        </is>
      </c>
      <c r="I58" s="45" t="inlineStr">
        <is>
          <t>NF 368529 de 14/01/2026 · parcela 3/5 (venc. 14/04/2026) · compra total R$ 4.327,52: Purificador Everest Plus Branco + Purificador Everest Plus Prata + Purificador Everest Star Prata + Purificador Everest Slim Prata + Purificador Everest Fit Prata + Purificador Everest Fit Branco · Livro Caixa</t>
        </is>
      </c>
    </row>
    <row r="59">
      <c r="A59" s="17" t="n">
        <v>46128</v>
      </c>
      <c r="B59" s="18" t="inlineStr">
        <is>
          <t>Meu Dente Clinica Odontologica Ltda</t>
        </is>
      </c>
      <c r="C59" s="18" t="inlineStr">
        <is>
          <t>2x Refil Everest</t>
        </is>
      </c>
      <c r="D59" s="27" t="n">
        <v>280</v>
      </c>
      <c r="E59" s="18" t="inlineStr">
        <is>
          <t>Dinheiro</t>
        </is>
      </c>
      <c r="F59" s="19" t="n"/>
      <c r="G59" s="19" t="n"/>
      <c r="H59" s="21" t="n"/>
      <c r="I59" s="18" t="inlineStr">
        <is>
          <t>NF-e 4156</t>
        </is>
      </c>
      <c r="J59" s="18" t="n"/>
    </row>
    <row r="60">
      <c r="A60" s="44" t="n">
        <v>46128</v>
      </c>
      <c r="B60" s="45" t="inlineStr">
        <is>
          <t>Eugenia Maria Almeida dos Santos</t>
        </is>
      </c>
      <c r="C60" s="45" t="inlineStr">
        <is>
          <t>Refil Pro Life</t>
        </is>
      </c>
      <c r="D60" s="46" t="n">
        <v>140</v>
      </c>
      <c r="E60" s="45" t="inlineStr">
        <is>
          <t>Crédito Parcelado</t>
        </is>
      </c>
      <c r="F60" s="47" t="n"/>
      <c r="G60" s="48" t="n"/>
      <c r="H60" s="49" t="n"/>
      <c r="I60" s="45" t="inlineStr">
        <is>
          <t>NFC-e 8989</t>
        </is>
      </c>
    </row>
    <row r="61">
      <c r="A61" s="17" t="n">
        <v>46128</v>
      </c>
      <c r="B61" s="18" t="inlineStr">
        <is>
          <t>Ieda Rego de Matos</t>
        </is>
      </c>
      <c r="C61" s="18" t="inlineStr">
        <is>
          <t>Refil Pro Life + Mangueira (1 m)</t>
        </is>
      </c>
      <c r="D61" s="27" t="n">
        <v>150</v>
      </c>
      <c r="E61" s="18" t="inlineStr">
        <is>
          <t>Pix</t>
        </is>
      </c>
      <c r="F61" s="19" t="n"/>
      <c r="G61" s="19" t="n"/>
      <c r="H61" s="21" t="n"/>
      <c r="I61" s="18" t="inlineStr">
        <is>
          <t>NFC-e 8990</t>
        </is>
      </c>
      <c r="J61" s="18" t="inlineStr">
        <is>
          <t>CLI-0793</t>
        </is>
      </c>
    </row>
    <row r="62">
      <c r="A62" s="44" t="n">
        <v>46128</v>
      </c>
      <c r="B62" s="45" t="inlineStr">
        <is>
          <t>Int Odontologia - Larissa sena</t>
        </is>
      </c>
      <c r="C62" s="45" t="inlineStr">
        <is>
          <t>Refil FPA14</t>
        </is>
      </c>
      <c r="D62" s="46" t="n">
        <v>110</v>
      </c>
      <c r="E62" s="45" t="inlineStr">
        <is>
          <t>Pix</t>
        </is>
      </c>
      <c r="F62" s="47" t="n"/>
      <c r="G62" s="48" t="n"/>
      <c r="H62" s="49" t="n"/>
      <c r="I62" s="45" t="inlineStr">
        <is>
          <t>NF-e 4157</t>
        </is>
      </c>
      <c r="J62" t="inlineStr">
        <is>
          <t>EMP-0184</t>
        </is>
      </c>
    </row>
    <row r="63" ht="15.75" customHeight="1" s="157">
      <c r="A63" s="17" t="n">
        <v>46128</v>
      </c>
      <c r="B63" s="18" t="inlineStr">
        <is>
          <t>Samira Leal Vilas Boas</t>
        </is>
      </c>
      <c r="C63" s="18" t="inlineStr">
        <is>
          <t>Refil Everest</t>
        </is>
      </c>
      <c r="D63" s="27" t="n">
        <v>130</v>
      </c>
      <c r="E63" s="18" t="inlineStr">
        <is>
          <t>Pix</t>
        </is>
      </c>
      <c r="F63" s="19" t="n"/>
      <c r="G63" s="19" t="n"/>
      <c r="H63" s="21" t="n"/>
      <c r="I63" s="18" t="inlineStr">
        <is>
          <t>NFC-e 8991</t>
        </is>
      </c>
      <c r="J63" s="18" t="inlineStr">
        <is>
          <t>CLI-0791</t>
        </is>
      </c>
    </row>
    <row r="64">
      <c r="A64" s="44" t="n">
        <v>46128</v>
      </c>
      <c r="B64" s="45" t="inlineStr">
        <is>
          <t>Maria Jose Carneiro Oliveira Lima</t>
        </is>
      </c>
      <c r="C64" s="45" t="inlineStr">
        <is>
          <t>Refil Pro Life</t>
        </is>
      </c>
      <c r="D64" s="46" t="n">
        <v>140</v>
      </c>
      <c r="E64" s="45" t="inlineStr">
        <is>
          <t>Crédito Parcelado</t>
        </is>
      </c>
      <c r="F64" s="47" t="n"/>
      <c r="G64" s="48" t="n"/>
      <c r="H64" s="49" t="n"/>
      <c r="I64" s="45" t="inlineStr">
        <is>
          <t>NFC-e 8992</t>
        </is>
      </c>
    </row>
    <row r="65">
      <c r="A65" s="17" t="n">
        <v>46128</v>
      </c>
      <c r="B65" s="18" t="inlineStr">
        <is>
          <t>Cristiane Goncalves de Oliveira</t>
        </is>
      </c>
      <c r="C65" s="18" t="inlineStr">
        <is>
          <t>Refil Everest</t>
        </is>
      </c>
      <c r="D65" s="27" t="n">
        <v>140</v>
      </c>
      <c r="E65" s="18" t="inlineStr">
        <is>
          <t>Crédito Parcelado</t>
        </is>
      </c>
      <c r="F65" s="19" t="n"/>
      <c r="G65" s="19" t="n"/>
      <c r="H65" s="21" t="n"/>
      <c r="I65" s="18" t="inlineStr">
        <is>
          <t>NFC-e 8993</t>
        </is>
      </c>
      <c r="J65" s="18" t="n"/>
    </row>
    <row r="66">
      <c r="A66" s="44" t="n">
        <v>46128</v>
      </c>
      <c r="B66" s="45" t="inlineStr">
        <is>
          <t>Consumidor Final</t>
        </is>
      </c>
      <c r="C66" s="45" t="inlineStr">
        <is>
          <t>Refil Universal</t>
        </is>
      </c>
      <c r="D66" s="46" t="n">
        <v>30</v>
      </c>
      <c r="E66" s="45" t="inlineStr">
        <is>
          <t>Dinheiro</t>
        </is>
      </c>
      <c r="F66" s="47" t="n"/>
      <c r="G66" s="48" t="n"/>
      <c r="H66" s="49" t="n"/>
      <c r="I66" s="45" t="inlineStr">
        <is>
          <t>NFC-e 8994</t>
        </is>
      </c>
    </row>
    <row r="67">
      <c r="A67" s="17" t="n">
        <v>46128</v>
      </c>
      <c r="B67" s="18" t="inlineStr">
        <is>
          <t>Jorge Samuel Mendes Moraes</t>
        </is>
      </c>
      <c r="C67" s="18" t="inlineStr">
        <is>
          <t>Refil Everest + Pré Filtro</t>
        </is>
      </c>
      <c r="D67" s="27" t="n">
        <v>200</v>
      </c>
      <c r="E67" s="18" t="inlineStr">
        <is>
          <t>Dinheiro</t>
        </is>
      </c>
      <c r="F67" s="19" t="n"/>
      <c r="G67" s="19" t="n"/>
      <c r="H67" s="21" t="n"/>
      <c r="I67" s="18" t="inlineStr">
        <is>
          <t>NFC-e 8995</t>
        </is>
      </c>
      <c r="J67" s="18" t="inlineStr">
        <is>
          <t>CLI-0391</t>
        </is>
      </c>
    </row>
    <row r="68">
      <c r="A68" s="44" t="n">
        <v>46128</v>
      </c>
      <c r="B68" s="45" t="inlineStr">
        <is>
          <t>Consumidor Final</t>
        </is>
      </c>
      <c r="C68" s="45" t="inlineStr">
        <is>
          <t>Refil Top Color</t>
        </is>
      </c>
      <c r="D68" s="46" t="n">
        <v>85</v>
      </c>
      <c r="E68" s="45" t="inlineStr">
        <is>
          <t>Dinheiro</t>
        </is>
      </c>
      <c r="F68" s="47" t="n"/>
      <c r="G68" s="48" t="n"/>
      <c r="H68" s="49" t="n"/>
      <c r="I68" s="45" t="inlineStr">
        <is>
          <t>NFC-e 8996</t>
        </is>
      </c>
    </row>
    <row r="69">
      <c r="A69" s="17" t="n">
        <v>46128</v>
      </c>
      <c r="B69" s="18" t="inlineStr">
        <is>
          <t>Consumidor Final</t>
        </is>
      </c>
      <c r="C69" s="18" t="inlineStr">
        <is>
          <t>Registro</t>
        </is>
      </c>
      <c r="D69" s="27" t="n">
        <v>65</v>
      </c>
      <c r="E69" s="18" t="inlineStr">
        <is>
          <t>Dinheiro</t>
        </is>
      </c>
      <c r="F69" s="19" t="n"/>
      <c r="G69" s="19" t="n"/>
      <c r="H69" s="21" t="n"/>
      <c r="I69" s="18" t="inlineStr">
        <is>
          <t>NFC-e 8997</t>
        </is>
      </c>
      <c r="J69" s="18" t="n"/>
    </row>
    <row r="70">
      <c r="A70" s="44" t="n">
        <v>46128</v>
      </c>
      <c r="B70" s="45" t="inlineStr">
        <is>
          <t>Tropical Motos LTDA</t>
        </is>
      </c>
      <c r="C70" s="45" t="inlineStr">
        <is>
          <t>Refil Everest</t>
        </is>
      </c>
      <c r="D70" s="46" t="n">
        <v>140</v>
      </c>
      <c r="E70" s="45" t="n"/>
      <c r="F70" s="47" t="n"/>
      <c r="G70" s="48" t="n"/>
      <c r="H70" s="49" t="n"/>
      <c r="I70" s="45" t="inlineStr">
        <is>
          <t>NF-e 4140 · nota faturada a prazo (forma de recebimento não consta na nota) · venda de 02/04/2026 — pagamento recebido em 16/04/2026</t>
        </is>
      </c>
      <c r="J70" t="inlineStr">
        <is>
          <t>EMP-0296</t>
        </is>
      </c>
    </row>
    <row r="71">
      <c r="A71" s="17" t="n">
        <v>46128</v>
      </c>
      <c r="B71" s="18" t="inlineStr">
        <is>
          <t>Estorno de recebimento — Meu Dente Clinica Odontologica Ltda</t>
        </is>
      </c>
      <c r="C71" s="18" t="n"/>
      <c r="D71" s="27" t="n"/>
      <c r="E71" s="18" t="n"/>
      <c r="F71" s="19" t="n"/>
      <c r="G71" s="19" t="n">
        <v>420</v>
      </c>
      <c r="H71" s="21" t="inlineStr">
        <is>
          <t>Estornos de Vendas (Cancelamentos)</t>
        </is>
      </c>
      <c r="I71" s="18" t="inlineStr">
        <is>
          <t>Livro Caixa: Estorno de recebimento do documento: Gerado pelo sistema. (Doc. 41)</t>
        </is>
      </c>
      <c r="J71" s="18" t="n"/>
    </row>
    <row r="72">
      <c r="A72" s="44" t="n">
        <v>46129</v>
      </c>
      <c r="B72" s="45" t="inlineStr">
        <is>
          <t>Wagner Oliveira Menezes - Ketina</t>
        </is>
      </c>
      <c r="C72" s="45" t="inlineStr">
        <is>
          <t>Refil Everest + Registro + Mangueira (3 m)</t>
        </is>
      </c>
      <c r="D72" s="46" t="n">
        <v>190</v>
      </c>
      <c r="E72" s="45" t="inlineStr">
        <is>
          <t>Pix</t>
        </is>
      </c>
      <c r="F72" s="47" t="n"/>
      <c r="G72" s="48" t="n"/>
      <c r="H72" s="49" t="n"/>
      <c r="I72" s="45" t="inlineStr">
        <is>
          <t>NFC-e 8998</t>
        </is>
      </c>
      <c r="J72" t="inlineStr">
        <is>
          <t>CLI-0659</t>
        </is>
      </c>
    </row>
    <row r="73" ht="15.75" customHeight="1" s="157">
      <c r="A73" s="17" t="n">
        <v>46129</v>
      </c>
      <c r="B73" s="18" t="inlineStr">
        <is>
          <t>Consumidor Final</t>
        </is>
      </c>
      <c r="C73" s="18" t="inlineStr">
        <is>
          <t>Conexao Reta Rosca 1/2 Bspt P/Tubo 1/4 Pol Branca + Mangueira (1 m)</t>
        </is>
      </c>
      <c r="D73" s="27" t="n">
        <v>35</v>
      </c>
      <c r="E73" s="18" t="inlineStr">
        <is>
          <t>Crédito Parcelado</t>
        </is>
      </c>
      <c r="F73" s="19" t="n"/>
      <c r="G73" s="19" t="n"/>
      <c r="H73" s="21" t="n"/>
      <c r="I73" s="18" t="inlineStr">
        <is>
          <t>NFC-e 8999</t>
        </is>
      </c>
      <c r="J73" s="18" t="n"/>
    </row>
    <row r="74">
      <c r="A74" s="44" t="n">
        <v>46129</v>
      </c>
      <c r="B74" s="45" t="inlineStr">
        <is>
          <t>Consumidor Final</t>
        </is>
      </c>
      <c r="C74" s="45" t="inlineStr">
        <is>
          <t>Refil Plissado</t>
        </is>
      </c>
      <c r="D74" s="46" t="n">
        <v>70</v>
      </c>
      <c r="E74" s="45" t="inlineStr">
        <is>
          <t>Dinheiro</t>
        </is>
      </c>
      <c r="F74" s="47" t="n"/>
      <c r="G74" s="48" t="n"/>
      <c r="H74" s="49" t="n"/>
      <c r="I74" s="45" t="inlineStr">
        <is>
          <t>NFC-e 9000</t>
        </is>
      </c>
    </row>
    <row r="75">
      <c r="A75" s="17" t="n">
        <v>46129</v>
      </c>
      <c r="B75" s="18" t="inlineStr">
        <is>
          <t>Juliana Ferreira Queiroz e Cia Ltda</t>
        </is>
      </c>
      <c r="C75" s="18" t="inlineStr">
        <is>
          <t>Refil Everest + Mangueira (10 m)</t>
        </is>
      </c>
      <c r="D75" s="27" t="n">
        <v>240</v>
      </c>
      <c r="E75" s="18" t="n"/>
      <c r="F75" s="19" t="n"/>
      <c r="G75" s="19" t="n"/>
      <c r="H75" s="21" t="n"/>
      <c r="I75" s="18" t="inlineStr">
        <is>
          <t>NF-e 4160. Recebimento não constava no Livro Caixa; conferido e baixado no DigiSat em 28/09/2026.</t>
        </is>
      </c>
      <c r="J75" s="18" t="n"/>
    </row>
    <row r="76">
      <c r="A76" s="44" t="n">
        <v>46130</v>
      </c>
      <c r="B76" s="45" t="inlineStr">
        <is>
          <t>Consumidor Final</t>
        </is>
      </c>
      <c r="C76" s="45" t="inlineStr">
        <is>
          <t>Refil Everest</t>
        </is>
      </c>
      <c r="D76" s="46" t="n">
        <v>140</v>
      </c>
      <c r="E76" s="45" t="inlineStr">
        <is>
          <t>Crédito Parcelado</t>
        </is>
      </c>
      <c r="F76" s="47" t="n"/>
      <c r="G76" s="48" t="n"/>
      <c r="H76" s="49" t="n"/>
      <c r="I76" s="45" t="inlineStr">
        <is>
          <t>NFC-e 9001</t>
        </is>
      </c>
    </row>
    <row r="77">
      <c r="A77" s="17" t="n">
        <v>46130</v>
      </c>
      <c r="B77" s="18" t="inlineStr">
        <is>
          <t>Quiteria Nunes de Souza</t>
        </is>
      </c>
      <c r="C77" s="18" t="inlineStr">
        <is>
          <t>Purificador Everest Star Branco</t>
        </is>
      </c>
      <c r="D77" s="27" t="n">
        <v>1348</v>
      </c>
      <c r="E77" s="18" t="inlineStr">
        <is>
          <t>Dinheiro</t>
        </is>
      </c>
      <c r="F77" s="19" t="n"/>
      <c r="G77" s="19" t="n"/>
      <c r="H77" s="21" t="n"/>
      <c r="I77" s="18" t="inlineStr">
        <is>
          <t>NF-e 4161</t>
        </is>
      </c>
      <c r="J77" s="18" t="inlineStr">
        <is>
          <t>CLI-0795</t>
        </is>
      </c>
    </row>
    <row r="78">
      <c r="A78" s="44" t="n">
        <v>46130</v>
      </c>
      <c r="B78" s="45" t="inlineStr">
        <is>
          <t>Quiteria Nunes de Souza</t>
        </is>
      </c>
      <c r="C78" s="45" t="inlineStr">
        <is>
          <t>Refil FP1/FP2/FP5/FP8</t>
        </is>
      </c>
      <c r="D78" s="46" t="n">
        <v>90</v>
      </c>
      <c r="E78" s="45" t="inlineStr">
        <is>
          <t>Débito</t>
        </is>
      </c>
      <c r="F78" s="47" t="n"/>
      <c r="G78" s="48" t="n"/>
      <c r="H78" s="49" t="n"/>
      <c r="I78" s="45" t="inlineStr">
        <is>
          <t>NFC-e 9002</t>
        </is>
      </c>
    </row>
    <row r="79" ht="15.75" customHeight="1" s="157">
      <c r="A79" s="17" t="n">
        <v>46132</v>
      </c>
      <c r="B79" s="18" t="inlineStr">
        <is>
          <t>Consumidor Final</t>
        </is>
      </c>
      <c r="C79" s="18" t="inlineStr">
        <is>
          <t>2x Refil Plissado + 2x Carcaça 9"</t>
        </is>
      </c>
      <c r="D79" s="27" t="n">
        <v>400</v>
      </c>
      <c r="E79" s="18" t="inlineStr">
        <is>
          <t>Dinheiro</t>
        </is>
      </c>
      <c r="F79" s="19" t="n"/>
      <c r="G79" s="19" t="n"/>
      <c r="H79" s="21" t="n"/>
      <c r="I79" s="18" t="inlineStr">
        <is>
          <t>NFC-e 9003</t>
        </is>
      </c>
      <c r="J79" s="18" t="n"/>
    </row>
    <row r="80">
      <c r="A80" s="44" t="n">
        <v>46132</v>
      </c>
      <c r="B80" s="45" t="inlineStr">
        <is>
          <t>Rafael Mesquita Victoria</t>
        </is>
      </c>
      <c r="C80" s="45" t="inlineStr">
        <is>
          <t>Purificador Everest Plus Prata</t>
        </is>
      </c>
      <c r="D80" s="46" t="n">
        <v>1448</v>
      </c>
      <c r="E80" s="45" t="inlineStr">
        <is>
          <t>Dinheiro</t>
        </is>
      </c>
      <c r="F80" s="47" t="n"/>
      <c r="G80" s="48" t="n"/>
      <c r="H80" s="49" t="n"/>
      <c r="I80" s="45" t="inlineStr">
        <is>
          <t>NF-e 4162</t>
        </is>
      </c>
    </row>
    <row r="81">
      <c r="A81" s="17" t="n">
        <v>46132</v>
      </c>
      <c r="B81" s="18" t="inlineStr">
        <is>
          <t>RF Supermercado Brasil LTDA</t>
        </is>
      </c>
      <c r="C81" s="18" t="inlineStr">
        <is>
          <t>Refil Pro Life</t>
        </is>
      </c>
      <c r="D81" s="27" t="n">
        <v>140</v>
      </c>
      <c r="E81" s="18" t="n"/>
      <c r="F81" s="19" t="n"/>
      <c r="G81" s="19" t="n"/>
      <c r="H81" s="21" t="n"/>
      <c r="I81" s="18" t="inlineStr">
        <is>
          <t>NF-e 4151 · nota faturada a prazo (forma de recebimento não consta na nota) · venda de 14/04/2026 — pagamento recebido em 20/04/2026</t>
        </is>
      </c>
      <c r="J81" s="18" t="inlineStr">
        <is>
          <t>EMP-0261</t>
        </is>
      </c>
    </row>
    <row r="82">
      <c r="A82" s="44" t="n">
        <v>46132</v>
      </c>
      <c r="B82" s="45" t="inlineStr">
        <is>
          <t>Gdf Guia do Fgts Digital</t>
        </is>
      </c>
      <c r="C82" s="45" t="n"/>
      <c r="D82" s="46" t="n"/>
      <c r="E82" s="45" t="n"/>
      <c r="F82" s="47" t="n"/>
      <c r="G82" s="48" t="n">
        <v>149.12</v>
      </c>
      <c r="H82" s="49" t="inlineStr">
        <is>
          <t>Impostos e Taxas</t>
        </is>
      </c>
      <c r="I82" s="45" t="inlineStr">
        <is>
          <t>Livro Caixa: Pagamento parcela GDF GUIA DO FGTS DIGITAL (Doc. 1) · Planeta Agua Ltda</t>
        </is>
      </c>
    </row>
    <row r="83">
      <c r="A83" s="17" t="n">
        <v>46132</v>
      </c>
      <c r="B83" s="18" t="inlineStr">
        <is>
          <t>Documento de Arrecadação de Receitas Fe</t>
        </is>
      </c>
      <c r="C83" s="18" t="n"/>
      <c r="D83" s="27" t="n"/>
      <c r="E83" s="18" t="n"/>
      <c r="F83" s="19" t="n"/>
      <c r="G83" s="19" t="n">
        <v>319.29</v>
      </c>
      <c r="H83" s="21" t="inlineStr">
        <is>
          <t>Impostos e Taxas</t>
        </is>
      </c>
      <c r="I83" s="18" t="inlineStr">
        <is>
          <t>Livro Caixa: Pagamento parcela DOCUMENTO DE ARRECADAÇÃO DE RECEITAS FE · Planeta Agua Ltda</t>
        </is>
      </c>
      <c r="J83" s="18" t="n"/>
    </row>
    <row r="84">
      <c r="A84" s="44" t="n">
        <v>46132</v>
      </c>
      <c r="B84" s="45" t="inlineStr">
        <is>
          <t>Filtros Planeta Agua Ind e Com Ltda</t>
        </is>
      </c>
      <c r="C84" s="45" t="n"/>
      <c r="D84" s="46" t="n"/>
      <c r="E84" s="45" t="n"/>
      <c r="F84" s="47" t="n"/>
      <c r="G84" s="48" t="n">
        <v>600.64</v>
      </c>
      <c r="H84" s="49" t="inlineStr">
        <is>
          <t>Fornecedores / Mercadoria</t>
        </is>
      </c>
      <c r="I84" s="45" t="inlineStr">
        <is>
          <t>NF 128882 de 23/03/2026 · parcela 1/4 (venc. 20/04/2026) · compra total R$ 2.113,93 (IPI R$ 96,20): 25x Refil Pro Life + 2x Refil Top Color + 10x Refil Carbon Tech 9.3/4 Pol + 15x Refil Poli Flu Plissado 9.3/4 + 20x Refil E3 + 3x Carcaca Fit 9.3/4 Pol Branca + 15x Conexão T + Mangueira · Livro Caixa</t>
        </is>
      </c>
    </row>
    <row r="85">
      <c r="A85" s="17" t="n">
        <v>46132</v>
      </c>
      <c r="B85" s="18" t="inlineStr">
        <is>
          <t>Simples Nacional</t>
        </is>
      </c>
      <c r="C85" s="18" t="n"/>
      <c r="D85" s="27" t="n"/>
      <c r="E85" s="18" t="n"/>
      <c r="F85" s="19" t="n"/>
      <c r="G85" s="19" t="n">
        <v>1858.96</v>
      </c>
      <c r="H85" s="21" t="inlineStr">
        <is>
          <t>Impostos e Taxas</t>
        </is>
      </c>
      <c r="I85" s="18" t="inlineStr">
        <is>
          <t>Livro Caixa: Pagamento parcela SIMPLES NACIONAL (Doc. 1) · Planeta Agua Ltda</t>
        </is>
      </c>
      <c r="J85" s="18" t="n"/>
    </row>
    <row r="86">
      <c r="A86" s="44" t="n">
        <v>46132</v>
      </c>
      <c r="B86" s="45" t="inlineStr">
        <is>
          <t>Eversoft Ind e Com de Plasticos Ltda</t>
        </is>
      </c>
      <c r="C86" s="45" t="n"/>
      <c r="D86" s="46" t="n"/>
      <c r="E86" s="45" t="n"/>
      <c r="F86" s="47" t="n"/>
      <c r="G86" s="48" t="n">
        <v>541.37</v>
      </c>
      <c r="H86" s="49" t="inlineStr">
        <is>
          <t>Fornecedores / Mercadoria</t>
        </is>
      </c>
      <c r="I86" s="45" t="inlineStr">
        <is>
          <t>NF 70444 de 23/01/2026 · parcela 3/5 (venc. 23/04/2026) · compra total R$ 2.706,83: 50x Refil Everest + 50x Pré Filtro · Livro Caixa</t>
        </is>
      </c>
    </row>
    <row r="87">
      <c r="A87" s="17" t="n">
        <v>46132</v>
      </c>
      <c r="B87" s="18" t="inlineStr">
        <is>
          <t>Eversoft Ind e Com de Plasticos Ltda</t>
        </is>
      </c>
      <c r="C87" s="18" t="n"/>
      <c r="D87" s="27" t="n"/>
      <c r="E87" s="18" t="n"/>
      <c r="F87" s="19" t="n"/>
      <c r="G87" s="19" t="n">
        <v>878.92</v>
      </c>
      <c r="H87" s="21" t="inlineStr">
        <is>
          <t>Fornecedores / Mercadoria</t>
        </is>
      </c>
      <c r="I87" s="18" t="inlineStr">
        <is>
          <t>NF 71084 de 23/02/2026 · parcela 2/5 (venc. 24/04/2026) · compra total R$ 4.394,61: 100x Refil Everest · Livro Caixa</t>
        </is>
      </c>
      <c r="J87" s="18" t="n"/>
    </row>
    <row r="88">
      <c r="A88" s="44" t="n">
        <v>46134</v>
      </c>
      <c r="B88" s="45" t="inlineStr">
        <is>
          <t>Valdice Fontes da Silva</t>
        </is>
      </c>
      <c r="C88" s="45" t="inlineStr">
        <is>
          <t>Refil Everest</t>
        </is>
      </c>
      <c r="D88" s="46" t="n">
        <v>140</v>
      </c>
      <c r="E88" s="45" t="inlineStr">
        <is>
          <t>Dinheiro</t>
        </is>
      </c>
      <c r="F88" s="47" t="n"/>
      <c r="G88" s="48" t="n"/>
      <c r="H88" s="49" t="n"/>
      <c r="I88" s="45" t="inlineStr">
        <is>
          <t>NFC-e 9004</t>
        </is>
      </c>
      <c r="J88" t="inlineStr">
        <is>
          <t>CLI-0798</t>
        </is>
      </c>
    </row>
    <row r="89">
      <c r="A89" s="17" t="n">
        <v>46134</v>
      </c>
      <c r="B89" s="18" t="inlineStr">
        <is>
          <t>Consumidor Final</t>
        </is>
      </c>
      <c r="C89" s="18" t="inlineStr">
        <is>
          <t>Conexao Em T Rosca De 1/2 Com Engate Rapido Reto 1/4 X 1/4</t>
        </is>
      </c>
      <c r="D89" s="27" t="n">
        <v>37</v>
      </c>
      <c r="E89" s="18" t="inlineStr">
        <is>
          <t>Crédito Parcelado</t>
        </is>
      </c>
      <c r="F89" s="19" t="n"/>
      <c r="G89" s="19" t="n"/>
      <c r="H89" s="21" t="n"/>
      <c r="I89" s="18" t="inlineStr">
        <is>
          <t>NFC-e 9005</t>
        </is>
      </c>
      <c r="J89" s="18" t="n"/>
    </row>
    <row r="90">
      <c r="A90" s="44" t="n">
        <v>46134</v>
      </c>
      <c r="B90" s="45" t="inlineStr">
        <is>
          <t>Consumidor Final</t>
        </is>
      </c>
      <c r="C90" s="45" t="inlineStr">
        <is>
          <t>Refil Everest</t>
        </is>
      </c>
      <c r="D90" s="46" t="n">
        <v>140</v>
      </c>
      <c r="E90" s="45" t="inlineStr">
        <is>
          <t>Pix</t>
        </is>
      </c>
      <c r="F90" s="47" t="n"/>
      <c r="G90" s="48" t="n"/>
      <c r="H90" s="49" t="n"/>
      <c r="I90" s="45" t="inlineStr">
        <is>
          <t>NFC-e 9006</t>
        </is>
      </c>
    </row>
    <row r="91">
      <c r="A91" s="17" t="n">
        <v>46135</v>
      </c>
      <c r="B91" s="18" t="inlineStr">
        <is>
          <t>Lapec Lab - Laboratorio de Analises e Pesquisas Clinicas Ltd</t>
        </is>
      </c>
      <c r="C91" s="18" t="inlineStr">
        <is>
          <t>Refil Everest</t>
        </is>
      </c>
      <c r="D91" s="27" t="n">
        <v>120</v>
      </c>
      <c r="E91" s="18" t="inlineStr">
        <is>
          <t>Dinheiro</t>
        </is>
      </c>
      <c r="F91" s="19" t="n"/>
      <c r="G91" s="19" t="n"/>
      <c r="H91" s="21" t="n"/>
      <c r="I91" s="18" t="inlineStr">
        <is>
          <t>NF-e 4165</t>
        </is>
      </c>
      <c r="J91" s="18" t="n"/>
    </row>
    <row r="92">
      <c r="A92" s="44" t="n">
        <v>46135</v>
      </c>
      <c r="B92" s="45" t="inlineStr">
        <is>
          <t>Instituto Irmãs do Divino Espirito Santo - Silvana Goncalves</t>
        </is>
      </c>
      <c r="C92" s="45" t="inlineStr">
        <is>
          <t>Refil Everest</t>
        </is>
      </c>
      <c r="D92" s="46" t="n">
        <v>140</v>
      </c>
      <c r="E92" s="45" t="inlineStr">
        <is>
          <t>Dinheiro</t>
        </is>
      </c>
      <c r="F92" s="47" t="n"/>
      <c r="G92" s="48" t="n"/>
      <c r="H92" s="49" t="n"/>
      <c r="I92" s="45" t="inlineStr">
        <is>
          <t>NF-e 4166</t>
        </is>
      </c>
      <c r="J92" t="inlineStr">
        <is>
          <t>EMP-0181</t>
        </is>
      </c>
    </row>
    <row r="93">
      <c r="A93" s="17" t="n">
        <v>46135</v>
      </c>
      <c r="B93" s="18" t="inlineStr">
        <is>
          <t>Jacobina Material de Limpeza Eireli</t>
        </is>
      </c>
      <c r="C93" s="18" t="inlineStr">
        <is>
          <t>Refil Everest</t>
        </is>
      </c>
      <c r="D93" s="27" t="n">
        <v>140</v>
      </c>
      <c r="E93" s="18" t="inlineStr">
        <is>
          <t>Dinheiro</t>
        </is>
      </c>
      <c r="F93" s="19" t="n"/>
      <c r="G93" s="19" t="n"/>
      <c r="H93" s="21" t="n"/>
      <c r="I93" s="18" t="inlineStr">
        <is>
          <t>NF-e 4167</t>
        </is>
      </c>
      <c r="J93" s="18" t="n"/>
    </row>
    <row r="94">
      <c r="A94" s="44" t="n">
        <v>46135</v>
      </c>
      <c r="B94" s="45" t="inlineStr">
        <is>
          <t>Cooperativa de Credito Sicoob Sertao Ltda.</t>
        </is>
      </c>
      <c r="C94" s="45" t="inlineStr">
        <is>
          <t>Refil Everest</t>
        </is>
      </c>
      <c r="D94" s="46" t="n">
        <v>140</v>
      </c>
      <c r="E94" s="45" t="inlineStr">
        <is>
          <t>Dinheiro</t>
        </is>
      </c>
      <c r="F94" s="47" t="n"/>
      <c r="G94" s="48" t="n"/>
      <c r="H94" s="49" t="n"/>
      <c r="I94" s="45" t="inlineStr">
        <is>
          <t>NF-e 4168</t>
        </is>
      </c>
    </row>
    <row r="95">
      <c r="A95" s="17" t="n">
        <v>46135</v>
      </c>
      <c r="B95" s="18" t="inlineStr">
        <is>
          <t>Sociedade Educacional de Jacobina Ltda</t>
        </is>
      </c>
      <c r="C95" s="18" t="inlineStr">
        <is>
          <t>2x Refil Carbon Tech 5"</t>
        </is>
      </c>
      <c r="D95" s="27" t="n">
        <v>140</v>
      </c>
      <c r="E95" s="18" t="inlineStr">
        <is>
          <t>Dinheiro</t>
        </is>
      </c>
      <c r="F95" s="19" t="n"/>
      <c r="G95" s="19" t="n"/>
      <c r="H95" s="21" t="n"/>
      <c r="I95" s="18" t="inlineStr">
        <is>
          <t>NF-e 4169</t>
        </is>
      </c>
      <c r="J95" s="18" t="n"/>
    </row>
    <row r="96">
      <c r="A96" s="44" t="n">
        <v>46135</v>
      </c>
      <c r="B96" s="45" t="inlineStr">
        <is>
          <t>Ediane Guimarães de Souza - Raimundo</t>
        </is>
      </c>
      <c r="C96" s="45" t="inlineStr">
        <is>
          <t>Refil Everest + Pré Filtro</t>
        </is>
      </c>
      <c r="D96" s="46" t="n">
        <v>190</v>
      </c>
      <c r="E96" s="45" t="inlineStr">
        <is>
          <t>Dinheiro</t>
        </is>
      </c>
      <c r="F96" s="47" t="n"/>
      <c r="G96" s="48" t="n"/>
      <c r="H96" s="49" t="n"/>
      <c r="I96" s="45" t="inlineStr">
        <is>
          <t>NFC-e 9007</t>
        </is>
      </c>
      <c r="J96" t="inlineStr">
        <is>
          <t>CLI-0796</t>
        </is>
      </c>
    </row>
    <row r="97">
      <c r="A97" s="17" t="n">
        <v>46135</v>
      </c>
      <c r="B97" s="18" t="inlineStr">
        <is>
          <t>Claudiane Pereira Carvalho Oliveira</t>
        </is>
      </c>
      <c r="C97" s="18" t="inlineStr">
        <is>
          <t>Purificador Everest Slim Branco</t>
        </is>
      </c>
      <c r="D97" s="27" t="n">
        <v>1298</v>
      </c>
      <c r="E97" s="18" t="inlineStr">
        <is>
          <t>Dinheiro</t>
        </is>
      </c>
      <c r="F97" s="19" t="n"/>
      <c r="G97" s="19" t="n"/>
      <c r="H97" s="21" t="n"/>
      <c r="I97" s="18" t="inlineStr">
        <is>
          <t>NF-e 4171</t>
        </is>
      </c>
      <c r="J97" s="18" t="inlineStr">
        <is>
          <t>OUT-0014</t>
        </is>
      </c>
    </row>
    <row r="98">
      <c r="A98" s="44" t="n">
        <v>46135</v>
      </c>
      <c r="B98" s="45" t="inlineStr">
        <is>
          <t>Consumidor Final</t>
        </is>
      </c>
      <c r="C98" s="45" t="inlineStr">
        <is>
          <t>Refil Lacqua + Pré Filtro</t>
        </is>
      </c>
      <c r="D98" s="46" t="n">
        <v>160</v>
      </c>
      <c r="E98" s="45" t="inlineStr">
        <is>
          <t>Pix</t>
        </is>
      </c>
      <c r="F98" s="47" t="n"/>
      <c r="G98" s="48" t="n"/>
      <c r="H98" s="49" t="n"/>
      <c r="I98" s="45" t="inlineStr">
        <is>
          <t>NFC-e 9008</t>
        </is>
      </c>
    </row>
    <row r="99">
      <c r="A99" s="17" t="n">
        <v>46135</v>
      </c>
      <c r="B99" s="18" t="inlineStr">
        <is>
          <t>Ana Cristina da Silva Teixeira</t>
        </is>
      </c>
      <c r="C99" s="18" t="inlineStr">
        <is>
          <t>2x Refil Everest + Pré Filtro</t>
        </is>
      </c>
      <c r="D99" s="27" t="n">
        <v>340</v>
      </c>
      <c r="E99" s="18" t="inlineStr">
        <is>
          <t>Pix</t>
        </is>
      </c>
      <c r="F99" s="19" t="n"/>
      <c r="G99" s="19" t="n"/>
      <c r="H99" s="21" t="n"/>
      <c r="I99" s="18" t="inlineStr">
        <is>
          <t>NFC-e 9009</t>
        </is>
      </c>
      <c r="J99" s="18" t="inlineStr">
        <is>
          <t>CLI-0799</t>
        </is>
      </c>
    </row>
    <row r="100" ht="15.75" customHeight="1" s="157">
      <c r="A100" s="44" t="n">
        <v>46136</v>
      </c>
      <c r="B100" s="45" t="inlineStr">
        <is>
          <t>Reginaldo Santos da Silva</t>
        </is>
      </c>
      <c r="C100" s="45" t="inlineStr">
        <is>
          <t>Refil Pro Life</t>
        </is>
      </c>
      <c r="D100" s="46" t="n">
        <v>140</v>
      </c>
      <c r="E100" s="45" t="inlineStr">
        <is>
          <t>Dinheiro</t>
        </is>
      </c>
      <c r="F100" s="47" t="n"/>
      <c r="G100" s="48" t="n"/>
      <c r="H100" s="49" t="n"/>
      <c r="I100" s="45" t="inlineStr">
        <is>
          <t>NF-e 4172</t>
        </is>
      </c>
      <c r="J100" t="inlineStr">
        <is>
          <t>CLI-0067</t>
        </is>
      </c>
    </row>
    <row r="101">
      <c r="A101" s="17" t="n">
        <v>46136</v>
      </c>
      <c r="B101" s="18" t="inlineStr">
        <is>
          <t>Consumidor Final</t>
        </is>
      </c>
      <c r="C101" s="18" t="inlineStr">
        <is>
          <t>Conexao Reta Rosca 1/2 Bspt P/Tubo 1/4 Pol Branca</t>
        </is>
      </c>
      <c r="D101" s="27" t="n">
        <v>25</v>
      </c>
      <c r="E101" s="18" t="inlineStr">
        <is>
          <t>Dinheiro</t>
        </is>
      </c>
      <c r="F101" s="19" t="n"/>
      <c r="G101" s="19" t="n"/>
      <c r="H101" s="21" t="n"/>
      <c r="I101" s="18" t="inlineStr">
        <is>
          <t>NFC-e 9010</t>
        </is>
      </c>
      <c r="J101" s="18" t="n"/>
    </row>
    <row r="102" ht="15.75" customHeight="1" s="157">
      <c r="A102" s="44" t="n">
        <v>46136</v>
      </c>
      <c r="B102" s="45" t="inlineStr">
        <is>
          <t>Consumidor Final</t>
        </is>
      </c>
      <c r="C102" s="45" t="inlineStr">
        <is>
          <t>Mangueira (3 m) + Registro</t>
        </is>
      </c>
      <c r="D102" s="46" t="n">
        <v>50</v>
      </c>
      <c r="E102" s="45" t="inlineStr">
        <is>
          <t>Dinheiro</t>
        </is>
      </c>
      <c r="F102" s="47" t="n"/>
      <c r="G102" s="48" t="n"/>
      <c r="H102" s="49" t="n"/>
      <c r="I102" s="45" t="inlineStr">
        <is>
          <t>NFC-e 9011</t>
        </is>
      </c>
    </row>
    <row r="103">
      <c r="A103" s="17" t="n">
        <v>46136</v>
      </c>
      <c r="B103" s="18" t="inlineStr">
        <is>
          <t>Super Jacobina Distribuidora de Gas</t>
        </is>
      </c>
      <c r="C103" s="18" t="inlineStr">
        <is>
          <t>Refil Top Color + Refil Plissado</t>
        </is>
      </c>
      <c r="D103" s="27" t="n">
        <v>170</v>
      </c>
      <c r="E103" s="18" t="inlineStr">
        <is>
          <t>Dinheiro</t>
        </is>
      </c>
      <c r="F103" s="19" t="n"/>
      <c r="G103" s="19" t="n"/>
      <c r="H103" s="21" t="n"/>
      <c r="I103" s="18" t="inlineStr">
        <is>
          <t>NF-e 4173</t>
        </is>
      </c>
      <c r="J103" s="18" t="n"/>
    </row>
    <row r="104" ht="15.75" customHeight="1" s="157">
      <c r="A104" s="44" t="n">
        <v>46136</v>
      </c>
      <c r="B104" s="45" t="inlineStr">
        <is>
          <t>Ages Educacao Ltda</t>
        </is>
      </c>
      <c r="C104" s="45" t="inlineStr">
        <is>
          <t>2x Carvao Ativado Mineral Po Puro Embalagem 1Kg + 4x Refil IBBL C+3 + 3x Pré Filtro IBBL</t>
        </is>
      </c>
      <c r="D104" s="46" t="n">
        <v>1120</v>
      </c>
      <c r="E104" s="45" t="inlineStr">
        <is>
          <t>Pix</t>
        </is>
      </c>
      <c r="F104" s="47" t="n"/>
      <c r="G104" s="48" t="n"/>
      <c r="H104" s="49" t="n"/>
      <c r="I104" s="45" t="inlineStr">
        <is>
          <t>NF-e 4115 · Grupo Ânima — venda de 20/03/2026, Nota Paga no portal V360 em 24/04/2026. Recebimento não constava no Livro Caixa; baixa dada no DigiSat em 28/09/2026.</t>
        </is>
      </c>
    </row>
    <row r="105">
      <c r="A105" s="17" t="n">
        <v>46137</v>
      </c>
      <c r="B105" s="18" t="inlineStr">
        <is>
          <t>Maricelia Santana Silva</t>
        </is>
      </c>
      <c r="C105" s="18" t="inlineStr">
        <is>
          <t>Refil Pro Life</t>
        </is>
      </c>
      <c r="D105" s="27" t="n">
        <v>100</v>
      </c>
      <c r="E105" s="18" t="n"/>
      <c r="F105" s="19" t="n"/>
      <c r="G105" s="19" t="n"/>
      <c r="H105" s="21" t="n"/>
      <c r="I105" s="18" t="inlineStr">
        <is>
          <t>NFC-e 9012 · venda de 25/04/2026, total R$ 130,00 — parcela 1 · nota faturada a prazo (forma de recebimento não consta na nota)</t>
        </is>
      </c>
      <c r="J105" s="18" t="inlineStr">
        <is>
          <t>CLI-0802</t>
        </is>
      </c>
    </row>
    <row r="106">
      <c r="A106" s="44" t="n">
        <v>46137</v>
      </c>
      <c r="B106" s="45" t="inlineStr">
        <is>
          <t>Consumidor Final</t>
        </is>
      </c>
      <c r="C106" s="45" t="inlineStr">
        <is>
          <t>Refil Everest</t>
        </is>
      </c>
      <c r="D106" s="46" t="n">
        <v>140</v>
      </c>
      <c r="E106" s="45" t="inlineStr">
        <is>
          <t>Crédito Parcelado</t>
        </is>
      </c>
      <c r="F106" s="47" t="n"/>
      <c r="G106" s="48" t="n"/>
      <c r="H106" s="49" t="n"/>
      <c r="I106" s="45" t="inlineStr">
        <is>
          <t>NFC-e 9013</t>
        </is>
      </c>
    </row>
    <row r="107">
      <c r="A107" s="17" t="n">
        <v>46137</v>
      </c>
      <c r="B107" s="18" t="inlineStr">
        <is>
          <t>Nivia Lima Sampaio</t>
        </is>
      </c>
      <c r="C107" s="18" t="inlineStr">
        <is>
          <t>Refil Everest</t>
        </is>
      </c>
      <c r="D107" s="27" t="n">
        <v>140</v>
      </c>
      <c r="E107" s="18" t="inlineStr">
        <is>
          <t>Crédito Parcelado</t>
        </is>
      </c>
      <c r="F107" s="19" t="n"/>
      <c r="G107" s="19" t="n"/>
      <c r="H107" s="21" t="n"/>
      <c r="I107" s="18" t="inlineStr">
        <is>
          <t>NFC-e 9014</t>
        </is>
      </c>
      <c r="J107" s="18" t="n"/>
    </row>
    <row r="108">
      <c r="A108" s="44" t="n">
        <v>46137</v>
      </c>
      <c r="B108" s="45" t="inlineStr">
        <is>
          <t>Consumidor Final</t>
        </is>
      </c>
      <c r="C108" s="45" t="inlineStr">
        <is>
          <t>Mangueira (3 m)</t>
        </is>
      </c>
      <c r="D108" s="46" t="n">
        <v>30</v>
      </c>
      <c r="E108" s="45" t="inlineStr">
        <is>
          <t>Dinheiro</t>
        </is>
      </c>
      <c r="F108" s="47" t="n"/>
      <c r="G108" s="48" t="n"/>
      <c r="H108" s="49" t="n"/>
      <c r="I108" s="45" t="inlineStr">
        <is>
          <t>NFC-e 9015</t>
        </is>
      </c>
    </row>
    <row r="109">
      <c r="A109" s="17" t="n">
        <v>46137</v>
      </c>
      <c r="B109" s="18" t="inlineStr">
        <is>
          <t>Everest Refrigeracao e Industria</t>
        </is>
      </c>
      <c r="C109" s="18" t="n"/>
      <c r="D109" s="27" t="n"/>
      <c r="E109" s="18" t="n"/>
      <c r="F109" s="19" t="n"/>
      <c r="G109" s="19" t="n">
        <v>676.59</v>
      </c>
      <c r="H109" s="21" t="inlineStr">
        <is>
          <t>Fornecedores / Mercadoria</t>
        </is>
      </c>
      <c r="I109" s="18" t="inlineStr">
        <is>
          <t>NF 371358 de 24/02/2026 · parcela 2/5 (venc. 25/04/2026) · compra total R$ 3.382,95: 2x Purificador Everest Star Branco + Purificador Everest Slim Branco + Purificador Everest Fit Branco + Purificador Everest Fit Prata · Livro Caixa</t>
        </is>
      </c>
      <c r="J109" s="18" t="n"/>
    </row>
    <row r="110">
      <c r="A110" s="44" t="n">
        <v>46137</v>
      </c>
      <c r="B110" s="45" t="inlineStr">
        <is>
          <t>Dae</t>
        </is>
      </c>
      <c r="C110" s="45" t="n"/>
      <c r="D110" s="46" t="n"/>
      <c r="E110" s="45" t="n"/>
      <c r="F110" s="47" t="n"/>
      <c r="G110" s="48" t="n">
        <v>860.72</v>
      </c>
      <c r="H110" s="49" t="inlineStr">
        <is>
          <t>Impostos e Taxas</t>
        </is>
      </c>
      <c r="I110" s="45" t="inlineStr">
        <is>
          <t>Livro Caixa: Pagamento parcela DAE (Doc. 1) · Planeta Agua Ltda</t>
        </is>
      </c>
    </row>
    <row r="111">
      <c r="A111" s="17" t="n">
        <v>46139</v>
      </c>
      <c r="B111" s="18" t="inlineStr">
        <is>
          <t>Chapada Ouro Serviços Ldta - Motel Privilege</t>
        </is>
      </c>
      <c r="C111" s="18" t="inlineStr">
        <is>
          <t>Refil Pro Life + Mangueira (2 m)</t>
        </is>
      </c>
      <c r="D111" s="27" t="n">
        <v>160</v>
      </c>
      <c r="E111" s="18" t="inlineStr">
        <is>
          <t>Dinheiro</t>
        </is>
      </c>
      <c r="F111" s="19" t="n"/>
      <c r="G111" s="19" t="n"/>
      <c r="H111" s="21" t="n"/>
      <c r="I111" s="18" t="inlineStr">
        <is>
          <t>NF-e 4174</t>
        </is>
      </c>
      <c r="J111" s="18" t="inlineStr">
        <is>
          <t>EMP-0066</t>
        </is>
      </c>
    </row>
    <row r="112">
      <c r="A112" s="44" t="n">
        <v>46139</v>
      </c>
      <c r="B112" s="45" t="inlineStr">
        <is>
          <t>Consumidor Final</t>
        </is>
      </c>
      <c r="C112" s="45" t="inlineStr">
        <is>
          <t>Refil Everest</t>
        </is>
      </c>
      <c r="D112" s="46" t="n">
        <v>140</v>
      </c>
      <c r="E112" s="45" t="inlineStr">
        <is>
          <t>Dinheiro</t>
        </is>
      </c>
      <c r="F112" s="47" t="n"/>
      <c r="G112" s="48" t="n"/>
      <c r="H112" s="49" t="n"/>
      <c r="I112" s="45" t="inlineStr">
        <is>
          <t>NFC-e 9016</t>
        </is>
      </c>
    </row>
    <row r="113">
      <c r="A113" s="17" t="n">
        <v>46139</v>
      </c>
      <c r="B113" s="18" t="inlineStr">
        <is>
          <t>Rasga Preco Comercio de Confeccoes e Eletrodomesticos Ltda</t>
        </is>
      </c>
      <c r="C113" s="18" t="inlineStr">
        <is>
          <t>Refil Everest + Pré Filtro</t>
        </is>
      </c>
      <c r="D113" s="27" t="n">
        <v>200</v>
      </c>
      <c r="E113" s="18" t="inlineStr">
        <is>
          <t>Dinheiro</t>
        </is>
      </c>
      <c r="F113" s="19" t="n"/>
      <c r="G113" s="19" t="n"/>
      <c r="H113" s="21" t="n"/>
      <c r="I113" s="18" t="inlineStr">
        <is>
          <t>NF-e 4175</t>
        </is>
      </c>
      <c r="J113" s="18" t="n"/>
    </row>
    <row r="114">
      <c r="A114" s="44" t="n">
        <v>46139</v>
      </c>
      <c r="B114" s="45" t="inlineStr">
        <is>
          <t>Eversoft Ind e Com de Plasticos Ltda</t>
        </is>
      </c>
      <c r="C114" s="45" t="n"/>
      <c r="D114" s="46" t="n"/>
      <c r="E114" s="45" t="n"/>
      <c r="F114" s="47" t="n"/>
      <c r="G114" s="48" t="n">
        <v>980.8099999999999</v>
      </c>
      <c r="H114" s="49" t="inlineStr">
        <is>
          <t>Fornecedores / Mercadoria</t>
        </is>
      </c>
      <c r="I114" s="45" t="inlineStr">
        <is>
          <t>NF 69107 de 27/11/2025 · parcela 5/5 (venc. 26/04/2026) · compra total R$ 4.904,13: 100x Refil Everest + 50x Pré Filtro · Livro Caixa</t>
        </is>
      </c>
    </row>
    <row r="115">
      <c r="A115" s="17" t="n">
        <v>46140</v>
      </c>
      <c r="B115" s="18" t="inlineStr">
        <is>
          <t>Consumidor Final</t>
        </is>
      </c>
      <c r="C115" s="18" t="inlineStr">
        <is>
          <t>Refil Carbon Tech 9"</t>
        </is>
      </c>
      <c r="D115" s="27" t="n">
        <v>85</v>
      </c>
      <c r="E115" s="18" t="inlineStr">
        <is>
          <t>Pix</t>
        </is>
      </c>
      <c r="F115" s="19" t="n"/>
      <c r="G115" s="19" t="n"/>
      <c r="H115" s="21" t="n"/>
      <c r="I115" s="18" t="inlineStr">
        <is>
          <t>NFC-e 9019</t>
        </is>
      </c>
      <c r="J115" s="18" t="n"/>
    </row>
    <row r="116">
      <c r="A116" s="44" t="n">
        <v>46140</v>
      </c>
      <c r="B116" s="45" t="inlineStr">
        <is>
          <t>Consumidor Final</t>
        </is>
      </c>
      <c r="C116" s="45" t="inlineStr">
        <is>
          <t>Refil Universal</t>
        </is>
      </c>
      <c r="D116" s="46" t="n">
        <v>30</v>
      </c>
      <c r="E116" s="45" t="inlineStr">
        <is>
          <t>Crédito Parcelado</t>
        </is>
      </c>
      <c r="F116" s="47" t="n"/>
      <c r="G116" s="48" t="n"/>
      <c r="H116" s="49" t="n"/>
      <c r="I116" s="45" t="inlineStr">
        <is>
          <t>NFC-e 9020</t>
        </is>
      </c>
    </row>
    <row r="117">
      <c r="A117" s="17" t="n">
        <v>46140</v>
      </c>
      <c r="B117" s="18" t="inlineStr">
        <is>
          <t xml:space="preserve">Restaurante Bonzão Bode - Aloisio Queiroz </t>
        </is>
      </c>
      <c r="C117" s="18" t="inlineStr">
        <is>
          <t>Refil Pro Life + Refil Universal</t>
        </is>
      </c>
      <c r="D117" s="27" t="n">
        <v>150</v>
      </c>
      <c r="E117" s="18" t="inlineStr">
        <is>
          <t>Pix</t>
        </is>
      </c>
      <c r="F117" s="19" t="n"/>
      <c r="G117" s="19" t="n"/>
      <c r="H117" s="21" t="n"/>
      <c r="I117" s="18" t="inlineStr">
        <is>
          <t>NF-e 4176</t>
        </is>
      </c>
      <c r="J117" s="18" t="inlineStr">
        <is>
          <t>EMP-0258</t>
        </is>
      </c>
    </row>
    <row r="118">
      <c r="A118" s="44" t="n">
        <v>46141</v>
      </c>
      <c r="B118" s="45" t="inlineStr">
        <is>
          <t>Tulio Santos Abrantes Siva</t>
        </is>
      </c>
      <c r="C118" s="45" t="inlineStr">
        <is>
          <t>Purificador Everest Baby Branco</t>
        </is>
      </c>
      <c r="D118" s="46" t="n">
        <v>510</v>
      </c>
      <c r="E118" s="45" t="inlineStr">
        <is>
          <t>Dinheiro</t>
        </is>
      </c>
      <c r="F118" s="47" t="n"/>
      <c r="G118" s="48" t="n"/>
      <c r="H118" s="49" t="n"/>
      <c r="I118" s="45" t="inlineStr">
        <is>
          <t>NF-e 4177</t>
        </is>
      </c>
      <c r="J118" t="inlineStr">
        <is>
          <t>CLI-0807</t>
        </is>
      </c>
    </row>
    <row r="119">
      <c r="A119" s="17" t="n">
        <v>46141</v>
      </c>
      <c r="B119" s="18" t="inlineStr">
        <is>
          <t>Ieda Mendes de Carvalho Brito - Sergio</t>
        </is>
      </c>
      <c r="C119" s="18" t="inlineStr">
        <is>
          <t>Refil Pro Life</t>
        </is>
      </c>
      <c r="D119" s="27" t="n">
        <v>140</v>
      </c>
      <c r="E119" s="18" t="inlineStr">
        <is>
          <t>Pix</t>
        </is>
      </c>
      <c r="F119" s="19" t="n"/>
      <c r="G119" s="19" t="n"/>
      <c r="H119" s="21" t="n"/>
      <c r="I119" s="18" t="inlineStr">
        <is>
          <t>NF-e 4179</t>
        </is>
      </c>
      <c r="J119" s="18" t="inlineStr">
        <is>
          <t>CLI-0804</t>
        </is>
      </c>
    </row>
    <row r="120">
      <c r="A120" s="44" t="n">
        <v>46141</v>
      </c>
      <c r="B120" s="45" t="inlineStr">
        <is>
          <t>Laudelina Ribeiro Costa</t>
        </is>
      </c>
      <c r="C120" s="45" t="inlineStr">
        <is>
          <t>Refil Everest + Mangueira (2 m)</t>
        </is>
      </c>
      <c r="D120" s="46" t="n">
        <v>160</v>
      </c>
      <c r="E120" s="45" t="inlineStr">
        <is>
          <t>Crédito Parcelado</t>
        </is>
      </c>
      <c r="F120" s="47" t="n"/>
      <c r="G120" s="48" t="n"/>
      <c r="H120" s="49" t="n"/>
      <c r="I120" s="45" t="inlineStr">
        <is>
          <t>NFC-e 9021</t>
        </is>
      </c>
    </row>
    <row r="121">
      <c r="A121" s="17" t="n">
        <v>46141</v>
      </c>
      <c r="B121" s="18" t="inlineStr">
        <is>
          <t>Consumidor Final</t>
        </is>
      </c>
      <c r="C121" s="18" t="inlineStr">
        <is>
          <t>Mangueira (2 m)</t>
        </is>
      </c>
      <c r="D121" s="27" t="n">
        <v>15</v>
      </c>
      <c r="E121" s="18" t="inlineStr">
        <is>
          <t>Dinheiro</t>
        </is>
      </c>
      <c r="F121" s="19" t="n"/>
      <c r="G121" s="19" t="n"/>
      <c r="H121" s="21" t="n"/>
      <c r="I121" s="18" t="inlineStr">
        <is>
          <t>NFC-e 9022</t>
        </is>
      </c>
      <c r="J121" s="18" t="n"/>
    </row>
    <row r="122">
      <c r="A122" s="44" t="n">
        <v>46141</v>
      </c>
      <c r="B122" s="45" t="inlineStr">
        <is>
          <t>Maria da Conceição Oliveira Mota</t>
        </is>
      </c>
      <c r="C122" s="45" t="inlineStr">
        <is>
          <t>Refil Everest</t>
        </is>
      </c>
      <c r="D122" s="46" t="n">
        <v>135</v>
      </c>
      <c r="E122" s="45" t="inlineStr">
        <is>
          <t>Pix</t>
        </is>
      </c>
      <c r="F122" s="47" t="n"/>
      <c r="G122" s="48" t="n"/>
      <c r="H122" s="49" t="n"/>
      <c r="I122" s="45" t="inlineStr">
        <is>
          <t>NFC-e 9023</t>
        </is>
      </c>
      <c r="J122" t="inlineStr">
        <is>
          <t>CLI-0806</t>
        </is>
      </c>
    </row>
    <row r="123">
      <c r="A123" s="17" t="n">
        <v>46141</v>
      </c>
      <c r="B123" s="18" t="inlineStr">
        <is>
          <t>Everest Refrigeracao e Industria</t>
        </is>
      </c>
      <c r="C123" s="18" t="n"/>
      <c r="D123" s="27" t="n"/>
      <c r="E123" s="18" t="n"/>
      <c r="F123" s="19" t="n"/>
      <c r="G123" s="19" t="n">
        <v>1305</v>
      </c>
      <c r="H123" s="21" t="inlineStr">
        <is>
          <t>Fornecedores / Mercadoria</t>
        </is>
      </c>
      <c r="I123" s="18" t="inlineStr">
        <is>
          <t>NF 369793 de 28/01/2026 · parcela 3/3 (venc. 28/04/2026) · compra total R$ 3.838,20: Purificador Everest Star Branco + Purificador Everest Fit Preto + Purificador Everest Plus Preto + 8x Purificador Everest Baby Branco + 4x Purificador Everest Baby Preto · Livro Caixa</t>
        </is>
      </c>
      <c r="J123" s="18" t="n"/>
    </row>
    <row r="124">
      <c r="A124" s="44" t="n">
        <v>46141</v>
      </c>
      <c r="B124" s="45" t="inlineStr">
        <is>
          <t>Filtros Planeta Agua Ind e Com Ltda</t>
        </is>
      </c>
      <c r="C124" s="45" t="n"/>
      <c r="D124" s="46" t="n"/>
      <c r="E124" s="45" t="n"/>
      <c r="F124" s="47" t="n"/>
      <c r="G124" s="48" t="n">
        <v>610.35</v>
      </c>
      <c r="H124" s="49" t="inlineStr">
        <is>
          <t>Fornecedores / Mercadoria</t>
        </is>
      </c>
      <c r="I124" s="45" t="inlineStr">
        <is>
          <t>NF 129257 de 31/03/2026 · parcela 1/4 (venc. 28/04/2026) · compra total R$ 2.123,99 (IPI R$ 104,98): 5x Refil Fp4 + 10x Refil Carbon Tech 5 Pol + 10x Refil Carbon Tech 9.3/4 Pol + 36x Refil Pre-E3 · Livro Caixa</t>
        </is>
      </c>
    </row>
    <row r="125">
      <c r="A125" s="17" t="n">
        <v>46141</v>
      </c>
      <c r="B125" s="18" t="inlineStr">
        <is>
          <t>Eversoft Ind e Com de Plasticos Ltda</t>
        </is>
      </c>
      <c r="C125" s="18" t="n"/>
      <c r="D125" s="27" t="n"/>
      <c r="E125" s="18" t="n"/>
      <c r="F125" s="19" t="n"/>
      <c r="G125" s="19" t="n">
        <v>878.92</v>
      </c>
      <c r="H125" s="21" t="inlineStr">
        <is>
          <t>Fornecedores / Mercadoria</t>
        </is>
      </c>
      <c r="I125" s="18" t="inlineStr">
        <is>
          <t>NF 69886 de 30/12/2025 · parcela 4/5 (venc. 29/04/2026) · compra total R$ 4.394,61: 100x Refil Everest · Livro Caixa</t>
        </is>
      </c>
      <c r="J125" s="18" t="n"/>
    </row>
    <row r="126">
      <c r="A126" s="44" t="n">
        <v>46142</v>
      </c>
      <c r="B126" s="45" t="inlineStr">
        <is>
          <t>Tamires Oliveira Silva Santos / Redmicson Sousa</t>
        </is>
      </c>
      <c r="C126" s="45" t="inlineStr">
        <is>
          <t>Refil Everest</t>
        </is>
      </c>
      <c r="D126" s="46" t="n">
        <v>140</v>
      </c>
      <c r="E126" s="45" t="inlineStr">
        <is>
          <t>Pix</t>
        </is>
      </c>
      <c r="F126" s="47" t="n"/>
      <c r="G126" s="48" t="n"/>
      <c r="H126" s="49" t="n"/>
      <c r="I126" s="45" t="inlineStr">
        <is>
          <t>NFC-e 9024</t>
        </is>
      </c>
      <c r="J126" t="inlineStr">
        <is>
          <t>CLI-0570</t>
        </is>
      </c>
    </row>
    <row r="127">
      <c r="A127" s="17" t="n">
        <v>46142</v>
      </c>
      <c r="B127" s="18" t="inlineStr">
        <is>
          <t>Henrique Valois Ramos de Moura</t>
        </is>
      </c>
      <c r="C127" s="18" t="inlineStr">
        <is>
          <t>Refil Everest + Pré Filtro</t>
        </is>
      </c>
      <c r="D127" s="27" t="n">
        <v>200</v>
      </c>
      <c r="E127" s="18" t="inlineStr">
        <is>
          <t>Pix</t>
        </is>
      </c>
      <c r="F127" s="19" t="n"/>
      <c r="G127" s="19" t="n"/>
      <c r="H127" s="21" t="n"/>
      <c r="I127" s="18" t="inlineStr">
        <is>
          <t>NFC-e 9025</t>
        </is>
      </c>
      <c r="J127" s="18" t="inlineStr">
        <is>
          <t>CLI-0569</t>
        </is>
      </c>
    </row>
    <row r="128" ht="15.75" customHeight="1" s="157">
      <c r="A128" s="44" t="n">
        <v>46142</v>
      </c>
      <c r="B128" s="45" t="inlineStr">
        <is>
          <t>Consumidor Final</t>
        </is>
      </c>
      <c r="C128" s="45" t="inlineStr">
        <is>
          <t>Refil Top Color</t>
        </is>
      </c>
      <c r="D128" s="46" t="n">
        <v>75</v>
      </c>
      <c r="E128" s="45" t="inlineStr">
        <is>
          <t>Dinheiro</t>
        </is>
      </c>
      <c r="F128" s="47" t="n"/>
      <c r="G128" s="48" t="n"/>
      <c r="H128" s="49" t="n"/>
      <c r="I128" s="45" t="inlineStr">
        <is>
          <t>NFC-e 9026</t>
        </is>
      </c>
    </row>
    <row r="129">
      <c r="A129" s="17" t="n">
        <v>46142</v>
      </c>
      <c r="B129" s="18" t="inlineStr">
        <is>
          <t>Cesg - Centro de Educacao Superior de Guanambi S/A</t>
        </is>
      </c>
      <c r="C129" s="18" t="inlineStr">
        <is>
          <t>6x Pré Filtro IBBL + 11x Refil IBBL C+3</t>
        </is>
      </c>
      <c r="D129" s="27" t="n">
        <v>2320</v>
      </c>
      <c r="E129" s="18" t="inlineStr">
        <is>
          <t>Pix</t>
        </is>
      </c>
      <c r="F129" s="19" t="n"/>
      <c r="G129" s="19" t="n"/>
      <c r="H129" s="21" t="n"/>
      <c r="I129" s="18" t="inlineStr">
        <is>
          <t>NF-e 4126 · Grupo Ânima — venda de 26/03/2026, Nota Paga no portal V360 em 30/04/2026. Recebimento não constava no Livro Caixa; baixa dada no DigiSat em 28/09/2026.</t>
        </is>
      </c>
      <c r="J129" s="18" t="n"/>
    </row>
    <row r="130">
      <c r="A130" s="44" t="n">
        <v>46142</v>
      </c>
      <c r="B130" s="45" t="inlineStr">
        <is>
          <t>Apec - Sociedade Potiguar de Educacao e Cultura Ltda</t>
        </is>
      </c>
      <c r="C130" s="45" t="inlineStr">
        <is>
          <t>10x Refil IBBL C+3 + 5x Pré Filtro IBBL</t>
        </is>
      </c>
      <c r="D130" s="46" t="n">
        <v>2200</v>
      </c>
      <c r="E130" s="45" t="inlineStr">
        <is>
          <t>Pix</t>
        </is>
      </c>
      <c r="F130" s="47" t="n"/>
      <c r="G130" s="48" t="n"/>
      <c r="H130" s="49" t="n"/>
      <c r="I130" s="45" t="inlineStr">
        <is>
          <t>NF-e 4127 · Grupo Ânima — venda de 26/03/2026, Nota Paga no portal V360 em 30/04/2026. Recebimento não constava no Livro Caixa; baixa dada no DigiSat em 28/09/2026.</t>
        </is>
      </c>
    </row>
    <row r="131">
      <c r="A131" s="17" t="n">
        <v>46142</v>
      </c>
      <c r="B131" s="18" t="inlineStr">
        <is>
          <t>Salario Wiliam</t>
        </is>
      </c>
      <c r="C131" s="18" t="n"/>
      <c r="D131" s="27" t="n"/>
      <c r="E131" s="18" t="n"/>
      <c r="F131" s="19" t="n"/>
      <c r="G131" s="19" t="n">
        <v>1571.32</v>
      </c>
      <c r="H131" s="21" t="inlineStr">
        <is>
          <t>Salários, Comissões e Encargos</t>
        </is>
      </c>
      <c r="I131" s="18" t="inlineStr">
        <is>
          <t>Livro Caixa: Pagamento à vista: SALARIO WILIAM (Doc. 1) · Wiliam Pinto Bispo</t>
        </is>
      </c>
      <c r="J131" s="18" t="n"/>
    </row>
    <row r="132">
      <c r="A132" s="44" t="n">
        <v>46142</v>
      </c>
      <c r="B132" s="45" t="inlineStr">
        <is>
          <t>Salario Daniel</t>
        </is>
      </c>
      <c r="C132" s="45" t="n"/>
      <c r="D132" s="46" t="n"/>
      <c r="E132" s="45" t="n"/>
      <c r="F132" s="47" t="n"/>
      <c r="G132" s="48" t="n">
        <v>1213.6</v>
      </c>
      <c r="H132" s="49" t="inlineStr">
        <is>
          <t>Salários, Comissões e Encargos</t>
        </is>
      </c>
      <c r="I132" s="45" t="inlineStr">
        <is>
          <t>Livro Caixa: Pagamento à vista: SALARIO DANIEL (Doc. 1) · Daniel Barbosa dos Santos</t>
        </is>
      </c>
    </row>
    <row r="133">
      <c r="A133" s="29" t="n"/>
      <c r="B133" s="43" t="inlineStr">
        <is>
          <t>TOTAL DO MÊS</t>
        </is>
      </c>
      <c r="C133" s="160" t="n"/>
      <c r="D133" s="8">
        <f>SUM(D5:D132)</f>
        <v/>
      </c>
      <c r="E133" s="8" t="n"/>
      <c r="F133" s="29">
        <f>SUM(F5:F132)</f>
        <v/>
      </c>
      <c r="G133" s="8">
        <f>SUM(G5:G132)</f>
        <v/>
      </c>
      <c r="H133" s="29" t="n"/>
      <c r="I133" s="29" t="n"/>
    </row>
    <row r="134">
      <c r="A134" s="30" t="n"/>
      <c r="B134" s="133" t="inlineStr">
        <is>
          <t>SALDO DO MÊS (Entradas líquidas − Despesas da loja)</t>
        </is>
      </c>
      <c r="D134" s="132">
        <f>(D133-F133-T5)-(L18-L19)</f>
        <v/>
      </c>
      <c r="F134" s="30" t="n"/>
      <c r="H134" s="30" t="n"/>
      <c r="I134" s="30" t="n"/>
    </row>
    <row r="149" ht="15.75" customHeight="1" s="157"/>
    <row r="165">
      <c r="K165" s="13" t="n"/>
      <c r="L165" s="14" t="n"/>
    </row>
    <row r="166">
      <c r="K166" s="42" t="n"/>
      <c r="L166" s="8" t="n"/>
    </row>
    <row r="167">
      <c r="K167" s="31" t="n"/>
      <c r="L167" s="31" t="n"/>
    </row>
    <row r="168">
      <c r="K168" s="31" t="n"/>
      <c r="L168" s="31" t="n"/>
    </row>
    <row r="173" ht="15.75" customHeight="1" s="157"/>
    <row r="176" ht="15.75" customHeight="1" s="157"/>
    <row r="184" ht="15.75" customHeight="1" s="157"/>
    <row r="185">
      <c r="K185" s="31" t="n"/>
      <c r="L185" s="31" t="n"/>
    </row>
    <row r="186" ht="15.75" customHeight="1" s="157">
      <c r="K186" s="31" t="n"/>
      <c r="L186" s="31" t="n"/>
    </row>
    <row r="187">
      <c r="K187" s="31" t="n"/>
      <c r="L187" s="31" t="n"/>
    </row>
    <row r="188">
      <c r="K188" s="31" t="n"/>
      <c r="L188" s="31" t="n"/>
    </row>
    <row r="189">
      <c r="K189" s="31" t="n"/>
      <c r="L189" s="31" t="n"/>
    </row>
  </sheetData>
  <mergeCells count="19">
    <mergeCell ref="P4:Q4"/>
    <mergeCell ref="P8:Q9"/>
    <mergeCell ref="T8:U9"/>
    <mergeCell ref="N7:O7"/>
    <mergeCell ref="R4:S4"/>
    <mergeCell ref="T4:U4"/>
    <mergeCell ref="A2:I2"/>
    <mergeCell ref="R7:S7"/>
    <mergeCell ref="P5:Q6"/>
    <mergeCell ref="R5:S6"/>
    <mergeCell ref="R8:S9"/>
    <mergeCell ref="P7:Q7"/>
    <mergeCell ref="T5:U6"/>
    <mergeCell ref="T7:U7"/>
    <mergeCell ref="A1:I1"/>
    <mergeCell ref="K4:L4"/>
    <mergeCell ref="N5:O6"/>
    <mergeCell ref="N4:O4"/>
    <mergeCell ref="N8:O9"/>
  </mergeCells>
  <conditionalFormatting sqref="R7:S7">
    <cfRule type="expression" priority="1" dxfId="1">
      <formula>LEFT($R$7,6)="PASSOU"</formula>
    </cfRule>
  </conditionalFormatting>
  <conditionalFormatting sqref="R8:S9">
    <cfRule type="expression" priority="2" dxfId="0">
      <formula>LEFT($R$7,6)="PASSOU"</formula>
    </cfRule>
  </conditionalFormatting>
  <conditionalFormatting sqref="T8:U9">
    <cfRule type="cellIs" priority="3" operator="lessThan" dxfId="0">
      <formula>0</formula>
    </cfRule>
  </conditionalFormatting>
  <conditionalFormatting sqref="R5:S6">
    <cfRule type="cellIs" priority="4" operator="lessThan" dxfId="0">
      <formula>0</formula>
    </cfRule>
  </conditionalFormatting>
  <dataValidations count="2">
    <dataValidation sqref="E5:E132" showDropDown="0" showInputMessage="0" showErrorMessage="0" allowBlank="1" type="list">
      <formula1>"Dinheiro,Pix,Débito,Crédito à Vista,Crédito Parcelado,Aguardando Pagamento"</formula1>
    </dataValidation>
    <dataValidation sqref="H5:H132" showDropDown="0" showInputMessage="0" showErrorMessage="0" allowBlank="1" type="list">
      <formula1>$K$5:$K$17</formula1>
    </dataValidation>
  </dataValidations>
  <hyperlinks>
    <hyperlink ref="A3" location="'Início'!A1" display="← Início"/>
  </hyperlink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tabColor rgb="FF6B46C1"/>
    <outlinePr summaryBelow="1" summaryRight="1"/>
    <pageSetUpPr/>
  </sheetPr>
  <dimension ref="A1:U18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13" bestFit="1" customWidth="1" style="157" min="1" max="1"/>
    <col width="42" customWidth="1" style="157" min="2" max="2"/>
    <col width="26" customWidth="1" style="157" min="3" max="3"/>
    <col width="14" customWidth="1" style="157" min="4" max="4"/>
    <col width="20" customWidth="1" style="157" min="5" max="5"/>
    <col width="16" customWidth="1" style="157" min="6" max="6"/>
    <col width="14" customWidth="1" style="157" min="7" max="7"/>
    <col width="26" customWidth="1" style="157" min="8" max="8"/>
    <col width="30" customWidth="1" style="157" min="9" max="9"/>
    <col width="11" customWidth="1" style="157" min="10" max="10"/>
    <col width="30" customWidth="1" style="157" min="11" max="11"/>
    <col width="14" customWidth="1" style="157" min="12" max="12"/>
    <col width="3" customWidth="1" style="157" min="13" max="13"/>
    <col width="13" customWidth="1" style="157" min="14" max="21"/>
  </cols>
  <sheetData>
    <row r="1" ht="25.5" customHeight="1" s="157">
      <c r="A1" s="223" t="inlineStr">
        <is>
          <t>RELATÓRIO FINANCEIRO — MAIO / 2026</t>
        </is>
      </c>
    </row>
    <row r="2">
      <c r="A2" s="228" t="inlineStr">
        <is>
          <t>Fluxo de caixa da loja — entradas montadas a partir das notas fiscais (XML do DigiSat), com cliente e produtos; saídas do Livro Caixa</t>
        </is>
      </c>
    </row>
    <row r="3">
      <c r="A3" s="127" t="inlineStr">
        <is>
          <t>← Início</t>
        </is>
      </c>
    </row>
    <row r="4" ht="20.1" customHeight="1" s="157">
      <c r="A4" s="1" t="inlineStr">
        <is>
          <t>Data</t>
        </is>
      </c>
      <c r="B4" s="1" t="inlineStr">
        <is>
          <t>Descrição / Cliente</t>
        </is>
      </c>
      <c r="C4" s="1" t="inlineStr">
        <is>
          <t>Produto</t>
        </is>
      </c>
      <c r="D4" s="1" t="inlineStr">
        <is>
          <t>Entrada (R$)</t>
        </is>
      </c>
      <c r="E4" s="1" t="inlineStr">
        <is>
          <t>Forma de Pagamento</t>
        </is>
      </c>
      <c r="F4" s="1" t="inlineStr">
        <is>
          <t>Taxa da Máquina (R$)</t>
        </is>
      </c>
      <c r="G4" s="1" t="inlineStr">
        <is>
          <t>Saída (R$)</t>
        </is>
      </c>
      <c r="H4" s="1" t="inlineStr">
        <is>
          <t>Categoria da Saída</t>
        </is>
      </c>
      <c r="I4" s="1" t="inlineStr">
        <is>
          <t>Observações</t>
        </is>
      </c>
      <c r="J4" s="1" t="inlineStr">
        <is>
          <t>ID Cliente</t>
        </is>
      </c>
      <c r="K4" s="233" t="inlineStr">
        <is>
          <t>Saídas por Categoria</t>
        </is>
      </c>
      <c r="L4" s="160" t="n"/>
      <c r="N4" s="224" t="inlineStr">
        <is>
          <t>FATURAMENTO</t>
        </is>
      </c>
      <c r="P4" s="232" t="inlineStr">
        <is>
          <t>DESPESAS</t>
        </is>
      </c>
      <c r="R4" s="221" t="inlineStr">
        <is>
          <t>SALDO ANTES DO PRÓ-LABORE</t>
        </is>
      </c>
      <c r="T4" s="207" t="inlineStr">
        <is>
          <t>A RECEBER</t>
        </is>
      </c>
    </row>
    <row r="5" ht="14.1" customHeight="1" s="157">
      <c r="A5" s="17" t="n">
        <v>46143</v>
      </c>
      <c r="B5" s="18" t="inlineStr">
        <is>
          <t>Salario Wiliam</t>
        </is>
      </c>
      <c r="C5" s="18" t="n"/>
      <c r="D5" s="27" t="n"/>
      <c r="E5" s="18" t="n"/>
      <c r="F5" s="19" t="n"/>
      <c r="G5" s="19" t="n">
        <v>1571.32</v>
      </c>
      <c r="H5" s="21" t="inlineStr">
        <is>
          <t>Salários, Comissões e Encargos</t>
        </is>
      </c>
      <c r="I5" s="18" t="inlineStr">
        <is>
          <t>Livro Caixa: Pagamento à vista: SALARIO WILIAM (Doc. 1) · Wiliam Pinto Bispo</t>
        </is>
      </c>
      <c r="J5" s="18" t="n"/>
      <c r="K5" s="10" t="inlineStr">
        <is>
          <t>Fornecedores / Mercadoria</t>
        </is>
      </c>
      <c r="L5" s="11">
        <f>SUMIF(H5:H132,K5,G5:G132)</f>
        <v/>
      </c>
      <c r="N5" s="229">
        <f>D133-F133-T5</f>
        <v/>
      </c>
      <c r="P5" s="231">
        <f>L18-L19</f>
        <v/>
      </c>
      <c r="R5" s="230">
        <f>D134</f>
        <v/>
      </c>
      <c r="T5" s="212">
        <f>SUMIF(E5:E132,"Aguardando Pagamento",D5:D132)</f>
        <v/>
      </c>
    </row>
    <row r="6" ht="14.1" customHeight="1" s="157">
      <c r="A6" s="44" t="n">
        <v>46143</v>
      </c>
      <c r="B6" s="45" t="inlineStr">
        <is>
          <t>Aluguel Vitoria Maria</t>
        </is>
      </c>
      <c r="C6" s="45" t="n"/>
      <c r="D6" s="46" t="n"/>
      <c r="E6" s="45" t="n"/>
      <c r="F6" s="47" t="n"/>
      <c r="G6" s="48" t="n">
        <v>870</v>
      </c>
      <c r="H6" s="49" t="inlineStr">
        <is>
          <t>Aluguel</t>
        </is>
      </c>
      <c r="I6" s="45" t="inlineStr">
        <is>
          <t>Livro Caixa: Pagamento à vista: ALUGUEL VITORIA MARIA (Doc. 1) · Vitoria Maria F Santos</t>
        </is>
      </c>
      <c r="K6" s="13" t="inlineStr">
        <is>
          <t>Aluguel</t>
        </is>
      </c>
      <c r="L6" s="14">
        <f>SUMIF(H5:H132,K6,G5:G132)</f>
        <v/>
      </c>
    </row>
    <row r="7" ht="15.75" customHeight="1" s="157">
      <c r="A7" s="17" t="n">
        <v>46144</v>
      </c>
      <c r="B7" s="18" t="inlineStr">
        <is>
          <t>Maricelia Santana Silva</t>
        </is>
      </c>
      <c r="C7" s="18" t="inlineStr">
        <is>
          <t>(Mesma venda — parcela seguinte, sem produtos novos)</t>
        </is>
      </c>
      <c r="D7" s="27" t="n">
        <v>30</v>
      </c>
      <c r="E7" s="18" t="n"/>
      <c r="F7" s="19" t="n"/>
      <c r="G7" s="19" t="n"/>
      <c r="H7" s="21" t="n"/>
      <c r="I7" s="18" t="inlineStr">
        <is>
          <t>NFC-e 9012 · venda de 25/04/2026, total R$ 130,00 — parcela 2 · nota faturada a prazo (forma de recebimento não consta na nota)</t>
        </is>
      </c>
      <c r="J7" s="18" t="inlineStr">
        <is>
          <t>CLI-0802</t>
        </is>
      </c>
      <c r="K7" s="10" t="inlineStr">
        <is>
          <t>Água, Energia e Internet</t>
        </is>
      </c>
      <c r="L7" s="11">
        <f>SUMIF(H5:H132,K7,G5:G132)</f>
        <v/>
      </c>
      <c r="N7" s="249" t="inlineStr">
        <is>
          <t>PRÓ-LABORE EDILÂNIA</t>
        </is>
      </c>
      <c r="P7" s="208" t="inlineStr">
        <is>
          <t>COMBINADO NO MÊS</t>
        </is>
      </c>
      <c r="R7" s="221">
        <f>IF(L17&gt;'Ponto de Equilíbrio'!$B$10,"PASSOU DO COMBINADO",IF(TODAY()&gt;EOMONTH(DATE(2026,5,1),0),"ABAIXO DO COMBINADO","AINDA PODE GASTAR"))</f>
        <v/>
      </c>
      <c r="T7" s="224" t="inlineStr">
        <is>
          <t>SOBRA FINAL DO MÊS</t>
        </is>
      </c>
    </row>
    <row r="8">
      <c r="A8" s="44" t="n">
        <v>46144</v>
      </c>
      <c r="B8" s="45" t="inlineStr">
        <is>
          <t>Banco do Nordeste do Brasil</t>
        </is>
      </c>
      <c r="C8" s="45" t="inlineStr">
        <is>
          <t>2x Refil Everest</t>
        </is>
      </c>
      <c r="D8" s="46" t="n">
        <v>280</v>
      </c>
      <c r="E8" s="45" t="inlineStr">
        <is>
          <t>Dinheiro</t>
        </is>
      </c>
      <c r="F8" s="47" t="n"/>
      <c r="G8" s="48" t="n"/>
      <c r="H8" s="49" t="n"/>
      <c r="I8" s="45" t="inlineStr">
        <is>
          <t>NF-e 4181</t>
        </is>
      </c>
      <c r="J8" t="inlineStr">
        <is>
          <t>EMP-0220</t>
        </is>
      </c>
      <c r="K8" s="13" t="inlineStr">
        <is>
          <t>Impostos e Taxas</t>
        </is>
      </c>
      <c r="L8" s="14">
        <f>SUMIF(H5:H132,K8,G5:G132)</f>
        <v/>
      </c>
      <c r="N8" s="250">
        <f>L17</f>
        <v/>
      </c>
      <c r="P8" s="215">
        <f>'Ponto de Equilíbrio'!$B$10</f>
        <v/>
      </c>
      <c r="R8" s="205">
        <f>ABS('Ponto de Equilíbrio'!$B$10-L17)</f>
        <v/>
      </c>
      <c r="T8" s="236">
        <f>R5-L17</f>
        <v/>
      </c>
    </row>
    <row r="9">
      <c r="A9" s="17" t="n">
        <v>46144</v>
      </c>
      <c r="B9" s="18" t="inlineStr">
        <is>
          <t>Roziane Santos Silva</t>
        </is>
      </c>
      <c r="C9" s="18" t="inlineStr">
        <is>
          <t>Refil Everest</t>
        </is>
      </c>
      <c r="D9" s="27" t="n">
        <v>140</v>
      </c>
      <c r="E9" s="18" t="inlineStr">
        <is>
          <t>Crédito Parcelado</t>
        </is>
      </c>
      <c r="F9" s="19" t="n"/>
      <c r="G9" s="19" t="n"/>
      <c r="H9" s="21" t="n"/>
      <c r="I9" s="18" t="inlineStr">
        <is>
          <t>NFC-e 9027</t>
        </is>
      </c>
      <c r="J9" s="18" t="n"/>
      <c r="K9" s="10" t="inlineStr">
        <is>
          <t>Tarifas Bancárias e Cartão</t>
        </is>
      </c>
      <c r="L9" s="11">
        <f>SUMIF(H5:H132,K9,G5:G132)</f>
        <v/>
      </c>
    </row>
    <row r="10">
      <c r="A10" s="44" t="n">
        <v>46144</v>
      </c>
      <c r="B10" s="45" t="inlineStr">
        <is>
          <t>Serv de Apoio As Micro e Pequenas Empresas do Est da Bahia</t>
        </is>
      </c>
      <c r="C10" s="45" t="inlineStr">
        <is>
          <t>Refil FP4</t>
        </is>
      </c>
      <c r="D10" s="46" t="n">
        <v>100</v>
      </c>
      <c r="E10" s="45" t="n"/>
      <c r="F10" s="47" t="n"/>
      <c r="G10" s="48" t="n"/>
      <c r="H10" s="49" t="n"/>
      <c r="I10" s="45" t="inlineStr">
        <is>
          <t>NF-e 4182. Recebimento não constava no Livro Caixa; conferido e baixado no DigiSat em 28/09/2026.</t>
        </is>
      </c>
      <c r="K10" s="13" t="inlineStr">
        <is>
          <t>Transporte e Entregas</t>
        </is>
      </c>
      <c r="L10" s="14">
        <f>SUMIF(H5:H132,K10,G5:G132)</f>
        <v/>
      </c>
    </row>
    <row r="11">
      <c r="A11" s="17" t="n">
        <v>46144</v>
      </c>
      <c r="B11" s="18" t="inlineStr">
        <is>
          <t>Eversoft Ind e Com de Plasticos Ltda</t>
        </is>
      </c>
      <c r="C11" s="18" t="n"/>
      <c r="D11" s="27" t="n"/>
      <c r="E11" s="18" t="n"/>
      <c r="F11" s="19" t="n"/>
      <c r="G11" s="19" t="n">
        <v>878.92</v>
      </c>
      <c r="H11" s="21" t="inlineStr">
        <is>
          <t>Fornecedores / Mercadoria</t>
        </is>
      </c>
      <c r="I11" s="18" t="inlineStr">
        <is>
          <t>NF 72153 de 02/04/2026 · parcela 1/5 (venc. 02/05/2026) · compra total R$ 4.394,61: 100x Refil Everest · Livro Caixa</t>
        </is>
      </c>
      <c r="J11" s="18" t="n"/>
      <c r="K11" s="10" t="inlineStr">
        <is>
          <t>Salários, Comissões e Encargos</t>
        </is>
      </c>
      <c r="L11" s="11">
        <f>SUMIF(H5:H132,K11,G5:G132)</f>
        <v/>
      </c>
    </row>
    <row r="12">
      <c r="A12" s="44" t="n">
        <v>46144</v>
      </c>
      <c r="B12" s="45" t="inlineStr">
        <is>
          <t>Everest Refrigeracao e Industria</t>
        </is>
      </c>
      <c r="C12" s="45" t="n"/>
      <c r="D12" s="46" t="n"/>
      <c r="E12" s="45" t="n"/>
      <c r="F12" s="47" t="n"/>
      <c r="G12" s="48" t="n">
        <v>706.65</v>
      </c>
      <c r="H12" s="49" t="inlineStr">
        <is>
          <t>Fornecedores / Mercadoria</t>
        </is>
      </c>
      <c r="I12" s="45" t="inlineStr">
        <is>
          <t>NF 374271 de 06/04/2026 · parcela 1/5 (venc. 06/05/2026) · compra total R$ 3.533,27: Purificador Everest Plus Prata + Purificador Everest Star Branco + Purificador Everest Star Preto + Purificador Everest Slim Prata + Purificador Everest Fit Branco · Livro Caixa</t>
        </is>
      </c>
      <c r="K12" s="13" t="inlineStr">
        <is>
          <t>Contabilidade</t>
        </is>
      </c>
      <c r="L12" s="14">
        <f>SUMIF(H5:H132,K12,G5:G132)</f>
        <v/>
      </c>
    </row>
    <row r="13">
      <c r="A13" s="17" t="n">
        <v>46146</v>
      </c>
      <c r="B13" s="18" t="inlineStr">
        <is>
          <t>Consumidor Final</t>
        </is>
      </c>
      <c r="C13" s="18" t="inlineStr">
        <is>
          <t>Refil Carbon Tech 5" + Anel Oring De Vedaca Fit</t>
        </is>
      </c>
      <c r="D13" s="27" t="n">
        <v>65</v>
      </c>
      <c r="E13" s="18" t="inlineStr">
        <is>
          <t>Pix</t>
        </is>
      </c>
      <c r="F13" s="19" t="n"/>
      <c r="G13" s="19" t="n"/>
      <c r="H13" s="21" t="n"/>
      <c r="I13" s="18" t="inlineStr">
        <is>
          <t>NFC-e 9028</t>
        </is>
      </c>
      <c r="J13" s="18" t="n"/>
      <c r="K13" s="10" t="inlineStr">
        <is>
          <t>Manutenção e Reparos</t>
        </is>
      </c>
      <c r="L13" s="11">
        <f>SUMIF(H5:H132,K13,G5:G132)</f>
        <v/>
      </c>
    </row>
    <row r="14" ht="15.75" customHeight="1" s="157">
      <c r="A14" s="44" t="n">
        <v>46146</v>
      </c>
      <c r="B14" s="45" t="inlineStr">
        <is>
          <t>Consumidor Final</t>
        </is>
      </c>
      <c r="C14" s="45" t="inlineStr">
        <is>
          <t>Refil Carbon Tech 9" + Anel Oring De Vedaca Fit</t>
        </is>
      </c>
      <c r="D14" s="46" t="n">
        <v>95</v>
      </c>
      <c r="E14" s="45" t="inlineStr">
        <is>
          <t>Pix</t>
        </is>
      </c>
      <c r="F14" s="47" t="n"/>
      <c r="G14" s="48" t="n"/>
      <c r="H14" s="49" t="n"/>
      <c r="I14" s="45" t="inlineStr">
        <is>
          <t>NFC-e 9029</t>
        </is>
      </c>
      <c r="K14" s="13" t="inlineStr">
        <is>
          <t>Material de Limpeza e Escritório</t>
        </is>
      </c>
      <c r="L14" s="14">
        <f>SUMIF(H5:H132,K14,G5:G132)</f>
        <v/>
      </c>
    </row>
    <row r="15" ht="15.75" customHeight="1" s="157">
      <c r="A15" s="17" t="n">
        <v>46146</v>
      </c>
      <c r="B15" s="18" t="inlineStr">
        <is>
          <t>Alfredo Ferreira Sacramento</t>
        </is>
      </c>
      <c r="C15" s="18" t="inlineStr">
        <is>
          <t>Refil Everest + Pré Filtro</t>
        </is>
      </c>
      <c r="D15" s="27" t="n">
        <v>190</v>
      </c>
      <c r="E15" s="18" t="inlineStr">
        <is>
          <t>Dinheiro</t>
        </is>
      </c>
      <c r="F15" s="19" t="n"/>
      <c r="G15" s="19" t="n"/>
      <c r="H15" s="21" t="n"/>
      <c r="I15" s="18" t="inlineStr">
        <is>
          <t>NFC-e 9030</t>
        </is>
      </c>
      <c r="J15" s="18" t="inlineStr">
        <is>
          <t>CLI-0810</t>
        </is>
      </c>
      <c r="K15" s="10" t="inlineStr">
        <is>
          <t>Estornos de Vendas (Cancelamentos)</t>
        </is>
      </c>
      <c r="L15" s="11">
        <f>SUMIF(H5:H132,K15,G5:G132)</f>
        <v/>
      </c>
    </row>
    <row r="16">
      <c r="A16" s="44" t="n">
        <v>46146</v>
      </c>
      <c r="B16" s="45" t="inlineStr">
        <is>
          <t>Consumidor Final</t>
        </is>
      </c>
      <c r="C16" s="45" t="inlineStr">
        <is>
          <t>Refil Everest + Mangueira (1 m)</t>
        </is>
      </c>
      <c r="D16" s="46" t="n">
        <v>150</v>
      </c>
      <c r="E16" s="45" t="inlineStr">
        <is>
          <t>Crédito Parcelado</t>
        </is>
      </c>
      <c r="F16" s="47" t="n"/>
      <c r="G16" s="48" t="n"/>
      <c r="H16" s="49" t="n"/>
      <c r="I16" s="45" t="inlineStr">
        <is>
          <t>NFC-e 9031</t>
        </is>
      </c>
      <c r="K16" t="inlineStr">
        <is>
          <t>Outras Despesas</t>
        </is>
      </c>
      <c r="L16" s="11">
        <f>SUMIF(H5:H132,K16,G5:G132)</f>
        <v/>
      </c>
    </row>
    <row r="17" ht="15.75" customHeight="1" s="157">
      <c r="A17" s="17" t="n">
        <v>46146</v>
      </c>
      <c r="B17" s="18" t="inlineStr">
        <is>
          <t>Catia Tiara</t>
        </is>
      </c>
      <c r="C17" s="18" t="inlineStr">
        <is>
          <t>Refil Everest + Pré Filtro</t>
        </is>
      </c>
      <c r="D17" s="27" t="n">
        <v>190</v>
      </c>
      <c r="E17" s="18" t="inlineStr">
        <is>
          <t>Pix</t>
        </is>
      </c>
      <c r="F17" s="19" t="n"/>
      <c r="G17" s="19" t="n"/>
      <c r="H17" s="21" t="n"/>
      <c r="I17" s="18" t="inlineStr">
        <is>
          <t>NFC-e 9032</t>
        </is>
      </c>
      <c r="J17" s="18" t="inlineStr">
        <is>
          <t>CLI-0812</t>
        </is>
      </c>
      <c r="K17" t="inlineStr">
        <is>
          <t>Pro Labore Edilânia</t>
        </is>
      </c>
      <c r="L17">
        <f>SUMIF(H5:H132,K17,G5:G132)</f>
        <v/>
      </c>
    </row>
    <row r="18" ht="15.75" customHeight="1" s="157">
      <c r="A18" s="44" t="n">
        <v>46146</v>
      </c>
      <c r="B18" s="45" t="inlineStr">
        <is>
          <t>Consumidor Final</t>
        </is>
      </c>
      <c r="C18" s="45" t="inlineStr">
        <is>
          <t>2x Carcaça 9" + 2x Refil Carbon Tech</t>
        </is>
      </c>
      <c r="D18" s="46" t="n">
        <v>330</v>
      </c>
      <c r="E18" s="45" t="inlineStr">
        <is>
          <t>Dinheiro</t>
        </is>
      </c>
      <c r="F18" s="47" t="n"/>
      <c r="G18" s="48" t="n"/>
      <c r="H18" s="49" t="n"/>
      <c r="I18" s="45" t="inlineStr">
        <is>
          <t>NFC-e 9033</t>
        </is>
      </c>
      <c r="K18" t="inlineStr">
        <is>
          <t>Total</t>
        </is>
      </c>
      <c r="L18">
        <f>SUM(L5:L16)</f>
        <v/>
      </c>
    </row>
    <row r="19">
      <c r="A19" s="17" t="n">
        <v>46146</v>
      </c>
      <c r="B19" s="18" t="inlineStr">
        <is>
          <t>Everest Refrigeracao e Industria</t>
        </is>
      </c>
      <c r="C19" s="18" t="n"/>
      <c r="D19" s="27" t="n"/>
      <c r="E19" s="18" t="n"/>
      <c r="F19" s="19" t="n"/>
      <c r="G19" s="19" t="n">
        <v>572.25</v>
      </c>
      <c r="H19" s="21" t="inlineStr">
        <is>
          <t>Fornecedores / Mercadoria</t>
        </is>
      </c>
      <c r="I19" s="18" t="inlineStr">
        <is>
          <t>Livro Caixa: Pagamento parcela Gerado pelo sistema - nº 346431 (Doc. 346431)</t>
        </is>
      </c>
      <c r="J19" s="18" t="n"/>
      <c r="K19" t="inlineStr">
        <is>
          <t>Capital de Giro (BB) — ainda a devolver</t>
        </is>
      </c>
      <c r="L19" s="32">
        <f>SUMIFS('Capital de Giro (BB)'!D9:D200,'Capital de Giro (BB)'!A9:A200,"&gt;="&amp;DATE(2026,5,1),'Capital de Giro (BB)'!A9:A200,"&lt;="&amp;DATE(2026,5,31),'Capital de Giro (BB)'!E9:E200,"A Devolver")</f>
        <v/>
      </c>
    </row>
    <row r="20">
      <c r="A20" s="44" t="n">
        <v>46146</v>
      </c>
      <c r="B20" s="45" t="inlineStr">
        <is>
          <t>Coelba</t>
        </is>
      </c>
      <c r="C20" s="45" t="n"/>
      <c r="D20" s="46" t="n"/>
      <c r="E20" s="45" t="n"/>
      <c r="F20" s="47" t="n"/>
      <c r="G20" s="48" t="n">
        <v>125.37</v>
      </c>
      <c r="H20" s="49" t="inlineStr">
        <is>
          <t>Água, Energia e Internet</t>
        </is>
      </c>
      <c r="I20" s="45" t="inlineStr">
        <is>
          <t>Livro Caixa: Pagamento parcela COELBA (Doc. 1) · Companhia de Eletricidade do Estado da Bahia Coelba</t>
        </is>
      </c>
    </row>
    <row r="21">
      <c r="A21" s="17" t="n">
        <v>46146</v>
      </c>
      <c r="B21" s="18" t="inlineStr">
        <is>
          <t>Filtros Planeta Agua Ind e Com Ltda</t>
        </is>
      </c>
      <c r="C21" s="18" t="n"/>
      <c r="D21" s="27" t="n"/>
      <c r="E21" s="18" t="n"/>
      <c r="F21" s="19" t="n"/>
      <c r="G21" s="19" t="n">
        <v>972.2</v>
      </c>
      <c r="H21" s="21" t="inlineStr">
        <is>
          <t>Fornecedores / Mercadoria</t>
        </is>
      </c>
      <c r="I21" s="18" t="inlineStr">
        <is>
          <t>NF 123868 de 24/10/2025 · parcela 1/5 (venc. 21/11/2025) · compra total R$ 4.058,44 (IPI R$ 200,60): 50x Refil Pro Life + 5x Refil Top Color + 5x Refil Fp4 + 20x Refil Carbon Tech 9.3/4 Pol + 10x Refil Top Multifilter + 5x Refil Top Color Fast + 10x Refil Fpa14 + 5x Refil Fpa22 + 5x Carcaca Fit 9.3/4 Pol Branca + 5x Conexão T + 5x Refil Fpa16 · Livro Caixa</t>
        </is>
      </c>
      <c r="J21" s="18" t="n"/>
    </row>
    <row r="22">
      <c r="A22" s="44" t="n">
        <v>46146</v>
      </c>
      <c r="B22" s="45" t="inlineStr">
        <is>
          <t>1 Parcela Ferias Daniel</t>
        </is>
      </c>
      <c r="C22" s="45" t="n"/>
      <c r="D22" s="46" t="n"/>
      <c r="E22" s="45" t="n"/>
      <c r="F22" s="47" t="n"/>
      <c r="G22" s="48" t="n">
        <v>500</v>
      </c>
      <c r="H22" s="49" t="inlineStr">
        <is>
          <t>Salários, Comissões e Encargos</t>
        </is>
      </c>
      <c r="I22" s="45" t="inlineStr">
        <is>
          <t>Livro Caixa: Pagamento à vista: 1 PARCELA FERIAS DANIEL (Doc. 1) · Daniel Barbosa dos Santos</t>
        </is>
      </c>
    </row>
    <row r="23">
      <c r="A23" s="17" t="n">
        <v>46146</v>
      </c>
      <c r="B23" s="18" t="inlineStr">
        <is>
          <t>Eversoft Ind e Com de Plasticos Ltda</t>
        </is>
      </c>
      <c r="C23" s="18" t="n"/>
      <c r="D23" s="27" t="n"/>
      <c r="E23" s="18" t="n"/>
      <c r="F23" s="19" t="n"/>
      <c r="G23" s="19" t="n">
        <v>878.92</v>
      </c>
      <c r="H23" s="21" t="inlineStr">
        <is>
          <t>Fornecedores / Mercadoria</t>
        </is>
      </c>
      <c r="I23" s="18" t="inlineStr">
        <is>
          <t>NF 68349 de 24/10/2025 · parcela 5/5 (venc. 23/03/2026) · compra total R$ 4.394,61: 100x Refil Everest · Livro Caixa</t>
        </is>
      </c>
      <c r="J23" s="18" t="n"/>
    </row>
    <row r="24">
      <c r="A24" s="44" t="n">
        <v>46146</v>
      </c>
      <c r="B24" s="45" t="inlineStr">
        <is>
          <t>Everest Refrigeracao e Industria</t>
        </is>
      </c>
      <c r="C24" s="45" t="n"/>
      <c r="D24" s="46" t="n"/>
      <c r="E24" s="45" t="n"/>
      <c r="F24" s="47" t="n"/>
      <c r="G24" s="48" t="n">
        <v>546.76</v>
      </c>
      <c r="H24" s="49" t="inlineStr">
        <is>
          <t>Fornecedores / Mercadoria</t>
        </is>
      </c>
      <c r="I24" s="45" t="inlineStr">
        <is>
          <t>NF 360351 de 25/09/2025 · parcela 5/5 (venc. 22/02/2026) · compra total R$ 2.733,82: Purificador Everest Fit Branco + Purificador Everest Fit Prata + Purificador Everest Slim Prata + Purificador Everest Star Branco · Livro Caixa</t>
        </is>
      </c>
    </row>
    <row r="25">
      <c r="A25" s="17" t="n">
        <v>46146</v>
      </c>
      <c r="B25" s="18" t="inlineStr">
        <is>
          <t>Eversoft Ind e Com de Plasticos Ltda</t>
        </is>
      </c>
      <c r="C25" s="18" t="n"/>
      <c r="D25" s="27" t="n"/>
      <c r="E25" s="18" t="n"/>
      <c r="F25" s="19" t="n"/>
      <c r="G25" s="19" t="n">
        <v>878.92</v>
      </c>
      <c r="H25" s="21" t="inlineStr">
        <is>
          <t>Fornecedores / Mercadoria</t>
        </is>
      </c>
      <c r="I25" s="18" t="inlineStr">
        <is>
          <t>NF 69886 de 30/12/2025 · parcela 4/5 (venc. 29/04/2026) · compra total R$ 4.394,61: 100x Refil Everest · Livro Caixa</t>
        </is>
      </c>
      <c r="J25" s="18" t="n"/>
    </row>
    <row r="26">
      <c r="A26" s="44" t="n">
        <v>46146</v>
      </c>
      <c r="B26" s="45" t="inlineStr">
        <is>
          <t>Embasa Adriano</t>
        </is>
      </c>
      <c r="C26" s="45" t="n"/>
      <c r="D26" s="46" t="n"/>
      <c r="E26" s="45" t="n"/>
      <c r="F26" s="47" t="n"/>
      <c r="G26" s="48" t="n">
        <v>50.07</v>
      </c>
      <c r="H26" s="49" t="inlineStr">
        <is>
          <t>Pro Labore Edilânia</t>
        </is>
      </c>
      <c r="I26" s="45" t="inlineStr">
        <is>
          <t>Livro Caixa: Pagamento parcela EMBASA ADRIANO (Doc. 1) · Empresa Baiana de Aguas e Saneamento Sa</t>
        </is>
      </c>
    </row>
    <row r="27">
      <c r="A27" s="17" t="n">
        <v>46146</v>
      </c>
      <c r="B27" s="18" t="inlineStr">
        <is>
          <t>Filtros Planeta Agua Ind e Com Ltda</t>
        </is>
      </c>
      <c r="C27" s="18" t="n"/>
      <c r="D27" s="27" t="n"/>
      <c r="E27" s="18" t="n"/>
      <c r="F27" s="19" t="n"/>
      <c r="G27" s="19" t="n">
        <v>420.87</v>
      </c>
      <c r="H27" s="21" t="inlineStr">
        <is>
          <t>Fornecedores / Mercadoria</t>
        </is>
      </c>
      <c r="I27" s="18" t="inlineStr">
        <is>
          <t>NF 126565 de 20/01/2026 · parcela 4/4 (venc. 31/03/2026) · compra total R$ 1.771,04 (IPI R$ 87,54): 65x Refil Pro Life · Livro Caixa</t>
        </is>
      </c>
      <c r="J27" s="18" t="n"/>
    </row>
    <row r="28">
      <c r="A28" s="44" t="n">
        <v>46146</v>
      </c>
      <c r="B28" s="45" t="inlineStr">
        <is>
          <t>Eversoft Ind e Com de Plasticos Ltda</t>
        </is>
      </c>
      <c r="C28" s="45" t="n"/>
      <c r="D28" s="46" t="n"/>
      <c r="E28" s="45" t="n"/>
      <c r="F28" s="47" t="n"/>
      <c r="G28" s="48" t="n">
        <v>20.6</v>
      </c>
      <c r="H28" s="49" t="inlineStr">
        <is>
          <t>Fornecedores / Mercadoria</t>
        </is>
      </c>
      <c r="I28" s="45" t="inlineStr">
        <is>
          <t>NF 69107 de 27/11/2025 · parcela 5/5 (venc. 26/04/2026) · compra total R$ 4.904,13: 100x Refil Everest + 50x Pré Filtro · Livro Caixa</t>
        </is>
      </c>
    </row>
    <row r="29" ht="15.75" customHeight="1" s="157">
      <c r="A29" s="17" t="n">
        <v>46146</v>
      </c>
      <c r="B29" s="18" t="inlineStr">
        <is>
          <t>Conta de Energia Loja</t>
        </is>
      </c>
      <c r="C29" s="18" t="n"/>
      <c r="D29" s="27" t="n"/>
      <c r="E29" s="18" t="n"/>
      <c r="F29" s="19" t="n"/>
      <c r="G29" s="19" t="n">
        <v>148.15</v>
      </c>
      <c r="H29" s="21" t="inlineStr">
        <is>
          <t>Água, Energia e Internet</t>
        </is>
      </c>
      <c r="I29" s="18" t="inlineStr">
        <is>
          <t>Livro Caixa: Pagamento parcela CONTA DE ENERGIA LOJA (Doc. 1) · Companhia de Eletricidade do Estado da Bahia Coelba</t>
        </is>
      </c>
      <c r="J29" s="18" t="n"/>
    </row>
    <row r="30">
      <c r="A30" s="44" t="n">
        <v>46146</v>
      </c>
      <c r="B30" s="45" t="inlineStr">
        <is>
          <t>Everest Refrigeracao e Industria</t>
        </is>
      </c>
      <c r="C30" s="45" t="n"/>
      <c r="D30" s="46" t="n"/>
      <c r="E30" s="45" t="n"/>
      <c r="F30" s="47" t="n"/>
      <c r="G30" s="48" t="n">
        <v>810.99</v>
      </c>
      <c r="H30" s="49" t="inlineStr">
        <is>
          <t>Fornecedores / Mercadoria</t>
        </is>
      </c>
      <c r="I30" s="45" t="inlineStr">
        <is>
          <t>NF 368012 de 08/01/2026 · parcela 4/5 (venc. 08/05/2026) · compra total R$ 4.054,97: Purificador Everest Fit Branco + 2x Purificador Everest Slim Branco + Purificador Everest Slim Preto + 2x Purificador Everest Star Branco · Livro Caixa</t>
        </is>
      </c>
    </row>
    <row r="31">
      <c r="A31" s="17" t="n">
        <v>46146</v>
      </c>
      <c r="B31" s="18" t="inlineStr">
        <is>
          <t>Everest Refrigeracao e Industria</t>
        </is>
      </c>
      <c r="C31" s="18" t="n"/>
      <c r="D31" s="27" t="n"/>
      <c r="E31" s="18" t="n"/>
      <c r="F31" s="19" t="n"/>
      <c r="G31" s="19" t="n">
        <v>841.0599999999999</v>
      </c>
      <c r="H31" s="21" t="inlineStr">
        <is>
          <t>Fornecedores / Mercadoria</t>
        </is>
      </c>
      <c r="I31" s="18" t="inlineStr">
        <is>
          <t>NF 366264 de 11/12/2025 · parcela 5/5 (venc. 10/05/2026) · compra total R$ 4.205,29: Purificador Everest Slim Branco + Purificador Everest Slim Prata + 2x Purificador Everest Star Branco + Purificador Everest Star Prata + Purificador Everest Plus Prata · Livro Caixa</t>
        </is>
      </c>
      <c r="J31" s="18" t="n"/>
    </row>
    <row r="32">
      <c r="A32" s="44" t="n">
        <v>46146</v>
      </c>
      <c r="B32" s="45" t="inlineStr">
        <is>
          <t>Everest Refrigeracao e Industria</t>
        </is>
      </c>
      <c r="C32" s="45" t="n"/>
      <c r="D32" s="46" t="n"/>
      <c r="E32" s="45" t="n"/>
      <c r="F32" s="47" t="n"/>
      <c r="G32" s="48" t="n">
        <v>725.48</v>
      </c>
      <c r="H32" s="49" t="inlineStr">
        <is>
          <t>Fornecedores / Mercadoria</t>
        </is>
      </c>
      <c r="I32" s="45" t="inlineStr">
        <is>
          <t>NF 372597 de 11/03/2026 · parcela 2/5 (venc. 10/05/2026) · compra total R$ 3.627,42: 2x Purificador Everest Plus Branco + Purificador Everest Fit Preto + Purificador Everest Slim Preto + Purificador Everest Star Preto · Livro Caixa</t>
        </is>
      </c>
    </row>
    <row r="33">
      <c r="A33" s="17" t="n">
        <v>46147</v>
      </c>
      <c r="B33" s="18" t="inlineStr">
        <is>
          <t>Lapec Lab - Laboratorio de Analises e Pesquisas Clinicas Ltd</t>
        </is>
      </c>
      <c r="C33" s="18" t="inlineStr">
        <is>
          <t>Refil Everest</t>
        </is>
      </c>
      <c r="D33" s="27" t="n">
        <v>120</v>
      </c>
      <c r="E33" s="18" t="inlineStr">
        <is>
          <t>Dinheiro</t>
        </is>
      </c>
      <c r="F33" s="19" t="n"/>
      <c r="G33" s="19" t="n"/>
      <c r="H33" s="21" t="n"/>
      <c r="I33" s="18" t="inlineStr">
        <is>
          <t>NF-e 4183</t>
        </is>
      </c>
      <c r="J33" s="18" t="n"/>
    </row>
    <row r="34">
      <c r="A34" s="44" t="n">
        <v>46147</v>
      </c>
      <c r="B34" s="45" t="inlineStr">
        <is>
          <t>Consumidor Final</t>
        </is>
      </c>
      <c r="C34" s="45" t="inlineStr">
        <is>
          <t>Refil FP1/FP2/FP5/FP8</t>
        </is>
      </c>
      <c r="D34" s="46" t="n">
        <v>75</v>
      </c>
      <c r="E34" s="45" t="inlineStr">
        <is>
          <t>Crédito Parcelado</t>
        </is>
      </c>
      <c r="F34" s="47" t="n"/>
      <c r="G34" s="48" t="n"/>
      <c r="H34" s="49" t="n"/>
      <c r="I34" s="45" t="inlineStr">
        <is>
          <t>NFC-e 9034</t>
        </is>
      </c>
    </row>
    <row r="35">
      <c r="A35" s="17" t="n">
        <v>46148</v>
      </c>
      <c r="B35" s="18" t="inlineStr">
        <is>
          <t>Marinalva Souza Nascimento</t>
        </is>
      </c>
      <c r="C35" s="18" t="inlineStr">
        <is>
          <t>Refil Everest + Mangueira (1 m)</t>
        </is>
      </c>
      <c r="D35" s="27" t="n">
        <v>150</v>
      </c>
      <c r="E35" s="18" t="inlineStr">
        <is>
          <t>Crédito Parcelado</t>
        </is>
      </c>
      <c r="F35" s="19" t="n"/>
      <c r="G35" s="19" t="n"/>
      <c r="H35" s="21" t="n"/>
      <c r="I35" s="18" t="inlineStr">
        <is>
          <t>NFC-e 9035</t>
        </is>
      </c>
      <c r="J35" s="18" t="n"/>
    </row>
    <row r="36">
      <c r="A36" s="44" t="n">
        <v>46148</v>
      </c>
      <c r="B36" s="45" t="inlineStr">
        <is>
          <t>Valdice de Jesus Silva Costa</t>
        </is>
      </c>
      <c r="C36" s="45" t="inlineStr">
        <is>
          <t>Refil Everest</t>
        </is>
      </c>
      <c r="D36" s="46" t="n">
        <v>130</v>
      </c>
      <c r="E36" s="45" t="inlineStr">
        <is>
          <t>Dinheiro</t>
        </is>
      </c>
      <c r="F36" s="47" t="n"/>
      <c r="G36" s="48" t="n"/>
      <c r="H36" s="49" t="n"/>
      <c r="I36" s="45" t="inlineStr">
        <is>
          <t>NFC-e 9036</t>
        </is>
      </c>
    </row>
    <row r="37">
      <c r="A37" s="17" t="n">
        <v>46148</v>
      </c>
      <c r="B37" s="18" t="inlineStr">
        <is>
          <t>Valdeci Souza Silva</t>
        </is>
      </c>
      <c r="C37" s="18" t="inlineStr">
        <is>
          <t>(Mesma venda — parcela seguinte, sem produtos novos)</t>
        </is>
      </c>
      <c r="D37" s="27" t="n">
        <v>70</v>
      </c>
      <c r="E37" s="18" t="n"/>
      <c r="F37" s="19" t="n"/>
      <c r="G37" s="19" t="n"/>
      <c r="H37" s="21" t="n"/>
      <c r="I37" s="18" t="inlineStr">
        <is>
          <t>NFC-e 8970 · venda de 07/04/2026, total R$ 140,00 — parcela 2 · nota faturada a prazo (forma de recebimento não consta na nota)</t>
        </is>
      </c>
      <c r="J37" s="18" t="inlineStr">
        <is>
          <t>CLI-0779</t>
        </is>
      </c>
    </row>
    <row r="38">
      <c r="A38" s="44" t="n">
        <v>46148</v>
      </c>
      <c r="B38" s="45" t="inlineStr">
        <is>
          <t>Consumidor Final</t>
        </is>
      </c>
      <c r="C38" s="45" t="inlineStr">
        <is>
          <t>Refil Universal</t>
        </is>
      </c>
      <c r="D38" s="46" t="n">
        <v>30</v>
      </c>
      <c r="E38" s="45" t="inlineStr">
        <is>
          <t>Pix</t>
        </is>
      </c>
      <c r="F38" s="47" t="n"/>
      <c r="G38" s="48" t="n"/>
      <c r="H38" s="49" t="n"/>
      <c r="I38" s="45" t="inlineStr">
        <is>
          <t>NFC-e 9037</t>
        </is>
      </c>
    </row>
    <row r="39" ht="15.75" customHeight="1" s="157">
      <c r="A39" s="17" t="n">
        <v>46148</v>
      </c>
      <c r="B39" s="18" t="inlineStr">
        <is>
          <t>Filtros Planeta Agua Ind e Com Ltda</t>
        </is>
      </c>
      <c r="C39" s="18" t="n"/>
      <c r="D39" s="27" t="n"/>
      <c r="E39" s="18" t="n"/>
      <c r="F39" s="19" t="n"/>
      <c r="G39" s="19" t="n">
        <v>504.43</v>
      </c>
      <c r="H39" s="21" t="inlineStr">
        <is>
          <t>Fornecedores / Mercadoria</t>
        </is>
      </c>
      <c r="I39" s="18" t="inlineStr">
        <is>
          <t>NF 128882 de 23/03/2026 · parcela 2/4 (venc. 04/05/2026) · compra total R$ 2.113,93 (IPI R$ 96,20): 25x Refil Pro Life + 2x Refil Top Color + 10x Refil Carbon Tech 9.3/4 Pol + 15x Refil Poli Flu Plissado 9.3/4 + 20x Refil E3 + 3x Carcaca Fit 9.3/4 Pol Branca + 15x Conexão T + Mangueira · Livro Caixa</t>
        </is>
      </c>
      <c r="J39" s="18" t="n"/>
    </row>
    <row r="40">
      <c r="A40" s="44" t="n">
        <v>46149</v>
      </c>
      <c r="B40" s="45" t="inlineStr">
        <is>
          <t>Jackson Macedo de Sales</t>
        </is>
      </c>
      <c r="C40" s="45" t="inlineStr">
        <is>
          <t>3x Refil Carbon Tech 9"</t>
        </is>
      </c>
      <c r="D40" s="46" t="n">
        <v>180</v>
      </c>
      <c r="E40" s="45" t="inlineStr">
        <is>
          <t>Pix</t>
        </is>
      </c>
      <c r="F40" s="47" t="n"/>
      <c r="G40" s="48" t="n"/>
      <c r="H40" s="49" t="n"/>
      <c r="I40" s="45" t="inlineStr">
        <is>
          <t>NF-e 4184</t>
        </is>
      </c>
    </row>
    <row r="41">
      <c r="A41" s="17" t="n">
        <v>46149</v>
      </c>
      <c r="B41" s="18" t="inlineStr">
        <is>
          <t>Anderson da Conceicao Gomes</t>
        </is>
      </c>
      <c r="C41" s="18" t="inlineStr">
        <is>
          <t>Refil Everest</t>
        </is>
      </c>
      <c r="D41" s="27" t="n">
        <v>140</v>
      </c>
      <c r="E41" s="18" t="inlineStr">
        <is>
          <t>Crédito Parcelado</t>
        </is>
      </c>
      <c r="F41" s="19" t="n"/>
      <c r="G41" s="19" t="n"/>
      <c r="H41" s="21" t="n"/>
      <c r="I41" s="18" t="inlineStr">
        <is>
          <t>NFC-e 9038</t>
        </is>
      </c>
      <c r="J41" s="18" t="n"/>
    </row>
    <row r="42" ht="15.75" customHeight="1" s="157">
      <c r="A42" s="44" t="n">
        <v>46150</v>
      </c>
      <c r="B42" s="45" t="inlineStr">
        <is>
          <t>Vinicius Oliveira Lima</t>
        </is>
      </c>
      <c r="C42" s="45" t="inlineStr">
        <is>
          <t>Purificador Everest Star Preto</t>
        </is>
      </c>
      <c r="D42" s="46" t="n">
        <v>1448</v>
      </c>
      <c r="E42" s="45" t="inlineStr">
        <is>
          <t>Dinheiro</t>
        </is>
      </c>
      <c r="F42" s="47" t="n"/>
      <c r="G42" s="48" t="n"/>
      <c r="H42" s="49" t="n"/>
      <c r="I42" s="45" t="inlineStr">
        <is>
          <t>NF-e 4185</t>
        </is>
      </c>
      <c r="J42" t="inlineStr">
        <is>
          <t>CLI-0817</t>
        </is>
      </c>
    </row>
    <row r="43">
      <c r="A43" s="17" t="n">
        <v>46150</v>
      </c>
      <c r="B43" s="18" t="inlineStr">
        <is>
          <t>Paulo Marques Figueiredo - Neusa</t>
        </is>
      </c>
      <c r="C43" s="18" t="inlineStr">
        <is>
          <t>Refil Everest</t>
        </is>
      </c>
      <c r="D43" s="27" t="n">
        <v>140</v>
      </c>
      <c r="E43" s="18" t="inlineStr">
        <is>
          <t>Crédito Parcelado</t>
        </is>
      </c>
      <c r="F43" s="19" t="n"/>
      <c r="G43" s="19" t="n"/>
      <c r="H43" s="21" t="n"/>
      <c r="I43" s="18" t="inlineStr">
        <is>
          <t>NFC-e 9039</t>
        </is>
      </c>
      <c r="J43" s="18" t="n"/>
    </row>
    <row r="44">
      <c r="A44" s="44" t="n">
        <v>46150</v>
      </c>
      <c r="B44" s="45" t="inlineStr">
        <is>
          <t>Consumidor Final</t>
        </is>
      </c>
      <c r="C44" s="45" t="inlineStr">
        <is>
          <t>Torneira Acqua Azzurra Toc Branca Saq</t>
        </is>
      </c>
      <c r="D44" s="46" t="n">
        <v>16</v>
      </c>
      <c r="E44" s="45" t="inlineStr">
        <is>
          <t>Dinheiro</t>
        </is>
      </c>
      <c r="F44" s="47" t="n"/>
      <c r="G44" s="48" t="n"/>
      <c r="H44" s="49" t="n"/>
      <c r="I44" s="45" t="inlineStr">
        <is>
          <t>NFC-e 9040</t>
        </is>
      </c>
    </row>
    <row r="45">
      <c r="A45" s="17" t="n">
        <v>46150</v>
      </c>
      <c r="B45" s="18" t="inlineStr">
        <is>
          <t>Glecia da Silva Lopes Vieira</t>
        </is>
      </c>
      <c r="C45" s="18" t="inlineStr">
        <is>
          <t>Refil Everest</t>
        </is>
      </c>
      <c r="D45" s="27" t="n">
        <v>140</v>
      </c>
      <c r="E45" s="18" t="inlineStr">
        <is>
          <t>Crédito Parcelado</t>
        </is>
      </c>
      <c r="F45" s="19" t="n"/>
      <c r="G45" s="19" t="n"/>
      <c r="H45" s="21" t="n"/>
      <c r="I45" s="18" t="inlineStr">
        <is>
          <t>NFC-e 9041</t>
        </is>
      </c>
      <c r="J45" s="18" t="n"/>
    </row>
    <row r="46">
      <c r="A46" s="44" t="n">
        <v>46150</v>
      </c>
      <c r="B46" s="45" t="inlineStr">
        <is>
          <t>Edna da Silva Souza - Casa no Sitio</t>
        </is>
      </c>
      <c r="C46" s="45" t="inlineStr">
        <is>
          <t>Refil Everest</t>
        </is>
      </c>
      <c r="D46" s="46" t="n">
        <v>135</v>
      </c>
      <c r="E46" s="45" t="inlineStr">
        <is>
          <t>Pix</t>
        </is>
      </c>
      <c r="F46" s="47" t="n"/>
      <c r="G46" s="48" t="n"/>
      <c r="H46" s="49" t="n"/>
      <c r="I46" s="45" t="inlineStr">
        <is>
          <t>NFC-e 9042</t>
        </is>
      </c>
      <c r="J46" t="inlineStr">
        <is>
          <t>CLI-0248</t>
        </is>
      </c>
    </row>
    <row r="47">
      <c r="A47" s="17" t="n">
        <v>46150</v>
      </c>
      <c r="B47" s="18" t="inlineStr">
        <is>
          <t>Marsilia Marmores e Granitos Erelli</t>
        </is>
      </c>
      <c r="C47" s="18" t="inlineStr">
        <is>
          <t>Refil Pro Life + Refil IBBL C+3</t>
        </is>
      </c>
      <c r="D47" s="27" t="n">
        <v>275</v>
      </c>
      <c r="E47" s="18" t="inlineStr">
        <is>
          <t>Pix</t>
        </is>
      </c>
      <c r="F47" s="19" t="n"/>
      <c r="G47" s="19" t="n"/>
      <c r="H47" s="21" t="n"/>
      <c r="I47" s="18" t="inlineStr">
        <is>
          <t>NF-e 4186</t>
        </is>
      </c>
      <c r="J47" s="18" t="inlineStr">
        <is>
          <t>EMP-0216</t>
        </is>
      </c>
    </row>
    <row r="48" ht="15.75" customHeight="1" s="157">
      <c r="A48" s="44" t="n">
        <v>46150</v>
      </c>
      <c r="B48" s="45" t="inlineStr">
        <is>
          <t>Everest Refrigeracao e Industria</t>
        </is>
      </c>
      <c r="C48" s="45" t="n"/>
      <c r="D48" s="46" t="n"/>
      <c r="E48" s="45" t="n"/>
      <c r="F48" s="47" t="n"/>
      <c r="G48" s="48" t="n">
        <v>810.99</v>
      </c>
      <c r="H48" s="49" t="inlineStr">
        <is>
          <t>Fornecedores / Mercadoria</t>
        </is>
      </c>
      <c r="I48" s="45" t="inlineStr">
        <is>
          <t>NF 368012 de 08/01/2026 · parcela 4/5 (venc. 08/05/2026) · compra total R$ 4.054,97: Purificador Everest Fit Branco + 2x Purificador Everest Slim Branco + Purificador Everest Slim Preto + 2x Purificador Everest Star Branco · Livro Caixa</t>
        </is>
      </c>
    </row>
    <row r="49">
      <c r="A49" s="17" t="n">
        <v>46151</v>
      </c>
      <c r="B49" s="18" t="inlineStr">
        <is>
          <t>Consumidor Final</t>
        </is>
      </c>
      <c r="C49" s="18" t="inlineStr">
        <is>
          <t>Vela Filtro de Barro</t>
        </is>
      </c>
      <c r="D49" s="27" t="n">
        <v>5</v>
      </c>
      <c r="E49" s="18" t="inlineStr">
        <is>
          <t>Dinheiro</t>
        </is>
      </c>
      <c r="F49" s="19" t="n"/>
      <c r="G49" s="19" t="n"/>
      <c r="H49" s="21" t="n"/>
      <c r="I49" s="18" t="inlineStr">
        <is>
          <t>NFC-e 9043</t>
        </is>
      </c>
      <c r="J49" s="18" t="n"/>
    </row>
    <row r="50">
      <c r="A50" s="44" t="n">
        <v>46153</v>
      </c>
      <c r="B50" s="45" t="inlineStr">
        <is>
          <t>Marineuza Pinho Ramos Barbosa</t>
        </is>
      </c>
      <c r="C50" s="45" t="inlineStr">
        <is>
          <t>Refil Everest</t>
        </is>
      </c>
      <c r="D50" s="46" t="n">
        <v>135</v>
      </c>
      <c r="E50" s="45" t="inlineStr">
        <is>
          <t>Pix</t>
        </is>
      </c>
      <c r="F50" s="47" t="n"/>
      <c r="G50" s="48" t="n"/>
      <c r="H50" s="49" t="n"/>
      <c r="I50" s="45" t="inlineStr">
        <is>
          <t>NFC-e 9044</t>
        </is>
      </c>
      <c r="J50" t="inlineStr">
        <is>
          <t>CLI-0819</t>
        </is>
      </c>
    </row>
    <row r="51">
      <c r="A51" s="17" t="n">
        <v>46153</v>
      </c>
      <c r="B51" s="18" t="inlineStr">
        <is>
          <t>Danilo Carvalho Alves</t>
        </is>
      </c>
      <c r="C51" s="18" t="inlineStr">
        <is>
          <t>Refil Everest</t>
        </is>
      </c>
      <c r="D51" s="27" t="n">
        <v>135</v>
      </c>
      <c r="E51" s="18" t="inlineStr">
        <is>
          <t>Pix</t>
        </is>
      </c>
      <c r="F51" s="19" t="n"/>
      <c r="G51" s="19" t="n"/>
      <c r="H51" s="21" t="n"/>
      <c r="I51" s="18" t="inlineStr">
        <is>
          <t>NFC-e 9045</t>
        </is>
      </c>
      <c r="J51" s="18" t="inlineStr">
        <is>
          <t>CLI-0814</t>
        </is>
      </c>
    </row>
    <row r="52">
      <c r="A52" s="44" t="n">
        <v>46154</v>
      </c>
      <c r="B52" s="45" t="inlineStr">
        <is>
          <t>Consumidor Final</t>
        </is>
      </c>
      <c r="C52" s="45" t="n"/>
      <c r="D52" s="46" t="n">
        <v>75</v>
      </c>
      <c r="E52" s="45" t="n"/>
      <c r="F52" s="47" t="n"/>
      <c r="G52" s="48" t="n"/>
      <c r="H52" s="49" t="n"/>
      <c r="I52" s="45" t="inlineStr">
        <is>
          <t>Livro Caixa: Recebimento à vista Gerado pelo sistema (Doc. 9046)</t>
        </is>
      </c>
    </row>
    <row r="53" ht="15.75" customHeight="1" s="157">
      <c r="A53" s="17" t="n">
        <v>46154</v>
      </c>
      <c r="B53" s="18" t="inlineStr">
        <is>
          <t>Cbv Construtora Ltda</t>
        </is>
      </c>
      <c r="C53" s="18" t="inlineStr">
        <is>
          <t>Refil PA 230</t>
        </is>
      </c>
      <c r="D53" s="27" t="n">
        <v>75</v>
      </c>
      <c r="E53" s="18" t="inlineStr">
        <is>
          <t>Pix</t>
        </is>
      </c>
      <c r="F53" s="19" t="n"/>
      <c r="G53" s="19" t="n"/>
      <c r="H53" s="21" t="n"/>
      <c r="I53" s="18" t="inlineStr">
        <is>
          <t>NF-e 4188</t>
        </is>
      </c>
      <c r="J53" s="18" t="n"/>
    </row>
    <row r="54">
      <c r="A54" s="44" t="n">
        <v>46154</v>
      </c>
      <c r="B54" s="45" t="inlineStr">
        <is>
          <t>Consumidor Final</t>
        </is>
      </c>
      <c r="C54" s="45" t="inlineStr">
        <is>
          <t>Refil Carbon Tech 5"</t>
        </is>
      </c>
      <c r="D54" s="46" t="n">
        <v>55</v>
      </c>
      <c r="E54" s="45" t="inlineStr">
        <is>
          <t>Pix</t>
        </is>
      </c>
      <c r="F54" s="47" t="n"/>
      <c r="G54" s="48" t="n"/>
      <c r="H54" s="49" t="n"/>
      <c r="I54" s="45" t="inlineStr">
        <is>
          <t>NFC-e 9047</t>
        </is>
      </c>
    </row>
    <row r="55">
      <c r="A55" s="17" t="n">
        <v>46154</v>
      </c>
      <c r="B55" s="18" t="inlineStr">
        <is>
          <t>Julio Cesar Vilas Boas Santos - Adriadne Me</t>
        </is>
      </c>
      <c r="C55" s="18" t="inlineStr">
        <is>
          <t>Refil Everest</t>
        </is>
      </c>
      <c r="D55" s="27" t="n">
        <v>140</v>
      </c>
      <c r="E55" s="18" t="inlineStr">
        <is>
          <t>Pix</t>
        </is>
      </c>
      <c r="F55" s="19" t="n"/>
      <c r="G55" s="19" t="n"/>
      <c r="H55" s="21" t="n"/>
      <c r="I55" s="18" t="inlineStr">
        <is>
          <t>NFC-e 9048</t>
        </is>
      </c>
      <c r="J55" s="18" t="inlineStr">
        <is>
          <t>CLI-0820</t>
        </is>
      </c>
    </row>
    <row r="56">
      <c r="A56" s="44" t="n">
        <v>46154</v>
      </c>
      <c r="B56" s="45" t="inlineStr">
        <is>
          <t>Consumidor Final</t>
        </is>
      </c>
      <c r="C56" s="45" t="inlineStr">
        <is>
          <t>Mangueira (2 m)</t>
        </is>
      </c>
      <c r="D56" s="46" t="n">
        <v>20</v>
      </c>
      <c r="E56" s="45" t="inlineStr">
        <is>
          <t>Crédito Parcelado</t>
        </is>
      </c>
      <c r="F56" s="47" t="n"/>
      <c r="G56" s="48" t="n"/>
      <c r="H56" s="49" t="n"/>
      <c r="I56" s="45" t="inlineStr">
        <is>
          <t>NFC-e 9049</t>
        </is>
      </c>
    </row>
    <row r="57">
      <c r="A57" s="17" t="n">
        <v>46154</v>
      </c>
      <c r="B57" s="18" t="inlineStr">
        <is>
          <t>Consumidor Final</t>
        </is>
      </c>
      <c r="C57" s="18" t="inlineStr">
        <is>
          <t>Mangueira (2 m)</t>
        </is>
      </c>
      <c r="D57" s="27" t="n">
        <v>25</v>
      </c>
      <c r="E57" s="18" t="inlineStr">
        <is>
          <t>Pix</t>
        </is>
      </c>
      <c r="F57" s="19" t="n"/>
      <c r="G57" s="19" t="n"/>
      <c r="H57" s="21" t="n"/>
      <c r="I57" s="18" t="inlineStr">
        <is>
          <t>NFC-e 9050</t>
        </is>
      </c>
      <c r="J57" s="18" t="n"/>
    </row>
    <row r="58">
      <c r="A58" s="44" t="n">
        <v>46154</v>
      </c>
      <c r="B58" s="45" t="inlineStr">
        <is>
          <t>Celcina Barbosa Miranda</t>
        </is>
      </c>
      <c r="C58" s="45" t="inlineStr">
        <is>
          <t>Refil Pro Life</t>
        </is>
      </c>
      <c r="D58" s="46" t="n">
        <v>140</v>
      </c>
      <c r="E58" s="45" t="inlineStr">
        <is>
          <t>Dinheiro</t>
        </is>
      </c>
      <c r="F58" s="47" t="n"/>
      <c r="G58" s="48" t="n"/>
      <c r="H58" s="49" t="n"/>
      <c r="I58" s="45" t="inlineStr">
        <is>
          <t>NFC-e 9051</t>
        </is>
      </c>
      <c r="J58" t="inlineStr">
        <is>
          <t>CLI-0821</t>
        </is>
      </c>
    </row>
    <row r="59">
      <c r="A59" s="17" t="n">
        <v>46154</v>
      </c>
      <c r="B59" s="18" t="inlineStr">
        <is>
          <t>Consumidor Final</t>
        </is>
      </c>
      <c r="C59" s="18" t="inlineStr">
        <is>
          <t>Torneira Acqua Azzurra Toc Branca/Azul Saq</t>
        </is>
      </c>
      <c r="D59" s="27" t="n">
        <v>15</v>
      </c>
      <c r="E59" s="18" t="inlineStr">
        <is>
          <t>Dinheiro</t>
        </is>
      </c>
      <c r="F59" s="19" t="n"/>
      <c r="G59" s="19" t="n"/>
      <c r="H59" s="21" t="n"/>
      <c r="I59" s="18" t="inlineStr">
        <is>
          <t>NFC-e 9052</t>
        </is>
      </c>
      <c r="J59" s="18" t="n"/>
    </row>
    <row r="60">
      <c r="A60" s="44" t="n">
        <v>46154</v>
      </c>
      <c r="B60" s="45" t="inlineStr">
        <is>
          <t>Estorno de recebimento — Cliente Consumidor</t>
        </is>
      </c>
      <c r="C60" s="45" t="n"/>
      <c r="D60" s="46" t="n"/>
      <c r="E60" s="45" t="n"/>
      <c r="F60" s="47" t="n"/>
      <c r="G60" s="48" t="n">
        <v>75</v>
      </c>
      <c r="H60" s="49" t="inlineStr">
        <is>
          <t>Estornos de Vendas (Cancelamentos)</t>
        </is>
      </c>
      <c r="I60" s="45" t="inlineStr">
        <is>
          <t>Livro Caixa: Estorno de recebimento do documento: Gerado pelo sistema (Doc. 904)</t>
        </is>
      </c>
    </row>
    <row r="61">
      <c r="A61" s="17" t="n">
        <v>46155</v>
      </c>
      <c r="B61" s="18" t="inlineStr">
        <is>
          <t>Jose Ismaildo de Brito</t>
        </is>
      </c>
      <c r="C61" s="18" t="inlineStr">
        <is>
          <t>Purificador Everest Star Branco</t>
        </is>
      </c>
      <c r="D61" s="27" t="n">
        <v>1230</v>
      </c>
      <c r="E61" s="18" t="inlineStr">
        <is>
          <t>Dinheiro</t>
        </is>
      </c>
      <c r="F61" s="19" t="n"/>
      <c r="G61" s="19" t="n"/>
      <c r="H61" s="21" t="n"/>
      <c r="I61" s="18" t="inlineStr">
        <is>
          <t>NF-e 4190</t>
        </is>
      </c>
      <c r="J61" s="18" t="n"/>
    </row>
    <row r="62">
      <c r="A62" s="44" t="n">
        <v>46155</v>
      </c>
      <c r="B62" s="45" t="inlineStr">
        <is>
          <t>Juscineide Santos Silva Cruz</t>
        </is>
      </c>
      <c r="C62" s="45" t="inlineStr">
        <is>
          <t>Refil Everest</t>
        </is>
      </c>
      <c r="D62" s="46" t="n">
        <v>140</v>
      </c>
      <c r="E62" s="45" t="inlineStr">
        <is>
          <t>Crédito Parcelado</t>
        </is>
      </c>
      <c r="F62" s="47" t="n"/>
      <c r="G62" s="48" t="n"/>
      <c r="H62" s="49" t="n"/>
      <c r="I62" s="45" t="inlineStr">
        <is>
          <t>NFC-e 9053</t>
        </is>
      </c>
    </row>
    <row r="63" ht="15.75" customHeight="1" s="157">
      <c r="A63" s="17" t="n">
        <v>46155</v>
      </c>
      <c r="B63" s="18" t="inlineStr">
        <is>
          <t>Servico Nacional de Aprendizagem Industrial</t>
        </is>
      </c>
      <c r="C63" s="18" t="inlineStr">
        <is>
          <t>Refil Plissado</t>
        </is>
      </c>
      <c r="D63" s="27" t="n">
        <v>80</v>
      </c>
      <c r="E63" s="18" t="inlineStr">
        <is>
          <t>Dinheiro</t>
        </is>
      </c>
      <c r="F63" s="19" t="n"/>
      <c r="G63" s="19" t="n"/>
      <c r="H63" s="21" t="n"/>
      <c r="I63" s="18" t="inlineStr">
        <is>
          <t>NF-e 4193</t>
        </is>
      </c>
      <c r="J63" s="18" t="n"/>
    </row>
    <row r="64">
      <c r="A64" s="44" t="n">
        <v>46155</v>
      </c>
      <c r="B64" s="45" t="inlineStr">
        <is>
          <t>Igreja Batista Filadelfia</t>
        </is>
      </c>
      <c r="C64" s="45" t="inlineStr">
        <is>
          <t>Refil Everest + Suporte</t>
        </is>
      </c>
      <c r="D64" s="46" t="n">
        <v>180</v>
      </c>
      <c r="E64" s="45" t="n"/>
      <c r="F64" s="47" t="n"/>
      <c r="G64" s="48" t="n"/>
      <c r="H64" s="49" t="n"/>
      <c r="I64" s="45" t="inlineStr">
        <is>
          <t>NF-e 4192. Recebimento não constava no Livro Caixa; conferido e baixado no DigiSat em 28/09/2026.</t>
        </is>
      </c>
    </row>
    <row r="65">
      <c r="A65" s="17" t="n">
        <v>46156</v>
      </c>
      <c r="B65" s="18" t="inlineStr">
        <is>
          <t>Consumidor Final</t>
        </is>
      </c>
      <c r="C65" s="18" t="inlineStr">
        <is>
          <t>Refil FPA14</t>
        </is>
      </c>
      <c r="D65" s="27" t="n">
        <v>100</v>
      </c>
      <c r="E65" s="18" t="inlineStr">
        <is>
          <t>Pix</t>
        </is>
      </c>
      <c r="F65" s="19" t="n"/>
      <c r="G65" s="19" t="n"/>
      <c r="H65" s="21" t="n"/>
      <c r="I65" s="18" t="inlineStr">
        <is>
          <t>NFC-e 9054</t>
        </is>
      </c>
      <c r="J65" s="18" t="n"/>
    </row>
    <row r="66">
      <c r="A66" s="44" t="n">
        <v>46156</v>
      </c>
      <c r="B66" s="45" t="inlineStr">
        <is>
          <t>Marta Souza Cunha</t>
        </is>
      </c>
      <c r="C66" s="45" t="inlineStr">
        <is>
          <t>Refil Everest</t>
        </is>
      </c>
      <c r="D66" s="46" t="n">
        <v>140</v>
      </c>
      <c r="E66" s="45" t="inlineStr">
        <is>
          <t>Crédito Parcelado</t>
        </is>
      </c>
      <c r="F66" s="47" t="n"/>
      <c r="G66" s="48" t="n"/>
      <c r="H66" s="49" t="n"/>
      <c r="I66" s="45" t="inlineStr">
        <is>
          <t>NFC-e 9055</t>
        </is>
      </c>
    </row>
    <row r="67">
      <c r="A67" s="17" t="n">
        <v>46156</v>
      </c>
      <c r="B67" s="18" t="inlineStr">
        <is>
          <t>Centro Medico de Jacobina LTDA - Clinica Santa Barbara</t>
        </is>
      </c>
      <c r="C67" s="18" t="inlineStr">
        <is>
          <t>3x Refil Everest + Refil Pro Life</t>
        </is>
      </c>
      <c r="D67" s="27" t="n">
        <v>560</v>
      </c>
      <c r="E67" s="18" t="n"/>
      <c r="F67" s="19" t="n"/>
      <c r="G67" s="19" t="n"/>
      <c r="H67" s="21" t="n"/>
      <c r="I67" s="18" t="inlineStr">
        <is>
          <t>NF-e 4189 · nota faturada a prazo (forma de recebimento não consta na nota) · venda de 12/05/2026 — pagamento recebido em 14/05/2026</t>
        </is>
      </c>
      <c r="J67" s="18" t="inlineStr">
        <is>
          <t>EMP-0063</t>
        </is>
      </c>
    </row>
    <row r="68">
      <c r="A68" s="44" t="n">
        <v>46156</v>
      </c>
      <c r="B68" s="45" t="inlineStr">
        <is>
          <t>Ages Empreendimentos Educacionais Ltda</t>
        </is>
      </c>
      <c r="C68" s="45" t="inlineStr">
        <is>
          <t>5x Refil IBBL C+3</t>
        </is>
      </c>
      <c r="D68" s="46" t="n">
        <v>450</v>
      </c>
      <c r="E68" s="45" t="inlineStr">
        <is>
          <t>Pix</t>
        </is>
      </c>
      <c r="F68" s="47" t="n"/>
      <c r="G68" s="48" t="n"/>
      <c r="H68" s="49" t="n"/>
      <c r="I68" s="45" t="inlineStr">
        <is>
          <t>NF-e 4158 · Grupo Ânima — venda de 17/04/2026, Nota Paga no portal V360 em 14/05/2026. Recebimento não constava no Livro Caixa; baixa dada no DigiSat em 28/09/2026.</t>
        </is>
      </c>
    </row>
    <row r="69">
      <c r="A69" s="17" t="n">
        <v>46156</v>
      </c>
      <c r="B69" s="18" t="inlineStr">
        <is>
          <t>Ages Educacao Ltda</t>
        </is>
      </c>
      <c r="C69" s="18" t="inlineStr">
        <is>
          <t>9x Refil Consul</t>
        </is>
      </c>
      <c r="D69" s="27" t="n">
        <v>1305</v>
      </c>
      <c r="E69" s="18" t="inlineStr">
        <is>
          <t>Pix</t>
        </is>
      </c>
      <c r="F69" s="19" t="n"/>
      <c r="G69" s="19" t="n"/>
      <c r="H69" s="21" t="n"/>
      <c r="I69" s="18" t="inlineStr">
        <is>
          <t>NF-e 4159 · Grupo Ânima — venda de 17/04/2026, Nota Paga no portal V360 em 14/05/2026. Recebimento não constava no Livro Caixa; baixa dada no DigiSat em 28/09/2026.</t>
        </is>
      </c>
      <c r="J69" s="18" t="n"/>
    </row>
    <row r="70">
      <c r="A70" s="44" t="n">
        <v>46156</v>
      </c>
      <c r="B70" s="45" t="inlineStr">
        <is>
          <t>Culligan Latam Eireli</t>
        </is>
      </c>
      <c r="C70" s="45" t="n"/>
      <c r="D70" s="46" t="n"/>
      <c r="E70" s="45" t="n"/>
      <c r="F70" s="47" t="n"/>
      <c r="G70" s="48" t="n">
        <v>240</v>
      </c>
      <c r="H70" s="49" t="inlineStr">
        <is>
          <t>Fornecedores / Mercadoria</t>
        </is>
      </c>
      <c r="I70" s="45" t="inlineStr">
        <is>
          <t>NF 138165 de 22/04/2026 · compra total R$ 240,00: 10x Filtro De Agua Natural Lacrado · Livro Caixa</t>
        </is>
      </c>
    </row>
    <row r="71">
      <c r="A71" s="17" t="n">
        <v>46157</v>
      </c>
      <c r="B71" s="18" t="inlineStr">
        <is>
          <t>Consumidor Final</t>
        </is>
      </c>
      <c r="C71" s="18" t="n"/>
      <c r="D71" s="27" t="n">
        <v>145</v>
      </c>
      <c r="E71" s="18" t="n"/>
      <c r="F71" s="19" t="n"/>
      <c r="G71" s="19" t="n"/>
      <c r="H71" s="21" t="n"/>
      <c r="I71" s="18" t="inlineStr">
        <is>
          <t>Livro Caixa: Recebimento à vista Gerado pelo sistema (Doc. 9056)</t>
        </is>
      </c>
      <c r="J71" s="18" t="n"/>
    </row>
    <row r="72">
      <c r="A72" s="44" t="n">
        <v>46157</v>
      </c>
      <c r="B72" s="45" t="inlineStr">
        <is>
          <t>Karcia Magali Ribeiro Rodrigues</t>
        </is>
      </c>
      <c r="C72" s="45" t="inlineStr">
        <is>
          <t>Refil Everest</t>
        </is>
      </c>
      <c r="D72" s="46" t="n">
        <v>145</v>
      </c>
      <c r="E72" s="45" t="inlineStr">
        <is>
          <t>Crédito Parcelado</t>
        </is>
      </c>
      <c r="F72" s="47" t="n"/>
      <c r="G72" s="48" t="n"/>
      <c r="H72" s="49" t="n"/>
      <c r="I72" s="45" t="inlineStr">
        <is>
          <t>NFC-e 9057</t>
        </is>
      </c>
    </row>
    <row r="73" ht="15.75" customHeight="1" s="157">
      <c r="A73" s="17" t="n">
        <v>46157</v>
      </c>
      <c r="B73" s="18" t="inlineStr">
        <is>
          <t>Ligia Oliveira da Luz</t>
        </is>
      </c>
      <c r="C73" s="18" t="inlineStr">
        <is>
          <t>Refil Everest</t>
        </is>
      </c>
      <c r="D73" s="27" t="n">
        <v>140</v>
      </c>
      <c r="E73" s="18" t="inlineStr">
        <is>
          <t>Crédito Parcelado</t>
        </is>
      </c>
      <c r="F73" s="19" t="n"/>
      <c r="G73" s="19" t="n"/>
      <c r="H73" s="21" t="n"/>
      <c r="I73" s="18" t="inlineStr">
        <is>
          <t>NFC-e 9058</t>
        </is>
      </c>
      <c r="J73" s="18" t="n"/>
    </row>
    <row r="74">
      <c r="A74" s="44" t="n">
        <v>46157</v>
      </c>
      <c r="B74" s="45" t="inlineStr">
        <is>
          <t>Consumidor Final</t>
        </is>
      </c>
      <c r="C74" s="45" t="inlineStr">
        <is>
          <t>Refil BAG</t>
        </is>
      </c>
      <c r="D74" s="46" t="n">
        <v>50</v>
      </c>
      <c r="E74" s="45" t="inlineStr">
        <is>
          <t>Débito</t>
        </is>
      </c>
      <c r="F74" s="47" t="n"/>
      <c r="G74" s="48" t="n"/>
      <c r="H74" s="49" t="n"/>
      <c r="I74" s="45" t="inlineStr">
        <is>
          <t>NFC-e 9059</t>
        </is>
      </c>
    </row>
    <row r="75">
      <c r="A75" s="17" t="n">
        <v>46157</v>
      </c>
      <c r="B75" s="18" t="inlineStr">
        <is>
          <t>Estorno de recebimento — Cielo S. A.</t>
        </is>
      </c>
      <c r="C75" s="18" t="n"/>
      <c r="D75" s="27" t="n"/>
      <c r="E75" s="18" t="n"/>
      <c r="F75" s="19" t="n"/>
      <c r="G75" s="19" t="n">
        <v>145</v>
      </c>
      <c r="H75" s="21" t="inlineStr">
        <is>
          <t>Estornos de Vendas (Cancelamentos)</t>
        </is>
      </c>
      <c r="I75" s="18" t="inlineStr">
        <is>
          <t>Livro Caixa: Estorno de recebimento do documento: Gerado pelo sistema (Doc. 905)</t>
        </is>
      </c>
      <c r="J75" s="18" t="n"/>
    </row>
    <row r="76">
      <c r="A76" s="44" t="n">
        <v>46158</v>
      </c>
      <c r="B76" s="45" t="inlineStr">
        <is>
          <t>Ages Educacao Ltda</t>
        </is>
      </c>
      <c r="C76" s="45" t="inlineStr">
        <is>
          <t>Carvao Ativado Mineral Po Puro Embalagem 1Kg + 2x Pré Filtro IBBL + 2x Refil IBBL C+3</t>
        </is>
      </c>
      <c r="D76" s="46" t="n">
        <v>670</v>
      </c>
      <c r="E76" s="45" t="inlineStr">
        <is>
          <t>Pix</t>
        </is>
      </c>
      <c r="F76" s="47" t="n"/>
      <c r="G76" s="48" t="n"/>
      <c r="H76" s="49" t="n"/>
      <c r="I76" s="45" t="inlineStr">
        <is>
          <t>NF-e 4147 · Grupo Ânima — venda de 11/04/2026, Nota Paga no portal V360 em 16/05/2026. Recebimento não constava no Livro Caixa; baixa dada no DigiSat em 28/09/2026.</t>
        </is>
      </c>
    </row>
    <row r="77">
      <c r="A77" s="17" t="n">
        <v>46160</v>
      </c>
      <c r="B77" s="18" t="inlineStr">
        <is>
          <t>Consumidor Final</t>
        </is>
      </c>
      <c r="C77" s="18" t="inlineStr">
        <is>
          <t>2x Refil Plissado + Refil Carbon Tech 5"</t>
        </is>
      </c>
      <c r="D77" s="27" t="n">
        <v>220</v>
      </c>
      <c r="E77" s="18" t="inlineStr">
        <is>
          <t>Crédito Parcelado</t>
        </is>
      </c>
      <c r="F77" s="19" t="n"/>
      <c r="G77" s="19" t="n"/>
      <c r="H77" s="21" t="n"/>
      <c r="I77" s="18" t="inlineStr">
        <is>
          <t>NFC-e 9060</t>
        </is>
      </c>
      <c r="J77" s="18" t="n"/>
    </row>
    <row r="78">
      <c r="A78" s="44" t="n">
        <v>46160</v>
      </c>
      <c r="B78" s="45" t="inlineStr">
        <is>
          <t>Arlindo Galdino dos Santos Junior - Floricelia</t>
        </is>
      </c>
      <c r="C78" s="45" t="inlineStr">
        <is>
          <t>Refil Pro Life</t>
        </is>
      </c>
      <c r="D78" s="46" t="n">
        <v>140</v>
      </c>
      <c r="E78" s="45" t="inlineStr">
        <is>
          <t>Dinheiro</t>
        </is>
      </c>
      <c r="F78" s="47" t="n"/>
      <c r="G78" s="48" t="n"/>
      <c r="H78" s="49" t="n"/>
      <c r="I78" s="45" t="inlineStr">
        <is>
          <t>NFC-e 9061</t>
        </is>
      </c>
      <c r="J78" t="inlineStr">
        <is>
          <t>CLI-0677</t>
        </is>
      </c>
    </row>
    <row r="79" ht="15.75" customHeight="1" s="157">
      <c r="A79" s="17" t="n">
        <v>46160</v>
      </c>
      <c r="B79" s="18" t="inlineStr">
        <is>
          <t>Maiza Cerqueira Barcelar</t>
        </is>
      </c>
      <c r="C79" s="18" t="inlineStr">
        <is>
          <t>Purificador Everest Fit Branco</t>
        </is>
      </c>
      <c r="D79" s="27" t="n">
        <v>1250</v>
      </c>
      <c r="E79" s="18" t="inlineStr">
        <is>
          <t>Dinheiro</t>
        </is>
      </c>
      <c r="F79" s="19" t="n"/>
      <c r="G79" s="19" t="n"/>
      <c r="H79" s="21" t="n"/>
      <c r="I79" s="18" t="inlineStr">
        <is>
          <t>NF-e 4194</t>
        </is>
      </c>
      <c r="J79" s="18" t="inlineStr">
        <is>
          <t>CLI-0818</t>
        </is>
      </c>
    </row>
    <row r="80">
      <c r="A80" s="44" t="n">
        <v>46161</v>
      </c>
      <c r="B80" s="45" t="inlineStr">
        <is>
          <t>Costa e Sa Advogados</t>
        </is>
      </c>
      <c r="C80" s="45" t="inlineStr">
        <is>
          <t>Refil FPA14</t>
        </is>
      </c>
      <c r="D80" s="46" t="n">
        <v>100</v>
      </c>
      <c r="E80" s="45" t="inlineStr">
        <is>
          <t>Dinheiro</t>
        </is>
      </c>
      <c r="F80" s="47" t="n"/>
      <c r="G80" s="48" t="n"/>
      <c r="H80" s="49" t="n"/>
      <c r="I80" s="45" t="inlineStr">
        <is>
          <t>NF-e 4195</t>
        </is>
      </c>
      <c r="J80" t="inlineStr">
        <is>
          <t>EMP-0316</t>
        </is>
      </c>
    </row>
    <row r="81">
      <c r="A81" s="17" t="n">
        <v>46161</v>
      </c>
      <c r="B81" s="18" t="inlineStr">
        <is>
          <t>Cleidiomar Moreira Gonzaga</t>
        </is>
      </c>
      <c r="C81" s="18" t="inlineStr">
        <is>
          <t>Refil FP1/FP2/FP5/FP8</t>
        </is>
      </c>
      <c r="D81" s="27" t="n">
        <v>150</v>
      </c>
      <c r="E81" s="18" t="inlineStr">
        <is>
          <t>Crédito Parcelado</t>
        </is>
      </c>
      <c r="F81" s="19" t="n"/>
      <c r="G81" s="19" t="n"/>
      <c r="H81" s="21" t="n"/>
      <c r="I81" s="18" t="inlineStr">
        <is>
          <t>NFC-e 9062</t>
        </is>
      </c>
      <c r="J81" s="18" t="n"/>
    </row>
    <row r="82">
      <c r="A82" s="44" t="n">
        <v>46161</v>
      </c>
      <c r="B82" s="45" t="inlineStr">
        <is>
          <t>Consumidor Final</t>
        </is>
      </c>
      <c r="C82" s="45" t="inlineStr">
        <is>
          <t>Refil Pro Life</t>
        </is>
      </c>
      <c r="D82" s="46" t="n">
        <v>140</v>
      </c>
      <c r="E82" s="45" t="inlineStr">
        <is>
          <t>Crédito Parcelado</t>
        </is>
      </c>
      <c r="F82" s="47" t="n"/>
      <c r="G82" s="48" t="n"/>
      <c r="H82" s="49" t="n"/>
      <c r="I82" s="45" t="inlineStr">
        <is>
          <t>NFC-e 9063</t>
        </is>
      </c>
    </row>
    <row r="83">
      <c r="A83" s="17" t="n">
        <v>46162</v>
      </c>
      <c r="B83" s="18" t="inlineStr">
        <is>
          <t>Consumidor Final</t>
        </is>
      </c>
      <c r="C83" s="18" t="inlineStr">
        <is>
          <t>Refil PP</t>
        </is>
      </c>
      <c r="D83" s="27" t="n">
        <v>75</v>
      </c>
      <c r="E83" s="18" t="inlineStr">
        <is>
          <t>Pix</t>
        </is>
      </c>
      <c r="F83" s="19" t="n"/>
      <c r="G83" s="19" t="n"/>
      <c r="H83" s="21" t="n"/>
      <c r="I83" s="18" t="inlineStr">
        <is>
          <t>NFC-e 9064</t>
        </is>
      </c>
      <c r="J83" s="18" t="n"/>
    </row>
    <row r="84">
      <c r="A84" s="44" t="n">
        <v>46162</v>
      </c>
      <c r="B84" s="45" t="inlineStr">
        <is>
          <t>Consumidor Final</t>
        </is>
      </c>
      <c r="C84" s="45" t="inlineStr">
        <is>
          <t>Refil Pro Life</t>
        </is>
      </c>
      <c r="D84" s="46" t="n">
        <v>130</v>
      </c>
      <c r="E84" s="45" t="inlineStr">
        <is>
          <t>Débito</t>
        </is>
      </c>
      <c r="F84" s="47" t="n"/>
      <c r="G84" s="48" t="n"/>
      <c r="H84" s="49" t="n"/>
      <c r="I84" s="45" t="inlineStr">
        <is>
          <t>NFC-e 9065</t>
        </is>
      </c>
    </row>
    <row r="85">
      <c r="A85" s="17" t="n">
        <v>46163</v>
      </c>
      <c r="B85" s="18" t="inlineStr">
        <is>
          <t>Eco-Marmores e Granitos Importação e Exportação Ltda</t>
        </is>
      </c>
      <c r="C85" s="18" t="inlineStr">
        <is>
          <t>Refil Pro Life</t>
        </is>
      </c>
      <c r="D85" s="27" t="n">
        <v>140</v>
      </c>
      <c r="E85" s="18" t="inlineStr">
        <is>
          <t>Pix</t>
        </is>
      </c>
      <c r="F85" s="19" t="n"/>
      <c r="G85" s="19" t="n"/>
      <c r="H85" s="21" t="n"/>
      <c r="I85" s="18" t="inlineStr">
        <is>
          <t>NF-e 4198</t>
        </is>
      </c>
      <c r="J85" s="18" t="inlineStr">
        <is>
          <t>EMP-0130</t>
        </is>
      </c>
    </row>
    <row r="86">
      <c r="A86" s="44" t="n">
        <v>46163</v>
      </c>
      <c r="B86" s="45" t="inlineStr">
        <is>
          <t xml:space="preserve">Colegio Castro Alves </t>
        </is>
      </c>
      <c r="C86" s="45" t="inlineStr">
        <is>
          <t>2x Refil Everest</t>
        </is>
      </c>
      <c r="D86" s="46" t="n">
        <v>280</v>
      </c>
      <c r="E86" s="45" t="inlineStr">
        <is>
          <t>Pix</t>
        </is>
      </c>
      <c r="F86" s="47" t="n"/>
      <c r="G86" s="48" t="n"/>
      <c r="H86" s="49" t="n"/>
      <c r="I86" s="45" t="inlineStr">
        <is>
          <t>NF-e 4199</t>
        </is>
      </c>
      <c r="J86" t="inlineStr">
        <is>
          <t>ESC-0012</t>
        </is>
      </c>
    </row>
    <row r="87">
      <c r="A87" s="17" t="n">
        <v>46163</v>
      </c>
      <c r="B87" s="18" t="inlineStr">
        <is>
          <t>Hospital do Trauma Servicos Medicos Hospitalares Ltda</t>
        </is>
      </c>
      <c r="C87" s="18" t="inlineStr">
        <is>
          <t>Refil Everest</t>
        </is>
      </c>
      <c r="D87" s="27" t="n">
        <v>140</v>
      </c>
      <c r="E87" s="18" t="inlineStr">
        <is>
          <t>Dinheiro</t>
        </is>
      </c>
      <c r="F87" s="19" t="n"/>
      <c r="G87" s="19" t="n"/>
      <c r="H87" s="21" t="n"/>
      <c r="I87" s="18" t="inlineStr">
        <is>
          <t>NF-e 4200</t>
        </is>
      </c>
      <c r="J87" s="18" t="n"/>
    </row>
    <row r="88">
      <c r="A88" s="44" t="n">
        <v>46163</v>
      </c>
      <c r="B88" s="45" t="inlineStr">
        <is>
          <t>Ana Claudia Oliveira dos Santos</t>
        </is>
      </c>
      <c r="C88" s="45" t="inlineStr">
        <is>
          <t>Refil Everest</t>
        </is>
      </c>
      <c r="D88" s="46" t="n">
        <v>140</v>
      </c>
      <c r="E88" s="45" t="inlineStr">
        <is>
          <t>Crédito Parcelado</t>
        </is>
      </c>
      <c r="F88" s="47" t="n"/>
      <c r="G88" s="48" t="n"/>
      <c r="H88" s="49" t="n"/>
      <c r="I88" s="45" t="inlineStr">
        <is>
          <t>NFC-e 9066</t>
        </is>
      </c>
    </row>
    <row r="89">
      <c r="A89" s="17" t="n">
        <v>46164</v>
      </c>
      <c r="B89" s="18" t="inlineStr">
        <is>
          <t>Aliomar Gomes Navarro</t>
        </is>
      </c>
      <c r="C89" s="18" t="inlineStr">
        <is>
          <t>Refil Everest + Pré Filtro</t>
        </is>
      </c>
      <c r="D89" s="27" t="n">
        <v>200</v>
      </c>
      <c r="E89" s="18" t="inlineStr">
        <is>
          <t>Crédito Parcelado</t>
        </is>
      </c>
      <c r="F89" s="19" t="n"/>
      <c r="G89" s="19" t="n"/>
      <c r="H89" s="21" t="n"/>
      <c r="I89" s="18" t="inlineStr">
        <is>
          <t>NFC-e 9067</t>
        </is>
      </c>
      <c r="J89" s="18" t="n"/>
    </row>
    <row r="90">
      <c r="A90" s="44" t="n">
        <v>46164</v>
      </c>
      <c r="B90" s="45" t="inlineStr">
        <is>
          <t>Vanda Cleia Oliveira da Silva</t>
        </is>
      </c>
      <c r="C90" s="45" t="inlineStr">
        <is>
          <t>Refil Everest</t>
        </is>
      </c>
      <c r="D90" s="46" t="n">
        <v>140</v>
      </c>
      <c r="E90" s="45" t="inlineStr">
        <is>
          <t>Pix</t>
        </is>
      </c>
      <c r="F90" s="47" t="n"/>
      <c r="G90" s="48" t="n"/>
      <c r="H90" s="49" t="n"/>
      <c r="I90" s="45" t="inlineStr">
        <is>
          <t>NFC-e 9068</t>
        </is>
      </c>
      <c r="J90" t="inlineStr">
        <is>
          <t>CLI-0829</t>
        </is>
      </c>
    </row>
    <row r="91">
      <c r="A91" s="17" t="n">
        <v>46164</v>
      </c>
      <c r="B91" s="18" t="inlineStr">
        <is>
          <t>Consumidor Final</t>
        </is>
      </c>
      <c r="C91" s="18" t="inlineStr">
        <is>
          <t>Refil Everest</t>
        </is>
      </c>
      <c r="D91" s="27" t="n">
        <v>140</v>
      </c>
      <c r="E91" s="18" t="inlineStr">
        <is>
          <t>Pix</t>
        </is>
      </c>
      <c r="F91" s="19" t="n"/>
      <c r="G91" s="19" t="n"/>
      <c r="H91" s="21" t="n"/>
      <c r="I91" s="18" t="inlineStr">
        <is>
          <t>NFC-e 9069</t>
        </is>
      </c>
      <c r="J91" s="18" t="n"/>
    </row>
    <row r="92">
      <c r="A92" s="44" t="n">
        <v>46164</v>
      </c>
      <c r="B92" s="45" t="inlineStr">
        <is>
          <t>Mariua Construcoes Ltda</t>
        </is>
      </c>
      <c r="C92" s="45" t="inlineStr">
        <is>
          <t>Refil Plissado + Refil Carbon Tech 9"</t>
        </is>
      </c>
      <c r="D92" s="46" t="n">
        <v>180</v>
      </c>
      <c r="E92" s="45" t="inlineStr">
        <is>
          <t>Pix</t>
        </is>
      </c>
      <c r="F92" s="47" t="n"/>
      <c r="G92" s="48" t="n"/>
      <c r="H92" s="49" t="n"/>
      <c r="I92" s="45" t="inlineStr">
        <is>
          <t>NF-e 4201</t>
        </is>
      </c>
    </row>
    <row r="93">
      <c r="A93" s="17" t="n">
        <v>46164</v>
      </c>
      <c r="B93" s="18" t="inlineStr">
        <is>
          <t>Filtros Planeta Agua Ind e Com Ltda</t>
        </is>
      </c>
      <c r="C93" s="18" t="n"/>
      <c r="D93" s="27" t="n"/>
      <c r="E93" s="18" t="n"/>
      <c r="F93" s="19" t="n"/>
      <c r="G93" s="19" t="n">
        <v>504.43</v>
      </c>
      <c r="H93" s="21" t="inlineStr">
        <is>
          <t>Fornecedores / Mercadoria</t>
        </is>
      </c>
      <c r="I93" s="18" t="inlineStr">
        <is>
          <t>NF 128882 de 23/03/2026 · parcela 3/4 (venc. 18/05/2026) · compra total R$ 2.113,93 (IPI R$ 96,20): 25x Refil Pro Life + 2x Refil Top Color + 10x Refil Carbon Tech 9.3/4 Pol + 15x Refil Poli Flu Plissado 9.3/4 + 20x Refil E3 + 3x Carcaca Fit 9.3/4 Pol Branca + 15x Conexão T + Mangueira · Livro Caixa</t>
        </is>
      </c>
      <c r="J93" s="18" t="n"/>
    </row>
    <row r="94">
      <c r="A94" s="44" t="n">
        <v>46164</v>
      </c>
      <c r="B94" s="45" t="inlineStr">
        <is>
          <t>Receitas Federais</t>
        </is>
      </c>
      <c r="C94" s="45" t="n"/>
      <c r="D94" s="46" t="n"/>
      <c r="E94" s="45" t="n"/>
      <c r="F94" s="47" t="n"/>
      <c r="G94" s="48" t="n">
        <v>405.39</v>
      </c>
      <c r="H94" s="49" t="inlineStr">
        <is>
          <t>Impostos e Taxas</t>
        </is>
      </c>
      <c r="I94" s="45" t="inlineStr">
        <is>
          <t>Livro Caixa: Pagamento parcela RECEITAS FEDERAIS (Doc. 1) · Planeta Agua Ltda</t>
        </is>
      </c>
    </row>
    <row r="95">
      <c r="A95" s="17" t="n">
        <v>46164</v>
      </c>
      <c r="B95" s="18" t="inlineStr">
        <is>
          <t>Fgts</t>
        </is>
      </c>
      <c r="C95" s="18" t="n"/>
      <c r="D95" s="27" t="n"/>
      <c r="E95" s="18" t="n"/>
      <c r="F95" s="19" t="n"/>
      <c r="G95" s="19" t="n">
        <v>240.96</v>
      </c>
      <c r="H95" s="21" t="inlineStr">
        <is>
          <t>Impostos e Taxas</t>
        </is>
      </c>
      <c r="I95" s="18" t="inlineStr">
        <is>
          <t>Livro Caixa: Pagamento parcela FGTS (Doc. 1) · Planeta Agua Ltda</t>
        </is>
      </c>
      <c r="J95" s="18" t="n"/>
    </row>
    <row r="96">
      <c r="A96" s="44" t="n">
        <v>46164</v>
      </c>
      <c r="B96" s="45" t="inlineStr">
        <is>
          <t>Simples Nacional</t>
        </is>
      </c>
      <c r="C96" s="45" t="n"/>
      <c r="D96" s="46" t="n"/>
      <c r="E96" s="45" t="n"/>
      <c r="F96" s="47" t="n"/>
      <c r="G96" s="48" t="n">
        <v>2111.69</v>
      </c>
      <c r="H96" s="49" t="inlineStr">
        <is>
          <t>Impostos e Taxas</t>
        </is>
      </c>
      <c r="I96" s="45" t="inlineStr">
        <is>
          <t>Livro Caixa: Pagamento parcela SIMPLES NACIONAL (Doc. 1) · Planeta Agua Ltda</t>
        </is>
      </c>
    </row>
    <row r="97">
      <c r="A97" s="17" t="n">
        <v>46165</v>
      </c>
      <c r="B97" s="18" t="inlineStr">
        <is>
          <t>Consumidor Final</t>
        </is>
      </c>
      <c r="C97" s="18" t="inlineStr">
        <is>
          <t>Mangueira (1 m)</t>
        </is>
      </c>
      <c r="D97" s="27" t="n">
        <v>10</v>
      </c>
      <c r="E97" s="18" t="inlineStr">
        <is>
          <t>Dinheiro</t>
        </is>
      </c>
      <c r="F97" s="19" t="n"/>
      <c r="G97" s="19" t="n"/>
      <c r="H97" s="21" t="n"/>
      <c r="I97" s="18" t="inlineStr">
        <is>
          <t>NFC-e 9070</t>
        </is>
      </c>
      <c r="J97" s="18" t="n"/>
    </row>
    <row r="98">
      <c r="A98" s="44" t="n">
        <v>46167</v>
      </c>
      <c r="B98" s="45" t="inlineStr">
        <is>
          <t>Caio Marcelo da Silva Passos</t>
        </is>
      </c>
      <c r="C98" s="45" t="inlineStr">
        <is>
          <t>Refil Everest</t>
        </is>
      </c>
      <c r="D98" s="46" t="n">
        <v>140</v>
      </c>
      <c r="E98" s="45" t="inlineStr">
        <is>
          <t>Pix</t>
        </is>
      </c>
      <c r="F98" s="47" t="n"/>
      <c r="G98" s="48" t="n"/>
      <c r="H98" s="49" t="n"/>
      <c r="I98" s="45" t="inlineStr">
        <is>
          <t>NFC-e 9071</t>
        </is>
      </c>
      <c r="J98" t="inlineStr">
        <is>
          <t>CLI-0830</t>
        </is>
      </c>
    </row>
    <row r="99">
      <c r="A99" s="17" t="n">
        <v>46167</v>
      </c>
      <c r="B99" s="18" t="inlineStr">
        <is>
          <t>Consumidor Final</t>
        </is>
      </c>
      <c r="C99" s="18" t="inlineStr">
        <is>
          <t>Refil Lacqua</t>
        </is>
      </c>
      <c r="D99" s="27" t="n">
        <v>85</v>
      </c>
      <c r="E99" s="18" t="inlineStr">
        <is>
          <t>Pix</t>
        </is>
      </c>
      <c r="F99" s="19" t="n"/>
      <c r="G99" s="19" t="n"/>
      <c r="H99" s="21" t="n"/>
      <c r="I99" s="18" t="inlineStr">
        <is>
          <t>NFC-e 9072</t>
        </is>
      </c>
      <c r="J99" s="18" t="n"/>
    </row>
    <row r="100" ht="15.75" customHeight="1" s="157">
      <c r="A100" s="44" t="n">
        <v>46167</v>
      </c>
      <c r="B100" s="45" t="inlineStr">
        <is>
          <t>Consumidor Final</t>
        </is>
      </c>
      <c r="C100" s="45" t="inlineStr">
        <is>
          <t>Refil Carbon Tech 5"</t>
        </is>
      </c>
      <c r="D100" s="46" t="n">
        <v>50</v>
      </c>
      <c r="E100" s="45" t="inlineStr">
        <is>
          <t>Dinheiro</t>
        </is>
      </c>
      <c r="F100" s="47" t="n"/>
      <c r="G100" s="48" t="n"/>
      <c r="H100" s="49" t="n"/>
      <c r="I100" s="45" t="inlineStr">
        <is>
          <t>NFC-e 9073</t>
        </is>
      </c>
    </row>
    <row r="101">
      <c r="A101" s="17" t="n">
        <v>46167</v>
      </c>
      <c r="B101" s="18" t="inlineStr">
        <is>
          <t>Consumidor Final</t>
        </is>
      </c>
      <c r="C101" s="18" t="inlineStr">
        <is>
          <t>2x Filtro Bica Movel Preto</t>
        </is>
      </c>
      <c r="D101" s="27" t="n">
        <v>220</v>
      </c>
      <c r="E101" s="18" t="inlineStr">
        <is>
          <t>Dinheiro</t>
        </is>
      </c>
      <c r="F101" s="19" t="n"/>
      <c r="G101" s="19" t="n"/>
      <c r="H101" s="21" t="n"/>
      <c r="I101" s="18" t="inlineStr">
        <is>
          <t>NFC-e 9074</t>
        </is>
      </c>
      <c r="J101" s="18" t="n"/>
    </row>
    <row r="102" ht="15.75" customHeight="1" s="157">
      <c r="A102" s="44" t="n">
        <v>46167</v>
      </c>
      <c r="B102" s="45" t="inlineStr">
        <is>
          <t>Clinica Carvalho LTDA</t>
        </is>
      </c>
      <c r="C102" s="45" t="inlineStr">
        <is>
          <t>Refil Pro Life</t>
        </is>
      </c>
      <c r="D102" s="46" t="n">
        <v>140</v>
      </c>
      <c r="E102" s="45" t="n"/>
      <c r="F102" s="47" t="n"/>
      <c r="G102" s="48" t="n"/>
      <c r="H102" s="49" t="n"/>
      <c r="I102" s="45" t="inlineStr">
        <is>
          <t>NF-e 4196 · nota faturada a prazo (forma de recebimento não consta na nota) · venda de 20/05/2026 — pagamento recebido em 25/05/2026</t>
        </is>
      </c>
      <c r="J102" t="inlineStr">
        <is>
          <t>EMP-0069</t>
        </is>
      </c>
    </row>
    <row r="103">
      <c r="A103" s="17" t="n">
        <v>46167</v>
      </c>
      <c r="B103" s="18" t="inlineStr">
        <is>
          <t>Documento de Arrrecadação Estadual Doc.</t>
        </is>
      </c>
      <c r="C103" s="18" t="n"/>
      <c r="D103" s="27" t="n"/>
      <c r="E103" s="18" t="n"/>
      <c r="F103" s="19" t="n"/>
      <c r="G103" s="19" t="n">
        <v>1158.57</v>
      </c>
      <c r="H103" s="21" t="inlineStr">
        <is>
          <t>Impostos e Taxas</t>
        </is>
      </c>
      <c r="I103" s="18" t="inlineStr">
        <is>
          <t>Livro Caixa: Pagamento à vista: DOCUMENTO DE ARRRECADAÇÃO ESTADUAL Doc. · Bahia Secretaria da Fazenda</t>
        </is>
      </c>
      <c r="J103" s="18" t="n"/>
    </row>
    <row r="104" ht="15.75" customHeight="1" s="157">
      <c r="A104" s="44" t="n">
        <v>46168</v>
      </c>
      <c r="B104" s="45" t="inlineStr">
        <is>
          <t>CDI - Clinica Dentaria Integrada - Dr. Cicero - Copa</t>
        </is>
      </c>
      <c r="C104" s="45" t="inlineStr">
        <is>
          <t>2x Refil Everest</t>
        </is>
      </c>
      <c r="D104" s="46" t="n">
        <v>280</v>
      </c>
      <c r="E104" s="45" t="inlineStr">
        <is>
          <t>Dinheiro</t>
        </is>
      </c>
      <c r="F104" s="47" t="n"/>
      <c r="G104" s="48" t="n"/>
      <c r="H104" s="49" t="n"/>
      <c r="I104" s="45" t="inlineStr">
        <is>
          <t>NF-e 4202</t>
        </is>
      </c>
      <c r="J104" t="inlineStr">
        <is>
          <t>EMP-0052</t>
        </is>
      </c>
    </row>
    <row r="105">
      <c r="A105" s="17" t="n">
        <v>46168</v>
      </c>
      <c r="B105" s="18" t="inlineStr">
        <is>
          <t>Clinica Odontologica Radio Imagem Ltda</t>
        </is>
      </c>
      <c r="C105" s="18" t="inlineStr">
        <is>
          <t>Refil Pro Life</t>
        </is>
      </c>
      <c r="D105" s="27" t="n">
        <v>140</v>
      </c>
      <c r="E105" s="18" t="n"/>
      <c r="F105" s="19" t="n"/>
      <c r="G105" s="19" t="n"/>
      <c r="H105" s="21" t="n"/>
      <c r="I105" s="18" t="inlineStr">
        <is>
          <t>NF-e 4197 · nota faturada a prazo (forma de recebimento não consta na nota) · venda de 20/05/2026 — pagamento recebido em 26/05/2026</t>
        </is>
      </c>
      <c r="J105" s="18" t="inlineStr">
        <is>
          <t>EMP-0086</t>
        </is>
      </c>
    </row>
    <row r="106">
      <c r="A106" s="44" t="n">
        <v>46168</v>
      </c>
      <c r="B106" s="45" t="inlineStr">
        <is>
          <t>Regimauro Jesus da Silva</t>
        </is>
      </c>
      <c r="C106" s="45" t="inlineStr">
        <is>
          <t>Refil Everest + Pré Filtro</t>
        </is>
      </c>
      <c r="D106" s="46" t="n">
        <v>200</v>
      </c>
      <c r="E106" s="45" t="inlineStr">
        <is>
          <t>Crédito Parcelado</t>
        </is>
      </c>
      <c r="F106" s="47" t="n"/>
      <c r="G106" s="48" t="n"/>
      <c r="H106" s="49" t="n"/>
      <c r="I106" s="45" t="inlineStr">
        <is>
          <t>NFC-e 9075</t>
        </is>
      </c>
    </row>
    <row r="107">
      <c r="A107" s="17" t="n">
        <v>46168</v>
      </c>
      <c r="B107" s="18" t="inlineStr">
        <is>
          <t>Instituto Odontologico Prime - IOP</t>
        </is>
      </c>
      <c r="C107" s="18" t="inlineStr">
        <is>
          <t>Refil Everest</t>
        </is>
      </c>
      <c r="D107" s="27" t="n">
        <v>140</v>
      </c>
      <c r="E107" s="18" t="inlineStr">
        <is>
          <t>Dinheiro</t>
        </is>
      </c>
      <c r="F107" s="19" t="n"/>
      <c r="G107" s="19" t="n"/>
      <c r="H107" s="21" t="n"/>
      <c r="I107" s="18" t="inlineStr">
        <is>
          <t>NF-e 4205</t>
        </is>
      </c>
      <c r="J107" s="18" t="inlineStr">
        <is>
          <t>EMP-0182</t>
        </is>
      </c>
    </row>
    <row r="108">
      <c r="A108" s="44" t="n">
        <v>46168</v>
      </c>
      <c r="B108" s="45" t="inlineStr">
        <is>
          <t>Sindicato dos Empregados do Comercio de Jacobina</t>
        </is>
      </c>
      <c r="C108" s="45" t="inlineStr">
        <is>
          <t>Refil Everest</t>
        </is>
      </c>
      <c r="D108" s="46" t="n">
        <v>140</v>
      </c>
      <c r="E108" s="45" t="n"/>
      <c r="F108" s="47" t="n"/>
      <c r="G108" s="48" t="n"/>
      <c r="H108" s="49" t="n"/>
      <c r="I108" s="45" t="inlineStr">
        <is>
          <t>NF-e 4203. Recebimento não constava no Livro Caixa; conferido e baixado no DigiSat em 28/09/2026.</t>
        </is>
      </c>
    </row>
    <row r="109">
      <c r="A109" s="17" t="n">
        <v>46168</v>
      </c>
      <c r="B109" s="18" t="inlineStr">
        <is>
          <t>Burguer Jacobina Ltda</t>
        </is>
      </c>
      <c r="C109" s="18" t="inlineStr">
        <is>
          <t>Refil Everest</t>
        </is>
      </c>
      <c r="D109" s="27" t="n">
        <v>140</v>
      </c>
      <c r="E109" s="18" t="n"/>
      <c r="F109" s="19" t="n"/>
      <c r="G109" s="19" t="n"/>
      <c r="H109" s="21" t="n"/>
      <c r="I109" s="18" t="inlineStr">
        <is>
          <t>NF-e 4204. Recebimento não constava no Livro Caixa; conferido e baixado no DigiSat em 28/09/2026.</t>
        </is>
      </c>
      <c r="J109" s="18" t="n"/>
    </row>
    <row r="110">
      <c r="A110" s="44" t="n">
        <v>46169</v>
      </c>
      <c r="B110" s="45" t="inlineStr">
        <is>
          <t>Elza Pereira dos Santos</t>
        </is>
      </c>
      <c r="C110" s="45" t="inlineStr">
        <is>
          <t>2x Refil Pro Life</t>
        </is>
      </c>
      <c r="D110" s="46" t="n">
        <v>280</v>
      </c>
      <c r="E110" s="45" t="inlineStr">
        <is>
          <t>Crédito Parcelado</t>
        </is>
      </c>
      <c r="F110" s="47" t="n"/>
      <c r="G110" s="48" t="n"/>
      <c r="H110" s="49" t="n"/>
      <c r="I110" s="45" t="inlineStr">
        <is>
          <t>NFC-e 9076</t>
        </is>
      </c>
    </row>
    <row r="111">
      <c r="A111" s="17" t="n">
        <v>46169</v>
      </c>
      <c r="B111" s="18" t="inlineStr">
        <is>
          <t>Consumidor Final</t>
        </is>
      </c>
      <c r="C111" s="18" t="inlineStr">
        <is>
          <t>Refil Everest</t>
        </is>
      </c>
      <c r="D111" s="27" t="n">
        <v>140</v>
      </c>
      <c r="E111" s="18" t="inlineStr">
        <is>
          <t>Pix</t>
        </is>
      </c>
      <c r="F111" s="19" t="n"/>
      <c r="G111" s="19" t="n"/>
      <c r="H111" s="21" t="n"/>
      <c r="I111" s="18" t="inlineStr">
        <is>
          <t>NFC-e 9077</t>
        </is>
      </c>
      <c r="J111" s="18" t="n"/>
    </row>
    <row r="112">
      <c r="A112" s="44" t="n">
        <v>46169</v>
      </c>
      <c r="B112" s="45" t="inlineStr">
        <is>
          <t>Cesg - Centro de Educacao Superior de Guanambi S/A</t>
        </is>
      </c>
      <c r="C112" s="45" t="inlineStr">
        <is>
          <t>15x Pré Filtro IBBL + 19x Refil IBBL C+3 + Carvao Ativado Mineral Po Puro Embalagem 1Kg</t>
        </is>
      </c>
      <c r="D112" s="46" t="n">
        <v>4675</v>
      </c>
      <c r="E112" s="45" t="inlineStr">
        <is>
          <t>Pix</t>
        </is>
      </c>
      <c r="F112" s="47" t="n"/>
      <c r="G112" s="48" t="n"/>
      <c r="H112" s="49" t="n"/>
      <c r="I112" s="45" t="inlineStr">
        <is>
          <t>NF-e 4163 · Grupo Ânima — venda de 20/04/2026, Nota Paga no portal V360 em 27/05/2026. Recebimento não constava no Livro Caixa; baixa dada no DigiSat em 28/09/2026.</t>
        </is>
      </c>
    </row>
    <row r="113">
      <c r="A113" s="17" t="n">
        <v>46169</v>
      </c>
      <c r="B113" s="18" t="inlineStr">
        <is>
          <t>Cesg - Centro de Educacao Superior de Guanambi S/A</t>
        </is>
      </c>
      <c r="C113" s="18" t="inlineStr">
        <is>
          <t>5x Refil IBBL C+3 + 3x Pré Filtro IBBL + 2x Carvao Ativado Mineral Po Puro Embalagem 1Kg + 2x Refil Consul</t>
        </is>
      </c>
      <c r="D113" s="27" t="n">
        <v>1335</v>
      </c>
      <c r="E113" s="18" t="inlineStr">
        <is>
          <t>Pix</t>
        </is>
      </c>
      <c r="F113" s="19" t="n"/>
      <c r="G113" s="19" t="n"/>
      <c r="H113" s="21" t="n"/>
      <c r="I113" s="18" t="inlineStr">
        <is>
          <t>NF-e 4164 · Grupo Ânima — venda de 22/04/2026, Nota Paga no portal V360 em 27/05/2026. Recebimento não constava no Livro Caixa; baixa dada no DigiSat em 28/09/2026.</t>
        </is>
      </c>
      <c r="J113" s="18" t="n"/>
    </row>
    <row r="114">
      <c r="A114" s="44" t="n">
        <v>46169</v>
      </c>
      <c r="B114" s="45" t="inlineStr">
        <is>
          <t>Fechadura + Serviço Porta de Vidro</t>
        </is>
      </c>
      <c r="C114" s="45" t="n"/>
      <c r="D114" s="46" t="n"/>
      <c r="E114" s="45" t="n"/>
      <c r="F114" s="47" t="n"/>
      <c r="G114" s="48" t="n">
        <v>200</v>
      </c>
      <c r="H114" s="49" t="inlineStr">
        <is>
          <t>Manutenção e Reparos</t>
        </is>
      </c>
      <c r="I114" s="45" t="inlineStr">
        <is>
          <t>Livro Caixa: Pagamento à vista: FECHADURA + SERVIÇO PORTA DE VIDRO (Doc. 1) · Planeta Agua Ltda</t>
        </is>
      </c>
    </row>
    <row r="115">
      <c r="A115" s="17" t="n">
        <v>46170</v>
      </c>
      <c r="B115" s="18" t="inlineStr">
        <is>
          <t>Aillen Lopes Oliveira</t>
        </is>
      </c>
      <c r="C115" s="18" t="inlineStr">
        <is>
          <t>Termostato</t>
        </is>
      </c>
      <c r="D115" s="27" t="n">
        <v>170</v>
      </c>
      <c r="E115" s="18" t="inlineStr">
        <is>
          <t>Pix</t>
        </is>
      </c>
      <c r="F115" s="19" t="n"/>
      <c r="G115" s="19" t="n"/>
      <c r="H115" s="21" t="n"/>
      <c r="I115" s="18" t="inlineStr">
        <is>
          <t>NF-e 4207</t>
        </is>
      </c>
      <c r="J115" s="18" t="n"/>
    </row>
    <row r="116">
      <c r="A116" s="44" t="n">
        <v>46170</v>
      </c>
      <c r="B116" s="45" t="inlineStr">
        <is>
          <t>Diocese de Bomfim Paroquia São Jose</t>
        </is>
      </c>
      <c r="C116" s="45" t="inlineStr">
        <is>
          <t>Refil Everest + Refil Pro Life + Pré Filtro</t>
        </is>
      </c>
      <c r="D116" s="46" t="n">
        <v>340</v>
      </c>
      <c r="E116" s="45" t="inlineStr">
        <is>
          <t>Dinheiro</t>
        </is>
      </c>
      <c r="F116" s="47" t="n"/>
      <c r="G116" s="48" t="n"/>
      <c r="H116" s="49" t="n"/>
      <c r="I116" s="45" t="inlineStr">
        <is>
          <t>NF-e 4208</t>
        </is>
      </c>
      <c r="J116" t="inlineStr">
        <is>
          <t>EMP-0117</t>
        </is>
      </c>
    </row>
    <row r="117">
      <c r="A117" s="17" t="n">
        <v>46170</v>
      </c>
      <c r="B117" s="18" t="inlineStr">
        <is>
          <t>Fania Amorim Azevedo</t>
        </is>
      </c>
      <c r="C117" s="18" t="inlineStr">
        <is>
          <t>Refil Everest</t>
        </is>
      </c>
      <c r="D117" s="27" t="n">
        <v>140</v>
      </c>
      <c r="E117" s="18" t="inlineStr">
        <is>
          <t>Pix</t>
        </is>
      </c>
      <c r="F117" s="19" t="n"/>
      <c r="G117" s="19" t="n"/>
      <c r="H117" s="21" t="n"/>
      <c r="I117" s="18" t="inlineStr">
        <is>
          <t>NFC-e 9078</t>
        </is>
      </c>
      <c r="J117" s="18" t="inlineStr">
        <is>
          <t>CLI-0836</t>
        </is>
      </c>
    </row>
    <row r="118">
      <c r="A118" s="44" t="n">
        <v>46170</v>
      </c>
      <c r="B118" s="45" t="inlineStr">
        <is>
          <t>Consumidor Final</t>
        </is>
      </c>
      <c r="C118" s="45" t="inlineStr">
        <is>
          <t>Refil Everest</t>
        </is>
      </c>
      <c r="D118" s="46" t="n">
        <v>135</v>
      </c>
      <c r="E118" s="45" t="inlineStr">
        <is>
          <t>Pix</t>
        </is>
      </c>
      <c r="F118" s="47" t="n"/>
      <c r="G118" s="48" t="n"/>
      <c r="H118" s="49" t="n"/>
      <c r="I118" s="45" t="inlineStr">
        <is>
          <t>NFC-e 9079</t>
        </is>
      </c>
    </row>
    <row r="119">
      <c r="A119" s="17" t="n">
        <v>46170</v>
      </c>
      <c r="B119" s="18" t="inlineStr">
        <is>
          <t>Veralucia Silva Lima Souza</t>
        </is>
      </c>
      <c r="C119" s="18" t="inlineStr">
        <is>
          <t>Refil Pro Life</t>
        </is>
      </c>
      <c r="D119" s="27" t="n">
        <v>140</v>
      </c>
      <c r="E119" s="18" t="inlineStr">
        <is>
          <t>Crédito Parcelado</t>
        </is>
      </c>
      <c r="F119" s="19" t="n"/>
      <c r="G119" s="19" t="n"/>
      <c r="H119" s="21" t="n"/>
      <c r="I119" s="18" t="inlineStr">
        <is>
          <t>NFC-e 9080</t>
        </is>
      </c>
      <c r="J119" s="18" t="n"/>
    </row>
    <row r="120">
      <c r="A120" s="44" t="n">
        <v>46170</v>
      </c>
      <c r="B120" s="45" t="inlineStr">
        <is>
          <t>Eversoft Ind e Com de Plasticos Ltda</t>
        </is>
      </c>
      <c r="C120" s="45" t="n"/>
      <c r="D120" s="46" t="n"/>
      <c r="E120" s="45" t="n"/>
      <c r="F120" s="47" t="n"/>
      <c r="G120" s="48" t="n">
        <v>541.37</v>
      </c>
      <c r="H120" s="49" t="inlineStr">
        <is>
          <t>Fornecedores / Mercadoria</t>
        </is>
      </c>
      <c r="I120" s="45" t="inlineStr">
        <is>
          <t>NF 70444 de 23/01/2026 · parcela 4/5 (venc. 23/05/2026) · compra total R$ 2.706,83: 50x Refil Everest + 50x Pré Filtro · Livro Caixa</t>
        </is>
      </c>
    </row>
    <row r="121">
      <c r="A121" s="17" t="n">
        <v>46170</v>
      </c>
      <c r="B121" s="18" t="inlineStr">
        <is>
          <t>Eversoft Ind e Com de Plasticos Ltda</t>
        </is>
      </c>
      <c r="C121" s="18" t="n"/>
      <c r="D121" s="27" t="n"/>
      <c r="E121" s="18" t="n"/>
      <c r="F121" s="19" t="n"/>
      <c r="G121" s="19" t="n">
        <v>878.92</v>
      </c>
      <c r="H121" s="21" t="inlineStr">
        <is>
          <t>Fornecedores / Mercadoria</t>
        </is>
      </c>
      <c r="I121" s="18" t="inlineStr">
        <is>
          <t>NF 71084 de 23/02/2026 · parcela 3/5 (venc. 24/05/2026) · compra total R$ 4.394,61: 100x Refil Everest · Livro Caixa</t>
        </is>
      </c>
      <c r="J121" s="18" t="n"/>
    </row>
    <row r="122">
      <c r="A122" s="44" t="n">
        <v>46170</v>
      </c>
      <c r="B122" s="45" t="inlineStr">
        <is>
          <t>Everest Refrigeracao e Industria</t>
        </is>
      </c>
      <c r="C122" s="45" t="n"/>
      <c r="D122" s="46" t="n"/>
      <c r="E122" s="45" t="n"/>
      <c r="F122" s="47" t="n"/>
      <c r="G122" s="48" t="n">
        <v>676.59</v>
      </c>
      <c r="H122" s="49" t="inlineStr">
        <is>
          <t>Fornecedores / Mercadoria</t>
        </is>
      </c>
      <c r="I122" s="45" t="inlineStr">
        <is>
          <t>NF 371358 de 24/02/2026 · parcela 3/5 (venc. 25/05/2026) · compra total R$ 3.382,95: 2x Purificador Everest Star Branco + Purificador Everest Slim Branco + Purificador Everest Fit Branco + Purificador Everest Fit Prata · Livro Caixa</t>
        </is>
      </c>
    </row>
    <row r="123">
      <c r="A123" s="17" t="n">
        <v>46170</v>
      </c>
      <c r="B123" s="18" t="inlineStr">
        <is>
          <t>Icms - Antecipacao Parcial</t>
        </is>
      </c>
      <c r="C123" s="18" t="n"/>
      <c r="D123" s="27" t="n"/>
      <c r="E123" s="18" t="n"/>
      <c r="F123" s="19" t="n"/>
      <c r="G123" s="19" t="n">
        <v>922.79</v>
      </c>
      <c r="H123" s="21" t="inlineStr">
        <is>
          <t>Impostos e Taxas</t>
        </is>
      </c>
      <c r="I123" s="18" t="inlineStr">
        <is>
          <t>Livro Caixa: Pagamento parcela ICMS - ANTECIPACAO PARCIAL (Doc. 1) · Planeta Agua Ltda</t>
        </is>
      </c>
      <c r="J123" s="18" t="n"/>
    </row>
    <row r="124">
      <c r="A124" s="44" t="n">
        <v>46170</v>
      </c>
      <c r="B124" s="45" t="inlineStr">
        <is>
          <t>Filtros Planeta Agua Ind e Com Ltda</t>
        </is>
      </c>
      <c r="C124" s="45" t="n"/>
      <c r="D124" s="46" t="n"/>
      <c r="E124" s="45" t="n"/>
      <c r="F124" s="47" t="n"/>
      <c r="G124" s="48" t="n">
        <v>504.75</v>
      </c>
      <c r="H124" s="49" t="inlineStr">
        <is>
          <t>Fornecedores / Mercadoria</t>
        </is>
      </c>
      <c r="I124" s="45" t="inlineStr">
        <is>
          <t>NF 129257 de 31/03/2026 · parcela 3/4 (venc. 26/05/2026) · compra total R$ 2.123,99 (IPI R$ 104,98): 5x Refil Fp4 + 10x Refil Carbon Tech 5 Pol + 10x Refil Carbon Tech 9.3/4 Pol + 36x Refil Pre-E3 · Livro Caixa</t>
        </is>
      </c>
    </row>
    <row r="125">
      <c r="A125" s="17" t="n">
        <v>46170</v>
      </c>
      <c r="B125" s="18" t="inlineStr">
        <is>
          <t>Eversoft Ind e Com de Plasticos Ltda</t>
        </is>
      </c>
      <c r="C125" s="18" t="n"/>
      <c r="D125" s="27" t="n"/>
      <c r="E125" s="18" t="n"/>
      <c r="F125" s="19" t="n"/>
      <c r="G125" s="19" t="n">
        <v>878.9299999999999</v>
      </c>
      <c r="H125" s="21" t="inlineStr">
        <is>
          <t>Fornecedores / Mercadoria</t>
        </is>
      </c>
      <c r="I125" s="18" t="inlineStr">
        <is>
          <t>NF 69886 de 30/12/2025 · parcela 5/5 (venc. 29/05/2026) · compra total R$ 4.394,61: 100x Refil Everest · Livro Caixa</t>
        </is>
      </c>
      <c r="J125" s="18" t="n"/>
    </row>
    <row r="126">
      <c r="A126" s="44" t="n">
        <v>46171</v>
      </c>
      <c r="B126" s="45" t="inlineStr">
        <is>
          <t>Mesquita Maia Atendimento Medico e Odontologico Ltada-Me</t>
        </is>
      </c>
      <c r="C126" s="45" t="inlineStr">
        <is>
          <t>Refil Everest</t>
        </is>
      </c>
      <c r="D126" s="46" t="n">
        <v>140</v>
      </c>
      <c r="E126" s="45" t="inlineStr">
        <is>
          <t>Dinheiro</t>
        </is>
      </c>
      <c r="F126" s="47" t="n"/>
      <c r="G126" s="48" t="n"/>
      <c r="H126" s="49" t="n"/>
      <c r="I126" s="45" t="inlineStr">
        <is>
          <t>NF-e 4209</t>
        </is>
      </c>
    </row>
    <row r="127">
      <c r="A127" s="17" t="n">
        <v>46171</v>
      </c>
      <c r="B127" s="18" t="inlineStr">
        <is>
          <t>Fernandes Guerra Fisioterapia Ltda</t>
        </is>
      </c>
      <c r="C127" s="18" t="inlineStr">
        <is>
          <t>Refil Everest</t>
        </is>
      </c>
      <c r="D127" s="27" t="n">
        <v>140</v>
      </c>
      <c r="E127" s="18" t="inlineStr">
        <is>
          <t>Pix</t>
        </is>
      </c>
      <c r="F127" s="19" t="n"/>
      <c r="G127" s="19" t="n"/>
      <c r="H127" s="21" t="n"/>
      <c r="I127" s="18" t="inlineStr">
        <is>
          <t>NF-e 4210</t>
        </is>
      </c>
      <c r="J127" s="18" t="n"/>
    </row>
    <row r="128" ht="15.75" customHeight="1" s="157">
      <c r="A128" s="44" t="n">
        <v>46171</v>
      </c>
      <c r="B128" s="45" t="inlineStr">
        <is>
          <t>Verdes Mares Tintas</t>
        </is>
      </c>
      <c r="C128" s="45" t="inlineStr">
        <is>
          <t>Refil Pro Life</t>
        </is>
      </c>
      <c r="D128" s="46" t="n">
        <v>135</v>
      </c>
      <c r="E128" s="45" t="inlineStr">
        <is>
          <t>Dinheiro</t>
        </is>
      </c>
      <c r="F128" s="47" t="n"/>
      <c r="G128" s="48" t="n"/>
      <c r="H128" s="49" t="n"/>
      <c r="I128" s="45" t="inlineStr">
        <is>
          <t>NF-e 4211</t>
        </is>
      </c>
      <c r="J128" t="inlineStr">
        <is>
          <t>EMP-0303</t>
        </is>
      </c>
    </row>
    <row r="129">
      <c r="A129" s="17" t="n">
        <v>46171</v>
      </c>
      <c r="B129" s="18" t="inlineStr">
        <is>
          <t>Airton Vieira Costa</t>
        </is>
      </c>
      <c r="C129" s="18" t="inlineStr">
        <is>
          <t>Purificador Everest Fit Branco</t>
        </is>
      </c>
      <c r="D129" s="27" t="n">
        <v>1298</v>
      </c>
      <c r="E129" s="18" t="inlineStr">
        <is>
          <t>Dinheiro</t>
        </is>
      </c>
      <c r="F129" s="19" t="n"/>
      <c r="G129" s="19" t="n"/>
      <c r="H129" s="21" t="n"/>
      <c r="I129" s="18" t="inlineStr">
        <is>
          <t>NF-e 4212</t>
        </is>
      </c>
      <c r="J129" s="18" t="inlineStr">
        <is>
          <t>CLI-0837</t>
        </is>
      </c>
    </row>
    <row r="130">
      <c r="A130" s="44" t="n">
        <v>46171</v>
      </c>
      <c r="B130" s="45" t="inlineStr">
        <is>
          <t>Apec - Sociedade Potiguar de Educacao e Cultura Ltda</t>
        </is>
      </c>
      <c r="C130" s="45" t="inlineStr">
        <is>
          <t>8x Refil IBBL C+3 + 8x Pré Filtro IBBL + 6x Elemento Filtrante;P/Agua;Carvao Ativado;72X154Mm;Ef/Ef-200</t>
        </is>
      </c>
      <c r="D130" s="46" t="n">
        <v>3040</v>
      </c>
      <c r="E130" s="45" t="inlineStr">
        <is>
          <t>Pix</t>
        </is>
      </c>
      <c r="F130" s="47" t="n"/>
      <c r="G130" s="48" t="n"/>
      <c r="H130" s="49" t="n"/>
      <c r="I130" s="45" t="inlineStr">
        <is>
          <t>NF-e 4170 · Grupo Ânima — venda de 23/04/2026, Nota Paga no portal V360 em 29/05/2026. Recebimento não constava no Livro Caixa; baixa dada no DigiSat em 28/09/2026.</t>
        </is>
      </c>
    </row>
    <row r="131">
      <c r="A131" s="17" t="n">
        <v>46172</v>
      </c>
      <c r="B131" s="18" t="inlineStr">
        <is>
          <t>Consumidor Final</t>
        </is>
      </c>
      <c r="C131" s="18" t="inlineStr">
        <is>
          <t>Conexao Reta Rosca 1/2 Bspt P/Tubo 1/4 Pol Branca + Mangueira (2 m)</t>
        </is>
      </c>
      <c r="D131" s="27" t="n">
        <v>45</v>
      </c>
      <c r="E131" s="18" t="inlineStr">
        <is>
          <t>Dinheiro</t>
        </is>
      </c>
      <c r="F131" s="19" t="n"/>
      <c r="G131" s="19" t="n"/>
      <c r="H131" s="21" t="n"/>
      <c r="I131" s="18" t="inlineStr">
        <is>
          <t>NFC-e 9081</t>
        </is>
      </c>
      <c r="J131" s="18" t="n"/>
    </row>
    <row r="132">
      <c r="A132" s="44" t="n">
        <v>46172</v>
      </c>
      <c r="B132" s="45" t="inlineStr">
        <is>
          <t>Consumidor Final</t>
        </is>
      </c>
      <c r="C132" s="45" t="inlineStr">
        <is>
          <t>Refil FP4</t>
        </is>
      </c>
      <c r="D132" s="46" t="n">
        <v>90</v>
      </c>
      <c r="E132" s="45" t="inlineStr">
        <is>
          <t>Crédito Parcelado</t>
        </is>
      </c>
      <c r="F132" s="47" t="n"/>
      <c r="G132" s="48" t="n"/>
      <c r="H132" s="49" t="n"/>
      <c r="I132" s="45" t="inlineStr">
        <is>
          <t>NFC-e 9082</t>
        </is>
      </c>
    </row>
    <row r="133">
      <c r="A133" s="29" t="n"/>
      <c r="B133" s="43" t="inlineStr">
        <is>
          <t>TOTAL DO MÊS</t>
        </is>
      </c>
      <c r="C133" s="160" t="n"/>
      <c r="D133" s="8">
        <f>SUM(D5:D132)</f>
        <v/>
      </c>
      <c r="E133" s="8" t="n"/>
      <c r="F133" s="29">
        <f>SUM(F5:F132)</f>
        <v/>
      </c>
      <c r="G133" s="8">
        <f>SUM(G5:G132)</f>
        <v/>
      </c>
      <c r="H133" s="29" t="n"/>
      <c r="I133" s="29" t="n"/>
    </row>
    <row r="134">
      <c r="A134" s="30" t="n"/>
      <c r="B134" s="133" t="inlineStr">
        <is>
          <t>SALDO DO MÊS (Entradas líquidas − Despesas da loja)</t>
        </is>
      </c>
      <c r="D134" s="132">
        <f>(D133-F133-T5)-(L18-L19)</f>
        <v/>
      </c>
      <c r="F134" s="30" t="n"/>
      <c r="H134" s="30" t="n"/>
      <c r="I134" s="30" t="n"/>
    </row>
    <row r="149" ht="15.75" customHeight="1" s="157"/>
    <row r="165">
      <c r="K165" s="13" t="n"/>
      <c r="L165" s="14" t="n"/>
    </row>
    <row r="166">
      <c r="K166" s="42" t="n"/>
      <c r="L166" s="8" t="n"/>
    </row>
    <row r="167">
      <c r="K167" s="31" t="n"/>
      <c r="L167" s="31" t="n"/>
    </row>
    <row r="168">
      <c r="K168" s="31" t="n"/>
      <c r="L168" s="31" t="n"/>
    </row>
    <row r="173" ht="15.75" customHeight="1" s="157"/>
    <row r="176" ht="15.75" customHeight="1" s="157"/>
    <row r="184" ht="15.75" customHeight="1" s="157"/>
    <row r="185">
      <c r="K185" s="31" t="n"/>
      <c r="L185" s="31" t="n"/>
    </row>
    <row r="186" ht="15.75" customHeight="1" s="157">
      <c r="K186" s="31" t="n"/>
      <c r="L186" s="31" t="n"/>
    </row>
    <row r="187">
      <c r="K187" s="31" t="n"/>
      <c r="L187" s="31" t="n"/>
    </row>
    <row r="188">
      <c r="K188" s="31" t="n"/>
      <c r="L188" s="31" t="n"/>
    </row>
    <row r="189">
      <c r="K189" s="31" t="n"/>
      <c r="L189" s="31" t="n"/>
    </row>
  </sheetData>
  <mergeCells count="19">
    <mergeCell ref="P4:Q4"/>
    <mergeCell ref="P8:Q9"/>
    <mergeCell ref="T8:U9"/>
    <mergeCell ref="N7:O7"/>
    <mergeCell ref="R4:S4"/>
    <mergeCell ref="T4:U4"/>
    <mergeCell ref="A2:I2"/>
    <mergeCell ref="R7:S7"/>
    <mergeCell ref="P5:Q6"/>
    <mergeCell ref="R5:S6"/>
    <mergeCell ref="R8:S9"/>
    <mergeCell ref="P7:Q7"/>
    <mergeCell ref="T5:U6"/>
    <mergeCell ref="T7:U7"/>
    <mergeCell ref="A1:I1"/>
    <mergeCell ref="K4:L4"/>
    <mergeCell ref="N5:O6"/>
    <mergeCell ref="N4:O4"/>
    <mergeCell ref="N8:O9"/>
  </mergeCells>
  <conditionalFormatting sqref="R7:S7">
    <cfRule type="expression" priority="1" dxfId="1">
      <formula>LEFT($R$7,6)="PASSOU"</formula>
    </cfRule>
  </conditionalFormatting>
  <conditionalFormatting sqref="R8:S9">
    <cfRule type="expression" priority="2" dxfId="0">
      <formula>LEFT($R$7,6)="PASSOU"</formula>
    </cfRule>
  </conditionalFormatting>
  <conditionalFormatting sqref="T8:U9">
    <cfRule type="cellIs" priority="3" operator="lessThan" dxfId="0">
      <formula>0</formula>
    </cfRule>
  </conditionalFormatting>
  <conditionalFormatting sqref="R5:S6">
    <cfRule type="cellIs" priority="4" operator="lessThan" dxfId="0">
      <formula>0</formula>
    </cfRule>
  </conditionalFormatting>
  <dataValidations count="2">
    <dataValidation sqref="E5:E132" showDropDown="0" showInputMessage="0" showErrorMessage="0" allowBlank="1" type="list">
      <formula1>"Dinheiro,Pix,Débito,Crédito à Vista,Crédito Parcelado,Aguardando Pagamento"</formula1>
    </dataValidation>
    <dataValidation sqref="H5:H132" showDropDown="0" showInputMessage="0" showErrorMessage="0" allowBlank="1" type="list">
      <formula1>$K$5:$K$17</formula1>
    </dataValidation>
  </dataValidations>
  <hyperlinks>
    <hyperlink ref="A3" location="'Início'!A1" display="← Início"/>
  </hyperlink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tabColor rgb="FF6B46C1"/>
    <outlinePr summaryBelow="1" summaryRight="1"/>
    <pageSetUpPr/>
  </sheetPr>
  <dimension ref="A1:U18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13" bestFit="1" customWidth="1" style="157" min="1" max="1"/>
    <col width="42" customWidth="1" style="157" min="2" max="2"/>
    <col width="26" customWidth="1" style="157" min="3" max="3"/>
    <col width="14" customWidth="1" style="157" min="4" max="4"/>
    <col width="20" customWidth="1" style="157" min="5" max="5"/>
    <col width="16" customWidth="1" style="157" min="6" max="6"/>
    <col width="14" customWidth="1" style="157" min="7" max="7"/>
    <col width="26" customWidth="1" style="157" min="8" max="8"/>
    <col width="30" customWidth="1" style="157" min="9" max="9"/>
    <col width="11" customWidth="1" style="157" min="10" max="10"/>
    <col width="30" customWidth="1" style="157" min="11" max="11"/>
    <col width="14" customWidth="1" style="157" min="12" max="12"/>
    <col width="3" customWidth="1" style="157" min="13" max="13"/>
    <col width="13" customWidth="1" style="157" min="14" max="21"/>
  </cols>
  <sheetData>
    <row r="1" ht="25.5" customHeight="1" s="157">
      <c r="A1" s="223" t="inlineStr">
        <is>
          <t>RELATÓRIO FINANCEIRO — JUNHO / 2026</t>
        </is>
      </c>
    </row>
    <row r="2">
      <c r="A2" s="228" t="inlineStr">
        <is>
          <t>Fluxo de caixa da loja — entradas montadas a partir das notas fiscais (XML do DigiSat), com cliente e produtos; saídas do Livro Caixa</t>
        </is>
      </c>
    </row>
    <row r="3">
      <c r="A3" s="127" t="inlineStr">
        <is>
          <t>← Início</t>
        </is>
      </c>
    </row>
    <row r="4" ht="20.1" customHeight="1" s="157">
      <c r="A4" s="1" t="inlineStr">
        <is>
          <t>Data</t>
        </is>
      </c>
      <c r="B4" s="1" t="inlineStr">
        <is>
          <t>Descrição / Cliente</t>
        </is>
      </c>
      <c r="C4" s="1" t="inlineStr">
        <is>
          <t>Produto</t>
        </is>
      </c>
      <c r="D4" s="1" t="inlineStr">
        <is>
          <t>Entrada (R$)</t>
        </is>
      </c>
      <c r="E4" s="1" t="inlineStr">
        <is>
          <t>Forma de Pagamento</t>
        </is>
      </c>
      <c r="F4" s="1" t="inlineStr">
        <is>
          <t>Taxa da Máquina (R$)</t>
        </is>
      </c>
      <c r="G4" s="1" t="inlineStr">
        <is>
          <t>Saída (R$)</t>
        </is>
      </c>
      <c r="H4" s="1" t="inlineStr">
        <is>
          <t>Categoria da Saída</t>
        </is>
      </c>
      <c r="I4" s="1" t="inlineStr">
        <is>
          <t>Observações</t>
        </is>
      </c>
      <c r="J4" s="1" t="inlineStr">
        <is>
          <t>ID Cliente</t>
        </is>
      </c>
      <c r="K4" s="233" t="inlineStr">
        <is>
          <t>Saídas por Categoria</t>
        </is>
      </c>
      <c r="L4" s="160" t="n"/>
      <c r="N4" s="224" t="inlineStr">
        <is>
          <t>FATURAMENTO</t>
        </is>
      </c>
      <c r="P4" s="232" t="inlineStr">
        <is>
          <t>DESPESAS</t>
        </is>
      </c>
      <c r="R4" s="221" t="inlineStr">
        <is>
          <t>SALDO ANTES DO PRÓ-LABORE</t>
        </is>
      </c>
      <c r="T4" s="207" t="inlineStr">
        <is>
          <t>A RECEBER</t>
        </is>
      </c>
    </row>
    <row r="5" ht="14.1" customHeight="1" s="157">
      <c r="A5" s="17" t="n">
        <v>46174</v>
      </c>
      <c r="B5" s="18" t="inlineStr">
        <is>
          <t>Gidionor Andrade dos Santos - Creuza Silva Souza</t>
        </is>
      </c>
      <c r="C5" s="18" t="inlineStr">
        <is>
          <t>Refil Pro Life</t>
        </is>
      </c>
      <c r="D5" s="27" t="n">
        <v>140</v>
      </c>
      <c r="E5" s="18" t="inlineStr">
        <is>
          <t>Dinheiro</t>
        </is>
      </c>
      <c r="F5" s="19" t="n"/>
      <c r="G5" s="19" t="n"/>
      <c r="H5" s="21" t="n"/>
      <c r="I5" s="18" t="inlineStr">
        <is>
          <t>NFC-e 9083</t>
        </is>
      </c>
      <c r="J5" s="18" t="inlineStr">
        <is>
          <t>CLI-0838</t>
        </is>
      </c>
      <c r="K5" s="10" t="inlineStr">
        <is>
          <t>Fornecedores / Mercadoria</t>
        </is>
      </c>
      <c r="L5" s="11">
        <f>SUMIF(H5:H120,K5,G5:G120)</f>
        <v/>
      </c>
      <c r="N5" s="229">
        <f>D121-F121-T5</f>
        <v/>
      </c>
      <c r="P5" s="231">
        <f>L18-L19</f>
        <v/>
      </c>
      <c r="R5" s="230">
        <f>D122</f>
        <v/>
      </c>
      <c r="T5" s="212">
        <f>SUMIF(E5:E120,"Aguardando Pagamento",D5:D120)</f>
        <v/>
      </c>
    </row>
    <row r="6" ht="14.1" customHeight="1" s="157">
      <c r="A6" s="44" t="n">
        <v>46174</v>
      </c>
      <c r="B6" s="45" t="inlineStr">
        <is>
          <t>Albuquerque Scardua Serviços Medicos Ltda -  Ameped</t>
        </is>
      </c>
      <c r="C6" s="45" t="inlineStr">
        <is>
          <t>Refil Pro Life + Mangueira (1 m)</t>
        </is>
      </c>
      <c r="D6" s="46" t="n">
        <v>150</v>
      </c>
      <c r="E6" s="45" t="inlineStr">
        <is>
          <t>Pix</t>
        </is>
      </c>
      <c r="F6" s="47" t="n"/>
      <c r="G6" s="48" t="n"/>
      <c r="H6" s="49" t="n"/>
      <c r="I6" s="45" t="inlineStr">
        <is>
          <t>NF-e 4213</t>
        </is>
      </c>
      <c r="J6" t="inlineStr">
        <is>
          <t>EMP-0005</t>
        </is>
      </c>
      <c r="K6" s="13" t="inlineStr">
        <is>
          <t>Aluguel</t>
        </is>
      </c>
      <c r="L6" s="14">
        <f>SUMIF(H5:H120,K6,G5:G120)</f>
        <v/>
      </c>
    </row>
    <row r="7" ht="15.75" customHeight="1" s="157">
      <c r="A7" s="17" t="n">
        <v>46174</v>
      </c>
      <c r="B7" s="18" t="inlineStr">
        <is>
          <t>Maria do Socorro Lima Grassi</t>
        </is>
      </c>
      <c r="C7" s="18" t="inlineStr">
        <is>
          <t>Refil Everest</t>
        </is>
      </c>
      <c r="D7" s="27" t="n">
        <v>140</v>
      </c>
      <c r="E7" s="18" t="inlineStr">
        <is>
          <t>Dinheiro</t>
        </is>
      </c>
      <c r="F7" s="19" t="n"/>
      <c r="G7" s="19" t="n"/>
      <c r="H7" s="21" t="n"/>
      <c r="I7" s="18" t="inlineStr">
        <is>
          <t>NFC-e 9084</t>
        </is>
      </c>
      <c r="J7" s="18" t="inlineStr">
        <is>
          <t>CLI-0839</t>
        </is>
      </c>
      <c r="K7" s="10" t="inlineStr">
        <is>
          <t>Água, Energia e Internet</t>
        </is>
      </c>
      <c r="L7" s="11">
        <f>SUMIF(H5:H120,K7,G5:G120)</f>
        <v/>
      </c>
      <c r="N7" s="249" t="inlineStr">
        <is>
          <t>PRÓ-LABORE EDILÂNIA</t>
        </is>
      </c>
      <c r="P7" s="208" t="inlineStr">
        <is>
          <t>COMBINADO NO MÊS</t>
        </is>
      </c>
      <c r="R7" s="221">
        <f>IF(L17&gt;'Ponto de Equilíbrio'!$B$10,"PASSOU DO COMBINADO",IF(TODAY()&gt;EOMONTH(DATE(2026,6,1),0),"ABAIXO DO COMBINADO","AINDA PODE GASTAR"))</f>
        <v/>
      </c>
      <c r="T7" s="224" t="inlineStr">
        <is>
          <t>SOBRA FINAL DO MÊS</t>
        </is>
      </c>
    </row>
    <row r="8">
      <c r="A8" s="44" t="n">
        <v>46175</v>
      </c>
      <c r="B8" s="45" t="inlineStr">
        <is>
          <t>Eva Lages Matos de Freitas</t>
        </is>
      </c>
      <c r="C8" s="45" t="inlineStr">
        <is>
          <t>(Mesma venda — parcela seguinte, sem produtos novos)</t>
        </is>
      </c>
      <c r="D8" s="46" t="n">
        <v>70</v>
      </c>
      <c r="E8" s="45" t="n"/>
      <c r="F8" s="47" t="n"/>
      <c r="G8" s="48" t="n"/>
      <c r="H8" s="49" t="n"/>
      <c r="I8" s="45" t="inlineStr">
        <is>
          <t>NFC-e 8918 · venda de 07/03/2026, total R$ 140,00 — parcela 2 · nota faturada a prazo (forma de recebimento não consta na nota)</t>
        </is>
      </c>
      <c r="J8" t="inlineStr">
        <is>
          <t>CLI-0741</t>
        </is>
      </c>
      <c r="K8" s="13" t="inlineStr">
        <is>
          <t>Impostos e Taxas</t>
        </is>
      </c>
      <c r="L8" s="14">
        <f>SUMIF(H5:H120,K8,G5:G120)</f>
        <v/>
      </c>
      <c r="N8" s="250">
        <f>L17</f>
        <v/>
      </c>
      <c r="P8" s="215">
        <f>'Ponto de Equilíbrio'!$B$10</f>
        <v/>
      </c>
      <c r="R8" s="205">
        <f>ABS('Ponto de Equilíbrio'!$B$10-L17)</f>
        <v/>
      </c>
      <c r="T8" s="236">
        <f>R5-L17</f>
        <v/>
      </c>
    </row>
    <row r="9">
      <c r="A9" s="17" t="n">
        <v>46176</v>
      </c>
      <c r="B9" s="18" t="inlineStr">
        <is>
          <t>Lojão das Maquiagens</t>
        </is>
      </c>
      <c r="C9" s="18" t="inlineStr">
        <is>
          <t>Refil Everest</t>
        </is>
      </c>
      <c r="D9" s="27" t="n">
        <v>140</v>
      </c>
      <c r="E9" s="18" t="inlineStr">
        <is>
          <t>Dinheiro</t>
        </is>
      </c>
      <c r="F9" s="19" t="n"/>
      <c r="G9" s="19" t="n"/>
      <c r="H9" s="21" t="n"/>
      <c r="I9" s="18" t="inlineStr">
        <is>
          <t>NF-e 4215</t>
        </is>
      </c>
      <c r="J9" s="18" t="inlineStr">
        <is>
          <t>EMP-0207</t>
        </is>
      </c>
      <c r="K9" s="10" t="inlineStr">
        <is>
          <t>Tarifas Bancárias e Cartão</t>
        </is>
      </c>
      <c r="L9" s="11">
        <f>SUMIF(H5:H120,K9,G5:G120)</f>
        <v/>
      </c>
    </row>
    <row r="10">
      <c r="A10" s="44" t="n">
        <v>46176</v>
      </c>
      <c r="B10" s="45" t="inlineStr">
        <is>
          <t>Jidalva Freitas Silva</t>
        </is>
      </c>
      <c r="C10" s="45" t="inlineStr">
        <is>
          <t>Refil Pro Life</t>
        </is>
      </c>
      <c r="D10" s="46" t="n">
        <v>140</v>
      </c>
      <c r="E10" s="45" t="inlineStr">
        <is>
          <t>Pix</t>
        </is>
      </c>
      <c r="F10" s="47" t="n"/>
      <c r="G10" s="48" t="n"/>
      <c r="H10" s="49" t="n"/>
      <c r="I10" s="45" t="inlineStr">
        <is>
          <t>NFC-e 9085</t>
        </is>
      </c>
      <c r="J10" t="inlineStr">
        <is>
          <t>CLI-0840</t>
        </is>
      </c>
      <c r="K10" s="13" t="inlineStr">
        <is>
          <t>Transporte e Entregas</t>
        </is>
      </c>
      <c r="L10" s="14">
        <f>SUMIF(H5:H120,K10,G5:G120)</f>
        <v/>
      </c>
    </row>
    <row r="11">
      <c r="A11" s="17" t="n">
        <v>46176</v>
      </c>
      <c r="B11" s="18" t="inlineStr">
        <is>
          <t>Ricardo Alcantara Mesquita</t>
        </is>
      </c>
      <c r="C11" s="18" t="inlineStr">
        <is>
          <t>Refil Everest</t>
        </is>
      </c>
      <c r="D11" s="27" t="n">
        <v>140</v>
      </c>
      <c r="E11" s="18" t="inlineStr">
        <is>
          <t>Crédito Parcelado</t>
        </is>
      </c>
      <c r="F11" s="19" t="n"/>
      <c r="G11" s="19" t="n"/>
      <c r="H11" s="21" t="n"/>
      <c r="I11" s="18" t="inlineStr">
        <is>
          <t>NFC-e 9086</t>
        </is>
      </c>
      <c r="J11" s="18" t="n"/>
      <c r="K11" s="10" t="inlineStr">
        <is>
          <t>Salários, Comissões e Encargos</t>
        </is>
      </c>
      <c r="L11" s="11">
        <f>SUMIF(H5:H120,K11,G5:G120)</f>
        <v/>
      </c>
    </row>
    <row r="12">
      <c r="A12" s="44" t="n">
        <v>46176</v>
      </c>
      <c r="B12" s="45" t="inlineStr">
        <is>
          <t>Consumidor Final</t>
        </is>
      </c>
      <c r="C12" s="45" t="inlineStr">
        <is>
          <t>Refil Everest</t>
        </is>
      </c>
      <c r="D12" s="46" t="n">
        <v>140</v>
      </c>
      <c r="E12" s="45" t="inlineStr">
        <is>
          <t>Pix</t>
        </is>
      </c>
      <c r="F12" s="47" t="n"/>
      <c r="G12" s="48" t="n"/>
      <c r="H12" s="49" t="n"/>
      <c r="I12" s="45" t="inlineStr">
        <is>
          <t>NFC-e 9087</t>
        </is>
      </c>
      <c r="K12" s="13" t="inlineStr">
        <is>
          <t>Contabilidade</t>
        </is>
      </c>
      <c r="L12" s="14">
        <f>SUMIF(H5:H120,K12,G5:G120)</f>
        <v/>
      </c>
    </row>
    <row r="13">
      <c r="A13" s="17" t="n">
        <v>46177</v>
      </c>
      <c r="B13" s="18" t="inlineStr">
        <is>
          <t>Ages Empreendimentos Educacionais Ltda</t>
        </is>
      </c>
      <c r="C13" s="18" t="inlineStr">
        <is>
          <t>8x Pré Filtro IBBL + 8x Refil IBBL C+3</t>
        </is>
      </c>
      <c r="D13" s="27" t="n">
        <v>2160</v>
      </c>
      <c r="E13" s="18" t="inlineStr">
        <is>
          <t>Pix</t>
        </is>
      </c>
      <c r="F13" s="19" t="n"/>
      <c r="G13" s="19" t="n"/>
      <c r="H13" s="21" t="n"/>
      <c r="I13" s="18" t="inlineStr">
        <is>
          <t>NF-e 4178 · Grupo Ânima — venda de 29/04/2026, Nota Paga no portal V360 em 04/06/2026. Recebimento não constava no Livro Caixa; baixa dada no DigiSat em 28/09/2026.</t>
        </is>
      </c>
      <c r="J13" s="18" t="n"/>
      <c r="K13" s="10" t="inlineStr">
        <is>
          <t>Manutenção e Reparos</t>
        </is>
      </c>
      <c r="L13" s="11">
        <f>SUMIF(H5:H120,K13,G5:G120)</f>
        <v/>
      </c>
    </row>
    <row r="14" ht="15.75" customHeight="1" s="157">
      <c r="A14" s="44" t="n">
        <v>46178</v>
      </c>
      <c r="B14" s="45" t="inlineStr">
        <is>
          <t>Gabriela Ferreira Gama</t>
        </is>
      </c>
      <c r="C14" s="45" t="inlineStr">
        <is>
          <t>Purificador Everest Slim Branco</t>
        </is>
      </c>
      <c r="D14" s="46" t="n">
        <v>1398</v>
      </c>
      <c r="E14" s="45" t="inlineStr">
        <is>
          <t>Dinheiro</t>
        </is>
      </c>
      <c r="F14" s="47" t="n"/>
      <c r="G14" s="48" t="n"/>
      <c r="H14" s="49" t="n"/>
      <c r="I14" s="45" t="inlineStr">
        <is>
          <t>NF-e 4218</t>
        </is>
      </c>
      <c r="J14" t="inlineStr">
        <is>
          <t>CLI-0848</t>
        </is>
      </c>
      <c r="K14" s="13" t="inlineStr">
        <is>
          <t>Material de Limpeza e Escritório</t>
        </is>
      </c>
      <c r="L14" s="14">
        <f>SUMIF(H5:H120,K14,G5:G120)</f>
        <v/>
      </c>
    </row>
    <row r="15" ht="15.75" customHeight="1" s="157">
      <c r="A15" s="17" t="n">
        <v>46178</v>
      </c>
      <c r="B15" s="18" t="inlineStr">
        <is>
          <t>Consumidor Final</t>
        </is>
      </c>
      <c r="C15" s="18" t="inlineStr">
        <is>
          <t>Refil Universal</t>
        </is>
      </c>
      <c r="D15" s="27" t="n">
        <v>30</v>
      </c>
      <c r="E15" s="18" t="inlineStr">
        <is>
          <t>Débito</t>
        </is>
      </c>
      <c r="F15" s="19" t="n"/>
      <c r="G15" s="19" t="n"/>
      <c r="H15" s="21" t="n"/>
      <c r="I15" s="18" t="inlineStr">
        <is>
          <t>NFC-e 9088</t>
        </is>
      </c>
      <c r="J15" s="18" t="n"/>
      <c r="K15" s="10" t="inlineStr">
        <is>
          <t>Estornos de Vendas (Cancelamentos)</t>
        </is>
      </c>
      <c r="L15" s="11">
        <f>SUMIF(H5:H120,K15,G5:G120)</f>
        <v/>
      </c>
    </row>
    <row r="16">
      <c r="A16" s="44" t="n">
        <v>46178</v>
      </c>
      <c r="B16" s="45" t="inlineStr">
        <is>
          <t>Consumidor Final</t>
        </is>
      </c>
      <c r="C16" s="45" t="inlineStr">
        <is>
          <t>Refil Pro Life</t>
        </is>
      </c>
      <c r="D16" s="46" t="n">
        <v>35</v>
      </c>
      <c r="E16" s="45" t="inlineStr">
        <is>
          <t>Dinheiro</t>
        </is>
      </c>
      <c r="F16" s="47" t="n"/>
      <c r="G16" s="48" t="n"/>
      <c r="H16" s="49" t="n"/>
      <c r="I16" s="45" t="inlineStr">
        <is>
          <t>NFC-e 9089</t>
        </is>
      </c>
      <c r="K16" t="inlineStr">
        <is>
          <t>Outras Despesas</t>
        </is>
      </c>
      <c r="L16" s="11">
        <f>SUMIF(H5:H120,K16,G5:G120)</f>
        <v/>
      </c>
    </row>
    <row r="17" ht="15.75" customHeight="1" s="157">
      <c r="A17" s="17" t="n">
        <v>46178</v>
      </c>
      <c r="B17" s="18" t="inlineStr">
        <is>
          <t>Reinaldo de Jesus - Elizete</t>
        </is>
      </c>
      <c r="C17" s="18" t="inlineStr">
        <is>
          <t>Refil Everest + Registro</t>
        </is>
      </c>
      <c r="D17" s="27" t="n">
        <v>170</v>
      </c>
      <c r="E17" s="18" t="inlineStr">
        <is>
          <t>Pix</t>
        </is>
      </c>
      <c r="F17" s="19" t="n"/>
      <c r="G17" s="19" t="n"/>
      <c r="H17" s="21" t="n"/>
      <c r="I17" s="18" t="inlineStr">
        <is>
          <t>NFC-e 9090</t>
        </is>
      </c>
      <c r="J17" s="18" t="inlineStr">
        <is>
          <t>CLI-0842</t>
        </is>
      </c>
      <c r="K17" t="inlineStr">
        <is>
          <t>Pro Labore Edilânia</t>
        </is>
      </c>
      <c r="L17">
        <f>SUMIF(H5:H120,K17,G5:G120)</f>
        <v/>
      </c>
    </row>
    <row r="18" ht="15.75" customHeight="1" s="157">
      <c r="A18" s="44" t="n">
        <v>46178</v>
      </c>
      <c r="B18" s="45" t="inlineStr">
        <is>
          <t>Bio Imagem Serviço de Diagnostico - Copa</t>
        </is>
      </c>
      <c r="C18" s="45" t="inlineStr">
        <is>
          <t>2x Refil Everest</t>
        </is>
      </c>
      <c r="D18" s="46" t="n">
        <v>200</v>
      </c>
      <c r="E18" s="45" t="n"/>
      <c r="F18" s="47" t="n"/>
      <c r="G18" s="48" t="n"/>
      <c r="H18" s="49" t="n"/>
      <c r="I18" s="45" t="inlineStr">
        <is>
          <t>NF-e 4219 · venda de 05/06/2026, total R$ 280,00 — parcela 1 · nota faturada a prazo (forma de recebimento não consta na nota)</t>
        </is>
      </c>
      <c r="J18" t="inlineStr">
        <is>
          <t>EMP-0030</t>
        </is>
      </c>
      <c r="K18" t="inlineStr">
        <is>
          <t>Total</t>
        </is>
      </c>
      <c r="L18">
        <f>SUM(L5:L16)</f>
        <v/>
      </c>
    </row>
    <row r="19">
      <c r="A19" s="17" t="n">
        <v>46178</v>
      </c>
      <c r="B19" s="18" t="inlineStr">
        <is>
          <t>Ages Empreendimentos Educacionais Ltda</t>
        </is>
      </c>
      <c r="C19" s="18" t="inlineStr">
        <is>
          <t>8x Pré Filtro IBBL + 8x Refil IBBL C+3</t>
        </is>
      </c>
      <c r="D19" s="27" t="n">
        <v>2160</v>
      </c>
      <c r="E19" s="18" t="inlineStr">
        <is>
          <t>Pix</t>
        </is>
      </c>
      <c r="F19" s="19" t="n"/>
      <c r="G19" s="19" t="n"/>
      <c r="H19" s="21" t="n"/>
      <c r="I19" s="18" t="inlineStr">
        <is>
          <t>NF-e 4180 · Grupo Ânima — venda de 30/04/2026, Nota Paga no portal V360 em 05/06/2026. Recebimento não constava no Livro Caixa; baixa dada no DigiSat em 28/09/2026.</t>
        </is>
      </c>
      <c r="J19" s="18" t="n"/>
      <c r="K19" t="inlineStr">
        <is>
          <t>Capital de Giro (BB) — ainda a devolver</t>
        </is>
      </c>
      <c r="L19" s="32">
        <f>SUMIFS('Capital de Giro (BB)'!D9:D200,'Capital de Giro (BB)'!A9:A200,"&gt;="&amp;DATE(2026,6,1),'Capital de Giro (BB)'!A9:A200,"&lt;="&amp;DATE(2026,6,30),'Capital de Giro (BB)'!E9:E200,"A Devolver")</f>
        <v/>
      </c>
    </row>
    <row r="20">
      <c r="A20" s="44" t="n">
        <v>46178</v>
      </c>
      <c r="B20" s="45" t="inlineStr">
        <is>
          <t>Filtros Planeta Agua Ind e Com Ltda</t>
        </is>
      </c>
      <c r="C20" s="45" t="n"/>
      <c r="D20" s="46" t="n"/>
      <c r="E20" s="45" t="n"/>
      <c r="F20" s="47" t="n"/>
      <c r="G20" s="48" t="n">
        <v>504.43</v>
      </c>
      <c r="H20" s="49" t="inlineStr">
        <is>
          <t>Fornecedores / Mercadoria</t>
        </is>
      </c>
      <c r="I20" s="45" t="inlineStr">
        <is>
          <t>NF 128882 de 23/03/2026 · parcela 4/4 (venc. 01/06/2026) · compra total R$ 2.113,93 (IPI R$ 96,20): 25x Refil Pro Life + 2x Refil Top Color + 10x Refil Carbon Tech 9.3/4 Pol + 15x Refil Poli Flu Plissado 9.3/4 + 20x Refil E3 + 3x Carcaca Fit 9.3/4 Pol Branca + 15x Conexão T + Mangueira · Livro Caixa</t>
        </is>
      </c>
    </row>
    <row r="21">
      <c r="A21" s="17" t="n">
        <v>46178</v>
      </c>
      <c r="B21" s="18" t="inlineStr">
        <is>
          <t>Eversoft Ind e Com de Plasticos Ltda</t>
        </is>
      </c>
      <c r="C21" s="18" t="n"/>
      <c r="D21" s="27" t="n"/>
      <c r="E21" s="18" t="n"/>
      <c r="F21" s="19" t="n"/>
      <c r="G21" s="19" t="n">
        <v>878.92</v>
      </c>
      <c r="H21" s="21" t="inlineStr">
        <is>
          <t>Fornecedores / Mercadoria</t>
        </is>
      </c>
      <c r="I21" s="18" t="inlineStr">
        <is>
          <t>NF 72153 de 02/04/2026 · parcela 2/5 (venc. 01/06/2026) · compra total R$ 4.394,61: 100x Refil Everest · Livro Caixa</t>
        </is>
      </c>
      <c r="J21" s="18" t="n"/>
    </row>
    <row r="22">
      <c r="A22" s="44" t="n">
        <v>46178</v>
      </c>
      <c r="B22" s="45" t="inlineStr">
        <is>
          <t>Aluguel Vitoria Maria</t>
        </is>
      </c>
      <c r="C22" s="45" t="n"/>
      <c r="D22" s="46" t="n"/>
      <c r="E22" s="45" t="n"/>
      <c r="F22" s="47" t="n"/>
      <c r="G22" s="48" t="n">
        <v>870</v>
      </c>
      <c r="H22" s="49" t="inlineStr">
        <is>
          <t>Aluguel</t>
        </is>
      </c>
      <c r="I22" s="45" t="inlineStr">
        <is>
          <t>Livro Caixa: Pagamento parcela ALUGUEL VITORIA MARIA (Doc. 1) · Vitoria Maria F Santos</t>
        </is>
      </c>
    </row>
    <row r="23">
      <c r="A23" s="17" t="n">
        <v>46178</v>
      </c>
      <c r="B23" s="18" t="inlineStr">
        <is>
          <t>Documento de Arrecadação de Receitas Fed</t>
        </is>
      </c>
      <c r="C23" s="18" t="n"/>
      <c r="D23" s="27" t="n"/>
      <c r="E23" s="18" t="n"/>
      <c r="F23" s="19" t="n"/>
      <c r="G23" s="19" t="n">
        <v>430.27</v>
      </c>
      <c r="H23" s="21" t="inlineStr">
        <is>
          <t>Impostos e Taxas</t>
        </is>
      </c>
      <c r="I23" s="18" t="inlineStr">
        <is>
          <t>Livro Caixa: Pagamento à vista: DOCUMENTO DE ARRECADAÇÃO DE RECEITAS FED · Ministerio da Fazenda</t>
        </is>
      </c>
      <c r="J23" s="18" t="n"/>
    </row>
    <row r="24">
      <c r="A24" s="44" t="n">
        <v>46178</v>
      </c>
      <c r="B24" s="45" t="inlineStr">
        <is>
          <t>Coelba Loja</t>
        </is>
      </c>
      <c r="C24" s="45" t="n"/>
      <c r="D24" s="46" t="n"/>
      <c r="E24" s="45" t="n"/>
      <c r="F24" s="47" t="n"/>
      <c r="G24" s="48" t="n">
        <v>150.65</v>
      </c>
      <c r="H24" s="49" t="inlineStr">
        <is>
          <t>Água, Energia e Internet</t>
        </is>
      </c>
      <c r="I24" s="45" t="inlineStr">
        <is>
          <t>Livro Caixa: Pagamento parcela COELBA LOJA (Doc. 1) · Companhia de Eletricidade do Estado da Bahia Coelba</t>
        </is>
      </c>
    </row>
    <row r="25">
      <c r="A25" s="17" t="n">
        <v>46178</v>
      </c>
      <c r="B25" s="18" t="inlineStr">
        <is>
          <t>Everest Refrigeracao e Industria</t>
        </is>
      </c>
      <c r="C25" s="18" t="n"/>
      <c r="D25" s="27" t="n"/>
      <c r="E25" s="18" t="n"/>
      <c r="F25" s="19" t="n"/>
      <c r="G25" s="19" t="n">
        <v>706.65</v>
      </c>
      <c r="H25" s="21" t="inlineStr">
        <is>
          <t>Fornecedores / Mercadoria</t>
        </is>
      </c>
      <c r="I25" s="18" t="inlineStr">
        <is>
          <t>NF 374271 de 06/04/2026 · parcela 2/5 (venc. 05/06/2026) · compra total R$ 3.533,27: Purificador Everest Plus Prata + Purificador Everest Star Branco + Purificador Everest Star Preto + Purificador Everest Slim Prata + Purificador Everest Fit Branco · Livro Caixa</t>
        </is>
      </c>
      <c r="J25" s="18" t="n"/>
    </row>
    <row r="26">
      <c r="A26" s="44" t="n">
        <v>46178</v>
      </c>
      <c r="B26" s="45" t="inlineStr">
        <is>
          <t>Filtros Planeta Agua Ind e Com Ltda</t>
        </is>
      </c>
      <c r="C26" s="45" t="n"/>
      <c r="D26" s="46" t="n"/>
      <c r="E26" s="45" t="n"/>
      <c r="F26" s="47" t="n"/>
      <c r="G26" s="48" t="n">
        <v>804.71</v>
      </c>
      <c r="H26" s="49" t="inlineStr">
        <is>
          <t>Fornecedores / Mercadoria</t>
        </is>
      </c>
      <c r="I26" s="45" t="inlineStr">
        <is>
          <t>NF 130510 de 08/05/2026 · parcela 1/4 (venc. 05/06/2026) · compra total R$ 2.803,16 (IPI R$ 138,56): 50x Refil Pro Life + 3x Refil Top Color + 5x Refil Acquatec + 5x Refil Fp4 + 6x Refil Carbon Tech 9.3/4 Pol + 6x Refil Poli Flu Plissado 9.3/4 + 5x Refil E3 + 5x Refil Top Multifilter + 3x Refil Top Color Fast + 5x Refil Fpa14 · Livro Caixa</t>
        </is>
      </c>
    </row>
    <row r="27">
      <c r="A27" s="17" t="n">
        <v>46179</v>
      </c>
      <c r="B27" s="18" t="inlineStr">
        <is>
          <t>Consumidor Final</t>
        </is>
      </c>
      <c r="C27" s="18" t="inlineStr">
        <is>
          <t>Mangueira (1 m)</t>
        </is>
      </c>
      <c r="D27" s="27" t="n">
        <v>10</v>
      </c>
      <c r="E27" s="18" t="inlineStr">
        <is>
          <t>Dinheiro</t>
        </is>
      </c>
      <c r="F27" s="19" t="n"/>
      <c r="G27" s="19" t="n"/>
      <c r="H27" s="21" t="n"/>
      <c r="I27" s="18" t="inlineStr">
        <is>
          <t>NFC-e 9091</t>
        </is>
      </c>
      <c r="J27" s="18" t="n"/>
    </row>
    <row r="28">
      <c r="A28" s="44" t="n">
        <v>46179</v>
      </c>
      <c r="B28" s="45" t="inlineStr">
        <is>
          <t>Consumidor Final</t>
        </is>
      </c>
      <c r="C28" s="45" t="inlineStr">
        <is>
          <t>Mangueira (1 m)</t>
        </is>
      </c>
      <c r="D28" s="46" t="n">
        <v>10</v>
      </c>
      <c r="E28" s="45" t="inlineStr">
        <is>
          <t>Pix</t>
        </is>
      </c>
      <c r="F28" s="47" t="n"/>
      <c r="G28" s="48" t="n"/>
      <c r="H28" s="49" t="n"/>
      <c r="I28" s="45" t="inlineStr">
        <is>
          <t>NFC-e 9092</t>
        </is>
      </c>
    </row>
    <row r="29" ht="15.75" customHeight="1" s="157">
      <c r="A29" s="17" t="n">
        <v>46179</v>
      </c>
      <c r="B29" s="18" t="inlineStr">
        <is>
          <t>Consumidor Final</t>
        </is>
      </c>
      <c r="C29" s="18" t="inlineStr">
        <is>
          <t>Refil FP4</t>
        </is>
      </c>
      <c r="D29" s="27" t="n">
        <v>80</v>
      </c>
      <c r="E29" s="18" t="inlineStr">
        <is>
          <t>Pix</t>
        </is>
      </c>
      <c r="F29" s="19" t="n"/>
      <c r="G29" s="19" t="n"/>
      <c r="H29" s="21" t="n"/>
      <c r="I29" s="18" t="inlineStr">
        <is>
          <t>NFC-e 9093</t>
        </is>
      </c>
      <c r="J29" s="18" t="n"/>
    </row>
    <row r="30">
      <c r="A30" s="44" t="n">
        <v>46181</v>
      </c>
      <c r="B30" s="45" t="inlineStr">
        <is>
          <t>Servico Nacional de Aprendizagem Rural Senar</t>
        </is>
      </c>
      <c r="C30" s="45" t="inlineStr">
        <is>
          <t>Refil FPA14 + Refil Multifilter</t>
        </is>
      </c>
      <c r="D30" s="46" t="n">
        <v>175</v>
      </c>
      <c r="E30" s="45" t="inlineStr">
        <is>
          <t>Dinheiro</t>
        </is>
      </c>
      <c r="F30" s="47" t="n"/>
      <c r="G30" s="48" t="n"/>
      <c r="H30" s="49" t="n"/>
      <c r="I30" s="45" t="inlineStr">
        <is>
          <t>NF-e 4220</t>
        </is>
      </c>
    </row>
    <row r="31">
      <c r="A31" s="17" t="n">
        <v>46181</v>
      </c>
      <c r="B31" s="18" t="inlineStr">
        <is>
          <t>José Carlos Silveira Gomes</t>
        </is>
      </c>
      <c r="C31" s="18" t="inlineStr">
        <is>
          <t>Refil Everest</t>
        </is>
      </c>
      <c r="D31" s="27" t="n">
        <v>135</v>
      </c>
      <c r="E31" s="18" t="inlineStr">
        <is>
          <t>Pix</t>
        </is>
      </c>
      <c r="F31" s="19" t="n"/>
      <c r="G31" s="19" t="n"/>
      <c r="H31" s="21" t="n"/>
      <c r="I31" s="18" t="inlineStr">
        <is>
          <t>NFC-e 9094</t>
        </is>
      </c>
      <c r="J31" s="18" t="inlineStr">
        <is>
          <t>CLI-0845</t>
        </is>
      </c>
    </row>
    <row r="32">
      <c r="A32" s="44" t="n">
        <v>46181</v>
      </c>
      <c r="B32" s="45" t="inlineStr">
        <is>
          <t>Consumidor Final</t>
        </is>
      </c>
      <c r="C32" s="45" t="inlineStr">
        <is>
          <t>Mangueira (1 m)</t>
        </is>
      </c>
      <c r="D32" s="46" t="n">
        <v>10</v>
      </c>
      <c r="E32" s="45" t="inlineStr">
        <is>
          <t>Débito</t>
        </is>
      </c>
      <c r="F32" s="47" t="n"/>
      <c r="G32" s="48" t="n"/>
      <c r="H32" s="49" t="n"/>
      <c r="I32" s="45" t="inlineStr">
        <is>
          <t>NFC-e 9095</t>
        </is>
      </c>
    </row>
    <row r="33">
      <c r="A33" s="17" t="n">
        <v>46181</v>
      </c>
      <c r="B33" s="18" t="inlineStr">
        <is>
          <t>Consumidor Final</t>
        </is>
      </c>
      <c r="C33" s="18" t="inlineStr">
        <is>
          <t>Conexao Reta Rosca 1/2 Bspt P/Tubo 1/4 Pol Branca</t>
        </is>
      </c>
      <c r="D33" s="27" t="n">
        <v>25</v>
      </c>
      <c r="E33" s="18" t="inlineStr">
        <is>
          <t>Débito</t>
        </is>
      </c>
      <c r="F33" s="19" t="n"/>
      <c r="G33" s="19" t="n"/>
      <c r="H33" s="21" t="n"/>
      <c r="I33" s="18" t="inlineStr">
        <is>
          <t>NFC-e 9096</t>
        </is>
      </c>
      <c r="J33" s="18" t="n"/>
    </row>
    <row r="34">
      <c r="A34" s="44" t="n">
        <v>46182</v>
      </c>
      <c r="B34" s="45" t="inlineStr">
        <is>
          <t>Consumidor Final</t>
        </is>
      </c>
      <c r="C34" s="45" t="inlineStr">
        <is>
          <t>Refil Everest</t>
        </is>
      </c>
      <c r="D34" s="46" t="n">
        <v>140</v>
      </c>
      <c r="E34" s="45" t="inlineStr">
        <is>
          <t>Crédito Parcelado</t>
        </is>
      </c>
      <c r="F34" s="47" t="n"/>
      <c r="G34" s="48" t="n"/>
      <c r="H34" s="49" t="n"/>
      <c r="I34" s="45" t="inlineStr">
        <is>
          <t>NFC-e 9097</t>
        </is>
      </c>
    </row>
    <row r="35">
      <c r="A35" s="17" t="n">
        <v>46182</v>
      </c>
      <c r="B35" s="18" t="inlineStr">
        <is>
          <t>Skina Mineira LTDA</t>
        </is>
      </c>
      <c r="C35" s="18" t="inlineStr">
        <is>
          <t>Refil Pro Life + Pré Filtro</t>
        </is>
      </c>
      <c r="D35" s="27" t="n">
        <v>200</v>
      </c>
      <c r="E35" s="18" t="inlineStr">
        <is>
          <t>Dinheiro</t>
        </is>
      </c>
      <c r="F35" s="19" t="n"/>
      <c r="G35" s="19" t="n"/>
      <c r="H35" s="21" t="n"/>
      <c r="I35" s="18" t="inlineStr">
        <is>
          <t>NF-e 4221</t>
        </is>
      </c>
      <c r="J35" s="18" t="inlineStr">
        <is>
          <t>EMP-0278</t>
        </is>
      </c>
    </row>
    <row r="36">
      <c r="A36" s="44" t="n">
        <v>46182</v>
      </c>
      <c r="B36" s="45" t="inlineStr">
        <is>
          <t>Marisa Araujo Oliveira Nascimento</t>
        </is>
      </c>
      <c r="C36" s="45" t="inlineStr">
        <is>
          <t>Refil Everest</t>
        </is>
      </c>
      <c r="D36" s="46" t="n">
        <v>140</v>
      </c>
      <c r="E36" s="45" t="inlineStr">
        <is>
          <t>Dinheiro</t>
        </is>
      </c>
      <c r="F36" s="47" t="n"/>
      <c r="G36" s="48" t="n"/>
      <c r="H36" s="49" t="n"/>
      <c r="I36" s="45" t="inlineStr">
        <is>
          <t>NF-e 4222</t>
        </is>
      </c>
    </row>
    <row r="37">
      <c r="A37" s="17" t="n">
        <v>46182</v>
      </c>
      <c r="B37" s="18" t="inlineStr">
        <is>
          <t>Bio Imagem Serviço de Diagnostico - Copa</t>
        </is>
      </c>
      <c r="C37" s="18" t="inlineStr">
        <is>
          <t>(Mesma venda — parcela seguinte, sem produtos novos)</t>
        </is>
      </c>
      <c r="D37" s="27" t="n">
        <v>80</v>
      </c>
      <c r="E37" s="18" t="n"/>
      <c r="F37" s="19" t="n"/>
      <c r="G37" s="19" t="n"/>
      <c r="H37" s="21" t="n"/>
      <c r="I37" s="18" t="inlineStr">
        <is>
          <t>NF-e 4219 · venda de 05/06/2026, total R$ 280,00 — parcela 2 · nota faturada a prazo (forma de recebimento não consta na nota)</t>
        </is>
      </c>
      <c r="J37" s="18" t="inlineStr">
        <is>
          <t>EMP-0030</t>
        </is>
      </c>
    </row>
    <row r="38">
      <c r="A38" s="44" t="n">
        <v>46182</v>
      </c>
      <c r="B38" s="45" t="inlineStr">
        <is>
          <t>Everest Refrigeracao e Industria</t>
        </is>
      </c>
      <c r="C38" s="45" t="n"/>
      <c r="D38" s="46" t="n"/>
      <c r="E38" s="45" t="n"/>
      <c r="F38" s="47" t="n"/>
      <c r="G38" s="48" t="n">
        <v>811.01</v>
      </c>
      <c r="H38" s="49" t="inlineStr">
        <is>
          <t>Fornecedores / Mercadoria</t>
        </is>
      </c>
      <c r="I38" s="45" t="inlineStr">
        <is>
          <t>NF 368012 de 08/01/2026 · parcela 5/5 (venc. 07/06/2026) · compra total R$ 4.054,97: Purificador Everest Fit Branco + 2x Purificador Everest Slim Branco + Purificador Everest Slim Preto + 2x Purificador Everest Star Branco · Livro Caixa</t>
        </is>
      </c>
    </row>
    <row r="39" ht="15.75" customHeight="1" s="157">
      <c r="A39" s="17" t="n">
        <v>46182</v>
      </c>
      <c r="B39" s="18" t="inlineStr">
        <is>
          <t>Everest Refrigeracao e Industria</t>
        </is>
      </c>
      <c r="C39" s="18" t="n"/>
      <c r="D39" s="27" t="n"/>
      <c r="E39" s="18" t="n"/>
      <c r="F39" s="19" t="n"/>
      <c r="G39" s="19" t="n">
        <v>725.48</v>
      </c>
      <c r="H39" s="21" t="inlineStr">
        <is>
          <t>Fornecedores / Mercadoria</t>
        </is>
      </c>
      <c r="I39" s="18" t="inlineStr">
        <is>
          <t>NF 372597 de 11/03/2026 · parcela 3/5 (venc. 09/06/2026) · compra total R$ 3.627,42: 2x Purificador Everest Plus Branco + Purificador Everest Fit Preto + Purificador Everest Slim Preto + Purificador Everest Star Preto · Livro Caixa</t>
        </is>
      </c>
      <c r="J39" s="18" t="n"/>
    </row>
    <row r="40">
      <c r="A40" s="44" t="n">
        <v>46182</v>
      </c>
      <c r="B40" s="45" t="inlineStr">
        <is>
          <t>Filtros Planeta Agua Ind e Com Ltda</t>
        </is>
      </c>
      <c r="C40" s="45" t="n"/>
      <c r="D40" s="46" t="n"/>
      <c r="E40" s="45" t="n"/>
      <c r="F40" s="47" t="n"/>
      <c r="G40" s="48" t="n">
        <v>504.75</v>
      </c>
      <c r="H40" s="49" t="inlineStr">
        <is>
          <t>Fornecedores / Mercadoria</t>
        </is>
      </c>
      <c r="I40" s="45" t="inlineStr">
        <is>
          <t>NF 129257 de 31/03/2026 · parcela 4/4 (venc. 09/06/2026) · compra total R$ 2.123,99 (IPI R$ 104,98): 5x Refil Fp4 + 10x Refil Carbon Tech 5 Pol + 10x Refil Carbon Tech 9.3/4 Pol + 36x Refil Pre-E3 · Livro Caixa</t>
        </is>
      </c>
    </row>
    <row r="41">
      <c r="A41" s="17" t="n">
        <v>46183</v>
      </c>
      <c r="B41" s="18" t="inlineStr">
        <is>
          <t>Darc Store (calçados) - Carlos Henrique de Oliveira Salvador Ltda</t>
        </is>
      </c>
      <c r="C41" s="18" t="inlineStr">
        <is>
          <t>Refil Everest</t>
        </is>
      </c>
      <c r="D41" s="27" t="n">
        <v>140</v>
      </c>
      <c r="E41" s="18" t="inlineStr">
        <is>
          <t>Dinheiro</t>
        </is>
      </c>
      <c r="F41" s="19" t="n"/>
      <c r="G41" s="19" t="n"/>
      <c r="H41" s="21" t="n"/>
      <c r="I41" s="18" t="inlineStr">
        <is>
          <t>NF-e 4223</t>
        </is>
      </c>
      <c r="J41" s="18" t="inlineStr">
        <is>
          <t>EMP-0113</t>
        </is>
      </c>
    </row>
    <row r="42" ht="15.75" customHeight="1" s="157">
      <c r="A42" s="44" t="n">
        <v>46183</v>
      </c>
      <c r="B42" s="45" t="inlineStr">
        <is>
          <t>Darc Store - Loja 12 (roupas) - Tayane Calçados e Vestuario Ltda</t>
        </is>
      </c>
      <c r="C42" s="45" t="inlineStr">
        <is>
          <t>Refil Everest</t>
        </is>
      </c>
      <c r="D42" s="46" t="n">
        <v>140</v>
      </c>
      <c r="E42" s="45" t="inlineStr">
        <is>
          <t>Dinheiro</t>
        </is>
      </c>
      <c r="F42" s="47" t="n"/>
      <c r="G42" s="48" t="n"/>
      <c r="H42" s="49" t="n"/>
      <c r="I42" s="45" t="inlineStr">
        <is>
          <t>NF-e 4224</t>
        </is>
      </c>
      <c r="J42" t="inlineStr">
        <is>
          <t>EMP-0112</t>
        </is>
      </c>
    </row>
    <row r="43">
      <c r="A43" s="17" t="n">
        <v>46183</v>
      </c>
      <c r="B43" s="18" t="inlineStr">
        <is>
          <t>A F Mendonça Oliveira Eireli - Mendonça Disk Agua</t>
        </is>
      </c>
      <c r="C43" s="18" t="inlineStr">
        <is>
          <t>Refil Everest</t>
        </is>
      </c>
      <c r="D43" s="27" t="n">
        <v>140</v>
      </c>
      <c r="E43" s="18" t="inlineStr">
        <is>
          <t>Dinheiro</t>
        </is>
      </c>
      <c r="F43" s="19" t="n"/>
      <c r="G43" s="19" t="n"/>
      <c r="H43" s="21" t="n"/>
      <c r="I43" s="18" t="inlineStr">
        <is>
          <t>NF-e 4225</t>
        </is>
      </c>
      <c r="J43" s="18" t="inlineStr">
        <is>
          <t>EMP-0002</t>
        </is>
      </c>
    </row>
    <row r="44">
      <c r="A44" s="44" t="n">
        <v>46183</v>
      </c>
      <c r="B44" s="45" t="inlineStr">
        <is>
          <t>DrillGeo Geologia e Sondagens</t>
        </is>
      </c>
      <c r="C44" s="45" t="inlineStr">
        <is>
          <t>Refil Plissado + Refil Carbon Tech 9"</t>
        </is>
      </c>
      <c r="D44" s="46" t="n">
        <v>180</v>
      </c>
      <c r="E44" s="45" t="n"/>
      <c r="F44" s="47" t="n"/>
      <c r="G44" s="48" t="n"/>
      <c r="H44" s="49" t="n"/>
      <c r="I44" s="45" t="inlineStr">
        <is>
          <t>NF-e 4187 · nota faturada a prazo (forma de recebimento não consta na nota) · venda de 09/05/2026 — pagamento recebido em 10/06/2026</t>
        </is>
      </c>
      <c r="J44" t="inlineStr">
        <is>
          <t>EMP-0125</t>
        </is>
      </c>
    </row>
    <row r="45">
      <c r="A45" s="17" t="n">
        <v>46184</v>
      </c>
      <c r="B45" s="18" t="inlineStr">
        <is>
          <t>Consumidor Final</t>
        </is>
      </c>
      <c r="C45" s="18" t="inlineStr">
        <is>
          <t>Mangueira (1 m)</t>
        </is>
      </c>
      <c r="D45" s="27" t="n">
        <v>10</v>
      </c>
      <c r="E45" s="18" t="inlineStr">
        <is>
          <t>Dinheiro</t>
        </is>
      </c>
      <c r="F45" s="19" t="n"/>
      <c r="G45" s="19" t="n"/>
      <c r="H45" s="21" t="n"/>
      <c r="I45" s="18" t="inlineStr">
        <is>
          <t>NFC-e 9098</t>
        </is>
      </c>
      <c r="J45" s="18" t="n"/>
    </row>
    <row r="46">
      <c r="A46" s="44" t="n">
        <v>46184</v>
      </c>
      <c r="B46" s="45" t="inlineStr">
        <is>
          <t>Irenilda Almeida Santos</t>
        </is>
      </c>
      <c r="C46" s="45" t="inlineStr">
        <is>
          <t>Purificador Everest Slim Prata + Pré Filtro</t>
        </is>
      </c>
      <c r="D46" s="46" t="n">
        <v>1510</v>
      </c>
      <c r="E46" s="45" t="inlineStr">
        <is>
          <t>Dinheiro</t>
        </is>
      </c>
      <c r="F46" s="47" t="n"/>
      <c r="G46" s="48" t="n"/>
      <c r="H46" s="49" t="n"/>
      <c r="I46" s="45" t="inlineStr">
        <is>
          <t>NF-e 4226</t>
        </is>
      </c>
    </row>
    <row r="47">
      <c r="A47" s="17" t="n">
        <v>46184</v>
      </c>
      <c r="B47" s="18" t="inlineStr">
        <is>
          <t>Consumidor Final</t>
        </is>
      </c>
      <c r="C47" s="18" t="inlineStr">
        <is>
          <t>Refil PA 200</t>
        </is>
      </c>
      <c r="D47" s="27" t="n">
        <v>60</v>
      </c>
      <c r="E47" s="18" t="inlineStr">
        <is>
          <t>Dinheiro</t>
        </is>
      </c>
      <c r="F47" s="19" t="n"/>
      <c r="G47" s="19" t="n"/>
      <c r="H47" s="21" t="n"/>
      <c r="I47" s="18" t="inlineStr">
        <is>
          <t>NFC-e 9099</t>
        </is>
      </c>
      <c r="J47" s="18" t="n"/>
    </row>
    <row r="48" ht="15.75" customHeight="1" s="157">
      <c r="A48" s="44" t="n">
        <v>46184</v>
      </c>
      <c r="B48" s="45" t="inlineStr">
        <is>
          <t>Consumidor Final</t>
        </is>
      </c>
      <c r="C48" s="45" t="inlineStr">
        <is>
          <t>Refil Everest</t>
        </is>
      </c>
      <c r="D48" s="46" t="n">
        <v>140</v>
      </c>
      <c r="E48" s="45" t="inlineStr">
        <is>
          <t>Pix</t>
        </is>
      </c>
      <c r="F48" s="47" t="n"/>
      <c r="G48" s="48" t="n"/>
      <c r="H48" s="49" t="n"/>
      <c r="I48" s="45" t="inlineStr">
        <is>
          <t>NFC-e 9100</t>
        </is>
      </c>
    </row>
    <row r="49">
      <c r="A49" s="17" t="n">
        <v>46185</v>
      </c>
      <c r="B49" s="18" t="inlineStr">
        <is>
          <t>Consumidor Final</t>
        </is>
      </c>
      <c r="C49" s="18" t="inlineStr">
        <is>
          <t>Refil Pro Life + Pré Filtro</t>
        </is>
      </c>
      <c r="D49" s="27" t="n">
        <v>200</v>
      </c>
      <c r="E49" s="18" t="inlineStr">
        <is>
          <t>Pix</t>
        </is>
      </c>
      <c r="F49" s="19" t="n"/>
      <c r="G49" s="19" t="n"/>
      <c r="H49" s="21" t="n"/>
      <c r="I49" s="18" t="inlineStr">
        <is>
          <t>NFC-e 9101</t>
        </is>
      </c>
      <c r="J49" s="18" t="n"/>
    </row>
    <row r="50">
      <c r="A50" s="44" t="n">
        <v>46185</v>
      </c>
      <c r="B50" s="45" t="inlineStr">
        <is>
          <t>Avertina Maria de Oliveira</t>
        </is>
      </c>
      <c r="C50" s="45" t="inlineStr">
        <is>
          <t>Refil Everest + Pré Filtro</t>
        </is>
      </c>
      <c r="D50" s="46" t="n">
        <v>185</v>
      </c>
      <c r="E50" s="45" t="inlineStr">
        <is>
          <t>Dinheiro</t>
        </is>
      </c>
      <c r="F50" s="47" t="n"/>
      <c r="G50" s="48" t="n"/>
      <c r="H50" s="49" t="n"/>
      <c r="I50" s="45" t="inlineStr">
        <is>
          <t>NFC-e 9102</t>
        </is>
      </c>
      <c r="J50" t="inlineStr">
        <is>
          <t>CLI-0850</t>
        </is>
      </c>
    </row>
    <row r="51">
      <c r="A51" s="17" t="n">
        <v>46185</v>
      </c>
      <c r="B51" s="18" t="inlineStr">
        <is>
          <t>Consumidor Final</t>
        </is>
      </c>
      <c r="C51" s="18" t="inlineStr">
        <is>
          <t>Refil FP4</t>
        </is>
      </c>
      <c r="D51" s="27" t="n">
        <v>90</v>
      </c>
      <c r="E51" s="18" t="inlineStr">
        <is>
          <t>Crédito Parcelado</t>
        </is>
      </c>
      <c r="F51" s="19" t="n"/>
      <c r="G51" s="19" t="n"/>
      <c r="H51" s="21" t="n"/>
      <c r="I51" s="18" t="inlineStr">
        <is>
          <t>NFC-e 9103</t>
        </is>
      </c>
      <c r="J51" s="18" t="n"/>
    </row>
    <row r="52">
      <c r="A52" s="44" t="n">
        <v>46185</v>
      </c>
      <c r="B52" s="45" t="inlineStr">
        <is>
          <t>Consumidor Final</t>
        </is>
      </c>
      <c r="C52" s="45" t="inlineStr">
        <is>
          <t>Conexao Reta Rosca 1/2 Bspt P/Tubo 1/4 Pol Branca + Mangueira (1 m)</t>
        </is>
      </c>
      <c r="D52" s="46" t="n">
        <v>40</v>
      </c>
      <c r="E52" s="45" t="inlineStr">
        <is>
          <t>Dinheiro</t>
        </is>
      </c>
      <c r="F52" s="47" t="n"/>
      <c r="G52" s="48" t="n"/>
      <c r="H52" s="49" t="n"/>
      <c r="I52" s="45" t="inlineStr">
        <is>
          <t>NFC-e 9104</t>
        </is>
      </c>
    </row>
    <row r="53" ht="15.75" customHeight="1" s="157">
      <c r="A53" s="17" t="n">
        <v>46185</v>
      </c>
      <c r="B53" s="18" t="inlineStr">
        <is>
          <t>Consumidor Final</t>
        </is>
      </c>
      <c r="C53" s="18" t="inlineStr">
        <is>
          <t>Refil Plissado + Mangueira (1 m)</t>
        </is>
      </c>
      <c r="D53" s="27" t="n">
        <v>95</v>
      </c>
      <c r="E53" s="18" t="inlineStr">
        <is>
          <t>Dinheiro</t>
        </is>
      </c>
      <c r="F53" s="19" t="n"/>
      <c r="G53" s="19" t="n"/>
      <c r="H53" s="21" t="n"/>
      <c r="I53" s="18" t="inlineStr">
        <is>
          <t>NFC-e 9105</t>
        </is>
      </c>
      <c r="J53" s="18" t="n"/>
    </row>
    <row r="54">
      <c r="A54" s="44" t="n">
        <v>46185</v>
      </c>
      <c r="B54" s="45" t="inlineStr">
        <is>
          <t>Apec - Sociedade Potiguar de Educacao e Cultura Ltda</t>
        </is>
      </c>
      <c r="C54" s="45" t="inlineStr">
        <is>
          <t>4x Refil Libell</t>
        </is>
      </c>
      <c r="D54" s="46" t="n">
        <v>368.6</v>
      </c>
      <c r="E54" s="45" t="inlineStr">
        <is>
          <t>Pix</t>
        </is>
      </c>
      <c r="F54" s="47" t="n"/>
      <c r="G54" s="48" t="n"/>
      <c r="H54" s="49" t="n"/>
      <c r="I54" s="45" t="inlineStr">
        <is>
          <t>NF-e 4191 · Grupo Ânima — venda de 13/05/2026, Nota Paga no portal V360 em 12/06/2026. Recebimento não constava no Livro Caixa; baixa dada no DigiSat em 28/09/2026.</t>
        </is>
      </c>
    </row>
    <row r="55">
      <c r="A55" s="17" t="n">
        <v>46188</v>
      </c>
      <c r="B55" s="18" t="inlineStr">
        <is>
          <t>Silvio Candido da Silva - Celia Borges</t>
        </is>
      </c>
      <c r="C55" s="18" t="inlineStr">
        <is>
          <t>Refil Everest + Pré Filtro</t>
        </is>
      </c>
      <c r="D55" s="27" t="n">
        <v>180</v>
      </c>
      <c r="E55" s="18" t="inlineStr">
        <is>
          <t>Dinheiro</t>
        </is>
      </c>
      <c r="F55" s="19" t="n"/>
      <c r="G55" s="19" t="n"/>
      <c r="H55" s="21" t="n"/>
      <c r="I55" s="18" t="inlineStr">
        <is>
          <t>NFC-e 9106</t>
        </is>
      </c>
      <c r="J55" s="18" t="inlineStr">
        <is>
          <t>CLI-0851</t>
        </is>
      </c>
    </row>
    <row r="56">
      <c r="A56" s="44" t="n">
        <v>46188</v>
      </c>
      <c r="B56" s="45" t="inlineStr">
        <is>
          <t>Jalicia Lima Santos Muricy</t>
        </is>
      </c>
      <c r="C56" s="45" t="inlineStr">
        <is>
          <t>Refil Everest</t>
        </is>
      </c>
      <c r="D56" s="46" t="n">
        <v>140</v>
      </c>
      <c r="E56" s="45" t="inlineStr">
        <is>
          <t>Pix</t>
        </is>
      </c>
      <c r="F56" s="47" t="n"/>
      <c r="G56" s="48" t="n"/>
      <c r="H56" s="49" t="n"/>
      <c r="I56" s="45" t="inlineStr">
        <is>
          <t>NFC-e 9107</t>
        </is>
      </c>
      <c r="J56" t="inlineStr">
        <is>
          <t>CLI-0627</t>
        </is>
      </c>
    </row>
    <row r="57">
      <c r="A57" s="17" t="n">
        <v>46188</v>
      </c>
      <c r="B57" s="18" t="inlineStr">
        <is>
          <t>Maria Inez Lages Matos</t>
        </is>
      </c>
      <c r="C57" s="18" t="inlineStr">
        <is>
          <t>Refil Everest</t>
        </is>
      </c>
      <c r="D57" s="27" t="n">
        <v>140</v>
      </c>
      <c r="E57" s="18" t="inlineStr">
        <is>
          <t>Pix</t>
        </is>
      </c>
      <c r="F57" s="19" t="n"/>
      <c r="G57" s="19" t="n"/>
      <c r="H57" s="21" t="n"/>
      <c r="I57" s="18" t="inlineStr">
        <is>
          <t>NFC-e 9108</t>
        </is>
      </c>
      <c r="J57" s="18" t="inlineStr">
        <is>
          <t>CLI-0846</t>
        </is>
      </c>
    </row>
    <row r="58">
      <c r="A58" s="44" t="n">
        <v>46188</v>
      </c>
      <c r="B58" s="45" t="inlineStr">
        <is>
          <t>Consumidor Final</t>
        </is>
      </c>
      <c r="C58" s="45" t="inlineStr">
        <is>
          <t>Refil FP4</t>
        </is>
      </c>
      <c r="D58" s="46" t="n">
        <v>90</v>
      </c>
      <c r="E58" s="45" t="inlineStr">
        <is>
          <t>Débito</t>
        </is>
      </c>
      <c r="F58" s="47" t="n"/>
      <c r="G58" s="48" t="n"/>
      <c r="H58" s="49" t="n"/>
      <c r="I58" s="45" t="inlineStr">
        <is>
          <t>NFC-e 9109</t>
        </is>
      </c>
    </row>
    <row r="59">
      <c r="A59" s="17" t="n">
        <v>46188</v>
      </c>
      <c r="B59" s="18" t="inlineStr">
        <is>
          <t>Consumidor Final</t>
        </is>
      </c>
      <c r="C59" s="18" t="inlineStr">
        <is>
          <t>Mangueira (2 m)</t>
        </is>
      </c>
      <c r="D59" s="27" t="n">
        <v>20</v>
      </c>
      <c r="E59" s="18" t="inlineStr">
        <is>
          <t>Dinheiro</t>
        </is>
      </c>
      <c r="F59" s="19" t="n"/>
      <c r="G59" s="19" t="n"/>
      <c r="H59" s="21" t="n"/>
      <c r="I59" s="18" t="inlineStr">
        <is>
          <t>NFC-e 9110</t>
        </is>
      </c>
      <c r="J59" s="18" t="n"/>
    </row>
    <row r="60">
      <c r="A60" s="44" t="n">
        <v>46189</v>
      </c>
      <c r="B60" s="45" t="inlineStr">
        <is>
          <t>Consumidor Final</t>
        </is>
      </c>
      <c r="C60" s="45" t="inlineStr">
        <is>
          <t>Suporte</t>
        </is>
      </c>
      <c r="D60" s="46" t="n">
        <v>35</v>
      </c>
      <c r="E60" s="45" t="inlineStr">
        <is>
          <t>Pix</t>
        </is>
      </c>
      <c r="F60" s="47" t="n"/>
      <c r="G60" s="48" t="n"/>
      <c r="H60" s="49" t="n"/>
      <c r="I60" s="45" t="inlineStr">
        <is>
          <t>NFC-e 9111</t>
        </is>
      </c>
    </row>
    <row r="61">
      <c r="A61" s="17" t="n">
        <v>46189</v>
      </c>
      <c r="B61" s="18" t="inlineStr">
        <is>
          <t>Jonio Ribeiro Oliveira</t>
        </is>
      </c>
      <c r="C61" s="18" t="inlineStr">
        <is>
          <t>Refil Everest + Pré Filtro</t>
        </is>
      </c>
      <c r="D61" s="27" t="n">
        <v>200</v>
      </c>
      <c r="E61" s="18" t="inlineStr">
        <is>
          <t>Crédito Parcelado</t>
        </is>
      </c>
      <c r="F61" s="19" t="n"/>
      <c r="G61" s="19" t="n"/>
      <c r="H61" s="21" t="n"/>
      <c r="I61" s="18" t="inlineStr">
        <is>
          <t>NFC-e 9112</t>
        </is>
      </c>
      <c r="J61" s="18" t="n"/>
    </row>
    <row r="62">
      <c r="A62" s="44" t="n">
        <v>46189</v>
      </c>
      <c r="B62" s="45" t="inlineStr">
        <is>
          <t>Valdiney Santos da Silva</t>
        </is>
      </c>
      <c r="C62" s="45" t="inlineStr">
        <is>
          <t>Refil Carbon Tech 5"</t>
        </is>
      </c>
      <c r="D62" s="46" t="n">
        <v>60</v>
      </c>
      <c r="E62" s="45" t="inlineStr">
        <is>
          <t>Dinheiro</t>
        </is>
      </c>
      <c r="F62" s="47" t="n"/>
      <c r="G62" s="48" t="n"/>
      <c r="H62" s="49" t="n"/>
      <c r="I62" s="45" t="inlineStr">
        <is>
          <t>NF-e 4227</t>
        </is>
      </c>
      <c r="J62" t="inlineStr">
        <is>
          <t>CLI-0463</t>
        </is>
      </c>
    </row>
    <row r="63" ht="15.75" customHeight="1" s="157">
      <c r="A63" s="17" t="n">
        <v>46189</v>
      </c>
      <c r="B63" s="18" t="inlineStr">
        <is>
          <t>Consumidor Final</t>
        </is>
      </c>
      <c r="C63" s="18" t="inlineStr">
        <is>
          <t>Mangueira (1 m)</t>
        </is>
      </c>
      <c r="D63" s="27" t="n">
        <v>10</v>
      </c>
      <c r="E63" s="18" t="inlineStr">
        <is>
          <t>Dinheiro</t>
        </is>
      </c>
      <c r="F63" s="19" t="n"/>
      <c r="G63" s="19" t="n"/>
      <c r="H63" s="21" t="n"/>
      <c r="I63" s="18" t="inlineStr">
        <is>
          <t>NFC-e 9113</t>
        </is>
      </c>
      <c r="J63" s="18" t="n"/>
    </row>
    <row r="64">
      <c r="A64" s="44" t="n">
        <v>46189</v>
      </c>
      <c r="B64" s="45" t="inlineStr">
        <is>
          <t>Consumidor Final</t>
        </is>
      </c>
      <c r="C64" s="45" t="inlineStr">
        <is>
          <t>Conexao Em T Rosca De 1/2 Com Engate Rapido Reto 1/4 X 1/4 + Valvula De Fechamento Tubo De 1/4 Para 1/4 Pol Branca</t>
        </is>
      </c>
      <c r="D64" s="46" t="n">
        <v>65</v>
      </c>
      <c r="E64" s="45" t="inlineStr">
        <is>
          <t>Pix</t>
        </is>
      </c>
      <c r="F64" s="47" t="n"/>
      <c r="G64" s="48" t="n"/>
      <c r="H64" s="49" t="n"/>
      <c r="I64" s="45" t="inlineStr">
        <is>
          <t>NFC-e 9114</t>
        </is>
      </c>
    </row>
    <row r="65">
      <c r="A65" s="17" t="n">
        <v>46189</v>
      </c>
      <c r="B65" s="18" t="inlineStr">
        <is>
          <t>RF Supermercado Brasil LTDA</t>
        </is>
      </c>
      <c r="C65" s="18" t="inlineStr">
        <is>
          <t>3x Refil Pro Life + Registro</t>
        </is>
      </c>
      <c r="D65" s="27" t="n">
        <v>450</v>
      </c>
      <c r="E65" s="18" t="n"/>
      <c r="F65" s="19" t="n"/>
      <c r="G65" s="19" t="n"/>
      <c r="H65" s="21" t="n"/>
      <c r="I65" s="18" t="inlineStr">
        <is>
          <t>NF-e 4217 · nota faturada a prazo (forma de recebimento não consta na nota) · venda de 05/06/2026 — pagamento recebido em 16/06/2026</t>
        </is>
      </c>
      <c r="J65" s="18" t="inlineStr">
        <is>
          <t>EMP-0261</t>
        </is>
      </c>
    </row>
    <row r="66">
      <c r="A66" s="44" t="n">
        <v>46189</v>
      </c>
      <c r="B66" s="45" t="inlineStr">
        <is>
          <t>Veronildo Baslio Souza</t>
        </is>
      </c>
      <c r="C66" s="45" t="inlineStr">
        <is>
          <t>Refil Everest</t>
        </is>
      </c>
      <c r="D66" s="46" t="n">
        <v>135</v>
      </c>
      <c r="E66" s="45" t="inlineStr">
        <is>
          <t>Dinheiro</t>
        </is>
      </c>
      <c r="F66" s="47" t="n"/>
      <c r="G66" s="48" t="n"/>
      <c r="H66" s="49" t="n"/>
      <c r="I66" s="45" t="inlineStr">
        <is>
          <t>NF-e 4228</t>
        </is>
      </c>
      <c r="J66" t="inlineStr">
        <is>
          <t>CLI-0853</t>
        </is>
      </c>
    </row>
    <row r="67">
      <c r="A67" s="17" t="n">
        <v>46189</v>
      </c>
      <c r="B67" s="18" t="inlineStr">
        <is>
          <t>Leonardo Arizi</t>
        </is>
      </c>
      <c r="C67" s="18" t="inlineStr">
        <is>
          <t>Refil Everest + Pré Filtro + Mangueira (1 m)</t>
        </is>
      </c>
      <c r="D67" s="27" t="n">
        <v>200</v>
      </c>
      <c r="E67" s="18" t="inlineStr">
        <is>
          <t>Crédito Parcelado</t>
        </is>
      </c>
      <c r="F67" s="19" t="n"/>
      <c r="G67" s="19" t="n"/>
      <c r="H67" s="21" t="n"/>
      <c r="I67" s="18" t="inlineStr">
        <is>
          <t>NFC-e 9115</t>
        </is>
      </c>
      <c r="J67" s="18" t="n"/>
    </row>
    <row r="68">
      <c r="A68" s="44" t="n">
        <v>46189</v>
      </c>
      <c r="B68" s="45" t="inlineStr">
        <is>
          <t>Tarcisio Oliveira Lima</t>
        </is>
      </c>
      <c r="C68" s="45" t="n"/>
      <c r="D68" s="46" t="n"/>
      <c r="E68" s="45" t="n"/>
      <c r="F68" s="47" t="n"/>
      <c r="G68" s="48" t="n">
        <v>486.32</v>
      </c>
      <c r="H68" s="49" t="inlineStr">
        <is>
          <t>Contabilidade</t>
        </is>
      </c>
      <c r="I68" s="45" t="inlineStr">
        <is>
          <t>Livro Caixa: Pagamento parcela TARCISIO OLIVEIRA LIMA (Doc. 1) · Contabilidade Tarcisio Oliveira Lima</t>
        </is>
      </c>
    </row>
    <row r="69">
      <c r="A69" s="17" t="n">
        <v>46189</v>
      </c>
      <c r="B69" s="18" t="inlineStr">
        <is>
          <t>Everest Refrigeracao e Industria</t>
        </is>
      </c>
      <c r="C69" s="18" t="n"/>
      <c r="D69" s="27" t="n"/>
      <c r="E69" s="18" t="n"/>
      <c r="F69" s="19" t="n"/>
      <c r="G69" s="19" t="n">
        <v>865.52</v>
      </c>
      <c r="H69" s="21" t="inlineStr">
        <is>
          <t>Fornecedores / Mercadoria</t>
        </is>
      </c>
      <c r="I69" s="18" t="inlineStr">
        <is>
          <t>NF 368529 de 14/01/2026 · parcela 5/5 (venc. 13/06/2026) · compra total R$ 4.327,52: Purificador Everest Plus Branco + Purificador Everest Plus Prata + Purificador Everest Star Prata + Purificador Everest Slim Prata + Purificador Everest Fit Prata + Purificador Everest Fit Branco · Livro Caixa</t>
        </is>
      </c>
      <c r="J69" s="18" t="n"/>
    </row>
    <row r="70">
      <c r="A70" s="44" t="n">
        <v>46190</v>
      </c>
      <c r="B70" s="45" t="inlineStr">
        <is>
          <t>Valdenice de Jesus Cerqueira</t>
        </is>
      </c>
      <c r="C70" s="45" t="inlineStr">
        <is>
          <t>Refil Everest</t>
        </is>
      </c>
      <c r="D70" s="46" t="n">
        <v>130</v>
      </c>
      <c r="E70" s="45" t="inlineStr">
        <is>
          <t>Dinheiro</t>
        </is>
      </c>
      <c r="F70" s="47" t="n"/>
      <c r="G70" s="48" t="n"/>
      <c r="H70" s="49" t="n"/>
      <c r="I70" s="45" t="inlineStr">
        <is>
          <t>NFC-e 9116</t>
        </is>
      </c>
      <c r="J70" t="inlineStr">
        <is>
          <t>CLI-0855</t>
        </is>
      </c>
    </row>
    <row r="71">
      <c r="A71" s="17" t="n">
        <v>46190</v>
      </c>
      <c r="B71" s="18" t="inlineStr">
        <is>
          <t>Avenida Posto e Combustivel</t>
        </is>
      </c>
      <c r="C71" s="18" t="inlineStr">
        <is>
          <t>Refil Everest</t>
        </is>
      </c>
      <c r="D71" s="27" t="n">
        <v>140</v>
      </c>
      <c r="E71" s="18" t="inlineStr">
        <is>
          <t>Dinheiro</t>
        </is>
      </c>
      <c r="F71" s="19" t="n"/>
      <c r="G71" s="19" t="n"/>
      <c r="H71" s="21" t="n"/>
      <c r="I71" s="18" t="inlineStr">
        <is>
          <t>NF-e 4229</t>
        </is>
      </c>
      <c r="J71" s="18" t="n"/>
    </row>
    <row r="72">
      <c r="A72" s="44" t="n">
        <v>46190</v>
      </c>
      <c r="B72" s="45" t="inlineStr">
        <is>
          <t>Jacobina Automoveis</t>
        </is>
      </c>
      <c r="C72" s="45" t="inlineStr">
        <is>
          <t>Refil Everest</t>
        </is>
      </c>
      <c r="D72" s="46" t="n">
        <v>135</v>
      </c>
      <c r="E72" s="45" t="inlineStr">
        <is>
          <t>Dinheiro</t>
        </is>
      </c>
      <c r="F72" s="47" t="n"/>
      <c r="G72" s="48" t="n"/>
      <c r="H72" s="49" t="n"/>
      <c r="I72" s="45" t="inlineStr">
        <is>
          <t>NF-e 4231</t>
        </is>
      </c>
      <c r="J72" t="inlineStr">
        <is>
          <t>EMP-0192</t>
        </is>
      </c>
    </row>
    <row r="73" ht="15.75" customHeight="1" s="157">
      <c r="A73" s="17" t="n">
        <v>46190</v>
      </c>
      <c r="B73" s="18" t="inlineStr">
        <is>
          <t>Antonio Carlos Marcolino da Silva</t>
        </is>
      </c>
      <c r="C73" s="18" t="inlineStr">
        <is>
          <t>Refil Everest</t>
        </is>
      </c>
      <c r="D73" s="27" t="n">
        <v>140</v>
      </c>
      <c r="E73" s="18" t="inlineStr">
        <is>
          <t>Dinheiro</t>
        </is>
      </c>
      <c r="F73" s="19" t="n"/>
      <c r="G73" s="19" t="n"/>
      <c r="H73" s="21" t="n"/>
      <c r="I73" s="18" t="inlineStr">
        <is>
          <t>NFC-e 9117</t>
        </is>
      </c>
      <c r="J73" s="18" t="inlineStr">
        <is>
          <t>OUT-0006</t>
        </is>
      </c>
    </row>
    <row r="74">
      <c r="A74" s="44" t="n">
        <v>46190</v>
      </c>
      <c r="B74" s="45" t="inlineStr">
        <is>
          <t>Consumidor Final</t>
        </is>
      </c>
      <c r="C74" s="45" t="inlineStr">
        <is>
          <t>2x Refil Everest + 2x Pré Filtro + Registro</t>
        </is>
      </c>
      <c r="D74" s="46" t="n">
        <v>415</v>
      </c>
      <c r="E74" s="45" t="inlineStr">
        <is>
          <t>Dinheiro</t>
        </is>
      </c>
      <c r="F74" s="47" t="n"/>
      <c r="G74" s="48" t="n"/>
      <c r="H74" s="49" t="n"/>
      <c r="I74" s="45" t="inlineStr">
        <is>
          <t>NFC-e 9118</t>
        </is>
      </c>
    </row>
    <row r="75">
      <c r="A75" s="17" t="n">
        <v>46190</v>
      </c>
      <c r="B75" s="18" t="inlineStr">
        <is>
          <t>P Vieira da Silva - Me</t>
        </is>
      </c>
      <c r="C75" s="18" t="inlineStr">
        <is>
          <t>Refil Everest + Pré Filtro + Registro</t>
        </is>
      </c>
      <c r="D75" s="27" t="n">
        <v>230</v>
      </c>
      <c r="E75" s="18" t="n"/>
      <c r="F75" s="19" t="n"/>
      <c r="G75" s="19" t="n"/>
      <c r="H75" s="21" t="n"/>
      <c r="I75" s="18" t="inlineStr">
        <is>
          <t>NF-e 4230. Recebimento não constava no Livro Caixa; conferido e baixado no DigiSat em 28/09/2026.</t>
        </is>
      </c>
      <c r="J75" s="18" t="n"/>
    </row>
    <row r="76">
      <c r="A76" s="44" t="n">
        <v>46191</v>
      </c>
      <c r="B76" s="45" t="inlineStr">
        <is>
          <t>Centro Medico de Jacobina LTDA - Clinica Santa Barbara</t>
        </is>
      </c>
      <c r="C76" s="45" t="inlineStr">
        <is>
          <t>8x Refil Everest</t>
        </is>
      </c>
      <c r="D76" s="46" t="n">
        <v>1120</v>
      </c>
      <c r="E76" s="45" t="n"/>
      <c r="F76" s="47" t="n"/>
      <c r="G76" s="48" t="n"/>
      <c r="H76" s="49" t="n"/>
      <c r="I76" s="45" t="inlineStr">
        <is>
          <t>NF-e 4214 · nota faturada a prazo (forma de recebimento não consta na nota) · venda de 02/06/2026 — pagamento recebido em 18/06/2026</t>
        </is>
      </c>
      <c r="J76" t="inlineStr">
        <is>
          <t>EMP-0063</t>
        </is>
      </c>
    </row>
    <row r="77">
      <c r="A77" s="17" t="n">
        <v>46191</v>
      </c>
      <c r="B77" s="18" t="inlineStr">
        <is>
          <t>Jose Augusto Martins dos Santos - Erica Martins</t>
        </is>
      </c>
      <c r="C77" s="18" t="inlineStr">
        <is>
          <t>Refil Everest</t>
        </is>
      </c>
      <c r="D77" s="27" t="n">
        <v>120</v>
      </c>
      <c r="E77" s="18" t="inlineStr">
        <is>
          <t>Crédito Parcelado</t>
        </is>
      </c>
      <c r="F77" s="19" t="n"/>
      <c r="G77" s="19" t="n"/>
      <c r="H77" s="21" t="n"/>
      <c r="I77" s="18" t="inlineStr">
        <is>
          <t>NFC-e 9119</t>
        </is>
      </c>
      <c r="J77" s="18" t="n"/>
    </row>
    <row r="78">
      <c r="A78" s="44" t="n">
        <v>46191</v>
      </c>
      <c r="B78" s="45" t="inlineStr">
        <is>
          <t>Consumidor Final</t>
        </is>
      </c>
      <c r="C78" s="45" t="inlineStr">
        <is>
          <t>Refil E3</t>
        </is>
      </c>
      <c r="D78" s="46" t="n">
        <v>90</v>
      </c>
      <c r="E78" s="45" t="inlineStr">
        <is>
          <t>Crédito Parcelado</t>
        </is>
      </c>
      <c r="F78" s="47" t="n"/>
      <c r="G78" s="48" t="n"/>
      <c r="H78" s="49" t="n"/>
      <c r="I78" s="45" t="inlineStr">
        <is>
          <t>NFC-e 9120</t>
        </is>
      </c>
    </row>
    <row r="79" ht="15.75" customHeight="1" s="157">
      <c r="A79" s="17" t="n">
        <v>46191</v>
      </c>
      <c r="B79" s="18" t="inlineStr">
        <is>
          <t>Luana Barros Vieira de Carvalho - Emanuel Bernadino</t>
        </is>
      </c>
      <c r="C79" s="18" t="inlineStr">
        <is>
          <t>Refil Everest + Pré Filtro</t>
        </is>
      </c>
      <c r="D79" s="27" t="n">
        <v>200</v>
      </c>
      <c r="E79" s="18" t="inlineStr">
        <is>
          <t>Crédito Parcelado</t>
        </is>
      </c>
      <c r="F79" s="19" t="n"/>
      <c r="G79" s="19" t="n"/>
      <c r="H79" s="21" t="n"/>
      <c r="I79" s="18" t="inlineStr">
        <is>
          <t>NFC-e 9121</t>
        </is>
      </c>
      <c r="J79" s="18" t="n"/>
    </row>
    <row r="80">
      <c r="A80" s="44" t="n">
        <v>46191</v>
      </c>
      <c r="B80" s="45" t="inlineStr">
        <is>
          <t>Consumidor Final</t>
        </is>
      </c>
      <c r="C80" s="45" t="inlineStr">
        <is>
          <t>Refil BAG</t>
        </is>
      </c>
      <c r="D80" s="46" t="n">
        <v>50</v>
      </c>
      <c r="E80" s="45" t="inlineStr">
        <is>
          <t>Crédito Parcelado</t>
        </is>
      </c>
      <c r="F80" s="47" t="n"/>
      <c r="G80" s="48" t="n"/>
      <c r="H80" s="49" t="n"/>
      <c r="I80" s="45" t="inlineStr">
        <is>
          <t>NFC-e 9122</t>
        </is>
      </c>
    </row>
    <row r="81">
      <c r="A81" s="17" t="n">
        <v>46191</v>
      </c>
      <c r="B81" s="18" t="inlineStr">
        <is>
          <t xml:space="preserve">Instituição Adventista Nordeste Brasileiro </t>
        </is>
      </c>
      <c r="C81" s="18" t="inlineStr">
        <is>
          <t>Pré Filtro + Refil Everest + 2x Refil Plissado + 2x Refil Multifilter + Refil Carbon Tech 9"</t>
        </is>
      </c>
      <c r="D81" s="27" t="n">
        <v>625</v>
      </c>
      <c r="E81" s="18" t="n"/>
      <c r="F81" s="19" t="n"/>
      <c r="G81" s="19" t="n"/>
      <c r="H81" s="21" t="n"/>
      <c r="I81" s="18" t="inlineStr">
        <is>
          <t>NF-e 4232 · nota faturada a prazo (forma de recebimento não consta na nota) · venda de 17/06/2026 — pagamento recebido em 18/06/2026</t>
        </is>
      </c>
      <c r="J81" s="18" t="inlineStr">
        <is>
          <t>ESC-0016</t>
        </is>
      </c>
    </row>
    <row r="82">
      <c r="A82" s="44" t="n">
        <v>46191</v>
      </c>
      <c r="B82" s="45" t="inlineStr">
        <is>
          <t>Everest Refrigeracao e Industria</t>
        </is>
      </c>
      <c r="C82" s="45" t="n"/>
      <c r="D82" s="46" t="n"/>
      <c r="E82" s="45" t="n"/>
      <c r="F82" s="47" t="n"/>
      <c r="G82" s="48" t="n">
        <v>856.35</v>
      </c>
      <c r="H82" s="49" t="inlineStr">
        <is>
          <t>Fornecedores / Mercadoria</t>
        </is>
      </c>
      <c r="I82" s="45" t="inlineStr">
        <is>
          <t>NF 377739 de 19/05/2026 · parcela 1/5 (venc. 18/06/2026) · compra total R$ 4.281,74: Purificador Everest Slim Branco + Purificador Everest Slim Preto + Purificador Everest Plus Branco + Purificador Everest Star Branco + Purificador Everest Fit Branco + Purificador Everest Plus Prata · Livro Caixa</t>
        </is>
      </c>
    </row>
    <row r="83">
      <c r="A83" s="17" t="n">
        <v>46191</v>
      </c>
      <c r="B83" s="18" t="inlineStr">
        <is>
          <t>Everest Refrigeracao e Industria</t>
        </is>
      </c>
      <c r="C83" s="18" t="n"/>
      <c r="D83" s="27" t="n"/>
      <c r="E83" s="18" t="n"/>
      <c r="F83" s="19" t="n"/>
      <c r="G83" s="19" t="n">
        <v>865.5</v>
      </c>
      <c r="H83" s="21" t="inlineStr">
        <is>
          <t>Fornecedores / Mercadoria</t>
        </is>
      </c>
      <c r="I83" s="18" t="inlineStr">
        <is>
          <t>NF 377738 de 19/05/2026 · parcela 1/5 (venc. 18/06/2026) · compra total R$ 4.327,52: Purificador Everest Plus Branco + Purificador Everest Plus Prata + Purificador Everest Slim Branco + 2x Purificador Everest Fit Prata + Purificador Everest Fit Preto · Livro Caixa</t>
        </is>
      </c>
      <c r="J83" s="18" t="n"/>
    </row>
    <row r="84">
      <c r="A84" s="44" t="n">
        <v>46191</v>
      </c>
      <c r="B84" s="45" t="inlineStr">
        <is>
          <t>Everest Refrigeracao e Industria</t>
        </is>
      </c>
      <c r="C84" s="45" t="n"/>
      <c r="D84" s="46" t="n"/>
      <c r="E84" s="45" t="n"/>
      <c r="F84" s="47" t="n"/>
      <c r="G84" s="48" t="n">
        <v>167.91</v>
      </c>
      <c r="H84" s="49" t="inlineStr">
        <is>
          <t>Fornecedores / Mercadoria</t>
        </is>
      </c>
      <c r="I84" s="45" t="inlineStr">
        <is>
          <t>NF 377737 de 19/05/2026 · parcela 1/5 (venc. 18/06/2026) · compra total R$ 725,16 (IPI R$ 28,60): 12x Conexão T + 30x Registro + 20x Botao Completo Purificador (N) + 30x Suporte · Livro Caixa</t>
        </is>
      </c>
    </row>
    <row r="85">
      <c r="A85" s="17" t="n">
        <v>46191</v>
      </c>
      <c r="B85" s="18" t="inlineStr">
        <is>
          <t>Filtros Planeta Agua Ind e Com Ltda</t>
        </is>
      </c>
      <c r="C85" s="18" t="n"/>
      <c r="D85" s="27" t="n"/>
      <c r="E85" s="18" t="n"/>
      <c r="F85" s="19" t="n"/>
      <c r="G85" s="19" t="n">
        <v>666.15</v>
      </c>
      <c r="H85" s="21" t="inlineStr">
        <is>
          <t>Fornecedores / Mercadoria</t>
        </is>
      </c>
      <c r="I85" s="18" t="inlineStr">
        <is>
          <t>NF 130510 de 08/05/2026 · parcela 2/4 (venc. 19/06/2026) · compra total R$ 2.803,16 (IPI R$ 138,56): 50x Refil Pro Life + 3x Refil Top Color + 5x Refil Acquatec + 5x Refil Fp4 + 6x Refil Carbon Tech 9.3/4 Pol + 6x Refil Poli Flu Plissado 9.3/4 + 5x Refil E3 + 5x Refil Top Multifilter + 3x Refil Top Color Fast + 5x Refil Fpa14 · Livro Caixa</t>
        </is>
      </c>
      <c r="J85" s="18" t="n"/>
    </row>
    <row r="86">
      <c r="A86" s="44" t="n">
        <v>46191</v>
      </c>
      <c r="B86" s="45" t="inlineStr">
        <is>
          <t>Guia do Fgts Digital</t>
        </is>
      </c>
      <c r="C86" s="45" t="n"/>
      <c r="D86" s="46" t="n"/>
      <c r="E86" s="45" t="n"/>
      <c r="F86" s="47" t="n"/>
      <c r="G86" s="48" t="n">
        <v>267.2</v>
      </c>
      <c r="H86" s="49" t="inlineStr">
        <is>
          <t>Impostos e Taxas</t>
        </is>
      </c>
      <c r="I86" s="45" t="inlineStr">
        <is>
          <t>Livro Caixa: Pagamento parcela GUIA DO FGTS DIGITAL (Doc. 1) · Caixa Economica Federal</t>
        </is>
      </c>
    </row>
    <row r="87">
      <c r="A87" s="17" t="n">
        <v>46192</v>
      </c>
      <c r="B87" s="18" t="inlineStr">
        <is>
          <t>Ronie de Santana Lima</t>
        </is>
      </c>
      <c r="C87" s="18" t="inlineStr">
        <is>
          <t>Refil Pro Life + Pré Filtro</t>
        </is>
      </c>
      <c r="D87" s="27" t="n">
        <v>180</v>
      </c>
      <c r="E87" s="18" t="inlineStr">
        <is>
          <t>Pix</t>
        </is>
      </c>
      <c r="F87" s="19" t="n"/>
      <c r="G87" s="19" t="n"/>
      <c r="H87" s="21" t="n"/>
      <c r="I87" s="18" t="inlineStr">
        <is>
          <t>NFC-e 9123</t>
        </is>
      </c>
      <c r="J87" s="18" t="inlineStr">
        <is>
          <t>CLI-0858</t>
        </is>
      </c>
    </row>
    <row r="88">
      <c r="A88" s="44" t="n">
        <v>46192</v>
      </c>
      <c r="B88" s="45" t="inlineStr">
        <is>
          <t>Consumidor Final</t>
        </is>
      </c>
      <c r="C88" s="45" t="inlineStr">
        <is>
          <t>Conexão</t>
        </is>
      </c>
      <c r="D88" s="46" t="n">
        <v>30</v>
      </c>
      <c r="E88" s="45" t="inlineStr">
        <is>
          <t>Pix</t>
        </is>
      </c>
      <c r="F88" s="47" t="n"/>
      <c r="G88" s="48" t="n"/>
      <c r="H88" s="49" t="n"/>
      <c r="I88" s="45" t="inlineStr">
        <is>
          <t>NFC-e 9124</t>
        </is>
      </c>
    </row>
    <row r="89">
      <c r="A89" s="17" t="n">
        <v>46192</v>
      </c>
      <c r="B89" s="18" t="inlineStr">
        <is>
          <t>Consumidor Final</t>
        </is>
      </c>
      <c r="C89" s="18" t="inlineStr">
        <is>
          <t>Registro</t>
        </is>
      </c>
      <c r="D89" s="27" t="n">
        <v>30</v>
      </c>
      <c r="E89" s="18" t="inlineStr">
        <is>
          <t>Dinheiro</t>
        </is>
      </c>
      <c r="F89" s="19" t="n"/>
      <c r="G89" s="19" t="n"/>
      <c r="H89" s="21" t="n"/>
      <c r="I89" s="18" t="inlineStr">
        <is>
          <t>NFC-e 9125</t>
        </is>
      </c>
      <c r="J89" s="18" t="n"/>
    </row>
    <row r="90">
      <c r="A90" s="44" t="n">
        <v>46193</v>
      </c>
      <c r="B90" s="45" t="inlineStr">
        <is>
          <t>Osvaldina Soares Nery - Marilene Soares Dibec</t>
        </is>
      </c>
      <c r="C90" s="45" t="inlineStr">
        <is>
          <t>Refil Pro Life</t>
        </is>
      </c>
      <c r="D90" s="46" t="n">
        <v>135</v>
      </c>
      <c r="E90" s="45" t="inlineStr">
        <is>
          <t>Pix</t>
        </is>
      </c>
      <c r="F90" s="47" t="n"/>
      <c r="G90" s="48" t="n"/>
      <c r="H90" s="49" t="n"/>
      <c r="I90" s="45" t="inlineStr">
        <is>
          <t>NFC-e 9126</t>
        </is>
      </c>
    </row>
    <row r="91">
      <c r="A91" s="17" t="n">
        <v>46195</v>
      </c>
      <c r="B91" s="18" t="inlineStr">
        <is>
          <t>Aparecido Candido da Silva</t>
        </is>
      </c>
      <c r="C91" s="18" t="inlineStr">
        <is>
          <t>Refil Pro Life</t>
        </is>
      </c>
      <c r="D91" s="27" t="n">
        <v>140</v>
      </c>
      <c r="E91" s="18" t="inlineStr">
        <is>
          <t>Crédito Parcelado</t>
        </is>
      </c>
      <c r="F91" s="19" t="n"/>
      <c r="G91" s="19" t="n"/>
      <c r="H91" s="21" t="n"/>
      <c r="I91" s="18" t="inlineStr">
        <is>
          <t>NFC-e 9127</t>
        </is>
      </c>
      <c r="J91" s="18" t="n"/>
    </row>
    <row r="92">
      <c r="A92" s="44" t="n">
        <v>46195</v>
      </c>
      <c r="B92" s="45" t="inlineStr">
        <is>
          <t>Consumidor Final</t>
        </is>
      </c>
      <c r="C92" s="45" t="inlineStr">
        <is>
          <t>2x Filtro Bica Movel Preto</t>
        </is>
      </c>
      <c r="D92" s="46" t="n">
        <v>215</v>
      </c>
      <c r="E92" s="45" t="inlineStr">
        <is>
          <t>Pix</t>
        </is>
      </c>
      <c r="F92" s="47" t="n"/>
      <c r="G92" s="48" t="n"/>
      <c r="H92" s="49" t="n"/>
      <c r="I92" s="45" t="inlineStr">
        <is>
          <t>NFC-e 9128</t>
        </is>
      </c>
    </row>
    <row r="93">
      <c r="A93" s="17" t="n">
        <v>46195</v>
      </c>
      <c r="B93" s="18" t="inlineStr">
        <is>
          <t>Uelber do Nascimento Barbosa - Carine Lima</t>
        </is>
      </c>
      <c r="C93" s="18" t="inlineStr">
        <is>
          <t>Refil Pro Life</t>
        </is>
      </c>
      <c r="D93" s="27" t="n">
        <v>140</v>
      </c>
      <c r="E93" s="18" t="inlineStr">
        <is>
          <t>Crédito Parcelado</t>
        </is>
      </c>
      <c r="F93" s="19" t="n"/>
      <c r="G93" s="19" t="n"/>
      <c r="H93" s="21" t="n"/>
      <c r="I93" s="18" t="inlineStr">
        <is>
          <t>NFC-e 9129</t>
        </is>
      </c>
      <c r="J93" s="18" t="n"/>
    </row>
    <row r="94">
      <c r="A94" s="44" t="n">
        <v>46195</v>
      </c>
      <c r="B94" s="45" t="inlineStr">
        <is>
          <t>Comercial de Motos, Motores, Peças e Acessórios Várzea - Yamaha</t>
        </is>
      </c>
      <c r="C94" s="45" t="inlineStr">
        <is>
          <t>Refil Everest</t>
        </is>
      </c>
      <c r="D94" s="46" t="n">
        <v>130</v>
      </c>
      <c r="E94" s="45" t="inlineStr">
        <is>
          <t>Pix</t>
        </is>
      </c>
      <c r="F94" s="47" t="n"/>
      <c r="G94" s="48" t="n"/>
      <c r="H94" s="49" t="n"/>
      <c r="I94" s="45" t="inlineStr">
        <is>
          <t>NF-e 4234</t>
        </is>
      </c>
      <c r="J94" t="inlineStr">
        <is>
          <t>EMP-0098</t>
        </is>
      </c>
    </row>
    <row r="95">
      <c r="A95" s="17" t="n">
        <v>46196</v>
      </c>
      <c r="B95" s="18" t="inlineStr">
        <is>
          <t>Piemonte da Chapada Transportes Ltda</t>
        </is>
      </c>
      <c r="C95" s="18" t="inlineStr">
        <is>
          <t>Refil Everest + Refil Carbon Tech 9"</t>
        </is>
      </c>
      <c r="D95" s="27" t="n">
        <v>200</v>
      </c>
      <c r="E95" s="18" t="inlineStr">
        <is>
          <t>Dinheiro</t>
        </is>
      </c>
      <c r="F95" s="19" t="n"/>
      <c r="G95" s="19" t="n"/>
      <c r="H95" s="21" t="n"/>
      <c r="I95" s="18" t="inlineStr">
        <is>
          <t>NF-e 4235</t>
        </is>
      </c>
      <c r="J95" s="18" t="n"/>
    </row>
    <row r="96">
      <c r="A96" s="44" t="n">
        <v>46196</v>
      </c>
      <c r="B96" s="45" t="inlineStr">
        <is>
          <t>Real Sociedade Portuguesa de Beneficencia 16 de Setembro</t>
        </is>
      </c>
      <c r="C96" s="45" t="inlineStr">
        <is>
          <t>4x Refil Everest + Refil Carbon Block</t>
        </is>
      </c>
      <c r="D96" s="46" t="n">
        <v>560</v>
      </c>
      <c r="E96" s="45" t="inlineStr">
        <is>
          <t>Dinheiro</t>
        </is>
      </c>
      <c r="F96" s="47" t="n"/>
      <c r="G96" s="48" t="n"/>
      <c r="H96" s="49" t="n"/>
      <c r="I96" s="45" t="inlineStr">
        <is>
          <t>NF-e 4236</t>
        </is>
      </c>
    </row>
    <row r="97">
      <c r="A97" s="17" t="n">
        <v>46198</v>
      </c>
      <c r="B97" s="18" t="inlineStr">
        <is>
          <t>Escola Municipal Nubia Maria Mangabeira Guerra</t>
        </is>
      </c>
      <c r="C97" s="18" t="inlineStr">
        <is>
          <t>Purificador Everest Plus Prata</t>
        </is>
      </c>
      <c r="D97" s="27" t="n">
        <v>1440</v>
      </c>
      <c r="E97" s="18" t="n"/>
      <c r="F97" s="19" t="n"/>
      <c r="G97" s="19" t="n"/>
      <c r="H97" s="21" t="n"/>
      <c r="I97" s="18" t="inlineStr">
        <is>
          <t>NF-e 4233 · nota faturada a prazo (forma de recebimento não consta na nota) · venda de 18/06/2026 — pagamento recebido em 25/06/2026</t>
        </is>
      </c>
      <c r="J97" s="18" t="inlineStr">
        <is>
          <t>ESC-0020</t>
        </is>
      </c>
    </row>
    <row r="98">
      <c r="A98" s="44" t="n">
        <v>46198</v>
      </c>
      <c r="B98" s="45" t="inlineStr">
        <is>
          <t>Jefferson do Rosario Rios Freitas</t>
        </is>
      </c>
      <c r="C98" s="45" t="inlineStr">
        <is>
          <t>Refil Pro Life</t>
        </is>
      </c>
      <c r="D98" s="46" t="n">
        <v>140</v>
      </c>
      <c r="E98" s="45" t="inlineStr">
        <is>
          <t>Pix</t>
        </is>
      </c>
      <c r="F98" s="47" t="n"/>
      <c r="G98" s="48" t="n"/>
      <c r="H98" s="49" t="n"/>
      <c r="I98" s="45" t="inlineStr">
        <is>
          <t>NFC-e 9130</t>
        </is>
      </c>
      <c r="J98" t="inlineStr">
        <is>
          <t>CLI-0861</t>
        </is>
      </c>
    </row>
    <row r="99">
      <c r="A99" s="17" t="n">
        <v>46198</v>
      </c>
      <c r="B99" s="18" t="inlineStr">
        <is>
          <t>Consumidor Final</t>
        </is>
      </c>
      <c r="C99" s="18" t="inlineStr">
        <is>
          <t>Refil Universal</t>
        </is>
      </c>
      <c r="D99" s="27" t="n">
        <v>30</v>
      </c>
      <c r="E99" s="18" t="inlineStr">
        <is>
          <t>Débito</t>
        </is>
      </c>
      <c r="F99" s="19" t="n"/>
      <c r="G99" s="19" t="n"/>
      <c r="H99" s="21" t="n"/>
      <c r="I99" s="18" t="inlineStr">
        <is>
          <t>NFC-e 9131</t>
        </is>
      </c>
      <c r="J99" s="18" t="n"/>
    </row>
    <row r="100" ht="15.75" customHeight="1" s="157">
      <c r="A100" s="44" t="n">
        <v>46198</v>
      </c>
      <c r="B100" s="45" t="inlineStr">
        <is>
          <t>Consumidor Final</t>
        </is>
      </c>
      <c r="C100" s="45" t="inlineStr">
        <is>
          <t>Refil FPA14</t>
        </is>
      </c>
      <c r="D100" s="46" t="n">
        <v>95</v>
      </c>
      <c r="E100" s="45" t="inlineStr">
        <is>
          <t>Crédito Parcelado</t>
        </is>
      </c>
      <c r="F100" s="47" t="n"/>
      <c r="G100" s="48" t="n"/>
      <c r="H100" s="49" t="n"/>
      <c r="I100" s="45" t="inlineStr">
        <is>
          <t>NFC-e 9132</t>
        </is>
      </c>
    </row>
    <row r="101">
      <c r="A101" s="17" t="n">
        <v>46199</v>
      </c>
      <c r="B101" s="18" t="inlineStr">
        <is>
          <t>Consumidor Final</t>
        </is>
      </c>
      <c r="C101" s="18" t="inlineStr">
        <is>
          <t>Refil Acquatec</t>
        </is>
      </c>
      <c r="D101" s="27" t="n">
        <v>85</v>
      </c>
      <c r="E101" s="18" t="inlineStr">
        <is>
          <t>Dinheiro</t>
        </is>
      </c>
      <c r="F101" s="19" t="n"/>
      <c r="G101" s="19" t="n"/>
      <c r="H101" s="21" t="n"/>
      <c r="I101" s="18" t="inlineStr">
        <is>
          <t>NFC-e 9133</t>
        </is>
      </c>
      <c r="J101" s="18" t="n"/>
    </row>
    <row r="102" ht="15.75" customHeight="1" s="157">
      <c r="A102" s="44" t="n">
        <v>46199</v>
      </c>
      <c r="B102" s="45" t="inlineStr">
        <is>
          <t>Senai - Jacobina</t>
        </is>
      </c>
      <c r="C102" s="45" t="inlineStr">
        <is>
          <t>4x Refil Carbon Tech</t>
        </is>
      </c>
      <c r="D102" s="46" t="n">
        <v>320</v>
      </c>
      <c r="E102" s="45" t="n"/>
      <c r="F102" s="47" t="n"/>
      <c r="G102" s="48" t="n"/>
      <c r="H102" s="49" t="n"/>
      <c r="I102" s="45" t="inlineStr">
        <is>
          <t>NF-e 4216 · nota faturada a prazo (forma de recebimento não consta na nota) · venda de 05/06/2026 — pagamento recebido em 26/06/2026</t>
        </is>
      </c>
    </row>
    <row r="103">
      <c r="A103" s="17" t="n">
        <v>46199</v>
      </c>
      <c r="B103" s="18" t="inlineStr">
        <is>
          <t>Comercial de Alimentos LTDA - Cleval</t>
        </is>
      </c>
      <c r="C103" s="18" t="inlineStr">
        <is>
          <t>Refil Pro Life + Refil Everest + 2x Pré Filtro</t>
        </is>
      </c>
      <c r="D103" s="27" t="n">
        <v>380</v>
      </c>
      <c r="E103" s="18" t="inlineStr">
        <is>
          <t>Dinheiro</t>
        </is>
      </c>
      <c r="F103" s="19" t="n"/>
      <c r="G103" s="19" t="n"/>
      <c r="H103" s="21" t="n"/>
      <c r="I103" s="18" t="inlineStr">
        <is>
          <t>NF-e 4237</t>
        </is>
      </c>
      <c r="J103" s="18" t="inlineStr">
        <is>
          <t>EMP-0095</t>
        </is>
      </c>
    </row>
    <row r="104" ht="15.75" customHeight="1" s="157">
      <c r="A104" s="44" t="n">
        <v>46199</v>
      </c>
      <c r="B104" s="45" t="inlineStr">
        <is>
          <t>Consumidor Final</t>
        </is>
      </c>
      <c r="C104" s="45" t="inlineStr">
        <is>
          <t>Refil Pro Life</t>
        </is>
      </c>
      <c r="D104" s="46" t="n">
        <v>140</v>
      </c>
      <c r="E104" s="45" t="inlineStr">
        <is>
          <t>Pix</t>
        </is>
      </c>
      <c r="F104" s="47" t="n"/>
      <c r="G104" s="48" t="n"/>
      <c r="H104" s="49" t="n"/>
      <c r="I104" s="45" t="inlineStr">
        <is>
          <t>NFC-e 9134</t>
        </is>
      </c>
    </row>
    <row r="105">
      <c r="A105" s="17" t="n">
        <v>46199</v>
      </c>
      <c r="B105" s="18" t="inlineStr">
        <is>
          <t>Eversoft Ind e Com de Plasticos Ltda</t>
        </is>
      </c>
      <c r="C105" s="18" t="n"/>
      <c r="D105" s="27" t="n"/>
      <c r="E105" s="18" t="n"/>
      <c r="F105" s="19" t="n"/>
      <c r="G105" s="19" t="n">
        <v>968.92</v>
      </c>
      <c r="H105" s="21" t="inlineStr">
        <is>
          <t>Fornecedores / Mercadoria</t>
        </is>
      </c>
      <c r="I105" s="18" t="inlineStr">
        <is>
          <t>NF 73636 de 10/06/2026 · parcela 1/5 (venc. 10/07/2026) · compra total R$ 4.394,61: 100x Refil Everest · Livro Caixa</t>
        </is>
      </c>
      <c r="J105" s="18" t="n"/>
    </row>
    <row r="106">
      <c r="A106" s="44" t="n">
        <v>46199</v>
      </c>
      <c r="B106" s="45" t="inlineStr">
        <is>
          <t>Eversoft Ind e Com de Plasticos Ltda</t>
        </is>
      </c>
      <c r="C106" s="45" t="n"/>
      <c r="D106" s="46" t="n"/>
      <c r="E106" s="45" t="n"/>
      <c r="F106" s="47" t="n"/>
      <c r="G106" s="48" t="n">
        <v>541.35</v>
      </c>
      <c r="H106" s="49" t="inlineStr">
        <is>
          <t>Fornecedores / Mercadoria</t>
        </is>
      </c>
      <c r="I106" s="45" t="inlineStr">
        <is>
          <t>NF 70444 de 23/01/2026 · parcela 5/5 (venc. 22/06/2026) · compra total R$ 2.706,83: 50x Refil Everest + 50x Pré Filtro · Livro Caixa</t>
        </is>
      </c>
    </row>
    <row r="107">
      <c r="A107" s="17" t="n">
        <v>46199</v>
      </c>
      <c r="B107" s="18" t="inlineStr">
        <is>
          <t>Documento de Arrecadação do Simples Na</t>
        </is>
      </c>
      <c r="C107" s="18" t="n"/>
      <c r="D107" s="27" t="n"/>
      <c r="E107" s="18" t="n"/>
      <c r="F107" s="19" t="n"/>
      <c r="G107" s="19" t="n">
        <v>955.4</v>
      </c>
      <c r="H107" s="21" t="inlineStr">
        <is>
          <t>Impostos e Taxas</t>
        </is>
      </c>
      <c r="I107" s="18" t="inlineStr">
        <is>
          <t>Livro Caixa: Pagamento parcela DOCUMENTO DE ARRECADAÇÃO DO SIMPLES NA · Ministerio da Fazenda</t>
        </is>
      </c>
      <c r="J107" s="18" t="n"/>
    </row>
    <row r="108">
      <c r="A108" s="44" t="n">
        <v>46199</v>
      </c>
      <c r="B108" s="45" t="inlineStr">
        <is>
          <t>Eversoft Ind e Com de Plasticos Ltda</t>
        </is>
      </c>
      <c r="C108" s="45" t="n"/>
      <c r="D108" s="46" t="n"/>
      <c r="E108" s="45" t="n"/>
      <c r="F108" s="47" t="n"/>
      <c r="G108" s="48" t="n">
        <v>878.92</v>
      </c>
      <c r="H108" s="49" t="inlineStr">
        <is>
          <t>Fornecedores / Mercadoria</t>
        </is>
      </c>
      <c r="I108" s="45" t="inlineStr">
        <is>
          <t>NF 71084 de 23/02/2026 · parcela 4/5 (venc. 23/06/2026) · compra total R$ 4.394,61: 100x Refil Everest · Livro Caixa</t>
        </is>
      </c>
    </row>
    <row r="109">
      <c r="A109" s="17" t="n">
        <v>46199</v>
      </c>
      <c r="B109" s="18" t="inlineStr">
        <is>
          <t>Everest Refrigeracao e Industria</t>
        </is>
      </c>
      <c r="C109" s="18" t="n"/>
      <c r="D109" s="27" t="n"/>
      <c r="E109" s="18" t="n"/>
      <c r="F109" s="19" t="n"/>
      <c r="G109" s="19" t="n">
        <v>676.59</v>
      </c>
      <c r="H109" s="21" t="inlineStr">
        <is>
          <t>Fornecedores / Mercadoria</t>
        </is>
      </c>
      <c r="I109" s="18" t="inlineStr">
        <is>
          <t>NF 371358 de 24/02/2026 · parcela 4/5 (venc. 24/06/2026) · compra total R$ 3.382,95: 2x Purificador Everest Star Branco + Purificador Everest Slim Branco + Purificador Everest Fit Branco + Purificador Everest Fit Prata · Livro Caixa</t>
        </is>
      </c>
      <c r="J109" s="18" t="n"/>
    </row>
    <row r="110">
      <c r="A110" s="44" t="n">
        <v>46199</v>
      </c>
      <c r="B110" s="45" t="inlineStr">
        <is>
          <t>Icms - Antecipação Parcial</t>
        </is>
      </c>
      <c r="C110" s="45" t="n"/>
      <c r="D110" s="46" t="n"/>
      <c r="E110" s="45" t="n"/>
      <c r="F110" s="47" t="n"/>
      <c r="G110" s="48" t="n">
        <v>1855.58</v>
      </c>
      <c r="H110" s="49" t="inlineStr">
        <is>
          <t>Impostos e Taxas</t>
        </is>
      </c>
      <c r="I110" s="45" t="inlineStr">
        <is>
          <t>Livro Caixa: Pagamento parcela ICMS - ANTECIPAÇÃO PARCIAL (Doc. 1) · Bahia Secretaria da Fazenda</t>
        </is>
      </c>
    </row>
    <row r="111">
      <c r="A111" s="17" t="n">
        <v>46200</v>
      </c>
      <c r="B111" s="18" t="inlineStr">
        <is>
          <t>Consumidor Final</t>
        </is>
      </c>
      <c r="C111" s="18" t="inlineStr">
        <is>
          <t>Refil Universal</t>
        </is>
      </c>
      <c r="D111" s="27" t="n">
        <v>30</v>
      </c>
      <c r="E111" s="18" t="inlineStr">
        <is>
          <t>Crédito Parcelado</t>
        </is>
      </c>
      <c r="F111" s="19" t="n"/>
      <c r="G111" s="19" t="n"/>
      <c r="H111" s="21" t="n"/>
      <c r="I111" s="18" t="inlineStr">
        <is>
          <t>NFC-e 9135</t>
        </is>
      </c>
      <c r="J111" s="18" t="n"/>
    </row>
    <row r="112">
      <c r="A112" s="44" t="n">
        <v>46202</v>
      </c>
      <c r="B112" s="45" t="inlineStr">
        <is>
          <t>CDI - Clinica Dentaria Integrada - Dr. Cicero - Copa</t>
        </is>
      </c>
      <c r="C112" s="45" t="inlineStr">
        <is>
          <t>Refil Plissado</t>
        </is>
      </c>
      <c r="D112" s="46" t="n">
        <v>80</v>
      </c>
      <c r="E112" s="45" t="inlineStr">
        <is>
          <t>Dinheiro</t>
        </is>
      </c>
      <c r="F112" s="47" t="n"/>
      <c r="G112" s="48" t="n"/>
      <c r="H112" s="49" t="n"/>
      <c r="I112" s="45" t="inlineStr">
        <is>
          <t>NF-e 4238</t>
        </is>
      </c>
      <c r="J112" t="inlineStr">
        <is>
          <t>EMP-0052</t>
        </is>
      </c>
    </row>
    <row r="113">
      <c r="A113" s="17" t="n">
        <v>46202</v>
      </c>
      <c r="B113" s="18" t="inlineStr">
        <is>
          <t>AJ Comercial de Cosmeticos e Perfumaria LTDA - Avatim</t>
        </is>
      </c>
      <c r="C113" s="18" t="inlineStr">
        <is>
          <t>Purificador Everest Plus Preto + Pré Filtro</t>
        </is>
      </c>
      <c r="D113" s="27" t="n">
        <v>1500</v>
      </c>
      <c r="E113" s="18" t="n"/>
      <c r="F113" s="19" t="n"/>
      <c r="G113" s="19" t="n"/>
      <c r="H113" s="21" t="n"/>
      <c r="I113" s="18" t="inlineStr">
        <is>
          <t>NF-e 4239 · nota faturada a prazo (forma de recebimento não consta na nota)</t>
        </is>
      </c>
      <c r="J113" s="18" t="inlineStr">
        <is>
          <t>EMP-0003</t>
        </is>
      </c>
    </row>
    <row r="114">
      <c r="A114" s="44" t="n">
        <v>46202</v>
      </c>
      <c r="B114" s="45" t="inlineStr">
        <is>
          <t>Filtros Planeta Agua Ind e Com Ltda</t>
        </is>
      </c>
      <c r="C114" s="45" t="n"/>
      <c r="D114" s="46" t="n"/>
      <c r="E114" s="45" t="n"/>
      <c r="F114" s="47" t="n"/>
      <c r="G114" s="48" t="n">
        <v>51.55</v>
      </c>
      <c r="H114" s="49" t="inlineStr">
        <is>
          <t>Fornecedores / Mercadoria</t>
        </is>
      </c>
      <c r="I114" s="45" t="inlineStr">
        <is>
          <t>NF 130511 de 08/05/2026 · compra total R$ 51,55 (IPI R$ 2,55): Refil Carbon Tech 9.3/4 Pol · Livro Caixa</t>
        </is>
      </c>
    </row>
    <row r="115">
      <c r="A115" s="17" t="n">
        <v>46203</v>
      </c>
      <c r="B115" s="18" t="inlineStr">
        <is>
          <t>Jaime Rodrigues de Oliveira</t>
        </is>
      </c>
      <c r="C115" s="18" t="inlineStr">
        <is>
          <t>Refil Everest + Refil Multifilter</t>
        </is>
      </c>
      <c r="D115" s="27" t="n">
        <v>220</v>
      </c>
      <c r="E115" s="18" t="inlineStr">
        <is>
          <t>Crédito Parcelado</t>
        </is>
      </c>
      <c r="F115" s="19" t="n"/>
      <c r="G115" s="19" t="n"/>
      <c r="H115" s="21" t="n"/>
      <c r="I115" s="18" t="inlineStr">
        <is>
          <t>NFC-e 9136</t>
        </is>
      </c>
      <c r="J115" s="18" t="n"/>
    </row>
    <row r="116">
      <c r="A116" s="44" t="n">
        <v>46203</v>
      </c>
      <c r="B116" s="45" t="inlineStr">
        <is>
          <t>Consumidor Final</t>
        </is>
      </c>
      <c r="C116" s="45" t="inlineStr">
        <is>
          <t>Refil IBBL C+3 + Suporte Metal Simples Fit</t>
        </is>
      </c>
      <c r="D116" s="46" t="n">
        <v>170</v>
      </c>
      <c r="E116" s="45" t="inlineStr">
        <is>
          <t>Pix</t>
        </is>
      </c>
      <c r="F116" s="47" t="n"/>
      <c r="G116" s="48" t="n"/>
      <c r="H116" s="49" t="n"/>
      <c r="I116" s="45" t="inlineStr">
        <is>
          <t>NFC-e 9137</t>
        </is>
      </c>
    </row>
    <row r="117">
      <c r="A117" s="17" t="n">
        <v>46203</v>
      </c>
      <c r="B117" s="18" t="inlineStr">
        <is>
          <t>Centro Medico de Jacobina Ltda</t>
        </is>
      </c>
      <c r="C117" s="18" t="inlineStr">
        <is>
          <t>2x Botão Completo</t>
        </is>
      </c>
      <c r="D117" s="27" t="n">
        <v>60</v>
      </c>
      <c r="E117" s="18" t="inlineStr">
        <is>
          <t>Aguardando Pagamento</t>
        </is>
      </c>
      <c r="F117" s="19" t="n"/>
      <c r="G117" s="19" t="n"/>
      <c r="H117" s="21" t="n"/>
      <c r="I117" s="18" t="inlineStr">
        <is>
          <t>NF-e 4242 · não recebido (conferido no DigiSat em 28/09/2026) — espelhado em Contas a Receber.</t>
        </is>
      </c>
      <c r="J117" s="18" t="n"/>
    </row>
    <row r="118">
      <c r="A118" s="44" t="n">
        <v>46203</v>
      </c>
      <c r="B118" s="45" t="inlineStr">
        <is>
          <t>Documento de Arrecadação de Receitas Fe</t>
        </is>
      </c>
      <c r="C118" s="45" t="n"/>
      <c r="D118" s="46" t="n"/>
      <c r="E118" s="45" t="n"/>
      <c r="F118" s="47" t="n"/>
      <c r="G118" s="48" t="n">
        <v>443.04</v>
      </c>
      <c r="H118" s="49" t="inlineStr">
        <is>
          <t>Impostos e Taxas</t>
        </is>
      </c>
      <c r="I118" s="45" t="inlineStr">
        <is>
          <t>Livro Caixa: Pagamento parcela DOCUMENTO DE ARRECADAÇÃO DE RECEITAS FE · Ministerio da Fazenda</t>
        </is>
      </c>
    </row>
    <row r="119">
      <c r="A119" s="17" t="n">
        <v>46203</v>
      </c>
      <c r="B119" s="18" t="inlineStr">
        <is>
          <t>Guia do Fgts Digital</t>
        </is>
      </c>
      <c r="C119" s="18" t="n"/>
      <c r="D119" s="27" t="n"/>
      <c r="E119" s="18" t="n"/>
      <c r="F119" s="19" t="n"/>
      <c r="G119" s="19" t="n">
        <v>3647.02</v>
      </c>
      <c r="H119" s="21" t="inlineStr">
        <is>
          <t>Impostos e Taxas</t>
        </is>
      </c>
      <c r="I119" s="18" t="inlineStr">
        <is>
          <t>Livro Caixa: Pagamento parcela GUIA DO FGTS DIGITAL (Doc. 1) · Caixa Economica Federal</t>
        </is>
      </c>
      <c r="J119" s="18" t="n"/>
    </row>
    <row r="120">
      <c r="A120" s="44" t="n">
        <v>46203</v>
      </c>
      <c r="B120" s="45" t="inlineStr">
        <is>
          <t>Salario Wiliam</t>
        </is>
      </c>
      <c r="C120" s="45" t="n"/>
      <c r="D120" s="46" t="n"/>
      <c r="E120" s="45" t="n"/>
      <c r="F120" s="47" t="n"/>
      <c r="G120" s="48" t="n">
        <v>1571.32</v>
      </c>
      <c r="H120" s="49" t="inlineStr">
        <is>
          <t>Salários, Comissões e Encargos</t>
        </is>
      </c>
      <c r="I120" s="45" t="inlineStr">
        <is>
          <t>Livro Caixa: Pagamento à vista: SALARIO WILIAM (Doc. 1) · Wiliam Pinto Bispo</t>
        </is>
      </c>
    </row>
    <row r="121">
      <c r="A121" s="29" t="n"/>
      <c r="B121" s="43" t="inlineStr">
        <is>
          <t>TOTAL DO MÊS</t>
        </is>
      </c>
      <c r="C121" s="160" t="n"/>
      <c r="D121" s="8">
        <f>SUM(D5:D120)</f>
        <v/>
      </c>
      <c r="E121" s="8" t="n"/>
      <c r="F121" s="29">
        <f>SUM(F5:F120)</f>
        <v/>
      </c>
      <c r="G121" s="8">
        <f>SUM(G5:G120)</f>
        <v/>
      </c>
      <c r="H121" s="29" t="n"/>
      <c r="I121" s="29" t="n"/>
    </row>
    <row r="122">
      <c r="A122" s="30" t="n"/>
      <c r="B122" s="133" t="inlineStr">
        <is>
          <t>SALDO DO MÊS (Entradas líquidas − Despesas da loja)</t>
        </is>
      </c>
      <c r="D122" s="132">
        <f>(D121-F121-T5)-(L18-L19)</f>
        <v/>
      </c>
      <c r="F122" s="30" t="n"/>
      <c r="H122" s="30" t="n"/>
      <c r="I122" s="30" t="n"/>
    </row>
    <row r="128" ht="15.75" customHeight="1" s="157"/>
    <row r="149" ht="15.75" customHeight="1" s="157"/>
    <row r="165">
      <c r="K165" s="13" t="n"/>
      <c r="L165" s="14" t="n"/>
    </row>
    <row r="166">
      <c r="K166" s="42" t="n"/>
      <c r="L166" s="8" t="n"/>
    </row>
    <row r="167">
      <c r="K167" s="31" t="n"/>
      <c r="L167" s="31" t="n"/>
    </row>
    <row r="168">
      <c r="K168" s="31" t="n"/>
      <c r="L168" s="31" t="n"/>
    </row>
    <row r="173" ht="15.75" customHeight="1" s="157"/>
    <row r="176" ht="15.75" customHeight="1" s="157"/>
    <row r="184" ht="15.75" customHeight="1" s="157"/>
    <row r="185">
      <c r="K185" s="31" t="n"/>
      <c r="L185" s="31" t="n"/>
    </row>
    <row r="186" ht="15.75" customHeight="1" s="157">
      <c r="K186" s="31" t="n"/>
      <c r="L186" s="31" t="n"/>
    </row>
    <row r="187">
      <c r="K187" s="31" t="n"/>
      <c r="L187" s="31" t="n"/>
    </row>
    <row r="188">
      <c r="K188" s="31" t="n"/>
      <c r="L188" s="31" t="n"/>
    </row>
    <row r="189">
      <c r="K189" s="31" t="n"/>
      <c r="L189" s="31" t="n"/>
    </row>
  </sheetData>
  <mergeCells count="19">
    <mergeCell ref="P4:Q4"/>
    <mergeCell ref="P8:Q9"/>
    <mergeCell ref="T8:U9"/>
    <mergeCell ref="N7:O7"/>
    <mergeCell ref="R4:S4"/>
    <mergeCell ref="T4:U4"/>
    <mergeCell ref="A2:I2"/>
    <mergeCell ref="R7:S7"/>
    <mergeCell ref="P5:Q6"/>
    <mergeCell ref="R5:S6"/>
    <mergeCell ref="R8:S9"/>
    <mergeCell ref="P7:Q7"/>
    <mergeCell ref="T5:U6"/>
    <mergeCell ref="T7:U7"/>
    <mergeCell ref="A1:I1"/>
    <mergeCell ref="K4:L4"/>
    <mergeCell ref="N5:O6"/>
    <mergeCell ref="N4:O4"/>
    <mergeCell ref="N8:O9"/>
  </mergeCells>
  <conditionalFormatting sqref="R7:S7">
    <cfRule type="expression" priority="1" dxfId="1">
      <formula>LEFT($R$7,6)="PASSOU"</formula>
    </cfRule>
  </conditionalFormatting>
  <conditionalFormatting sqref="R8:S9">
    <cfRule type="expression" priority="2" dxfId="0">
      <formula>LEFT($R$7,6)="PASSOU"</formula>
    </cfRule>
  </conditionalFormatting>
  <conditionalFormatting sqref="T8:U9">
    <cfRule type="cellIs" priority="3" operator="lessThan" dxfId="0">
      <formula>0</formula>
    </cfRule>
  </conditionalFormatting>
  <conditionalFormatting sqref="R5:S6">
    <cfRule type="cellIs" priority="4" operator="lessThan" dxfId="0">
      <formula>0</formula>
    </cfRule>
  </conditionalFormatting>
  <dataValidations count="2">
    <dataValidation sqref="E5:E120" showDropDown="0" showInputMessage="0" showErrorMessage="0" allowBlank="1" type="list">
      <formula1>"Dinheiro,Pix,Débito,Crédito à Vista,Crédito Parcelado,Aguardando Pagamento"</formula1>
    </dataValidation>
    <dataValidation sqref="H5:H120" showDropDown="0" showInputMessage="0" showErrorMessage="0" allowBlank="1" type="list">
      <formula1>$K$5:$K$17</formula1>
    </dataValidation>
  </dataValidations>
  <hyperlinks>
    <hyperlink ref="A3" location="'Início'!A1" display="← Início"/>
  </hyperlink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tabColor rgb="FF6B46C1"/>
    <outlinePr summaryBelow="1" summaryRight="1"/>
    <pageSetUpPr/>
  </sheetPr>
  <dimension ref="A1:U18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13" bestFit="1" customWidth="1" style="157" min="1" max="1"/>
    <col width="42" customWidth="1" style="157" min="2" max="2"/>
    <col width="26" customWidth="1" style="157" min="3" max="3"/>
    <col width="14" customWidth="1" style="157" min="4" max="4"/>
    <col width="20" customWidth="1" style="157" min="5" max="5"/>
    <col width="16" customWidth="1" style="157" min="6" max="6"/>
    <col width="14" customWidth="1" style="157" min="7" max="7"/>
    <col width="26" customWidth="1" style="157" min="8" max="8"/>
    <col width="30" customWidth="1" style="157" min="9" max="9"/>
    <col width="11" customWidth="1" style="157" min="10" max="10"/>
    <col width="30" customWidth="1" style="157" min="11" max="11"/>
    <col width="14" customWidth="1" style="157" min="12" max="12"/>
    <col width="3" customWidth="1" style="157" min="13" max="13"/>
    <col width="13" customWidth="1" style="157" min="14" max="21"/>
  </cols>
  <sheetData>
    <row r="1" ht="25.5" customHeight="1" s="157">
      <c r="A1" s="223" t="inlineStr">
        <is>
          <t>RELATÓRIO FINANCEIRO — JULHO / 2026</t>
        </is>
      </c>
    </row>
    <row r="2">
      <c r="A2" s="228" t="inlineStr">
        <is>
          <t>Fluxo de caixa da loja — entradas montadas a partir das notas fiscais (XML do DigiSat), com cliente e produtos; saídas do Livro Caixa</t>
        </is>
      </c>
    </row>
    <row r="3">
      <c r="A3" s="127" t="inlineStr">
        <is>
          <t>← Início</t>
        </is>
      </c>
    </row>
    <row r="4" ht="20.1" customHeight="1" s="157">
      <c r="A4" s="1" t="inlineStr">
        <is>
          <t>Data</t>
        </is>
      </c>
      <c r="B4" s="1" t="inlineStr">
        <is>
          <t>Descrição / Cliente</t>
        </is>
      </c>
      <c r="C4" s="1" t="inlineStr">
        <is>
          <t>Produto</t>
        </is>
      </c>
      <c r="D4" s="1" t="inlineStr">
        <is>
          <t>Entrada (R$)</t>
        </is>
      </c>
      <c r="E4" s="1" t="inlineStr">
        <is>
          <t>Forma de Pagamento</t>
        </is>
      </c>
      <c r="F4" s="1" t="inlineStr">
        <is>
          <t>Taxa da Máquina (R$)</t>
        </is>
      </c>
      <c r="G4" s="1" t="inlineStr">
        <is>
          <t>Saída (R$)</t>
        </is>
      </c>
      <c r="H4" s="1" t="inlineStr">
        <is>
          <t>Categoria da Saída</t>
        </is>
      </c>
      <c r="I4" s="1" t="inlineStr">
        <is>
          <t>Observações</t>
        </is>
      </c>
      <c r="J4" s="1" t="inlineStr">
        <is>
          <t>ID Cliente</t>
        </is>
      </c>
      <c r="K4" s="233" t="inlineStr">
        <is>
          <t>Saídas por Categoria</t>
        </is>
      </c>
      <c r="L4" s="160" t="n"/>
      <c r="N4" s="224" t="inlineStr">
        <is>
          <t>FATURAMENTO</t>
        </is>
      </c>
      <c r="P4" s="232" t="inlineStr">
        <is>
          <t>DESPESAS</t>
        </is>
      </c>
      <c r="R4" s="221" t="inlineStr">
        <is>
          <t>SALDO ANTES DO PRÓ-LABORE</t>
        </is>
      </c>
      <c r="T4" s="207" t="inlineStr">
        <is>
          <t>A RECEBER</t>
        </is>
      </c>
    </row>
    <row r="5" ht="14.1" customHeight="1" s="157">
      <c r="A5" s="17" t="n">
        <v>46204</v>
      </c>
      <c r="B5" s="18" t="inlineStr">
        <is>
          <t>Luzia Rodrigues de Souza</t>
        </is>
      </c>
      <c r="C5" s="18" t="inlineStr">
        <is>
          <t>Purificador Everest Star Branco</t>
        </is>
      </c>
      <c r="D5" s="27" t="n">
        <v>1250</v>
      </c>
      <c r="E5" s="18" t="inlineStr">
        <is>
          <t>Dinheiro</t>
        </is>
      </c>
      <c r="F5" s="19" t="n"/>
      <c r="G5" s="19" t="n"/>
      <c r="H5" s="21" t="n"/>
      <c r="I5" s="18" t="inlineStr">
        <is>
          <t>NF-e 4244</t>
        </is>
      </c>
      <c r="J5" s="18" t="inlineStr">
        <is>
          <t>CLI-0864</t>
        </is>
      </c>
      <c r="K5" s="10" t="inlineStr">
        <is>
          <t>Fornecedores / Mercadoria</t>
        </is>
      </c>
      <c r="L5" s="11">
        <f>SUMIF(H5:H123,K5,G5:G123)</f>
        <v/>
      </c>
      <c r="N5" s="229">
        <f>D124-F124-T5</f>
        <v/>
      </c>
      <c r="P5" s="231">
        <f>L18-L19</f>
        <v/>
      </c>
      <c r="R5" s="230">
        <f>D125</f>
        <v/>
      </c>
      <c r="T5" s="212">
        <f>SUMIF(E5:E123,"Aguardando Pagamento",D5:D123)</f>
        <v/>
      </c>
    </row>
    <row r="6" ht="14.1" customHeight="1" s="157">
      <c r="A6" s="44" t="n">
        <v>46204</v>
      </c>
      <c r="B6" s="45" t="inlineStr">
        <is>
          <t>Consumidor Final</t>
        </is>
      </c>
      <c r="C6" s="45" t="inlineStr">
        <is>
          <t>Filtro Bica Movel Branco</t>
        </is>
      </c>
      <c r="D6" s="46" t="n">
        <v>115</v>
      </c>
      <c r="E6" s="45" t="inlineStr">
        <is>
          <t>Pix</t>
        </is>
      </c>
      <c r="F6" s="47" t="n"/>
      <c r="G6" s="48" t="n"/>
      <c r="H6" s="49" t="n"/>
      <c r="I6" s="45" t="inlineStr">
        <is>
          <t>NFC-e 9138</t>
        </is>
      </c>
      <c r="K6" s="13" t="inlineStr">
        <is>
          <t>Aluguel</t>
        </is>
      </c>
      <c r="L6" s="14">
        <f>SUMIF(H5:H123,K6,G5:G123)</f>
        <v/>
      </c>
    </row>
    <row r="7" ht="15.75" customHeight="1" s="157">
      <c r="A7" s="17" t="n">
        <v>46204</v>
      </c>
      <c r="B7" s="18" t="inlineStr">
        <is>
          <t>Joaquim Silva Oliveira - Gessy</t>
        </is>
      </c>
      <c r="C7" s="18" t="inlineStr">
        <is>
          <t>Refil Everest</t>
        </is>
      </c>
      <c r="D7" s="27" t="n">
        <v>140</v>
      </c>
      <c r="E7" s="18" t="inlineStr">
        <is>
          <t>Crédito Parcelado</t>
        </is>
      </c>
      <c r="F7" s="19" t="n"/>
      <c r="G7" s="19" t="n"/>
      <c r="H7" s="21" t="n"/>
      <c r="I7" s="18" t="inlineStr">
        <is>
          <t>NFC-e 9139</t>
        </is>
      </c>
      <c r="J7" s="18" t="n"/>
      <c r="K7" s="10" t="inlineStr">
        <is>
          <t>Água, Energia e Internet</t>
        </is>
      </c>
      <c r="L7" s="11">
        <f>SUMIF(H5:H123,K7,G5:G123)</f>
        <v/>
      </c>
      <c r="N7" s="249" t="inlineStr">
        <is>
          <t>PRÓ-LABORE EDILÂNIA</t>
        </is>
      </c>
      <c r="P7" s="208" t="inlineStr">
        <is>
          <t>COMBINADO NO MÊS</t>
        </is>
      </c>
      <c r="R7" s="221">
        <f>IF(L17&gt;'Ponto de Equilíbrio'!$B$10,"PASSOU DO COMBINADO",IF(TODAY()&gt;EOMONTH(DATE(2026,7,1),0),"ABAIXO DO COMBINADO","AINDA PODE GASTAR"))</f>
        <v/>
      </c>
      <c r="T7" s="224" t="inlineStr">
        <is>
          <t>SOBRA FINAL DO MÊS</t>
        </is>
      </c>
    </row>
    <row r="8">
      <c r="A8" s="44" t="n">
        <v>46204</v>
      </c>
      <c r="B8" s="45" t="inlineStr">
        <is>
          <t>Contabilidade Abreu</t>
        </is>
      </c>
      <c r="C8" s="45" t="inlineStr">
        <is>
          <t>Refil Everest</t>
        </is>
      </c>
      <c r="D8" s="46" t="n">
        <v>140</v>
      </c>
      <c r="E8" s="45" t="inlineStr">
        <is>
          <t>Pix</t>
        </is>
      </c>
      <c r="F8" s="47" t="n"/>
      <c r="G8" s="48" t="n"/>
      <c r="H8" s="49" t="n"/>
      <c r="I8" s="45" t="inlineStr">
        <is>
          <t>NF-e 4245</t>
        </is>
      </c>
      <c r="J8" t="inlineStr">
        <is>
          <t>EMP-0105</t>
        </is>
      </c>
      <c r="K8" s="13" t="inlineStr">
        <is>
          <t>Impostos e Taxas</t>
        </is>
      </c>
      <c r="L8" s="14">
        <f>SUMIF(H5:H123,K8,G5:G123)</f>
        <v/>
      </c>
      <c r="N8" s="250">
        <f>L17</f>
        <v/>
      </c>
      <c r="P8" s="215">
        <f>'Ponto de Equilíbrio'!$B$10</f>
        <v/>
      </c>
      <c r="R8" s="205">
        <f>ABS('Ponto de Equilíbrio'!$B$10-L17)</f>
        <v/>
      </c>
      <c r="T8" s="236">
        <f>R5-L17</f>
        <v/>
      </c>
    </row>
    <row r="9">
      <c r="A9" s="17" t="n">
        <v>46204</v>
      </c>
      <c r="B9" s="18" t="inlineStr">
        <is>
          <t>Jonas Cezar Alves de Araujo</t>
        </is>
      </c>
      <c r="C9" s="18" t="inlineStr">
        <is>
          <t>Refil Everest</t>
        </is>
      </c>
      <c r="D9" s="27" t="n">
        <v>140</v>
      </c>
      <c r="E9" s="18" t="inlineStr">
        <is>
          <t>Pix</t>
        </is>
      </c>
      <c r="F9" s="19" t="n"/>
      <c r="G9" s="19" t="n"/>
      <c r="H9" s="21" t="n"/>
      <c r="I9" s="18" t="inlineStr">
        <is>
          <t>NFC-e 9140</t>
        </is>
      </c>
      <c r="J9" s="18" t="inlineStr">
        <is>
          <t>CLI-0865</t>
        </is>
      </c>
      <c r="K9" s="10" t="inlineStr">
        <is>
          <t>Tarifas Bancárias e Cartão</t>
        </is>
      </c>
      <c r="L9" s="11">
        <f>SUMIF(H5:H123,K9,G5:G123)</f>
        <v/>
      </c>
    </row>
    <row r="10">
      <c r="A10" s="44" t="n">
        <v>46204</v>
      </c>
      <c r="B10" s="45" t="inlineStr">
        <is>
          <t>Banco Bradesco Sa</t>
        </is>
      </c>
      <c r="C10" s="45" t="inlineStr">
        <is>
          <t>Refil Plissado + Refil Top Color</t>
        </is>
      </c>
      <c r="D10" s="46" t="n">
        <v>195</v>
      </c>
      <c r="E10" s="45" t="n"/>
      <c r="F10" s="47" t="n"/>
      <c r="G10" s="48" t="n"/>
      <c r="H10" s="49" t="n"/>
      <c r="I10" s="45" t="inlineStr">
        <is>
          <t>NF-e 4243. Recebimento não constava no Livro Caixa; conferido e baixado no DigiSat em 28/09/2026.</t>
        </is>
      </c>
      <c r="K10" s="13" t="inlineStr">
        <is>
          <t>Transporte e Entregas</t>
        </is>
      </c>
      <c r="L10" s="14">
        <f>SUMIF(H5:H123,K10,G5:G123)</f>
        <v/>
      </c>
    </row>
    <row r="11">
      <c r="A11" s="17" t="n">
        <v>46204</v>
      </c>
      <c r="B11" s="18" t="inlineStr">
        <is>
          <t>Eversoft Ind e Com de Plasticos Ltda</t>
        </is>
      </c>
      <c r="C11" s="18" t="n"/>
      <c r="D11" s="27" t="n"/>
      <c r="E11" s="18" t="n"/>
      <c r="F11" s="19" t="n"/>
      <c r="G11" s="19" t="n">
        <v>878.92</v>
      </c>
      <c r="H11" s="21" t="inlineStr">
        <is>
          <t>Fornecedores / Mercadoria</t>
        </is>
      </c>
      <c r="I11" s="18" t="inlineStr">
        <is>
          <t>NF 72153 de 02/04/2026 · parcela 3/5 (venc. 01/07/2026) · compra total R$ 4.394,61: 100x Refil Everest · Livro Caixa</t>
        </is>
      </c>
      <c r="J11" s="18" t="n"/>
      <c r="K11" s="10" t="inlineStr">
        <is>
          <t>Salários, Comissões e Encargos</t>
        </is>
      </c>
      <c r="L11" s="11">
        <f>SUMIF(H5:H123,K11,G5:G123)</f>
        <v/>
      </c>
    </row>
    <row r="12">
      <c r="A12" s="44" t="n">
        <v>46204</v>
      </c>
      <c r="B12" s="45" t="inlineStr">
        <is>
          <t>Embasa Adriano</t>
        </is>
      </c>
      <c r="C12" s="45" t="n"/>
      <c r="D12" s="46" t="n"/>
      <c r="E12" s="45" t="n"/>
      <c r="F12" s="47" t="n"/>
      <c r="G12" s="48" t="n">
        <v>50.07</v>
      </c>
      <c r="H12" s="49" t="inlineStr">
        <is>
          <t>Pro Labore Edilânia</t>
        </is>
      </c>
      <c r="I12" s="45" t="inlineStr">
        <is>
          <t>Livro Caixa: Pagamento parcela EMBASA ADRIANO (Doc. 1) · Empresa Baiana de Aguas e Saneamento Sa</t>
        </is>
      </c>
      <c r="K12" s="13" t="inlineStr">
        <is>
          <t>Contabilidade</t>
        </is>
      </c>
      <c r="L12" s="14">
        <f>SUMIF(H5:H123,K12,G5:G123)</f>
        <v/>
      </c>
    </row>
    <row r="13">
      <c r="A13" s="17" t="n">
        <v>46204</v>
      </c>
      <c r="B13" s="18" t="inlineStr">
        <is>
          <t>Aluguel Vitoria Maria</t>
        </is>
      </c>
      <c r="C13" s="18" t="n"/>
      <c r="D13" s="27" t="n"/>
      <c r="E13" s="18" t="n"/>
      <c r="F13" s="19" t="n"/>
      <c r="G13" s="19" t="n">
        <v>880</v>
      </c>
      <c r="H13" s="21" t="inlineStr">
        <is>
          <t>Aluguel</t>
        </is>
      </c>
      <c r="I13" s="18" t="inlineStr">
        <is>
          <t>Livro Caixa: Pagamento à vista: ALUGUEL VITORIA MARIA (Doc. 1) · Vitoria Maria F Santos</t>
        </is>
      </c>
      <c r="J13" s="18" t="n"/>
      <c r="K13" s="10" t="inlineStr">
        <is>
          <t>Manutenção e Reparos</t>
        </is>
      </c>
      <c r="L13" s="11">
        <f>SUMIF(H5:H123,K13,G5:G123)</f>
        <v/>
      </c>
    </row>
    <row r="14" ht="15.75" customHeight="1" s="157">
      <c r="A14" s="44" t="n">
        <v>46206</v>
      </c>
      <c r="B14" s="45" t="inlineStr">
        <is>
          <t>Hidroluz</t>
        </is>
      </c>
      <c r="C14" s="45" t="inlineStr">
        <is>
          <t>Refil BAG + Mangueira Fina Branca 6,35 X 1Mm</t>
        </is>
      </c>
      <c r="D14" s="46" t="n">
        <v>70</v>
      </c>
      <c r="E14" s="45" t="inlineStr">
        <is>
          <t>Dinheiro</t>
        </is>
      </c>
      <c r="F14" s="47" t="n"/>
      <c r="G14" s="48" t="n"/>
      <c r="H14" s="49" t="n"/>
      <c r="I14" s="45" t="inlineStr">
        <is>
          <t>NF-e 4246</t>
        </is>
      </c>
      <c r="J14" t="inlineStr">
        <is>
          <t>EMP-0169</t>
        </is>
      </c>
      <c r="K14" s="13" t="inlineStr">
        <is>
          <t>Material de Limpeza e Escritório</t>
        </is>
      </c>
      <c r="L14" s="14">
        <f>SUMIF(H5:H123,K14,G5:G123)</f>
        <v/>
      </c>
    </row>
    <row r="15" ht="15.75" customHeight="1" s="157">
      <c r="A15" s="17" t="n">
        <v>46206</v>
      </c>
      <c r="B15" s="18" t="inlineStr">
        <is>
          <t>Gomes e Nascimento Equipamentos de Seguranca Ltda</t>
        </is>
      </c>
      <c r="C15" s="18" t="inlineStr">
        <is>
          <t>Refil Pro Life</t>
        </is>
      </c>
      <c r="D15" s="27" t="n">
        <v>130</v>
      </c>
      <c r="E15" s="18" t="n"/>
      <c r="F15" s="19" t="n"/>
      <c r="G15" s="19" t="n"/>
      <c r="H15" s="21" t="n"/>
      <c r="I15" s="18" t="inlineStr">
        <is>
          <t>NF-e 4241 · nota faturada a prazo (forma de recebimento não consta na nota) · venda de 30/06/2026 — pagamento recebido em 03/07/2026</t>
        </is>
      </c>
      <c r="J15" s="18" t="n"/>
      <c r="K15" s="10" t="inlineStr">
        <is>
          <t>Estornos de Vendas (Cancelamentos)</t>
        </is>
      </c>
      <c r="L15" s="11">
        <f>SUMIF(H5:H123,K15,G5:G123)</f>
        <v/>
      </c>
    </row>
    <row r="16">
      <c r="A16" s="44" t="n">
        <v>46206</v>
      </c>
      <c r="B16" s="45" t="inlineStr">
        <is>
          <t>Consumidor Final</t>
        </is>
      </c>
      <c r="C16" s="45" t="inlineStr">
        <is>
          <t>Refil Carbon Block</t>
        </is>
      </c>
      <c r="D16" s="46" t="n">
        <v>50</v>
      </c>
      <c r="E16" s="45" t="inlineStr">
        <is>
          <t>Pix</t>
        </is>
      </c>
      <c r="F16" s="47" t="n"/>
      <c r="G16" s="48" t="n"/>
      <c r="H16" s="49" t="n"/>
      <c r="I16" s="45" t="inlineStr">
        <is>
          <t>NFC-e 9141</t>
        </is>
      </c>
      <c r="K16" t="inlineStr">
        <is>
          <t>Outras Despesas</t>
        </is>
      </c>
      <c r="L16" s="11">
        <f>SUMIF(H5:H123,K16,G5:G123)</f>
        <v/>
      </c>
    </row>
    <row r="17" ht="15.75" customHeight="1" s="157">
      <c r="A17" s="17" t="n">
        <v>46206</v>
      </c>
      <c r="B17" s="18" t="inlineStr">
        <is>
          <t>Bolsa Estagio</t>
        </is>
      </c>
      <c r="C17" s="18" t="n"/>
      <c r="D17" s="27" t="n"/>
      <c r="E17" s="18" t="n"/>
      <c r="F17" s="19" t="n"/>
      <c r="G17" s="19" t="n">
        <v>600</v>
      </c>
      <c r="H17" s="21" t="inlineStr">
        <is>
          <t>Salários, Comissões e Encargos</t>
        </is>
      </c>
      <c r="I17" s="18" t="inlineStr">
        <is>
          <t>Livro Caixa: Pagamento à vista: BOLSA ESTAGIO (Doc. 1) · Erick Feitosa Evangelista</t>
        </is>
      </c>
      <c r="J17" s="18" t="n"/>
      <c r="K17" t="inlineStr">
        <is>
          <t>Pro Labore Edilânia</t>
        </is>
      </c>
      <c r="L17">
        <f>SUMIF(H5:H123,K17,G5:G123)</f>
        <v/>
      </c>
    </row>
    <row r="18" ht="15.75" customHeight="1" s="157">
      <c r="A18" s="44" t="n">
        <v>46206</v>
      </c>
      <c r="B18" s="45" t="inlineStr">
        <is>
          <t>Rescisão Daniel</t>
        </is>
      </c>
      <c r="C18" s="45" t="n"/>
      <c r="D18" s="46" t="n"/>
      <c r="E18" s="45" t="n"/>
      <c r="F18" s="47" t="n"/>
      <c r="G18" s="48" t="n">
        <v>4145.56</v>
      </c>
      <c r="H18" s="49" t="inlineStr">
        <is>
          <t>Salários, Comissões e Encargos</t>
        </is>
      </c>
      <c r="I18" s="45" t="inlineStr">
        <is>
          <t>Livro Caixa: Pagamento à vista: RESCISÃO DANIEL (Doc. 1) · Daniel Barbosa dos Santos</t>
        </is>
      </c>
      <c r="K18" t="inlineStr">
        <is>
          <t>Total</t>
        </is>
      </c>
      <c r="L18">
        <f>SUM(L5:L16)</f>
        <v/>
      </c>
    </row>
    <row r="19">
      <c r="A19" s="17" t="n">
        <v>46206</v>
      </c>
      <c r="B19" s="18" t="inlineStr">
        <is>
          <t>Salario Wiliam</t>
        </is>
      </c>
      <c r="C19" s="18" t="n"/>
      <c r="D19" s="27" t="n"/>
      <c r="E19" s="18" t="n"/>
      <c r="F19" s="19" t="n"/>
      <c r="G19" s="19" t="n">
        <v>1643.43</v>
      </c>
      <c r="H19" s="21" t="inlineStr">
        <is>
          <t>Salários, Comissões e Encargos</t>
        </is>
      </c>
      <c r="I19" s="18" t="inlineStr">
        <is>
          <t>Livro Caixa: Pagamento à vista: SALARIO WILIAM (Doc. 1) · Wiliam Pinto Bispo</t>
        </is>
      </c>
      <c r="J19" s="18" t="n"/>
      <c r="K19" t="inlineStr">
        <is>
          <t>Capital de Giro (BB) — ainda a devolver</t>
        </is>
      </c>
      <c r="L19" s="32">
        <f>SUMIFS('Capital de Giro (BB)'!D9:D200,'Capital de Giro (BB)'!A9:A200,"&gt;="&amp;DATE(2026,7,1),'Capital de Giro (BB)'!A9:A200,"&lt;="&amp;DATE(2026,7,31),'Capital de Giro (BB)'!E9:E200,"A Devolver")</f>
        <v/>
      </c>
    </row>
    <row r="20">
      <c r="A20" s="44" t="n">
        <v>46206</v>
      </c>
      <c r="B20" s="45" t="inlineStr">
        <is>
          <t>Filtros Planeta Agua Ind e Com Ltda</t>
        </is>
      </c>
      <c r="C20" s="45" t="n"/>
      <c r="D20" s="46" t="n"/>
      <c r="E20" s="45" t="n"/>
      <c r="F20" s="47" t="n"/>
      <c r="G20" s="48" t="n">
        <v>666.15</v>
      </c>
      <c r="H20" s="49" t="inlineStr">
        <is>
          <t>Fornecedores / Mercadoria</t>
        </is>
      </c>
      <c r="I20" s="45" t="inlineStr">
        <is>
          <t>NF 130510 de 08/05/2026 · parcela 3/4 (venc. 03/07/2026) · compra total R$ 2.803,16 (IPI R$ 138,56): 50x Refil Pro Life + 3x Refil Top Color + 5x Refil Acquatec + 5x Refil Fp4 + 6x Refil Carbon Tech 9.3/4 Pol + 6x Refil Poli Flu Plissado 9.3/4 + 5x Refil E3 + 5x Refil Top Multifilter + 3x Refil Top Color Fast + 5x Refil Fpa14 · Livro Caixa</t>
        </is>
      </c>
    </row>
    <row r="21">
      <c r="A21" s="17" t="n">
        <v>46209</v>
      </c>
      <c r="B21" s="18" t="inlineStr">
        <is>
          <t>Rodolfo de Santana Silva</t>
        </is>
      </c>
      <c r="C21" s="18" t="inlineStr">
        <is>
          <t>Refil Everest</t>
        </is>
      </c>
      <c r="D21" s="27" t="n">
        <v>140</v>
      </c>
      <c r="E21" s="18" t="inlineStr">
        <is>
          <t>Crédito Parcelado</t>
        </is>
      </c>
      <c r="F21" s="19" t="n"/>
      <c r="G21" s="19" t="n"/>
      <c r="H21" s="21" t="n"/>
      <c r="I21" s="18" t="inlineStr">
        <is>
          <t>NFC-e 9142</t>
        </is>
      </c>
      <c r="J21" s="18" t="n"/>
    </row>
    <row r="22">
      <c r="A22" s="44" t="n">
        <v>46209</v>
      </c>
      <c r="B22" s="45" t="inlineStr">
        <is>
          <t>Maria Rita Silva Souza</t>
        </is>
      </c>
      <c r="C22" s="45" t="inlineStr">
        <is>
          <t>Refil Everest</t>
        </is>
      </c>
      <c r="D22" s="46" t="n">
        <v>140</v>
      </c>
      <c r="E22" s="45" t="inlineStr">
        <is>
          <t>Crédito Parcelado</t>
        </is>
      </c>
      <c r="F22" s="47" t="n"/>
      <c r="G22" s="48" t="n"/>
      <c r="H22" s="49" t="n"/>
      <c r="I22" s="45" t="inlineStr">
        <is>
          <t>NFC-e 9143</t>
        </is>
      </c>
    </row>
    <row r="23">
      <c r="A23" s="17" t="n">
        <v>46209</v>
      </c>
      <c r="B23" s="18" t="inlineStr">
        <is>
          <t>N N Modas - F B de Araujo</t>
        </is>
      </c>
      <c r="C23" s="18" t="inlineStr">
        <is>
          <t>Refil Everest + Pré Filtro</t>
        </is>
      </c>
      <c r="D23" s="27" t="n">
        <v>190</v>
      </c>
      <c r="E23" s="18" t="inlineStr">
        <is>
          <t>Dinheiro</t>
        </is>
      </c>
      <c r="F23" s="19" t="n"/>
      <c r="G23" s="19" t="n"/>
      <c r="H23" s="21" t="n"/>
      <c r="I23" s="18" t="inlineStr">
        <is>
          <t>NF-e 4248</t>
        </is>
      </c>
      <c r="J23" s="18" t="inlineStr">
        <is>
          <t>EMP-0228</t>
        </is>
      </c>
    </row>
    <row r="24">
      <c r="A24" s="44" t="n">
        <v>46209</v>
      </c>
      <c r="B24" s="45" t="inlineStr">
        <is>
          <t>Wiliam Pinto Bispo</t>
        </is>
      </c>
      <c r="C24" s="45" t="n"/>
      <c r="D24" s="46" t="n">
        <v>1643.43</v>
      </c>
      <c r="E24" s="45" t="n"/>
      <c r="F24" s="47" t="n"/>
      <c r="G24" s="48" t="n"/>
      <c r="H24" s="49" t="n"/>
      <c r="I24" s="45" t="inlineStr">
        <is>
          <t>Livro Caixa: Estorno de pagamento do documento: SALARIO WILIAM (Doc. 1)</t>
        </is>
      </c>
    </row>
    <row r="25">
      <c r="A25" s="17" t="n">
        <v>46209</v>
      </c>
      <c r="B25" s="18" t="inlineStr">
        <is>
          <t>Cledson Oliveira dos Santos</t>
        </is>
      </c>
      <c r="C25" s="18" t="inlineStr">
        <is>
          <t>Refil Everest + Pré Filtro</t>
        </is>
      </c>
      <c r="D25" s="27" t="n">
        <v>190</v>
      </c>
      <c r="E25" s="18" t="inlineStr">
        <is>
          <t>Dinheiro</t>
        </is>
      </c>
      <c r="F25" s="19" t="n"/>
      <c r="G25" s="19" t="n"/>
      <c r="H25" s="21" t="n"/>
      <c r="I25" s="18" t="inlineStr">
        <is>
          <t>NFC-e 9144</t>
        </is>
      </c>
      <c r="J25" s="18" t="inlineStr">
        <is>
          <t>CLI-0877</t>
        </is>
      </c>
    </row>
    <row r="26">
      <c r="A26" s="44" t="n">
        <v>46209</v>
      </c>
      <c r="B26" s="45" t="inlineStr">
        <is>
          <t>Jailma Moreira dos Santos</t>
        </is>
      </c>
      <c r="C26" s="45" t="inlineStr">
        <is>
          <t>Refil Everest</t>
        </is>
      </c>
      <c r="D26" s="46" t="n">
        <v>135</v>
      </c>
      <c r="E26" s="45" t="inlineStr">
        <is>
          <t>Dinheiro</t>
        </is>
      </c>
      <c r="F26" s="47" t="n"/>
      <c r="G26" s="48" t="n"/>
      <c r="H26" s="49" t="n"/>
      <c r="I26" s="45" t="inlineStr">
        <is>
          <t>NFC-e 9145</t>
        </is>
      </c>
      <c r="J26" t="inlineStr">
        <is>
          <t>CLI-0870</t>
        </is>
      </c>
    </row>
    <row r="27">
      <c r="A27" s="17" t="n">
        <v>46209</v>
      </c>
      <c r="B27" s="18" t="inlineStr">
        <is>
          <t>Vitoria Maria F Santos</t>
        </is>
      </c>
      <c r="C27" s="18" t="n"/>
      <c r="D27" s="27" t="n">
        <v>870</v>
      </c>
      <c r="E27" s="18" t="n"/>
      <c r="F27" s="19" t="n"/>
      <c r="G27" s="19" t="n"/>
      <c r="H27" s="21" t="n"/>
      <c r="I27" s="18" t="inlineStr">
        <is>
          <t>Livro Caixa: Estorno de pagamento do documento: ALUGUEL VITORIA MARIA</t>
        </is>
      </c>
      <c r="J27" s="18" t="n"/>
    </row>
    <row r="28">
      <c r="A28" s="44" t="n">
        <v>46209</v>
      </c>
      <c r="B28" s="45" t="inlineStr">
        <is>
          <t>Clinica Humana</t>
        </is>
      </c>
      <c r="C28" s="45" t="inlineStr">
        <is>
          <t>4x Refil Everest</t>
        </is>
      </c>
      <c r="D28" s="46" t="n">
        <v>560</v>
      </c>
      <c r="E28" s="45" t="n"/>
      <c r="F28" s="47" t="n"/>
      <c r="G28" s="48" t="n"/>
      <c r="H28" s="49" t="n"/>
      <c r="I28" s="45" t="inlineStr">
        <is>
          <t>NF-e 4247 · nota faturada a prazo (forma de recebimento não consta na nota) · venda de 03/07/2026 — pagamento recebido em 06/07/2026</t>
        </is>
      </c>
      <c r="J28" t="inlineStr">
        <is>
          <t>EMP-0079</t>
        </is>
      </c>
    </row>
    <row r="29" ht="15.75" customHeight="1" s="157">
      <c r="A29" s="17" t="n">
        <v>46209</v>
      </c>
      <c r="B29" s="18" t="inlineStr">
        <is>
          <t>Lojas GeoComercial Ltda</t>
        </is>
      </c>
      <c r="C29" s="18" t="inlineStr">
        <is>
          <t>Refil Everest + Pré Filtro</t>
        </is>
      </c>
      <c r="D29" s="27" t="n">
        <v>200</v>
      </c>
      <c r="E29" s="18" t="n"/>
      <c r="F29" s="19" t="n"/>
      <c r="G29" s="19" t="n"/>
      <c r="H29" s="21" t="n"/>
      <c r="I29" s="18" t="inlineStr">
        <is>
          <t>NF-e 4240 · nota faturada a prazo (forma de recebimento não consta na nota) · venda de 30/06/2026 — pagamento recebido em 06/07/2026</t>
        </is>
      </c>
      <c r="J29" s="18" t="inlineStr">
        <is>
          <t>EMP-0208</t>
        </is>
      </c>
    </row>
    <row r="30">
      <c r="A30" s="44" t="n">
        <v>46209</v>
      </c>
      <c r="B30" s="45" t="inlineStr">
        <is>
          <t>Aluguel Vitoria Maria</t>
        </is>
      </c>
      <c r="C30" s="45" t="n"/>
      <c r="D30" s="46" t="n"/>
      <c r="E30" s="45" t="n"/>
      <c r="F30" s="47" t="n"/>
      <c r="G30" s="48" t="n">
        <v>870</v>
      </c>
      <c r="H30" s="49" t="inlineStr">
        <is>
          <t>Aluguel</t>
        </is>
      </c>
      <c r="I30" s="45" t="inlineStr">
        <is>
          <t>Livro Caixa: Pagamento à vista: ALUGUEL VITORIA MARIA (Doc. 1) · Vitoria Maria F Santos</t>
        </is>
      </c>
    </row>
    <row r="31">
      <c r="A31" s="17" t="n">
        <v>46210</v>
      </c>
      <c r="B31" s="18" t="inlineStr">
        <is>
          <t>Cbv Construtora Ltda</t>
        </is>
      </c>
      <c r="C31" s="18" t="inlineStr">
        <is>
          <t>2x Refil Carbon Tech 9"</t>
        </is>
      </c>
      <c r="D31" s="27" t="n">
        <v>160</v>
      </c>
      <c r="E31" s="18" t="inlineStr">
        <is>
          <t>Dinheiro</t>
        </is>
      </c>
      <c r="F31" s="19" t="n"/>
      <c r="G31" s="19" t="n"/>
      <c r="H31" s="21" t="n"/>
      <c r="I31" s="18" t="inlineStr">
        <is>
          <t>NF-e 4249</t>
        </is>
      </c>
      <c r="J31" s="18" t="n"/>
    </row>
    <row r="32">
      <c r="A32" s="44" t="n">
        <v>46210</v>
      </c>
      <c r="B32" s="45" t="inlineStr">
        <is>
          <t>Consumidor Final</t>
        </is>
      </c>
      <c r="C32" s="45" t="inlineStr">
        <is>
          <t>Refil Pro Life + Pré Filtro</t>
        </is>
      </c>
      <c r="D32" s="46" t="n">
        <v>200</v>
      </c>
      <c r="E32" s="45" t="inlineStr">
        <is>
          <t>Pix</t>
        </is>
      </c>
      <c r="F32" s="47" t="n"/>
      <c r="G32" s="48" t="n"/>
      <c r="H32" s="49" t="n"/>
      <c r="I32" s="45" t="inlineStr">
        <is>
          <t>NFC-e 9146</t>
        </is>
      </c>
    </row>
    <row r="33">
      <c r="A33" s="17" t="n">
        <v>46210</v>
      </c>
      <c r="B33" s="18" t="inlineStr">
        <is>
          <t>Iranildo Benedito Silva</t>
        </is>
      </c>
      <c r="C33" s="18" t="inlineStr">
        <is>
          <t>Refil Everest</t>
        </is>
      </c>
      <c r="D33" s="27" t="n">
        <v>140</v>
      </c>
      <c r="E33" s="18" t="inlineStr">
        <is>
          <t>Pix</t>
        </is>
      </c>
      <c r="F33" s="19" t="n"/>
      <c r="G33" s="19" t="n"/>
      <c r="H33" s="21" t="n"/>
      <c r="I33" s="18" t="inlineStr">
        <is>
          <t>NFC-e 9147</t>
        </is>
      </c>
      <c r="J33" s="18" t="inlineStr">
        <is>
          <t>CLI-0871</t>
        </is>
      </c>
    </row>
    <row r="34">
      <c r="A34" s="44" t="n">
        <v>46210</v>
      </c>
      <c r="B34" s="45" t="inlineStr">
        <is>
          <t>Drillgeo Geologia e Sondagens S/A</t>
        </is>
      </c>
      <c r="C34" s="45" t="inlineStr">
        <is>
          <t>Refil Plissado + Refil Carbon Tech 9"</t>
        </is>
      </c>
      <c r="D34" s="46" t="n">
        <v>180</v>
      </c>
      <c r="E34" s="45" t="n"/>
      <c r="F34" s="47" t="n"/>
      <c r="G34" s="48" t="n"/>
      <c r="H34" s="49" t="n"/>
      <c r="I34" s="45" t="inlineStr">
        <is>
          <t>NF-e 4250. Recebimento não constava no Livro Caixa; conferido e baixado no DigiSat em 28/09/2026.</t>
        </is>
      </c>
    </row>
    <row r="35">
      <c r="A35" s="17" t="n">
        <v>46211</v>
      </c>
      <c r="B35" s="18" t="inlineStr">
        <is>
          <t>Cbv Construtora Ltda</t>
        </is>
      </c>
      <c r="C35" s="18" t="inlineStr">
        <is>
          <t>Refil PA 230</t>
        </is>
      </c>
      <c r="D35" s="27" t="n">
        <v>80</v>
      </c>
      <c r="E35" s="18" t="inlineStr">
        <is>
          <t>Pix</t>
        </is>
      </c>
      <c r="F35" s="19" t="n"/>
      <c r="G35" s="19" t="n"/>
      <c r="H35" s="21" t="n"/>
      <c r="I35" s="18" t="inlineStr">
        <is>
          <t>NF-e 4251</t>
        </is>
      </c>
      <c r="J35" s="18" t="n"/>
    </row>
    <row r="36">
      <c r="A36" s="44" t="n">
        <v>46211</v>
      </c>
      <c r="B36" s="45" t="inlineStr">
        <is>
          <t>Clinica Ginecologica Pinho LTDA - Cligine</t>
        </is>
      </c>
      <c r="C36" s="45" t="inlineStr">
        <is>
          <t>Refil Everest</t>
        </is>
      </c>
      <c r="D36" s="46" t="n">
        <v>135</v>
      </c>
      <c r="E36" s="45" t="inlineStr">
        <is>
          <t>Dinheiro</t>
        </is>
      </c>
      <c r="F36" s="47" t="n"/>
      <c r="G36" s="48" t="n"/>
      <c r="H36" s="49" t="n"/>
      <c r="I36" s="45" t="inlineStr">
        <is>
          <t>NF-e 4252</t>
        </is>
      </c>
      <c r="J36" t="inlineStr">
        <is>
          <t>EMP-0078</t>
        </is>
      </c>
    </row>
    <row r="37">
      <c r="A37" s="17" t="n">
        <v>46211</v>
      </c>
      <c r="B37" s="18" t="inlineStr">
        <is>
          <t>Eliana Oliveira Nunes</t>
        </is>
      </c>
      <c r="C37" s="18" t="inlineStr">
        <is>
          <t>Refil Pro Life + Pré Filtro</t>
        </is>
      </c>
      <c r="D37" s="27" t="n">
        <v>200</v>
      </c>
      <c r="E37" s="18" t="inlineStr">
        <is>
          <t>Crédito Parcelado</t>
        </is>
      </c>
      <c r="F37" s="19" t="n"/>
      <c r="G37" s="19" t="n"/>
      <c r="H37" s="21" t="n"/>
      <c r="I37" s="18" t="inlineStr">
        <is>
          <t>NFC-e 9148</t>
        </is>
      </c>
      <c r="J37" s="18" t="n"/>
    </row>
    <row r="38">
      <c r="A38" s="44" t="n">
        <v>46211</v>
      </c>
      <c r="B38" s="45" t="inlineStr">
        <is>
          <t>Otica Realce - Fernando Carneiro &amp; Cia Ltda</t>
        </is>
      </c>
      <c r="C38" s="45" t="inlineStr">
        <is>
          <t>Refil Everest</t>
        </is>
      </c>
      <c r="D38" s="46" t="n">
        <v>140</v>
      </c>
      <c r="E38" s="45" t="inlineStr">
        <is>
          <t>Pix</t>
        </is>
      </c>
      <c r="F38" s="47" t="n"/>
      <c r="G38" s="48" t="n"/>
      <c r="H38" s="49" t="n"/>
      <c r="I38" s="45" t="inlineStr">
        <is>
          <t>NF-e 4253</t>
        </is>
      </c>
      <c r="J38" t="inlineStr">
        <is>
          <t>EMP-0241</t>
        </is>
      </c>
    </row>
    <row r="39" ht="15.75" customHeight="1" s="157">
      <c r="A39" s="17" t="n">
        <v>46211</v>
      </c>
      <c r="B39" s="18" t="inlineStr">
        <is>
          <t>Somhara Brito</t>
        </is>
      </c>
      <c r="C39" s="18" t="inlineStr">
        <is>
          <t>Suporte + Registro</t>
        </is>
      </c>
      <c r="D39" s="27" t="n">
        <v>120</v>
      </c>
      <c r="E39" s="18" t="inlineStr">
        <is>
          <t>Pix</t>
        </is>
      </c>
      <c r="F39" s="19" t="n"/>
      <c r="G39" s="19" t="n"/>
      <c r="H39" s="21" t="n"/>
      <c r="I39" s="18" t="inlineStr">
        <is>
          <t>NFC-e 9149</t>
        </is>
      </c>
      <c r="J39" s="18" t="inlineStr">
        <is>
          <t>CLI-0161</t>
        </is>
      </c>
    </row>
    <row r="40">
      <c r="A40" s="44" t="n">
        <v>46211</v>
      </c>
      <c r="B40" s="45" t="inlineStr">
        <is>
          <t>Marilza da Silva Oliveira Matos</t>
        </is>
      </c>
      <c r="C40" s="45" t="inlineStr">
        <is>
          <t>Refil Pro Life + Pré Filtro</t>
        </is>
      </c>
      <c r="D40" s="46" t="n">
        <v>190</v>
      </c>
      <c r="E40" s="45" t="inlineStr">
        <is>
          <t>Pix</t>
        </is>
      </c>
      <c r="F40" s="47" t="n"/>
      <c r="G40" s="48" t="n"/>
      <c r="H40" s="49" t="n"/>
      <c r="I40" s="45" t="inlineStr">
        <is>
          <t>NFC-e 9150</t>
        </is>
      </c>
      <c r="J40" t="inlineStr">
        <is>
          <t>CLI-0873</t>
        </is>
      </c>
    </row>
    <row r="41">
      <c r="A41" s="17" t="n">
        <v>46211</v>
      </c>
      <c r="B41" s="18" t="inlineStr">
        <is>
          <t>Everest Refrigeracao e Industria</t>
        </is>
      </c>
      <c r="C41" s="18" t="n"/>
      <c r="D41" s="27" t="n"/>
      <c r="E41" s="18" t="n"/>
      <c r="F41" s="19" t="n"/>
      <c r="G41" s="19" t="n">
        <v>706.65</v>
      </c>
      <c r="H41" s="21" t="inlineStr">
        <is>
          <t>Fornecedores / Mercadoria</t>
        </is>
      </c>
      <c r="I41" s="18" t="inlineStr">
        <is>
          <t>NF 374271 de 06/04/2026 · parcela 3/5 (venc. 05/07/2026) · compra total R$ 3.533,27: Purificador Everest Plus Prata + Purificador Everest Star Branco + Purificador Everest Star Preto + Purificador Everest Slim Prata + Purificador Everest Fit Branco · Livro Caixa</t>
        </is>
      </c>
      <c r="J41" s="18" t="n"/>
    </row>
    <row r="42" ht="15.75" customHeight="1" s="157">
      <c r="A42" s="44" t="n">
        <v>46211</v>
      </c>
      <c r="B42" s="45" t="inlineStr">
        <is>
          <t>Eversoft Ind e Com de Plasticos Ltda</t>
        </is>
      </c>
      <c r="C42" s="45" t="n"/>
      <c r="D42" s="46" t="n"/>
      <c r="E42" s="45" t="n"/>
      <c r="F42" s="47" t="n"/>
      <c r="G42" s="48" t="n">
        <v>980.83</v>
      </c>
      <c r="H42" s="49" t="inlineStr">
        <is>
          <t>Fornecedores / Mercadoria</t>
        </is>
      </c>
      <c r="I42" s="45" t="inlineStr">
        <is>
          <t>NF 72869 de 07/05/2026 · parcela 2/5 (venc. 06/07/2026) · compra total R$ 4.904,13: 100x Refil Everest + 50x Pré Filtro · Livro Caixa</t>
        </is>
      </c>
    </row>
    <row r="43">
      <c r="A43" s="17" t="n">
        <v>46211</v>
      </c>
      <c r="B43" s="18" t="inlineStr">
        <is>
          <t>Conta de Energia Loja</t>
        </is>
      </c>
      <c r="C43" s="18" t="n"/>
      <c r="D43" s="27" t="n"/>
      <c r="E43" s="18" t="n"/>
      <c r="F43" s="19" t="n"/>
      <c r="G43" s="19" t="n">
        <v>141.67</v>
      </c>
      <c r="H43" s="21" t="inlineStr">
        <is>
          <t>Água, Energia e Internet</t>
        </is>
      </c>
      <c r="I43" s="18" t="inlineStr">
        <is>
          <t>Livro Caixa: Pagamento parcela CONTA DE ENERGIA LOJA (Doc. 1) · Companhia de Eletricidade do Estado da Bahia Coelba</t>
        </is>
      </c>
      <c r="J43" s="18" t="n"/>
    </row>
    <row r="44">
      <c r="A44" s="44" t="n">
        <v>46211</v>
      </c>
      <c r="B44" s="45" t="inlineStr">
        <is>
          <t>Conta de Energia Adriano</t>
        </is>
      </c>
      <c r="C44" s="45" t="n"/>
      <c r="D44" s="46" t="n"/>
      <c r="E44" s="45" t="n"/>
      <c r="F44" s="47" t="n"/>
      <c r="G44" s="48" t="n">
        <v>316.11</v>
      </c>
      <c r="H44" s="49" t="inlineStr">
        <is>
          <t>Pro Labore Edilânia</t>
        </is>
      </c>
      <c r="I44" s="45" t="inlineStr">
        <is>
          <t>Livro Caixa: Pagamento parcela CONTA DE ENERGIA ADRIANO (Doc. 1) · Companhia de Eletricidade do Estado da Bahia Coelba</t>
        </is>
      </c>
    </row>
    <row r="45">
      <c r="A45" s="17" t="n">
        <v>46211</v>
      </c>
      <c r="B45" s="18" t="inlineStr">
        <is>
          <t>Everest Refrigeracao e Industria</t>
        </is>
      </c>
      <c r="C45" s="18" t="n"/>
      <c r="D45" s="27" t="n"/>
      <c r="E45" s="18" t="n"/>
      <c r="F45" s="19" t="n"/>
      <c r="G45" s="19" t="n">
        <v>725.48</v>
      </c>
      <c r="H45" s="21" t="inlineStr">
        <is>
          <t>Fornecedores / Mercadoria</t>
        </is>
      </c>
      <c r="I45" s="18" t="inlineStr">
        <is>
          <t>NF 372597 de 11/03/2026 · parcela 4/5 (venc. 09/07/2026) · compra total R$ 3.627,42: 2x Purificador Everest Plus Branco + Purificador Everest Fit Preto + Purificador Everest Slim Preto + Purificador Everest Star Preto · Livro Caixa</t>
        </is>
      </c>
      <c r="J45" s="18" t="n"/>
    </row>
    <row r="46">
      <c r="A46" s="44" t="n">
        <v>46211</v>
      </c>
      <c r="B46" s="45" t="inlineStr">
        <is>
          <t>Eversoft Ind e Com de Plasticos Ltda</t>
        </is>
      </c>
      <c r="C46" s="45" t="n"/>
      <c r="D46" s="46" t="n"/>
      <c r="E46" s="45" t="n"/>
      <c r="F46" s="47" t="n"/>
      <c r="G46" s="48" t="n">
        <v>878.92</v>
      </c>
      <c r="H46" s="49" t="inlineStr">
        <is>
          <t>Fornecedores / Mercadoria</t>
        </is>
      </c>
      <c r="I46" s="45" t="inlineStr">
        <is>
          <t>NF 73636 de 10/06/2026 · parcela 1/5 (venc. 10/07/2026) · compra total R$ 4.394,61: 100x Refil Everest · Livro Caixa</t>
        </is>
      </c>
    </row>
    <row r="47">
      <c r="A47" s="17" t="n">
        <v>46211</v>
      </c>
      <c r="B47" s="18" t="inlineStr">
        <is>
          <t>Mercado Livre</t>
        </is>
      </c>
      <c r="C47" s="18" t="n"/>
      <c r="D47" s="27" t="n"/>
      <c r="E47" s="18" t="n"/>
      <c r="F47" s="19" t="n"/>
      <c r="G47" s="19" t="n">
        <v>216.46</v>
      </c>
      <c r="H47" s="21" t="inlineStr">
        <is>
          <t>Tarifas Bancárias e Cartão</t>
        </is>
      </c>
      <c r="I47" s="18" t="inlineStr">
        <is>
          <t>Livro Caixa: Pagamento à vista: MERCADO LIVRE (Doc. 1) · Mercado Pago Instituicao de Pagamento Ltda</t>
        </is>
      </c>
      <c r="J47" s="18" t="n"/>
    </row>
    <row r="48" ht="15.75" customHeight="1" s="157">
      <c r="A48" s="44" t="n">
        <v>46212</v>
      </c>
      <c r="B48" s="45" t="inlineStr">
        <is>
          <t>Armando Dias Freire</t>
        </is>
      </c>
      <c r="C48" s="45" t="inlineStr">
        <is>
          <t>77x Refil Everest</t>
        </is>
      </c>
      <c r="D48" s="46" t="n">
        <v>3465</v>
      </c>
      <c r="E48" s="45" t="inlineStr">
        <is>
          <t>Dinheiro</t>
        </is>
      </c>
      <c r="F48" s="47" t="n"/>
      <c r="G48" s="48" t="n"/>
      <c r="H48" s="49" t="n"/>
      <c r="I48" s="45" t="inlineStr">
        <is>
          <t>NFC-e 9151</t>
        </is>
      </c>
    </row>
    <row r="49">
      <c r="A49" s="17" t="n">
        <v>46212</v>
      </c>
      <c r="B49" s="18" t="inlineStr">
        <is>
          <t>Armando Dias Freire</t>
        </is>
      </c>
      <c r="C49" s="18" t="inlineStr">
        <is>
          <t>Refil Everest</t>
        </is>
      </c>
      <c r="D49" s="27" t="n">
        <v>35</v>
      </c>
      <c r="E49" s="18" t="inlineStr">
        <is>
          <t>Dinheiro</t>
        </is>
      </c>
      <c r="F49" s="19" t="n"/>
      <c r="G49" s="19" t="n"/>
      <c r="H49" s="21" t="n"/>
      <c r="I49" s="18" t="inlineStr">
        <is>
          <t>NFC-e 9152</t>
        </is>
      </c>
      <c r="J49" s="18" t="n"/>
    </row>
    <row r="50">
      <c r="A50" s="44" t="n">
        <v>46212</v>
      </c>
      <c r="B50" s="45" t="inlineStr">
        <is>
          <t>Ritha de Cassia Vieira Seixas Brito</t>
        </is>
      </c>
      <c r="C50" s="45" t="inlineStr">
        <is>
          <t>Refil Everest</t>
        </is>
      </c>
      <c r="D50" s="46" t="n">
        <v>140</v>
      </c>
      <c r="E50" s="45" t="inlineStr">
        <is>
          <t>Pix</t>
        </is>
      </c>
      <c r="F50" s="47" t="n"/>
      <c r="G50" s="48" t="n"/>
      <c r="H50" s="49" t="n"/>
      <c r="I50" s="45" t="inlineStr">
        <is>
          <t>NFC-e 9153</t>
        </is>
      </c>
      <c r="J50" t="inlineStr">
        <is>
          <t>CLI-0875</t>
        </is>
      </c>
    </row>
    <row r="51">
      <c r="A51" s="17" t="n">
        <v>46212</v>
      </c>
      <c r="B51" s="18" t="inlineStr">
        <is>
          <t>Orlinda Rocha da Silva</t>
        </is>
      </c>
      <c r="C51" s="18" t="inlineStr">
        <is>
          <t>Refil Pro Life</t>
        </is>
      </c>
      <c r="D51" s="27" t="n">
        <v>140</v>
      </c>
      <c r="E51" s="18" t="inlineStr">
        <is>
          <t>Débito</t>
        </is>
      </c>
      <c r="F51" s="19" t="n"/>
      <c r="G51" s="19" t="n"/>
      <c r="H51" s="21" t="n"/>
      <c r="I51" s="18" t="inlineStr">
        <is>
          <t>NFC-e 9154</t>
        </is>
      </c>
      <c r="J51" s="18" t="n"/>
    </row>
    <row r="52">
      <c r="A52" s="44" t="n">
        <v>46212</v>
      </c>
      <c r="B52" s="45" t="inlineStr">
        <is>
          <t xml:space="preserve">G - Link Telecon - Gleidson Nascimento Barbosa </t>
        </is>
      </c>
      <c r="C52" s="45" t="inlineStr">
        <is>
          <t>Refil Pro Life + Mangueira Plastica Para Agua 06 35Mm</t>
        </is>
      </c>
      <c r="D52" s="46" t="n">
        <v>150</v>
      </c>
      <c r="E52" s="45" t="inlineStr">
        <is>
          <t>Dinheiro</t>
        </is>
      </c>
      <c r="F52" s="47" t="n"/>
      <c r="G52" s="48" t="n"/>
      <c r="H52" s="49" t="n"/>
      <c r="I52" s="45" t="inlineStr">
        <is>
          <t>NF-e 4254</t>
        </is>
      </c>
      <c r="J52" t="inlineStr">
        <is>
          <t>EMP-0160</t>
        </is>
      </c>
    </row>
    <row r="53" ht="15.75" customHeight="1" s="157">
      <c r="A53" s="17" t="n">
        <v>46212</v>
      </c>
      <c r="B53" s="18" t="inlineStr">
        <is>
          <t>Carlos Geovane Carneiro de Oliveira</t>
        </is>
      </c>
      <c r="C53" s="18" t="inlineStr">
        <is>
          <t>Refil Everest</t>
        </is>
      </c>
      <c r="D53" s="27" t="n">
        <v>135</v>
      </c>
      <c r="E53" s="18" t="inlineStr">
        <is>
          <t>Dinheiro</t>
        </is>
      </c>
      <c r="F53" s="19" t="n"/>
      <c r="G53" s="19" t="n"/>
      <c r="H53" s="21" t="n"/>
      <c r="I53" s="18" t="inlineStr">
        <is>
          <t>NF-e 4255</t>
        </is>
      </c>
      <c r="J53" s="18" t="n"/>
    </row>
    <row r="54">
      <c r="A54" s="44" t="n">
        <v>46212</v>
      </c>
      <c r="B54" s="45" t="inlineStr">
        <is>
          <t>Ocimar Correia Feitosa</t>
        </is>
      </c>
      <c r="C54" s="45" t="inlineStr">
        <is>
          <t>Purificador Everest Baby Preto + Conexão</t>
        </is>
      </c>
      <c r="D54" s="46" t="n">
        <v>500</v>
      </c>
      <c r="E54" s="45" t="inlineStr">
        <is>
          <t>Dinheiro</t>
        </is>
      </c>
      <c r="F54" s="47" t="n"/>
      <c r="G54" s="48" t="n"/>
      <c r="H54" s="49" t="n"/>
      <c r="I54" s="45" t="inlineStr">
        <is>
          <t>NF-e 4256</t>
        </is>
      </c>
      <c r="J54" t="inlineStr">
        <is>
          <t>CLI-0878</t>
        </is>
      </c>
    </row>
    <row r="55">
      <c r="A55" s="17" t="n">
        <v>46212</v>
      </c>
      <c r="B55" s="18" t="inlineStr">
        <is>
          <t>Pro Labore Edilania</t>
        </is>
      </c>
      <c r="C55" s="18" t="n"/>
      <c r="D55" s="27" t="n"/>
      <c r="E55" s="18" t="n"/>
      <c r="F55" s="19" t="n"/>
      <c r="G55" s="19" t="n">
        <v>1550</v>
      </c>
      <c r="H55" s="21" t="inlineStr">
        <is>
          <t>Pro Labore Edilânia</t>
        </is>
      </c>
      <c r="I55" s="18" t="inlineStr">
        <is>
          <t>Livro Caixa: Pagamento parcela Pro labore Edilania (Doc. 1) · Edilania Fontes - Loja</t>
        </is>
      </c>
      <c r="J55" s="18" t="n"/>
    </row>
    <row r="56">
      <c r="A56" s="44" t="n">
        <v>46213</v>
      </c>
      <c r="B56" s="45" t="inlineStr">
        <is>
          <t>Sindicato dos Trabalhadores Em Educacao das Redes Publicas E</t>
        </is>
      </c>
      <c r="C56" s="45" t="inlineStr">
        <is>
          <t>Purificador Everest Plus Prata + Pré Filtro</t>
        </is>
      </c>
      <c r="D56" s="46" t="n">
        <v>1500</v>
      </c>
      <c r="E56" s="45" t="inlineStr">
        <is>
          <t>Dinheiro</t>
        </is>
      </c>
      <c r="F56" s="47" t="n"/>
      <c r="G56" s="48" t="n"/>
      <c r="H56" s="49" t="n"/>
      <c r="I56" s="45" t="inlineStr">
        <is>
          <t>NF-e 4257</t>
        </is>
      </c>
    </row>
    <row r="57">
      <c r="A57" s="17" t="n">
        <v>46213</v>
      </c>
      <c r="B57" s="18" t="inlineStr">
        <is>
          <t>Lucilia Batista de Santa Rosa</t>
        </is>
      </c>
      <c r="C57" s="18" t="inlineStr">
        <is>
          <t>Purificador Everest Fit Branco + Pré Filtro</t>
        </is>
      </c>
      <c r="D57" s="27" t="n">
        <v>1460</v>
      </c>
      <c r="E57" s="18" t="inlineStr">
        <is>
          <t>Dinheiro</t>
        </is>
      </c>
      <c r="F57" s="19" t="n"/>
      <c r="G57" s="19" t="n"/>
      <c r="H57" s="21" t="n"/>
      <c r="I57" s="18" t="inlineStr">
        <is>
          <t>NF-e 4258</t>
        </is>
      </c>
      <c r="J57" s="18" t="inlineStr">
        <is>
          <t>CLI-0879</t>
        </is>
      </c>
    </row>
    <row r="58">
      <c r="A58" s="44" t="n">
        <v>46214</v>
      </c>
      <c r="B58" s="45" t="inlineStr">
        <is>
          <t>Tiago Manoel Dias Ferreira</t>
        </is>
      </c>
      <c r="C58" s="45" t="inlineStr">
        <is>
          <t>Purificador Everest Fit Preto + Pré Filtro</t>
        </is>
      </c>
      <c r="D58" s="46" t="n">
        <v>1510</v>
      </c>
      <c r="E58" s="45" t="inlineStr">
        <is>
          <t>Dinheiro</t>
        </is>
      </c>
      <c r="F58" s="47" t="n"/>
      <c r="G58" s="48" t="n"/>
      <c r="H58" s="49" t="n"/>
      <c r="I58" s="45" t="inlineStr">
        <is>
          <t>NF-e 4259</t>
        </is>
      </c>
    </row>
    <row r="59">
      <c r="A59" s="17" t="n">
        <v>46214</v>
      </c>
      <c r="B59" s="18" t="inlineStr">
        <is>
          <t>Antonio Carlos Santana Rios</t>
        </is>
      </c>
      <c r="C59" s="18" t="inlineStr">
        <is>
          <t>Refil Pro Life + Mangueira (1 m)</t>
        </is>
      </c>
      <c r="D59" s="27" t="n">
        <v>150</v>
      </c>
      <c r="E59" s="18" t="inlineStr">
        <is>
          <t>Crédito Parcelado</t>
        </is>
      </c>
      <c r="F59" s="19" t="n"/>
      <c r="G59" s="19" t="n"/>
      <c r="H59" s="21" t="n"/>
      <c r="I59" s="18" t="inlineStr">
        <is>
          <t>NFC-e 9155</t>
        </is>
      </c>
      <c r="J59" s="18" t="n"/>
    </row>
    <row r="60">
      <c r="A60" s="44" t="n">
        <v>46216</v>
      </c>
      <c r="B60" s="45" t="inlineStr">
        <is>
          <t>Igreja Missionaria de Jacobina Cristo para as Nações</t>
        </is>
      </c>
      <c r="C60" s="45" t="n"/>
      <c r="D60" s="46" t="n">
        <v>40</v>
      </c>
      <c r="E60" s="45" t="n"/>
      <c r="F60" s="47" t="n"/>
      <c r="G60" s="48" t="n"/>
      <c r="H60" s="49" t="n"/>
      <c r="I60" s="45" t="inlineStr">
        <is>
          <t>Livro Caixa: Recebimento à vista Gerado pelo sistema. (Doc. 4260)</t>
        </is>
      </c>
      <c r="J60" t="inlineStr">
        <is>
          <t>EMP-0178</t>
        </is>
      </c>
    </row>
    <row r="61">
      <c r="A61" s="17" t="n">
        <v>46216</v>
      </c>
      <c r="B61" s="18" t="inlineStr">
        <is>
          <t>Igreja Missionaria de Jacobina Cristo para as Nações</t>
        </is>
      </c>
      <c r="C61" s="18" t="n"/>
      <c r="D61" s="27" t="n">
        <v>40</v>
      </c>
      <c r="E61" s="18" t="n"/>
      <c r="F61" s="19" t="n"/>
      <c r="G61" s="19" t="n"/>
      <c r="H61" s="21" t="n"/>
      <c r="I61" s="18" t="inlineStr">
        <is>
          <t>Livro Caixa: Recebimento à vista Gerado pelo sistema. (Doc. 4261)</t>
        </is>
      </c>
      <c r="J61" s="18" t="inlineStr">
        <is>
          <t>EMP-0178</t>
        </is>
      </c>
    </row>
    <row r="62">
      <c r="A62" s="44" t="n">
        <v>46216</v>
      </c>
      <c r="B62" s="45" t="inlineStr">
        <is>
          <t>Jupiter Tecidos Ltda</t>
        </is>
      </c>
      <c r="C62" s="45" t="inlineStr">
        <is>
          <t>Refil Everest + Refil Plissado + Refil CP500 BR + Suporte</t>
        </is>
      </c>
      <c r="D62" s="46" t="n">
        <v>400</v>
      </c>
      <c r="E62" s="45" t="n"/>
      <c r="F62" s="47" t="n"/>
      <c r="G62" s="48" t="n"/>
      <c r="H62" s="49" t="n"/>
      <c r="I62" s="45" t="inlineStr">
        <is>
          <t>NF-e 4262. Recebimento não constava no Livro Caixa; conferido e baixado no DigiSat em 28/09/2026.</t>
        </is>
      </c>
    </row>
    <row r="63" ht="15.75" customHeight="1" s="157">
      <c r="A63" s="17" t="n">
        <v>46216</v>
      </c>
      <c r="B63" s="18" t="inlineStr">
        <is>
          <t>Estorno de recebimento — Igreja Missionaria de Jacobina Cristo Para As Nacoes</t>
        </is>
      </c>
      <c r="C63" s="18" t="n"/>
      <c r="D63" s="27" t="n"/>
      <c r="E63" s="18" t="n"/>
      <c r="F63" s="19" t="n"/>
      <c r="G63" s="19" t="n">
        <v>40</v>
      </c>
      <c r="H63" s="21" t="inlineStr">
        <is>
          <t>Estornos de Vendas (Cancelamentos)</t>
        </is>
      </c>
      <c r="I63" s="18" t="inlineStr">
        <is>
          <t>Livro Caixa: Estorno de recebimento do documento: Gerado pelo sistema. (Doc. 42)</t>
        </is>
      </c>
      <c r="J63" s="18" t="n"/>
    </row>
    <row r="64">
      <c r="A64" s="44" t="n">
        <v>46216</v>
      </c>
      <c r="B64" s="45" t="inlineStr">
        <is>
          <t>Estorno de recebimento — Igreja Missionaria de Jacobina Cristo Para As Nacoes</t>
        </is>
      </c>
      <c r="C64" s="45" t="n"/>
      <c r="D64" s="46" t="n"/>
      <c r="E64" s="45" t="n"/>
      <c r="F64" s="47" t="n"/>
      <c r="G64" s="48" t="n">
        <v>40</v>
      </c>
      <c r="H64" s="49" t="inlineStr">
        <is>
          <t>Estornos de Vendas (Cancelamentos)</t>
        </is>
      </c>
      <c r="I64" s="45" t="inlineStr">
        <is>
          <t>Livro Caixa: Estorno de recebimento do documento: Gerado pelo sistema. (Doc. 42)</t>
        </is>
      </c>
    </row>
    <row r="65">
      <c r="A65" s="17" t="n">
        <v>46218</v>
      </c>
      <c r="B65" s="18" t="inlineStr">
        <is>
          <t>Farmácia Ferreira - A Fórmula</t>
        </is>
      </c>
      <c r="C65" s="18" t="inlineStr">
        <is>
          <t>Refil Everest + Pré Filtro</t>
        </is>
      </c>
      <c r="D65" s="27" t="n">
        <v>200</v>
      </c>
      <c r="E65" s="18" t="inlineStr">
        <is>
          <t>Dinheiro</t>
        </is>
      </c>
      <c r="F65" s="19" t="n"/>
      <c r="G65" s="19" t="n"/>
      <c r="H65" s="21" t="n"/>
      <c r="I65" s="18" t="inlineStr">
        <is>
          <t>NF-e 4264</t>
        </is>
      </c>
      <c r="J65" s="18" t="inlineStr">
        <is>
          <t>EMP-0145</t>
        </is>
      </c>
    </row>
    <row r="66">
      <c r="A66" s="44" t="n">
        <v>46218</v>
      </c>
      <c r="B66" s="45" t="inlineStr">
        <is>
          <t>Jupiter Tecidos Ltda</t>
        </is>
      </c>
      <c r="C66" s="45" t="inlineStr">
        <is>
          <t>Refil Everest + Refil Plissado + Refil CP500 BR + Suporte</t>
        </is>
      </c>
      <c r="D66" s="46" t="n">
        <v>400</v>
      </c>
      <c r="E66" s="45" t="inlineStr">
        <is>
          <t>Dinheiro</t>
        </is>
      </c>
      <c r="F66" s="47" t="n"/>
      <c r="G66" s="48" t="n"/>
      <c r="H66" s="49" t="n"/>
      <c r="I66" s="45" t="inlineStr">
        <is>
          <t>NF-e 4267</t>
        </is>
      </c>
    </row>
    <row r="67">
      <c r="A67" s="17" t="n">
        <v>46218</v>
      </c>
      <c r="B67" s="18" t="inlineStr">
        <is>
          <t>José Alves de Andrade - Rosilda Alves</t>
        </is>
      </c>
      <c r="C67" s="18" t="inlineStr">
        <is>
          <t>Refil Everest</t>
        </is>
      </c>
      <c r="D67" s="27" t="n">
        <v>135</v>
      </c>
      <c r="E67" s="18" t="inlineStr">
        <is>
          <t>Pix</t>
        </is>
      </c>
      <c r="F67" s="19" t="n"/>
      <c r="G67" s="19" t="n"/>
      <c r="H67" s="21" t="n"/>
      <c r="I67" s="18" t="inlineStr">
        <is>
          <t>NFC-e 9156</t>
        </is>
      </c>
      <c r="J67" s="18" t="inlineStr">
        <is>
          <t>CLI-0881</t>
        </is>
      </c>
    </row>
    <row r="68">
      <c r="A68" s="44" t="n">
        <v>46218</v>
      </c>
      <c r="B68" s="45" t="inlineStr">
        <is>
          <t>D Bruno Calcados e Confeccoes Ltda Epp</t>
        </is>
      </c>
      <c r="C68" s="45" t="inlineStr">
        <is>
          <t>2x Refil Everest + 2x Pré Filtro</t>
        </is>
      </c>
      <c r="D68" s="46" t="n">
        <v>400</v>
      </c>
      <c r="E68" s="45" t="inlineStr">
        <is>
          <t>Dinheiro</t>
        </is>
      </c>
      <c r="F68" s="47" t="n"/>
      <c r="G68" s="48" t="n"/>
      <c r="H68" s="49" t="n"/>
      <c r="I68" s="45" t="inlineStr">
        <is>
          <t>NF-e 4268</t>
        </is>
      </c>
    </row>
    <row r="69">
      <c r="A69" s="17" t="n">
        <v>46218</v>
      </c>
      <c r="B69" s="18" t="inlineStr">
        <is>
          <t>Consumidor Final</t>
        </is>
      </c>
      <c r="C69" s="18" t="inlineStr">
        <is>
          <t>3x Refil Multifilter + Refil Carbon Block</t>
        </is>
      </c>
      <c r="D69" s="27" t="n">
        <v>310</v>
      </c>
      <c r="E69" s="18" t="inlineStr">
        <is>
          <t>Dinheiro</t>
        </is>
      </c>
      <c r="F69" s="19" t="n"/>
      <c r="G69" s="19" t="n"/>
      <c r="H69" s="21" t="n"/>
      <c r="I69" s="18" t="inlineStr">
        <is>
          <t>NFC-e 9157</t>
        </is>
      </c>
      <c r="J69" s="18" t="n"/>
    </row>
    <row r="70">
      <c r="A70" s="44" t="n">
        <v>46218</v>
      </c>
      <c r="B70" s="45" t="inlineStr">
        <is>
          <t>Luis Henrique Cabral Assis - Luciana Maia</t>
        </is>
      </c>
      <c r="C70" s="45" t="inlineStr">
        <is>
          <t>Refil Pro Life + Mangueira (1 m)</t>
        </is>
      </c>
      <c r="D70" s="46" t="n">
        <v>150</v>
      </c>
      <c r="E70" s="45" t="inlineStr">
        <is>
          <t>Débito</t>
        </is>
      </c>
      <c r="F70" s="47" t="n"/>
      <c r="G70" s="48" t="n"/>
      <c r="H70" s="49" t="n"/>
      <c r="I70" s="45" t="inlineStr">
        <is>
          <t>NFC-e 9158</t>
        </is>
      </c>
    </row>
    <row r="71">
      <c r="A71" s="17" t="n">
        <v>46218</v>
      </c>
      <c r="B71" s="18" t="inlineStr">
        <is>
          <t>Jupiter Tecidos Ltda</t>
        </is>
      </c>
      <c r="C71" s="18" t="n"/>
      <c r="D71" s="27" t="n"/>
      <c r="E71" s="18" t="n"/>
      <c r="F71" s="19" t="n"/>
      <c r="G71" s="19" t="n">
        <v>400</v>
      </c>
      <c r="H71" s="21" t="inlineStr">
        <is>
          <t>Outras Despesas</t>
        </is>
      </c>
      <c r="I71" s="18" t="inlineStr">
        <is>
          <t>Livro Caixa: Pagamento à vista: Gerado pelo sistema. (Doc. 4266)</t>
        </is>
      </c>
      <c r="J71" s="18" t="n"/>
    </row>
    <row r="72">
      <c r="A72" s="44" t="n">
        <v>46218</v>
      </c>
      <c r="B72" s="45" t="inlineStr">
        <is>
          <t>Taxa Administrativa de Estagio</t>
        </is>
      </c>
      <c r="C72" s="45" t="n"/>
      <c r="D72" s="46" t="n"/>
      <c r="E72" s="45" t="n"/>
      <c r="F72" s="47" t="n"/>
      <c r="G72" s="48" t="n">
        <v>75</v>
      </c>
      <c r="H72" s="49" t="inlineStr">
        <is>
          <t>Salários, Comissões e Encargos</t>
        </is>
      </c>
      <c r="I72" s="45" t="inlineStr">
        <is>
          <t>Livro Caixa: Pagamento parcela TAXA ADMINISTRATIVA DE ESTAGIO (Doc. 1) · Instituto Euvaldo Lodi - Nucleo Regional da Bahia</t>
        </is>
      </c>
    </row>
    <row r="73" ht="15.75" customHeight="1" s="157">
      <c r="A73" s="17" t="n">
        <v>46218</v>
      </c>
      <c r="B73" s="18" t="inlineStr">
        <is>
          <t>Filtros Planeta Agua Ind e Com Ltda</t>
        </is>
      </c>
      <c r="C73" s="18" t="n"/>
      <c r="D73" s="27" t="n"/>
      <c r="E73" s="18" t="n"/>
      <c r="F73" s="19" t="n"/>
      <c r="G73" s="19" t="n">
        <v>609.26</v>
      </c>
      <c r="H73" s="21" t="inlineStr">
        <is>
          <t>Fornecedores / Mercadoria</t>
        </is>
      </c>
      <c r="I73" s="18" t="inlineStr">
        <is>
          <t>NF 131442 de 17/06/2026 · parcela 1/4 (venc. 15/07/2026) · compra total R$ 2.122,28 (IPI R$ 104,91): 25x Refil Pro Life + 5x Refil Fit Poe Pp 9.3/4 + 10x Refil Bebedouro B A G + 8x Refil Carbon Tech 5 Pol + 10x Refil Carbon Tech 9.3/4 Pol + 2x Refil Pa 230 Fit + 4x Refil Fpa16 · Livro Caixa</t>
        </is>
      </c>
      <c r="J73" s="18" t="n"/>
    </row>
    <row r="74">
      <c r="A74" s="44" t="n">
        <v>46218</v>
      </c>
      <c r="B74" s="45" t="inlineStr">
        <is>
          <t>Tarcosop Oliveira Lima</t>
        </is>
      </c>
      <c r="C74" s="45" t="n"/>
      <c r="D74" s="46" t="n"/>
      <c r="E74" s="45" t="n"/>
      <c r="F74" s="47" t="n"/>
      <c r="G74" s="48" t="n">
        <v>486.32</v>
      </c>
      <c r="H74" s="49" t="inlineStr">
        <is>
          <t>Contabilidade</t>
        </is>
      </c>
      <c r="I74" s="45" t="inlineStr">
        <is>
          <t>Livro Caixa: Pagamento parcela TARCOSOP OLIVEIRA LIMA (Doc. 1) · Contabilidade Tarcisio Oliveira Lima</t>
        </is>
      </c>
    </row>
    <row r="75">
      <c r="A75" s="17" t="n">
        <v>46218</v>
      </c>
      <c r="B75" s="18" t="inlineStr">
        <is>
          <t>Filtros Planeta Agua Ind e Com Ltda</t>
        </is>
      </c>
      <c r="C75" s="18" t="n"/>
      <c r="D75" s="27" t="n"/>
      <c r="E75" s="18" t="n"/>
      <c r="F75" s="19" t="n"/>
      <c r="G75" s="19" t="n">
        <v>666.15</v>
      </c>
      <c r="H75" s="21" t="inlineStr">
        <is>
          <t>Fornecedores / Mercadoria</t>
        </is>
      </c>
      <c r="I75" s="18" t="inlineStr">
        <is>
          <t>NF 130510 de 08/05/2026 · parcela 4/4 (venc. 17/07/2026) · compra total R$ 2.803,16 (IPI R$ 138,56): 50x Refil Pro Life + 3x Refil Top Color + 5x Refil Acquatec + 5x Refil Fp4 + 6x Refil Carbon Tech 9.3/4 Pol + 6x Refil Poli Flu Plissado 9.3/4 + 5x Refil E3 + 5x Refil Top Multifilter + 3x Refil Top Color Fast + 5x Refil Fpa14 · Livro Caixa</t>
        </is>
      </c>
      <c r="J75" s="18" t="n"/>
    </row>
    <row r="76">
      <c r="A76" s="44" t="n">
        <v>46218</v>
      </c>
      <c r="B76" s="45" t="inlineStr">
        <is>
          <t>Fatura Internet Proxxima</t>
        </is>
      </c>
      <c r="C76" s="45" t="n"/>
      <c r="D76" s="46" t="n"/>
      <c r="E76" s="45" t="n"/>
      <c r="F76" s="47" t="n"/>
      <c r="G76" s="48" t="n">
        <v>69.98999999999999</v>
      </c>
      <c r="H76" s="49" t="inlineStr">
        <is>
          <t>Água, Energia e Internet</t>
        </is>
      </c>
      <c r="I76" s="45" t="inlineStr">
        <is>
          <t>Livro Caixa: Pagamento à vista: FATURA INTERNET PROXXIMA (Doc. 1) · Proxxima Telecomunicacoes</t>
        </is>
      </c>
    </row>
    <row r="77">
      <c r="A77" s="17" t="n">
        <v>46219</v>
      </c>
      <c r="B77" s="18" t="inlineStr">
        <is>
          <t>Consumidor Final</t>
        </is>
      </c>
      <c r="C77" s="18" t="inlineStr">
        <is>
          <t>Refil Carbon Tech 9" + Refil Top Color</t>
        </is>
      </c>
      <c r="D77" s="27" t="n">
        <v>180</v>
      </c>
      <c r="E77" s="18" t="inlineStr">
        <is>
          <t>Crédito Parcelado</t>
        </is>
      </c>
      <c r="F77" s="19" t="n"/>
      <c r="G77" s="19" t="n"/>
      <c r="H77" s="21" t="n"/>
      <c r="I77" s="18" t="inlineStr">
        <is>
          <t>NFC-e 9159</t>
        </is>
      </c>
      <c r="J77" s="18" t="n"/>
    </row>
    <row r="78">
      <c r="A78" s="44" t="n">
        <v>46220</v>
      </c>
      <c r="B78" s="45" t="inlineStr">
        <is>
          <t>Maria do Carmo Mendes</t>
        </is>
      </c>
      <c r="C78" s="45" t="n"/>
      <c r="D78" s="46" t="n">
        <v>65</v>
      </c>
      <c r="E78" s="45" t="n"/>
      <c r="F78" s="47" t="n"/>
      <c r="G78" s="48" t="n"/>
      <c r="H78" s="49" t="n"/>
      <c r="I78" s="45" t="inlineStr">
        <is>
          <t>Livro Caixa: Recebimento à vista Gerado pelo sistema (Doc. 9160)</t>
        </is>
      </c>
      <c r="J78" t="inlineStr">
        <is>
          <t>OUT-0061</t>
        </is>
      </c>
    </row>
    <row r="79" ht="15.75" customHeight="1" s="157">
      <c r="A79" s="17" t="n">
        <v>46220</v>
      </c>
      <c r="B79" s="18" t="inlineStr">
        <is>
          <t>Consumidor Final</t>
        </is>
      </c>
      <c r="C79" s="18" t="inlineStr">
        <is>
          <t>Registro</t>
        </is>
      </c>
      <c r="D79" s="27" t="n">
        <v>65</v>
      </c>
      <c r="E79" s="18" t="inlineStr">
        <is>
          <t>Dinheiro</t>
        </is>
      </c>
      <c r="F79" s="19" t="n"/>
      <c r="G79" s="19" t="n"/>
      <c r="H79" s="21" t="n"/>
      <c r="I79" s="18" t="inlineStr">
        <is>
          <t>NFC-e 9161</t>
        </is>
      </c>
      <c r="J79" s="18" t="n"/>
    </row>
    <row r="80">
      <c r="A80" s="44" t="n">
        <v>46220</v>
      </c>
      <c r="B80" s="45" t="inlineStr">
        <is>
          <t>Maria do Carmo Mendes</t>
        </is>
      </c>
      <c r="C80" s="45" t="inlineStr">
        <is>
          <t>Conjunto Torneira Star/Plus/Fit Completa N + 2x Botão Completo</t>
        </is>
      </c>
      <c r="D80" s="46" t="n">
        <v>200</v>
      </c>
      <c r="E80" s="45" t="inlineStr">
        <is>
          <t>Pix</t>
        </is>
      </c>
      <c r="F80" s="47" t="n"/>
      <c r="G80" s="48" t="n"/>
      <c r="H80" s="49" t="n"/>
      <c r="I80" s="45" t="inlineStr">
        <is>
          <t>NFC-e 9162</t>
        </is>
      </c>
      <c r="J80" t="inlineStr">
        <is>
          <t>OUT-0061</t>
        </is>
      </c>
    </row>
    <row r="81">
      <c r="A81" s="17" t="n">
        <v>46220</v>
      </c>
      <c r="B81" s="18" t="inlineStr">
        <is>
          <t>Grafica Editora Regis Brindes Ltda</t>
        </is>
      </c>
      <c r="C81" s="18" t="inlineStr">
        <is>
          <t>Refil Everest + Refil Pro Life</t>
        </is>
      </c>
      <c r="D81" s="27" t="n">
        <v>270</v>
      </c>
      <c r="E81" s="18" t="inlineStr">
        <is>
          <t>Dinheiro</t>
        </is>
      </c>
      <c r="F81" s="19" t="n"/>
      <c r="G81" s="19" t="n"/>
      <c r="H81" s="21" t="n"/>
      <c r="I81" s="18" t="inlineStr">
        <is>
          <t>NF-e 4269</t>
        </is>
      </c>
      <c r="J81" s="18" t="n"/>
    </row>
    <row r="82">
      <c r="A82" s="44" t="n">
        <v>46220</v>
      </c>
      <c r="B82" s="45" t="inlineStr">
        <is>
          <t>Estorno de recebimento — Maria do Carmo Mendes</t>
        </is>
      </c>
      <c r="C82" s="45" t="n"/>
      <c r="D82" s="46" t="n"/>
      <c r="E82" s="45" t="n"/>
      <c r="F82" s="47" t="n"/>
      <c r="G82" s="48" t="n">
        <v>65</v>
      </c>
      <c r="H82" s="49" t="inlineStr">
        <is>
          <t>Estornos de Vendas (Cancelamentos)</t>
        </is>
      </c>
      <c r="I82" s="45" t="inlineStr">
        <is>
          <t>Livro Caixa: Estorno de recebimento do documento: Gerado pelo sistema (Doc. 916)</t>
        </is>
      </c>
    </row>
    <row r="83">
      <c r="A83" s="17" t="n">
        <v>46220</v>
      </c>
      <c r="B83" s="18" t="inlineStr">
        <is>
          <t>Produtos de Limpeza</t>
        </is>
      </c>
      <c r="C83" s="18" t="n"/>
      <c r="D83" s="27" t="n"/>
      <c r="E83" s="18" t="n"/>
      <c r="F83" s="19" t="n"/>
      <c r="G83" s="19" t="n">
        <v>10.99</v>
      </c>
      <c r="H83" s="21" t="inlineStr">
        <is>
          <t>Material de Limpeza e Escritório</t>
        </is>
      </c>
      <c r="I83" s="18" t="inlineStr">
        <is>
          <t>Livro Caixa: Pagamento à vista: PRODUTOS DE LIMPEZA (Doc. 1) · Jacobina Material de Limpeza Eireli</t>
        </is>
      </c>
      <c r="J83" s="18" t="n"/>
    </row>
    <row r="84">
      <c r="A84" s="44" t="n">
        <v>46220</v>
      </c>
      <c r="B84" s="45" t="inlineStr">
        <is>
          <t>Material de Escritorio</t>
        </is>
      </c>
      <c r="C84" s="45" t="n"/>
      <c r="D84" s="46" t="n"/>
      <c r="E84" s="45" t="n"/>
      <c r="F84" s="47" t="n"/>
      <c r="G84" s="48" t="n">
        <v>12.2</v>
      </c>
      <c r="H84" s="49" t="inlineStr">
        <is>
          <t>Material de Limpeza e Escritório</t>
        </is>
      </c>
      <c r="I84" s="45" t="inlineStr">
        <is>
          <t>Livro Caixa: Pagamento à vista: MATERIAL DE ESCRITORIO (Doc. 1) · Universo das Variedades</t>
        </is>
      </c>
    </row>
    <row r="85">
      <c r="A85" s="17" t="n">
        <v>46223</v>
      </c>
      <c r="B85" s="18" t="inlineStr">
        <is>
          <t>Consumidor Final</t>
        </is>
      </c>
      <c r="C85" s="18" t="inlineStr">
        <is>
          <t>Refil Carbon Block</t>
        </is>
      </c>
      <c r="D85" s="27" t="n">
        <v>55</v>
      </c>
      <c r="E85" s="18" t="inlineStr">
        <is>
          <t>Dinheiro</t>
        </is>
      </c>
      <c r="F85" s="19" t="n"/>
      <c r="G85" s="19" t="n"/>
      <c r="H85" s="21" t="n"/>
      <c r="I85" s="18" t="inlineStr">
        <is>
          <t>NFC-e 9164</t>
        </is>
      </c>
      <c r="J85" s="18" t="n"/>
    </row>
    <row r="86">
      <c r="A86" s="44" t="n">
        <v>46223</v>
      </c>
      <c r="B86" s="45" t="inlineStr">
        <is>
          <t>Maria Conceição Carvalho Mesquita</t>
        </is>
      </c>
      <c r="C86" s="45" t="inlineStr">
        <is>
          <t>Refil Pro Life</t>
        </is>
      </c>
      <c r="D86" s="46" t="n">
        <v>135</v>
      </c>
      <c r="E86" s="45" t="n"/>
      <c r="F86" s="47" t="n"/>
      <c r="G86" s="48" t="n"/>
      <c r="H86" s="49" t="n"/>
      <c r="I86" s="45" t="inlineStr">
        <is>
          <t>NFC-e 9163 · venda de 17/07/2026, total R$ 140,00 — parcela 1 · nota faturada a prazo (forma de recebimento não consta na nota)</t>
        </is>
      </c>
      <c r="J86" t="inlineStr">
        <is>
          <t>CLI-0702</t>
        </is>
      </c>
    </row>
    <row r="87">
      <c r="A87" s="17" t="n">
        <v>46223</v>
      </c>
      <c r="B87" s="18" t="inlineStr">
        <is>
          <t>Gasolina</t>
        </is>
      </c>
      <c r="C87" s="18" t="n"/>
      <c r="D87" s="27" t="n"/>
      <c r="E87" s="18" t="n"/>
      <c r="F87" s="19" t="n"/>
      <c r="G87" s="19" t="n">
        <v>20</v>
      </c>
      <c r="H87" s="21" t="inlineStr">
        <is>
          <t>Transporte e Entregas</t>
        </is>
      </c>
      <c r="I87" s="18" t="inlineStr">
        <is>
          <t>Livro Caixa: Pagamento à vista: GASOLINA (Doc. 1) · Lubrinessa Xvi Comercio de Petroleo Ltda</t>
        </is>
      </c>
      <c r="J87" s="18" t="n"/>
    </row>
    <row r="88">
      <c r="A88" s="44" t="n">
        <v>46223</v>
      </c>
      <c r="B88" s="45" t="inlineStr">
        <is>
          <t>Recarga Cartucho Impressora</t>
        </is>
      </c>
      <c r="C88" s="45" t="n"/>
      <c r="D88" s="46" t="n"/>
      <c r="E88" s="45" t="n"/>
      <c r="F88" s="47" t="n"/>
      <c r="G88" s="48" t="n">
        <v>30</v>
      </c>
      <c r="H88" s="49" t="inlineStr">
        <is>
          <t>Transporte e Entregas</t>
        </is>
      </c>
      <c r="I88" s="45" t="inlineStr">
        <is>
          <t>Livro Caixa: Pagamento à vista: RECARGA CARTUCHO IMPRESSORA (Doc. 1) · Centralmix Solucoes Integradas Ltda</t>
        </is>
      </c>
    </row>
    <row r="89">
      <c r="A89" s="17" t="n">
        <v>46223</v>
      </c>
      <c r="B89" s="18" t="inlineStr">
        <is>
          <t>Everest Refrigeracao e Industria</t>
        </is>
      </c>
      <c r="C89" s="18" t="n"/>
      <c r="D89" s="27" t="n"/>
      <c r="E89" s="18" t="n"/>
      <c r="F89" s="19" t="n"/>
      <c r="G89" s="19" t="n">
        <v>856.35</v>
      </c>
      <c r="H89" s="21" t="inlineStr">
        <is>
          <t>Fornecedores / Mercadoria</t>
        </is>
      </c>
      <c r="I89" s="18" t="inlineStr">
        <is>
          <t>NF 377739 de 19/05/2026 · parcela 2/5 (venc. 18/07/2026) · compra total R$ 4.281,74: Purificador Everest Slim Branco + Purificador Everest Slim Preto + Purificador Everest Plus Branco + Purificador Everest Star Branco + Purificador Everest Fit Branco + Purificador Everest Plus Prata · Livro Caixa</t>
        </is>
      </c>
      <c r="J89" s="18" t="n"/>
    </row>
    <row r="90">
      <c r="A90" s="44" t="n">
        <v>46223</v>
      </c>
      <c r="B90" s="45" t="inlineStr">
        <is>
          <t>Everest Refrigeracao e Industria</t>
        </is>
      </c>
      <c r="C90" s="45" t="n"/>
      <c r="D90" s="46" t="n"/>
      <c r="E90" s="45" t="n"/>
      <c r="F90" s="47" t="n"/>
      <c r="G90" s="48" t="n">
        <v>865.5</v>
      </c>
      <c r="H90" s="49" t="inlineStr">
        <is>
          <t>Fornecedores / Mercadoria</t>
        </is>
      </c>
      <c r="I90" s="45" t="inlineStr">
        <is>
          <t>NF 377738 de 19/05/2026 · parcela 2/5 (venc. 18/07/2026) · compra total R$ 4.327,52: Purificador Everest Plus Branco + Purificador Everest Plus Prata + Purificador Everest Slim Branco + 2x Purificador Everest Fit Prata + Purificador Everest Fit Preto · Livro Caixa</t>
        </is>
      </c>
    </row>
    <row r="91">
      <c r="A91" s="17" t="n">
        <v>46223</v>
      </c>
      <c r="B91" s="18" t="inlineStr">
        <is>
          <t>Everest Refrigeracao e Industria</t>
        </is>
      </c>
      <c r="C91" s="18" t="n"/>
      <c r="D91" s="27" t="n"/>
      <c r="E91" s="18" t="n"/>
      <c r="F91" s="19" t="n"/>
      <c r="G91" s="19" t="n">
        <v>139.31</v>
      </c>
      <c r="H91" s="21" t="inlineStr">
        <is>
          <t>Fornecedores / Mercadoria</t>
        </is>
      </c>
      <c r="I91" s="18" t="inlineStr">
        <is>
          <t>NF 377737 de 19/05/2026 · parcela 2/5 (venc. 18/07/2026) · compra total R$ 725,16 (IPI R$ 28,60): 12x Conexão T + 30x Registro + 20x Botao Completo Purificador (N) + 30x Suporte · Livro Caixa</t>
        </is>
      </c>
      <c r="J91" s="18" t="n"/>
    </row>
    <row r="92">
      <c r="A92" s="44" t="n">
        <v>46223</v>
      </c>
      <c r="B92" s="45" t="inlineStr">
        <is>
          <t>Guia do Fgts Digital</t>
        </is>
      </c>
      <c r="C92" s="45" t="n"/>
      <c r="D92" s="46" t="n"/>
      <c r="E92" s="45" t="n"/>
      <c r="F92" s="47" t="n"/>
      <c r="G92" s="48" t="n">
        <v>136</v>
      </c>
      <c r="H92" s="49" t="inlineStr">
        <is>
          <t>Impostos e Taxas</t>
        </is>
      </c>
      <c r="I92" s="45" t="inlineStr">
        <is>
          <t>Livro Caixa: Pagamento parcela GUIA DO FGTS DIGITAL (Doc. 1) · Caixa Economica Federal</t>
        </is>
      </c>
    </row>
    <row r="93">
      <c r="A93" s="17" t="n">
        <v>46223</v>
      </c>
      <c r="B93" s="18" t="inlineStr">
        <is>
          <t>Documento de Arrecadacao de Receitas Fe</t>
        </is>
      </c>
      <c r="C93" s="18" t="n"/>
      <c r="D93" s="27" t="n"/>
      <c r="E93" s="18" t="n"/>
      <c r="F93" s="19" t="n"/>
      <c r="G93" s="19" t="n">
        <v>440.22</v>
      </c>
      <c r="H93" s="21" t="inlineStr">
        <is>
          <t>Impostos e Taxas</t>
        </is>
      </c>
      <c r="I93" s="18" t="inlineStr">
        <is>
          <t>Livro Caixa: Pagamento parcela DOCUMENTO DE ARRECADACAO DE RECEITAS FE · Ministerio da Fazenda</t>
        </is>
      </c>
      <c r="J93" s="18" t="n"/>
    </row>
    <row r="94">
      <c r="A94" s="44" t="n">
        <v>46223</v>
      </c>
      <c r="B94" s="45" t="inlineStr">
        <is>
          <t>Documento de Arrecadação Simples Nacio</t>
        </is>
      </c>
      <c r="C94" s="45" t="n"/>
      <c r="D94" s="46" t="n"/>
      <c r="E94" s="45" t="n"/>
      <c r="F94" s="47" t="n"/>
      <c r="G94" s="48" t="n">
        <v>1024.32</v>
      </c>
      <c r="H94" s="49" t="inlineStr">
        <is>
          <t>Impostos e Taxas</t>
        </is>
      </c>
      <c r="I94" s="45" t="inlineStr">
        <is>
          <t>Livro Caixa: Pagamento parcela DOCUMENTO DE ARRECADAÇÃO SIMPLES NACIO · Ministerio da Fazenda</t>
        </is>
      </c>
    </row>
    <row r="95">
      <c r="A95" s="17" t="n">
        <v>46224</v>
      </c>
      <c r="B95" s="18" t="inlineStr">
        <is>
          <t>Luciana de Matos Nascimento</t>
        </is>
      </c>
      <c r="C95" s="18" t="inlineStr">
        <is>
          <t>Refil Pro Life</t>
        </is>
      </c>
      <c r="D95" s="27" t="n">
        <v>140</v>
      </c>
      <c r="E95" s="18" t="inlineStr">
        <is>
          <t>Crédito Parcelado</t>
        </is>
      </c>
      <c r="F95" s="19" t="n"/>
      <c r="G95" s="19" t="n"/>
      <c r="H95" s="21" t="n"/>
      <c r="I95" s="18" t="inlineStr">
        <is>
          <t>NFC-e 9165</t>
        </is>
      </c>
      <c r="J95" s="18" t="n"/>
    </row>
    <row r="96">
      <c r="A96" s="44" t="n">
        <v>46224</v>
      </c>
      <c r="B96" s="45" t="inlineStr">
        <is>
          <t>José Goncalves de Oliveira</t>
        </is>
      </c>
      <c r="C96" s="45" t="inlineStr">
        <is>
          <t>Refil Pro Life</t>
        </is>
      </c>
      <c r="D96" s="46" t="n">
        <v>140</v>
      </c>
      <c r="E96" s="45" t="inlineStr">
        <is>
          <t>Dinheiro</t>
        </is>
      </c>
      <c r="F96" s="47" t="n"/>
      <c r="G96" s="48" t="n"/>
      <c r="H96" s="49" t="n"/>
      <c r="I96" s="45" t="inlineStr">
        <is>
          <t>NFC-e 9166</t>
        </is>
      </c>
      <c r="J96" t="inlineStr">
        <is>
          <t>CLI-0026</t>
        </is>
      </c>
    </row>
    <row r="97">
      <c r="A97" s="17" t="n">
        <v>46224</v>
      </c>
      <c r="B97" s="18" t="inlineStr">
        <is>
          <t xml:space="preserve">Clinica DentalClin - Igor Santos Silva ME </t>
        </is>
      </c>
      <c r="C97" s="18" t="inlineStr">
        <is>
          <t>Refil Pro Life + Pré Filtro</t>
        </is>
      </c>
      <c r="D97" s="27" t="n">
        <v>200</v>
      </c>
      <c r="E97" s="18" t="n"/>
      <c r="F97" s="19" t="n"/>
      <c r="G97" s="19" t="n"/>
      <c r="H97" s="21" t="n"/>
      <c r="I97" s="18" t="inlineStr">
        <is>
          <t>NF-e 4263 · nota faturada a prazo (forma de recebimento não consta na nota) · venda de 13/07/2026 — pagamento recebido em 21/07/2026</t>
        </is>
      </c>
      <c r="J97" s="18" t="inlineStr">
        <is>
          <t>EMP-0077</t>
        </is>
      </c>
    </row>
    <row r="98">
      <c r="A98" s="44" t="n">
        <v>46225</v>
      </c>
      <c r="B98" s="45" t="inlineStr">
        <is>
          <t>Deuclezio Dantas Filho</t>
        </is>
      </c>
      <c r="C98" s="45" t="inlineStr">
        <is>
          <t>Refil Pro Life</t>
        </is>
      </c>
      <c r="D98" s="46" t="n">
        <v>140</v>
      </c>
      <c r="E98" s="45" t="inlineStr">
        <is>
          <t>Pix</t>
        </is>
      </c>
      <c r="F98" s="47" t="n"/>
      <c r="G98" s="48" t="n"/>
      <c r="H98" s="49" t="n"/>
      <c r="I98" s="45" t="inlineStr">
        <is>
          <t>NFC-e 9167</t>
        </is>
      </c>
      <c r="J98" t="inlineStr">
        <is>
          <t>CLI-0036</t>
        </is>
      </c>
    </row>
    <row r="99">
      <c r="A99" s="17" t="n">
        <v>46225</v>
      </c>
      <c r="B99" s="18" t="inlineStr">
        <is>
          <t>Silva &amp; Silva Sociedade de Advogados</t>
        </is>
      </c>
      <c r="C99" s="18" t="inlineStr">
        <is>
          <t>2x Refil Everest + Mangueira (1 m)</t>
        </is>
      </c>
      <c r="D99" s="27" t="n">
        <v>290</v>
      </c>
      <c r="E99" s="18" t="n"/>
      <c r="F99" s="19" t="n"/>
      <c r="G99" s="19" t="n"/>
      <c r="H99" s="21" t="n"/>
      <c r="I99" s="18" t="inlineStr">
        <is>
          <t>NF-e 4270. Recebimento não constava no Livro Caixa; conferido e baixado no DigiSat em 28/09/2026.</t>
        </is>
      </c>
      <c r="J99" s="18" t="n"/>
    </row>
    <row r="100" ht="15.75" customHeight="1" s="157">
      <c r="A100" s="44" t="n">
        <v>46225</v>
      </c>
      <c r="B100" s="45" t="inlineStr">
        <is>
          <t>Everest Refrigeracao e Industria</t>
        </is>
      </c>
      <c r="C100" s="45" t="n"/>
      <c r="D100" s="46" t="n"/>
      <c r="E100" s="45" t="n"/>
      <c r="F100" s="47" t="n"/>
      <c r="G100" s="48" t="n">
        <v>874.6799999999999</v>
      </c>
      <c r="H100" s="49" t="inlineStr">
        <is>
          <t>Fornecedores / Mercadoria</t>
        </is>
      </c>
      <c r="I100" s="45" t="inlineStr">
        <is>
          <t>NF 379826 de 22/06/2026 · parcela 1/5 (venc. 22/07/2026) · compra total R$ 4.373,40: 2x Purificador Everest Slim Prata + 2x Purificador Everest Star Prata + Purificador Everest Star Branco + Purificador Everest Fit Branco · Livro Caixa</t>
        </is>
      </c>
    </row>
    <row r="101">
      <c r="A101" s="17" t="n">
        <v>46226</v>
      </c>
      <c r="B101" s="18" t="inlineStr">
        <is>
          <t>Paulo Daltro</t>
        </is>
      </c>
      <c r="C101" s="18" t="inlineStr">
        <is>
          <t>Purificador Everest Star Prata</t>
        </is>
      </c>
      <c r="D101" s="27" t="n">
        <v>1379</v>
      </c>
      <c r="E101" s="18" t="inlineStr">
        <is>
          <t>Dinheiro</t>
        </is>
      </c>
      <c r="F101" s="19" t="n"/>
      <c r="G101" s="19" t="n"/>
      <c r="H101" s="21" t="n"/>
      <c r="I101" s="18" t="inlineStr">
        <is>
          <t>NF-e 4272</t>
        </is>
      </c>
      <c r="J101" s="18" t="n"/>
    </row>
    <row r="102" ht="15.75" customHeight="1" s="157">
      <c r="A102" s="44" t="n">
        <v>46226</v>
      </c>
      <c r="B102" s="45" t="inlineStr">
        <is>
          <t>Sheila Alves do Nascimento</t>
        </is>
      </c>
      <c r="C102" s="45" t="inlineStr">
        <is>
          <t>Refil Everest + Mangueira (2 m)</t>
        </is>
      </c>
      <c r="D102" s="46" t="n">
        <v>255</v>
      </c>
      <c r="E102" s="45" t="inlineStr">
        <is>
          <t>Pix</t>
        </is>
      </c>
      <c r="F102" s="47" t="n"/>
      <c r="G102" s="48" t="n"/>
      <c r="H102" s="49" t="n"/>
      <c r="I102" s="45" t="inlineStr">
        <is>
          <t>NFC-e 9169</t>
        </is>
      </c>
      <c r="J102" t="inlineStr">
        <is>
          <t>CLI-0513</t>
        </is>
      </c>
    </row>
    <row r="103">
      <c r="A103" s="17" t="n">
        <v>46226</v>
      </c>
      <c r="B103" s="18" t="inlineStr">
        <is>
          <t>Eversoft Ind e Com de Plasticos Ltda</t>
        </is>
      </c>
      <c r="C103" s="18" t="n"/>
      <c r="D103" s="27" t="n"/>
      <c r="E103" s="18" t="n"/>
      <c r="F103" s="19" t="n"/>
      <c r="G103" s="19" t="n">
        <v>878.9299999999999</v>
      </c>
      <c r="H103" s="21" t="inlineStr">
        <is>
          <t>Fornecedores / Mercadoria</t>
        </is>
      </c>
      <c r="I103" s="18" t="inlineStr">
        <is>
          <t>NF 71084 de 23/02/2026 · parcela 5/5 (venc. 23/07/2026) · compra total R$ 4.394,61: 100x Refil Everest · Livro Caixa</t>
        </is>
      </c>
      <c r="J103" s="18" t="n"/>
    </row>
    <row r="104" ht="15.75" customHeight="1" s="157">
      <c r="A104" s="44" t="n">
        <v>46227</v>
      </c>
      <c r="B104" s="45" t="inlineStr">
        <is>
          <t>Clinica de Fisioterapia Vilas Boas Mangabeira Ltda - Me</t>
        </is>
      </c>
      <c r="C104" s="45" t="inlineStr">
        <is>
          <t>Refil Everest + Refil Pro Life</t>
        </is>
      </c>
      <c r="D104" s="46" t="n">
        <v>270</v>
      </c>
      <c r="E104" s="45" t="n"/>
      <c r="F104" s="47" t="n"/>
      <c r="G104" s="48" t="n"/>
      <c r="H104" s="49" t="n"/>
      <c r="I104" s="45" t="inlineStr">
        <is>
          <t>NF-e 4271 · venda de 22/07/2026, total R$ 280,00 — parcela 1 · nota faturada a prazo (forma de recebimento não consta na nota)</t>
        </is>
      </c>
    </row>
    <row r="105">
      <c r="A105" s="17" t="n">
        <v>46227</v>
      </c>
      <c r="B105" s="18" t="inlineStr">
        <is>
          <t>Uniao Leste Brasileira da Igreja Adventista do Setimo Dia</t>
        </is>
      </c>
      <c r="C105" s="18" t="inlineStr">
        <is>
          <t>Purificador Everest Star Branco + Conjunto Painel Frontal Plus Branco (N) + 2x Botão Completo + Suporte</t>
        </is>
      </c>
      <c r="D105" s="27" t="n">
        <v>1615</v>
      </c>
      <c r="E105" s="18" t="inlineStr">
        <is>
          <t>Dinheiro</t>
        </is>
      </c>
      <c r="F105" s="19" t="n"/>
      <c r="G105" s="19" t="n"/>
      <c r="H105" s="21" t="n"/>
      <c r="I105" s="18" t="inlineStr">
        <is>
          <t>NF-e 4276</t>
        </is>
      </c>
      <c r="J105" s="18" t="n"/>
    </row>
    <row r="106">
      <c r="A106" s="44" t="n">
        <v>46227</v>
      </c>
      <c r="B106" s="45" t="inlineStr">
        <is>
          <t>Consumidor Final</t>
        </is>
      </c>
      <c r="C106" s="45" t="n"/>
      <c r="D106" s="46" t="n">
        <v>37</v>
      </c>
      <c r="E106" s="45" t="n"/>
      <c r="F106" s="47" t="n"/>
      <c r="G106" s="48" t="n"/>
      <c r="H106" s="49" t="n"/>
      <c r="I106" s="45" t="inlineStr">
        <is>
          <t>Livro Caixa: Recebimento à vista Gerado pelo sistema (Doc. 9170)</t>
        </is>
      </c>
    </row>
    <row r="107">
      <c r="A107" s="17" t="n">
        <v>46227</v>
      </c>
      <c r="B107" s="18" t="inlineStr">
        <is>
          <t>Consumidor Final</t>
        </is>
      </c>
      <c r="C107" s="18" t="inlineStr">
        <is>
          <t>Conexao Em T Rosca De 1/2 Com Engate Rapido Reto 1/4 X 1/4</t>
        </is>
      </c>
      <c r="D107" s="27" t="n">
        <v>35</v>
      </c>
      <c r="E107" s="18" t="inlineStr">
        <is>
          <t>Dinheiro</t>
        </is>
      </c>
      <c r="F107" s="19" t="n"/>
      <c r="G107" s="19" t="n"/>
      <c r="H107" s="21" t="n"/>
      <c r="I107" s="18" t="inlineStr">
        <is>
          <t>NFC-e 9171</t>
        </is>
      </c>
      <c r="J107" s="18" t="n"/>
    </row>
    <row r="108">
      <c r="A108" s="44" t="n">
        <v>46227</v>
      </c>
      <c r="B108" s="45" t="inlineStr">
        <is>
          <t>Cooperativa de Catadores Recicla Jacobina</t>
        </is>
      </c>
      <c r="C108" s="45" t="inlineStr">
        <is>
          <t>2x Refil Carbon Tech 9"</t>
        </is>
      </c>
      <c r="D108" s="46" t="n">
        <v>170</v>
      </c>
      <c r="E108" s="45" t="inlineStr">
        <is>
          <t>Dinheiro</t>
        </is>
      </c>
      <c r="F108" s="47" t="n"/>
      <c r="G108" s="48" t="n"/>
      <c r="H108" s="49" t="n"/>
      <c r="I108" s="45" t="inlineStr">
        <is>
          <t>NF-e 4279</t>
        </is>
      </c>
    </row>
    <row r="109">
      <c r="A109" s="17" t="n">
        <v>46227</v>
      </c>
      <c r="B109" s="18" t="inlineStr">
        <is>
          <t>Julio Anderson Souza de Oliveira</t>
        </is>
      </c>
      <c r="C109" s="18" t="inlineStr">
        <is>
          <t>Refil Carbon Tech 9"</t>
        </is>
      </c>
      <c r="D109" s="27" t="n">
        <v>90</v>
      </c>
      <c r="E109" s="18" t="n"/>
      <c r="F109" s="19" t="n"/>
      <c r="G109" s="19" t="n"/>
      <c r="H109" s="21" t="n"/>
      <c r="I109" s="18" t="inlineStr">
        <is>
          <t>NFC-e 9168 · venda de 22/07/2026 — pagamento recebido em 24/07/2026. Recebimento não constava no Livro Caixa; conferido e baixado no DigiSat em 28/09/2026.</t>
        </is>
      </c>
      <c r="J109" s="18" t="inlineStr">
        <is>
          <t>CLI-0589</t>
        </is>
      </c>
    </row>
    <row r="110">
      <c r="A110" s="44" t="n">
        <v>46227</v>
      </c>
      <c r="B110" s="45" t="inlineStr">
        <is>
          <t>Estorno de recebimento — Cliente Consumidor</t>
        </is>
      </c>
      <c r="C110" s="45" t="n"/>
      <c r="D110" s="46" t="n"/>
      <c r="E110" s="45" t="n"/>
      <c r="F110" s="47" t="n"/>
      <c r="G110" s="48" t="n">
        <v>37</v>
      </c>
      <c r="H110" s="49" t="inlineStr">
        <is>
          <t>Estornos de Vendas (Cancelamentos)</t>
        </is>
      </c>
      <c r="I110" s="45" t="inlineStr">
        <is>
          <t>Livro Caixa: Estorno de recebimento do documento: Gerado pelo sistema (Doc. 917)</t>
        </is>
      </c>
    </row>
    <row r="111">
      <c r="A111" s="17" t="n">
        <v>46227</v>
      </c>
      <c r="B111" s="18" t="inlineStr">
        <is>
          <t>Correios (Envios Para Grupo Anima)</t>
        </is>
      </c>
      <c r="C111" s="18" t="n"/>
      <c r="D111" s="27" t="n"/>
      <c r="E111" s="18" t="n"/>
      <c r="F111" s="19" t="n"/>
      <c r="G111" s="19" t="n">
        <v>231.8</v>
      </c>
      <c r="H111" s="21" t="inlineStr">
        <is>
          <t>Transporte e Entregas</t>
        </is>
      </c>
      <c r="I111" s="18" t="inlineStr">
        <is>
          <t>Livro Caixa: Pagamento à vista: CORREIOS (ENVIOS PARA GRUPO ANIMA) (Doc. 1) · Empresa Brasileira de Correios e Telegrafos</t>
        </is>
      </c>
      <c r="J111" s="18" t="n"/>
    </row>
    <row r="112">
      <c r="A112" s="44" t="n">
        <v>46227</v>
      </c>
      <c r="B112" s="45" t="inlineStr">
        <is>
          <t>Everest Refrigeracao e Industria</t>
        </is>
      </c>
      <c r="C112" s="45" t="n"/>
      <c r="D112" s="46" t="n"/>
      <c r="E112" s="45" t="n"/>
      <c r="F112" s="47" t="n"/>
      <c r="G112" s="48" t="n">
        <v>676.59</v>
      </c>
      <c r="H112" s="49" t="inlineStr">
        <is>
          <t>Fornecedores / Mercadoria</t>
        </is>
      </c>
      <c r="I112" s="45" t="inlineStr">
        <is>
          <t>NF 371358 de 24/02/2026 · parcela 5/5 (venc. 24/07/2026) · compra total R$ 3.382,95: 2x Purificador Everest Star Branco + Purificador Everest Slim Branco + Purificador Everest Fit Branco + Purificador Everest Fit Prata · Livro Caixa</t>
        </is>
      </c>
    </row>
    <row r="113">
      <c r="A113" s="17" t="n">
        <v>46228</v>
      </c>
      <c r="B113" s="18" t="inlineStr">
        <is>
          <t>Consumidor Final</t>
        </is>
      </c>
      <c r="C113" s="18" t="inlineStr">
        <is>
          <t>Mangueira (3 m)</t>
        </is>
      </c>
      <c r="D113" s="27" t="n">
        <v>30</v>
      </c>
      <c r="E113" s="18" t="inlineStr">
        <is>
          <t>Dinheiro</t>
        </is>
      </c>
      <c r="F113" s="19" t="n"/>
      <c r="G113" s="19" t="n"/>
      <c r="H113" s="21" t="n"/>
      <c r="I113" s="18" t="inlineStr">
        <is>
          <t>NFC-e 9172</t>
        </is>
      </c>
      <c r="J113" s="18" t="n"/>
    </row>
    <row r="114">
      <c r="A114" s="44" t="n">
        <v>46228</v>
      </c>
      <c r="B114" s="45" t="inlineStr">
        <is>
          <t>Celeste Maria Araujo</t>
        </is>
      </c>
      <c r="C114" s="45" t="inlineStr">
        <is>
          <t>Refil Pro Life</t>
        </is>
      </c>
      <c r="D114" s="46" t="n">
        <v>140</v>
      </c>
      <c r="E114" s="45" t="inlineStr">
        <is>
          <t>Dinheiro</t>
        </is>
      </c>
      <c r="F114" s="47" t="n"/>
      <c r="G114" s="48" t="n"/>
      <c r="H114" s="49" t="n"/>
      <c r="I114" s="45" t="inlineStr">
        <is>
          <t>NFC-e 9173</t>
        </is>
      </c>
      <c r="J114" t="inlineStr">
        <is>
          <t>CLI-0435</t>
        </is>
      </c>
    </row>
    <row r="115">
      <c r="A115" s="17" t="n">
        <v>46230</v>
      </c>
      <c r="B115" s="18" t="inlineStr">
        <is>
          <t>Correios</t>
        </is>
      </c>
      <c r="C115" s="18" t="n"/>
      <c r="D115" s="27" t="n"/>
      <c r="E115" s="18" t="n"/>
      <c r="F115" s="19" t="n"/>
      <c r="G115" s="19" t="n">
        <v>206.8</v>
      </c>
      <c r="H115" s="21" t="inlineStr">
        <is>
          <t>Transporte e Entregas</t>
        </is>
      </c>
      <c r="I115" s="18" t="inlineStr">
        <is>
          <t>Livro Caixa: Pagamento à vista: CORREIOS (Doc. 1) · Empresa Brasileira de Correios e Telegrafos</t>
        </is>
      </c>
      <c r="J115" s="18" t="n"/>
    </row>
    <row r="116">
      <c r="A116" s="44" t="n">
        <v>46231</v>
      </c>
      <c r="B116" s="45" t="inlineStr">
        <is>
          <t>Maria Carolina Gomes Vasconcelos Ltda</t>
        </is>
      </c>
      <c r="C116" s="45" t="inlineStr">
        <is>
          <t>Refil Everest</t>
        </is>
      </c>
      <c r="D116" s="46" t="n">
        <v>140</v>
      </c>
      <c r="E116" s="45" t="n"/>
      <c r="F116" s="47" t="n"/>
      <c r="G116" s="48" t="n"/>
      <c r="H116" s="49" t="n"/>
      <c r="I116" s="45" t="inlineStr">
        <is>
          <t>NF-e 4284. Recebimento não constava no Livro Caixa; conferido e baixado no DigiSat em 28/09/2026.</t>
        </is>
      </c>
    </row>
    <row r="117">
      <c r="A117" s="17" t="n">
        <v>46231</v>
      </c>
      <c r="B117" s="18" t="inlineStr">
        <is>
          <t>Alex Lopes Barbosa Santos</t>
        </is>
      </c>
      <c r="C117" s="18" t="inlineStr">
        <is>
          <t>Refil Everest</t>
        </is>
      </c>
      <c r="D117" s="27" t="n">
        <v>130</v>
      </c>
      <c r="E117" s="18" t="inlineStr">
        <is>
          <t>Dinheiro</t>
        </is>
      </c>
      <c r="F117" s="19" t="n"/>
      <c r="G117" s="19" t="n"/>
      <c r="H117" s="21" t="n"/>
      <c r="I117" s="18" t="inlineStr">
        <is>
          <t>NFC-e 9174. Recebimento não constava no Livro Caixa; conferido e baixado no DigiSat em 28/09/2026.</t>
        </is>
      </c>
      <c r="J117" s="18" t="inlineStr">
        <is>
          <t>CLI-0428</t>
        </is>
      </c>
    </row>
    <row r="118">
      <c r="A118" s="44" t="n">
        <v>46231</v>
      </c>
      <c r="B118" s="45" t="inlineStr">
        <is>
          <t>Shana Almeida Santos</t>
        </is>
      </c>
      <c r="C118" s="45" t="inlineStr">
        <is>
          <t>Suporte</t>
        </is>
      </c>
      <c r="D118" s="46" t="n">
        <v>160</v>
      </c>
      <c r="E118" s="45" t="inlineStr">
        <is>
          <t>Dinheiro</t>
        </is>
      </c>
      <c r="F118" s="47" t="n"/>
      <c r="G118" s="48" t="n"/>
      <c r="H118" s="49" t="n"/>
      <c r="I118" s="45" t="inlineStr">
        <is>
          <t>NFC-e 9175. Recebimento não constava no Livro Caixa; conferido e baixado no DigiSat em 28/09/2026.</t>
        </is>
      </c>
    </row>
    <row r="119">
      <c r="A119" s="17" t="n">
        <v>46232</v>
      </c>
      <c r="B119" s="18" t="inlineStr">
        <is>
          <t>Vitta Centro Medico Ltda</t>
        </is>
      </c>
      <c r="C119" s="18" t="inlineStr">
        <is>
          <t>Refil Pro Life</t>
        </is>
      </c>
      <c r="D119" s="27" t="n">
        <v>135</v>
      </c>
      <c r="E119" s="18" t="inlineStr">
        <is>
          <t>Dinheiro</t>
        </is>
      </c>
      <c r="F119" s="19" t="n"/>
      <c r="G119" s="19" t="n"/>
      <c r="H119" s="21" t="n"/>
      <c r="I119" s="18" t="inlineStr">
        <is>
          <t>NF-e 4286. Recebimento não constava no Livro Caixa; conferido e baixado no DigiSat em 28/09/2026.</t>
        </is>
      </c>
      <c r="J119" s="18" t="n"/>
    </row>
    <row r="120">
      <c r="A120" s="44" t="n">
        <v>46232</v>
      </c>
      <c r="B120" s="45" t="inlineStr">
        <is>
          <t>Wagner Soares Miranda</t>
        </is>
      </c>
      <c r="C120" s="45" t="inlineStr">
        <is>
          <t>Refil Everest</t>
        </is>
      </c>
      <c r="D120" s="46" t="n">
        <v>140</v>
      </c>
      <c r="E120" s="45" t="inlineStr">
        <is>
          <t>Dinheiro</t>
        </is>
      </c>
      <c r="F120" s="47" t="n"/>
      <c r="G120" s="48" t="n"/>
      <c r="H120" s="49" t="n"/>
      <c r="I120" s="45" t="inlineStr">
        <is>
          <t>NF-e 4288. Recebimento não constava no Livro Caixa; conferido e baixado no DigiSat em 28/09/2026.</t>
        </is>
      </c>
    </row>
    <row r="121">
      <c r="A121" s="17" t="n">
        <v>46232</v>
      </c>
      <c r="B121" s="18" t="inlineStr">
        <is>
          <t>Eco-Marmores e Granitos Importacao e Exportacao Ltda</t>
        </is>
      </c>
      <c r="C121" s="18" t="inlineStr">
        <is>
          <t>Refil Carbon Tech 9"</t>
        </is>
      </c>
      <c r="D121" s="27" t="n">
        <v>90</v>
      </c>
      <c r="E121" s="18" t="n"/>
      <c r="F121" s="19" t="n"/>
      <c r="G121" s="19" t="n"/>
      <c r="H121" s="21" t="n"/>
      <c r="I121" s="18" t="inlineStr">
        <is>
          <t>NF-e 4289. Recebimento não constava no Livro Caixa; conferido e baixado no DigiSat em 28/09/2026.</t>
        </is>
      </c>
      <c r="J121" s="18" t="inlineStr">
        <is>
          <t>EMP-0130</t>
        </is>
      </c>
    </row>
    <row r="122">
      <c r="A122" s="44" t="n">
        <v>46232</v>
      </c>
      <c r="B122" s="45" t="inlineStr">
        <is>
          <t>Eveli da Silva Pinho</t>
        </is>
      </c>
      <c r="C122" s="45" t="inlineStr">
        <is>
          <t>Refil Everest</t>
        </is>
      </c>
      <c r="D122" s="46" t="n">
        <v>135</v>
      </c>
      <c r="E122" s="45" t="inlineStr">
        <is>
          <t>Dinheiro</t>
        </is>
      </c>
      <c r="F122" s="47" t="n"/>
      <c r="G122" s="48" t="n"/>
      <c r="H122" s="49" t="n"/>
      <c r="I122" s="45" t="inlineStr">
        <is>
          <t>NF-e 4290. Recebimento não constava no Livro Caixa; conferido e baixado no DigiSat em 28/09/2026.</t>
        </is>
      </c>
    </row>
    <row r="123">
      <c r="A123" s="17" t="n">
        <v>46232</v>
      </c>
      <c r="B123" s="18" t="inlineStr">
        <is>
          <t>Ivanete Candida de Souza</t>
        </is>
      </c>
      <c r="C123" s="18" t="inlineStr">
        <is>
          <t>Refil Pro Life</t>
        </is>
      </c>
      <c r="D123" s="27" t="n">
        <v>140</v>
      </c>
      <c r="E123" s="18" t="inlineStr">
        <is>
          <t>Dinheiro</t>
        </is>
      </c>
      <c r="F123" s="19" t="n"/>
      <c r="G123" s="19" t="n"/>
      <c r="H123" s="21" t="n"/>
      <c r="I123" s="18" t="inlineStr">
        <is>
          <t>NFC-e 9176. Recebimento não constava no Livro Caixa; conferido e baixado no DigiSat em 28/09/2026.</t>
        </is>
      </c>
      <c r="J123" s="18" t="n"/>
    </row>
    <row r="124">
      <c r="A124" s="29" t="n"/>
      <c r="B124" s="43" t="inlineStr">
        <is>
          <t>TOTAL DO MÊS</t>
        </is>
      </c>
      <c r="C124" s="160" t="n"/>
      <c r="D124" s="8">
        <f>SUM(D5:D123)</f>
        <v/>
      </c>
      <c r="E124" s="8" t="n"/>
      <c r="F124" s="29">
        <f>SUM(F5:F123)</f>
        <v/>
      </c>
      <c r="G124" s="8">
        <f>SUM(G5:G123)</f>
        <v/>
      </c>
      <c r="H124" s="29" t="n"/>
      <c r="I124" s="29" t="n"/>
    </row>
    <row r="125">
      <c r="A125" s="30" t="n"/>
      <c r="B125" s="133" t="inlineStr">
        <is>
          <t>SALDO DO MÊS (Entradas líquidas − Despesas da loja)</t>
        </is>
      </c>
      <c r="D125" s="132">
        <f>(D124-F124-T5)-(L18-L19)</f>
        <v/>
      </c>
      <c r="F125" s="30" t="n"/>
      <c r="H125" s="30" t="n"/>
      <c r="I125" s="30" t="n"/>
    </row>
    <row r="128" ht="15.75" customHeight="1" s="157"/>
    <row r="149" ht="15.75" customHeight="1" s="157"/>
    <row r="165">
      <c r="K165" s="13" t="n"/>
      <c r="L165" s="14" t="n"/>
    </row>
    <row r="166">
      <c r="K166" s="42" t="n"/>
      <c r="L166" s="8" t="n"/>
    </row>
    <row r="167">
      <c r="K167" s="31" t="n"/>
      <c r="L167" s="31" t="n"/>
    </row>
    <row r="168">
      <c r="K168" s="31" t="n"/>
      <c r="L168" s="31" t="n"/>
    </row>
    <row r="173" ht="15.75" customHeight="1" s="157"/>
    <row r="176" ht="15.75" customHeight="1" s="157"/>
    <row r="184" ht="15.75" customHeight="1" s="157"/>
    <row r="185">
      <c r="K185" s="31" t="n"/>
      <c r="L185" s="31" t="n"/>
    </row>
    <row r="186" ht="15.75" customHeight="1" s="157">
      <c r="K186" s="31" t="n"/>
      <c r="L186" s="31" t="n"/>
    </row>
    <row r="187">
      <c r="K187" s="31" t="n"/>
      <c r="L187" s="31" t="n"/>
    </row>
    <row r="188">
      <c r="K188" s="31" t="n"/>
      <c r="L188" s="31" t="n"/>
    </row>
    <row r="189">
      <c r="K189" s="31" t="n"/>
      <c r="L189" s="31" t="n"/>
    </row>
  </sheetData>
  <mergeCells count="19">
    <mergeCell ref="P4:Q4"/>
    <mergeCell ref="P8:Q9"/>
    <mergeCell ref="T8:U9"/>
    <mergeCell ref="N7:O7"/>
    <mergeCell ref="R4:S4"/>
    <mergeCell ref="T4:U4"/>
    <mergeCell ref="A2:I2"/>
    <mergeCell ref="R7:S7"/>
    <mergeCell ref="P5:Q6"/>
    <mergeCell ref="R5:S6"/>
    <mergeCell ref="R8:S9"/>
    <mergeCell ref="P7:Q7"/>
    <mergeCell ref="T5:U6"/>
    <mergeCell ref="T7:U7"/>
    <mergeCell ref="A1:I1"/>
    <mergeCell ref="K4:L4"/>
    <mergeCell ref="N5:O6"/>
    <mergeCell ref="N4:O4"/>
    <mergeCell ref="N8:O9"/>
  </mergeCells>
  <conditionalFormatting sqref="R7:S7">
    <cfRule type="expression" priority="1" dxfId="1">
      <formula>LEFT($R$7,6)="PASSOU"</formula>
    </cfRule>
  </conditionalFormatting>
  <conditionalFormatting sqref="R8:S9">
    <cfRule type="expression" priority="2" dxfId="0">
      <formula>LEFT($R$7,6)="PASSOU"</formula>
    </cfRule>
  </conditionalFormatting>
  <conditionalFormatting sqref="T8:U9">
    <cfRule type="cellIs" priority="3" operator="lessThan" dxfId="0">
      <formula>0</formula>
    </cfRule>
  </conditionalFormatting>
  <conditionalFormatting sqref="R5:S6">
    <cfRule type="cellIs" priority="4" operator="lessThan" dxfId="0">
      <formula>0</formula>
    </cfRule>
  </conditionalFormatting>
  <dataValidations count="2">
    <dataValidation sqref="E5:E123" showDropDown="0" showInputMessage="0" showErrorMessage="0" allowBlank="1" type="list">
      <formula1>"Dinheiro,Pix,Débito,Crédito à Vista,Crédito Parcelado,Aguardando Pagamento"</formula1>
    </dataValidation>
    <dataValidation sqref="H5:H123" showDropDown="0" showInputMessage="0" showErrorMessage="0" allowBlank="1" type="list">
      <formula1>$K$5:$K$17</formula1>
    </dataValidation>
  </dataValidations>
  <hyperlinks>
    <hyperlink ref="A3" location="'Início'!A1" display="← Início"/>
  </hyperlinks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tabColor rgb="FF0F9D8B"/>
    <outlinePr summaryBelow="1" summaryRight="1"/>
    <pageSetUpPr/>
  </sheetPr>
  <dimension ref="A1:U189"/>
  <sheetViews>
    <sheetView showGridLines="0" zoomScale="85" zoomScaleNormal="85" workbookViewId="0">
      <pane ySplit="4" topLeftCell="A5" activePane="bottomLeft" state="frozen"/>
      <selection activeCell="B10" sqref="B10"/>
      <selection pane="bottomLeft" activeCell="A1" sqref="A1:I1"/>
    </sheetView>
  </sheetViews>
  <sheetFormatPr baseColWidth="8" defaultColWidth="8.7109375" defaultRowHeight="15"/>
  <cols>
    <col width="13" bestFit="1" customWidth="1" style="157" min="1" max="1"/>
    <col width="42" customWidth="1" style="157" min="2" max="2"/>
    <col width="26" customWidth="1" style="157" min="3" max="3"/>
    <col width="14" customWidth="1" style="157" min="4" max="4"/>
    <col width="20" customWidth="1" style="157" min="5" max="5"/>
    <col width="16" customWidth="1" style="157" min="6" max="6"/>
    <col width="14" customWidth="1" style="157" min="7" max="7"/>
    <col width="26" customWidth="1" style="157" min="8" max="8"/>
    <col width="30" customWidth="1" style="157" min="9" max="9"/>
    <col width="11" customWidth="1" style="157" min="10" max="10"/>
    <col width="30" customWidth="1" style="157" min="11" max="11"/>
    <col width="14" customWidth="1" style="157" min="12" max="12"/>
    <col width="3" customWidth="1" style="157" min="13" max="13"/>
    <col width="13" customWidth="1" style="157" min="14" max="21"/>
  </cols>
  <sheetData>
    <row r="1" ht="25.5" customHeight="1" s="157">
      <c r="A1" s="223" t="inlineStr">
        <is>
          <t>RELATÓRIO FINANCEIRO — AGOSTO / 2026</t>
        </is>
      </c>
    </row>
    <row r="2">
      <c r="A2" s="228" t="inlineStr">
        <is>
          <t>Fluxo de caixa da loja — entradas e saídas detalhadas por lançamento (lançado manualmente)</t>
        </is>
      </c>
    </row>
    <row r="3">
      <c r="A3" s="127" t="inlineStr">
        <is>
          <t>← Início</t>
        </is>
      </c>
    </row>
    <row r="4" ht="20.1" customHeight="1" s="157">
      <c r="A4" s="1" t="inlineStr">
        <is>
          <t>Data</t>
        </is>
      </c>
      <c r="B4" s="1" t="inlineStr">
        <is>
          <t>Descrição / Cliente</t>
        </is>
      </c>
      <c r="C4" s="1" t="inlineStr">
        <is>
          <t>Produto</t>
        </is>
      </c>
      <c r="D4" s="1" t="inlineStr">
        <is>
          <t>Entrada (R$)</t>
        </is>
      </c>
      <c r="E4" s="1" t="inlineStr">
        <is>
          <t>Forma de Pagamento</t>
        </is>
      </c>
      <c r="F4" s="1" t="inlineStr">
        <is>
          <t>Taxa da Máquina (R$)</t>
        </is>
      </c>
      <c r="G4" s="1" t="inlineStr">
        <is>
          <t>Saída (R$)</t>
        </is>
      </c>
      <c r="H4" s="1" t="inlineStr">
        <is>
          <t>Categoria da Saída</t>
        </is>
      </c>
      <c r="I4" s="1" t="inlineStr">
        <is>
          <t>Observações</t>
        </is>
      </c>
      <c r="J4" s="1" t="inlineStr">
        <is>
          <t>ID Cliente</t>
        </is>
      </c>
      <c r="K4" s="233" t="inlineStr">
        <is>
          <t>Saídas por Categoria</t>
        </is>
      </c>
      <c r="L4" s="160" t="n"/>
      <c r="N4" s="224" t="inlineStr">
        <is>
          <t>FATURAMENTO</t>
        </is>
      </c>
      <c r="P4" s="232" t="inlineStr">
        <is>
          <t>DESPESAS</t>
        </is>
      </c>
      <c r="R4" s="221" t="inlineStr">
        <is>
          <t>SALDO ANTES DO PRÓ-LABORE</t>
        </is>
      </c>
      <c r="T4" s="207" t="inlineStr">
        <is>
          <t>A RECEBER</t>
        </is>
      </c>
    </row>
    <row r="5" ht="14.1" customHeight="1" s="157">
      <c r="A5" s="17" t="n">
        <v>46237</v>
      </c>
      <c r="B5" s="18" t="inlineStr">
        <is>
          <t>Graciete Cordeiro</t>
        </is>
      </c>
      <c r="C5" s="18" t="inlineStr">
        <is>
          <t>Refil Pro Life</t>
        </is>
      </c>
      <c r="D5" s="27" t="n">
        <v>140</v>
      </c>
      <c r="E5" s="18" t="inlineStr">
        <is>
          <t>Crédito Parcelado</t>
        </is>
      </c>
      <c r="F5" s="19" t="n">
        <v>9.789999999999999</v>
      </c>
      <c r="G5" s="19" t="n"/>
      <c r="H5" s="21" t="n"/>
      <c r="I5" s="18" t="n"/>
      <c r="J5" s="18" t="inlineStr">
        <is>
          <t>CLI-0058</t>
        </is>
      </c>
      <c r="K5" s="10" t="inlineStr">
        <is>
          <t>Fornecedores / Mercadoria</t>
        </is>
      </c>
      <c r="L5" s="11">
        <f>SUMIF(H5:H184,K5,G5:G184)</f>
        <v/>
      </c>
      <c r="N5" s="229">
        <f>D185-F185-T5</f>
        <v/>
      </c>
      <c r="P5" s="231">
        <f>L18-L19</f>
        <v/>
      </c>
      <c r="R5" s="230">
        <f>D186</f>
        <v/>
      </c>
      <c r="T5" s="212">
        <f>SUMIF(E5:E184,"Aguardando Pagamento",D5:D184)</f>
        <v/>
      </c>
    </row>
    <row r="6" ht="14.1" customHeight="1" s="157">
      <c r="A6" s="44" t="n">
        <v>46237</v>
      </c>
      <c r="B6" s="45" t="inlineStr">
        <is>
          <t>Cliente Consumidor Final</t>
        </is>
      </c>
      <c r="C6" s="45" t="inlineStr">
        <is>
          <t>Registro</t>
        </is>
      </c>
      <c r="D6" s="46" t="n">
        <v>30</v>
      </c>
      <c r="E6" s="45" t="inlineStr">
        <is>
          <t>Crédito à Vista</t>
        </is>
      </c>
      <c r="F6" s="47" t="n">
        <v>1.05</v>
      </c>
      <c r="G6" s="48" t="n"/>
      <c r="H6" s="49" t="n"/>
      <c r="I6" s="45" t="n"/>
      <c r="K6" s="13" t="inlineStr">
        <is>
          <t>Aluguel</t>
        </is>
      </c>
      <c r="L6" s="14">
        <f>SUMIF(H5:H184,K6,G5:G184)</f>
        <v/>
      </c>
    </row>
    <row r="7" ht="15.75" customHeight="1" s="157">
      <c r="A7" s="17" t="n">
        <v>46237</v>
      </c>
      <c r="B7" s="18" t="inlineStr">
        <is>
          <t>Fracione Transportes</t>
        </is>
      </c>
      <c r="C7" s="18" t="n"/>
      <c r="D7" s="27" t="n"/>
      <c r="E7" s="18" t="n"/>
      <c r="F7" s="19" t="n"/>
      <c r="G7" s="19" t="n">
        <v>1420</v>
      </c>
      <c r="H7" s="21" t="inlineStr">
        <is>
          <t>Transporte e Entregas</t>
        </is>
      </c>
      <c r="I7" s="18" t="inlineStr">
        <is>
          <t>Financiado por Capital de Giro (BB) — ver aba "Capital de Giro (BB)"</t>
        </is>
      </c>
      <c r="K7" s="10" t="inlineStr">
        <is>
          <t>Água, Energia e Internet</t>
        </is>
      </c>
      <c r="L7" s="11">
        <f>SUMIF(H5:H184,K7,G5:G184)</f>
        <v/>
      </c>
      <c r="N7" s="249" t="inlineStr">
        <is>
          <t>PRÓ-LABORE EDILÂNIA</t>
        </is>
      </c>
      <c r="P7" s="208" t="inlineStr">
        <is>
          <t>COMBINADO NO MÊS</t>
        </is>
      </c>
      <c r="R7" s="221">
        <f>IF(L17&gt;'Ponto de Equilíbrio'!$B$10,"PASSOU DO COMBINADO",IF(TODAY()&gt;EOMONTH(DATE(2026,8,1),0),"ABAIXO DO COMBINADO","AINDA PODE GASTAR"))</f>
        <v/>
      </c>
      <c r="T7" s="224" t="inlineStr">
        <is>
          <t>SOBRA FINAL DO MÊS</t>
        </is>
      </c>
    </row>
    <row r="8">
      <c r="A8" s="44" t="n">
        <v>46238</v>
      </c>
      <c r="B8" s="45" t="inlineStr">
        <is>
          <t>Conta de Água Adriano</t>
        </is>
      </c>
      <c r="C8" s="45" t="n"/>
      <c r="D8" s="46" t="n"/>
      <c r="E8" s="45" t="n"/>
      <c r="F8" s="47" t="n"/>
      <c r="G8" s="48" t="n">
        <v>74.27</v>
      </c>
      <c r="H8" s="49" t="inlineStr">
        <is>
          <t>Pro Labore Edilânia</t>
        </is>
      </c>
      <c r="I8" s="45" t="n"/>
      <c r="K8" s="13" t="inlineStr">
        <is>
          <t>Impostos e Taxas</t>
        </is>
      </c>
      <c r="L8" s="14">
        <f>SUMIF(H5:H184,K8,G5:G184)</f>
        <v/>
      </c>
      <c r="N8" s="250">
        <f>L17</f>
        <v/>
      </c>
      <c r="P8" s="215">
        <f>'Ponto de Equilíbrio'!$B$10</f>
        <v/>
      </c>
      <c r="R8" s="205">
        <f>ABS('Ponto de Equilíbrio'!$B$10-L17)</f>
        <v/>
      </c>
      <c r="T8" s="236">
        <f>R5-L17</f>
        <v/>
      </c>
    </row>
    <row r="9">
      <c r="A9" s="17" t="n">
        <v>46237</v>
      </c>
      <c r="B9" s="18" t="inlineStr">
        <is>
          <t>Aluguel da Loja</t>
        </is>
      </c>
      <c r="C9" s="18" t="n"/>
      <c r="D9" s="27" t="n"/>
      <c r="E9" s="18" t="n"/>
      <c r="F9" s="19" t="n"/>
      <c r="G9" s="19" t="n">
        <v>880</v>
      </c>
      <c r="H9" s="21" t="inlineStr">
        <is>
          <t>Aluguel</t>
        </is>
      </c>
      <c r="I9" s="18" t="inlineStr">
        <is>
          <t>Financiado por Capital de Giro (BB) — ver aba "Capital de Giro (BB)"</t>
        </is>
      </c>
      <c r="K9" s="10" t="inlineStr">
        <is>
          <t>Tarifas Bancárias e Cartão</t>
        </is>
      </c>
      <c r="L9" s="11">
        <f>SUMIF(H5:H184,K9,G5:G184)</f>
        <v/>
      </c>
    </row>
    <row r="10">
      <c r="A10" s="44" t="n">
        <v>46237</v>
      </c>
      <c r="B10" s="45" t="inlineStr">
        <is>
          <t>Salário Erick (Estagiário)</t>
        </is>
      </c>
      <c r="C10" s="45" t="n"/>
      <c r="D10" s="46" t="n"/>
      <c r="E10" s="45" t="n"/>
      <c r="F10" s="47" t="n"/>
      <c r="G10" s="48" t="n">
        <v>600</v>
      </c>
      <c r="H10" s="49" t="inlineStr">
        <is>
          <t>Salários, Comissões e Encargos</t>
        </is>
      </c>
      <c r="I10" s="45" t="inlineStr">
        <is>
          <t>Financiado por Capital de Giro (BB) — ver aba "Capital de Giro (BB)"</t>
        </is>
      </c>
      <c r="K10" s="13" t="inlineStr">
        <is>
          <t>Transporte e Entregas</t>
        </is>
      </c>
      <c r="L10" s="14">
        <f>SUMIF(H5:H184,K10,G5:G184)</f>
        <v/>
      </c>
    </row>
    <row r="11">
      <c r="A11" s="17" t="n">
        <v>46238</v>
      </c>
      <c r="B11" s="18" t="inlineStr">
        <is>
          <t>Everest Refrigeração</t>
        </is>
      </c>
      <c r="C11" s="18" t="n"/>
      <c r="D11" s="27" t="n"/>
      <c r="E11" s="18" t="n"/>
      <c r="F11" s="19" t="n"/>
      <c r="G11" s="19" t="n">
        <v>706.65</v>
      </c>
      <c r="H11" s="21" t="inlineStr">
        <is>
          <t>Fornecedores / Mercadoria</t>
        </is>
      </c>
      <c r="I11" s="18" t="inlineStr">
        <is>
          <t>NF 374271 de 06/04/2026 · parcela 4/5 (venc. 04/08/2026) · compra total R$ 3.533,27: Purificador Everest Plus Prata + Purificador Everest Star Branco + Purificador Everest Star Preto + Purificador Everest Slim Prata + Purificador Everest Fit Branco</t>
        </is>
      </c>
      <c r="K11" s="10" t="inlineStr">
        <is>
          <t>Salários, Comissões e Encargos</t>
        </is>
      </c>
      <c r="L11" s="11">
        <f>SUMIF(H5:H184,K11,G5:G184)</f>
        <v/>
      </c>
    </row>
    <row r="12">
      <c r="A12" s="44" t="n">
        <v>46238</v>
      </c>
      <c r="B12" s="45" t="inlineStr">
        <is>
          <t>Conta de Energia Loja</t>
        </is>
      </c>
      <c r="C12" s="45" t="n"/>
      <c r="D12" s="46" t="n"/>
      <c r="E12" s="45" t="n"/>
      <c r="F12" s="47" t="n"/>
      <c r="G12" s="48" t="n">
        <v>150.63</v>
      </c>
      <c r="H12" s="49" t="inlineStr">
        <is>
          <t>Água, Energia e Internet</t>
        </is>
      </c>
      <c r="I12" s="45" t="n"/>
      <c r="K12" s="13" t="inlineStr">
        <is>
          <t>Contabilidade</t>
        </is>
      </c>
      <c r="L12" s="14">
        <f>SUMIF(H5:H184,K12,G5:G184)</f>
        <v/>
      </c>
    </row>
    <row r="13">
      <c r="A13" s="17" t="n">
        <v>46238</v>
      </c>
      <c r="B13" s="18" t="inlineStr">
        <is>
          <t>Lojão das Maquiagens</t>
        </is>
      </c>
      <c r="C13" s="18" t="inlineStr">
        <is>
          <t>Purificador Everest Slim Branco</t>
        </is>
      </c>
      <c r="D13" s="27" t="n">
        <v>1329</v>
      </c>
      <c r="E13" s="18" t="inlineStr">
        <is>
          <t>Dinheiro</t>
        </is>
      </c>
      <c r="F13" s="19" t="n"/>
      <c r="G13" s="19" t="n"/>
      <c r="H13" s="21" t="n"/>
      <c r="I13" s="18" t="n"/>
      <c r="J13" s="18" t="inlineStr">
        <is>
          <t>EMP-0207</t>
        </is>
      </c>
      <c r="K13" s="10" t="inlineStr">
        <is>
          <t>Manutenção e Reparos</t>
        </is>
      </c>
      <c r="L13" s="11">
        <f>SUMIF(H5:H184,K13,G5:G184)</f>
        <v/>
      </c>
    </row>
    <row r="14" ht="15.75" customHeight="1" s="157">
      <c r="A14" s="44" t="n">
        <v>46238</v>
      </c>
      <c r="B14" s="45" t="inlineStr">
        <is>
          <t>Papel Higiênico e Copos Descartáveis</t>
        </is>
      </c>
      <c r="C14" s="45" t="n"/>
      <c r="D14" s="46" t="n"/>
      <c r="E14" s="45" t="n"/>
      <c r="F14" s="47" t="n"/>
      <c r="G14" s="48" t="n">
        <v>15.46</v>
      </c>
      <c r="H14" s="49" t="inlineStr">
        <is>
          <t>Material de Limpeza e Escritório</t>
        </is>
      </c>
      <c r="I14" s="45" t="n"/>
      <c r="K14" s="13" t="inlineStr">
        <is>
          <t>Material de Limpeza e Escritório</t>
        </is>
      </c>
      <c r="L14" s="14">
        <f>SUMIF(H5:H184,K14,G5:G184)</f>
        <v/>
      </c>
    </row>
    <row r="15" ht="15.75" customHeight="1" s="157">
      <c r="A15" s="17" t="n">
        <v>46238</v>
      </c>
      <c r="B15" s="18" t="inlineStr">
        <is>
          <t>Broca para Furadeira</t>
        </is>
      </c>
      <c r="C15" s="18" t="n"/>
      <c r="D15" s="27" t="n"/>
      <c r="E15" s="18" t="n"/>
      <c r="F15" s="19" t="n"/>
      <c r="G15" s="19" t="n">
        <v>28</v>
      </c>
      <c r="H15" s="21" t="inlineStr">
        <is>
          <t>Manutenção e Reparos</t>
        </is>
      </c>
      <c r="I15" s="18" t="n"/>
      <c r="K15" s="10" t="inlineStr">
        <is>
          <t>Estornos de Vendas (Cancelamentos)</t>
        </is>
      </c>
      <c r="L15" s="11">
        <f>SUMIF(H5:H184,K15,G5:G184)</f>
        <v/>
      </c>
    </row>
    <row r="16">
      <c r="A16" s="44" t="n">
        <v>46238</v>
      </c>
      <c r="B16" s="45" t="inlineStr">
        <is>
          <t>Restante do Salário de Wiliam</t>
        </is>
      </c>
      <c r="C16" s="45" t="n"/>
      <c r="D16" s="46" t="n"/>
      <c r="E16" s="45" t="n"/>
      <c r="F16" s="47" t="n"/>
      <c r="G16" s="48" t="n">
        <v>132</v>
      </c>
      <c r="H16" s="49" t="inlineStr">
        <is>
          <t>Salários, Comissões e Encargos</t>
        </is>
      </c>
      <c r="I16" s="45" t="n"/>
      <c r="K16" t="inlineStr">
        <is>
          <t>Outras Despesas</t>
        </is>
      </c>
      <c r="L16" s="11">
        <f>SUMIF(H5:H184,K16,G5:G184)</f>
        <v/>
      </c>
    </row>
    <row r="17" ht="15.75" customHeight="1" s="157">
      <c r="A17" s="17" t="n">
        <v>46239</v>
      </c>
      <c r="B17" s="18" t="inlineStr">
        <is>
          <t>Edelmir Cordeiro</t>
        </is>
      </c>
      <c r="C17" s="18" t="inlineStr">
        <is>
          <t>Refil Everest</t>
        </is>
      </c>
      <c r="D17" s="27" t="n">
        <v>140</v>
      </c>
      <c r="E17" s="18" t="inlineStr">
        <is>
          <t>Dinheiro</t>
        </is>
      </c>
      <c r="F17" s="19" t="n"/>
      <c r="G17" s="19" t="n"/>
      <c r="H17" s="21" t="n"/>
      <c r="I17" s="18" t="n"/>
      <c r="J17" s="18" t="inlineStr">
        <is>
          <t>CLI-0016</t>
        </is>
      </c>
      <c r="K17" t="inlineStr">
        <is>
          <t>Pro Labore Edilânia</t>
        </is>
      </c>
      <c r="L17">
        <f>SUMIF(H5:H184,K17,G5:G184)</f>
        <v/>
      </c>
    </row>
    <row r="18" ht="15.75" customHeight="1" s="157">
      <c r="A18" s="44" t="n">
        <v>46239</v>
      </c>
      <c r="B18" s="45" t="inlineStr">
        <is>
          <t>Atacadão das Confecções</t>
        </is>
      </c>
      <c r="C18" s="45" t="inlineStr">
        <is>
          <t>Refil Everest</t>
        </is>
      </c>
      <c r="D18" s="46" t="n">
        <v>140</v>
      </c>
      <c r="E18" s="45" t="inlineStr">
        <is>
          <t>Dinheiro</t>
        </is>
      </c>
      <c r="F18" s="47" t="n"/>
      <c r="G18" s="48" t="n"/>
      <c r="H18" s="49" t="n"/>
      <c r="I18" s="45" t="n"/>
      <c r="J18" s="45" t="inlineStr">
        <is>
          <t>EMP-0018</t>
        </is>
      </c>
      <c r="K18" t="inlineStr">
        <is>
          <t>Total</t>
        </is>
      </c>
      <c r="L18">
        <f>SUM(L5:L16)</f>
        <v/>
      </c>
    </row>
    <row r="19">
      <c r="A19" s="17" t="n">
        <v>46239</v>
      </c>
      <c r="B19" s="18" t="inlineStr">
        <is>
          <t>Fita Adesiva</t>
        </is>
      </c>
      <c r="C19" s="18" t="n"/>
      <c r="D19" s="27" t="n"/>
      <c r="E19" s="18" t="n"/>
      <c r="F19" s="19" t="n"/>
      <c r="G19" s="19" t="n">
        <v>20</v>
      </c>
      <c r="H19" s="21" t="inlineStr">
        <is>
          <t>Material de Limpeza e Escritório</t>
        </is>
      </c>
      <c r="I19" s="18" t="n"/>
      <c r="K19" t="inlineStr">
        <is>
          <t>Capital de Giro (BB) — ainda a devolver</t>
        </is>
      </c>
      <c r="L19" s="32">
        <f>SUMIFS('Capital de Giro (BB)'!D9:D200,'Capital de Giro (BB)'!A9:A200,"&gt;="&amp;DATE(2026,8,1),'Capital de Giro (BB)'!A9:A200,"&lt;="&amp;DATE(2026,8,31),'Capital de Giro (BB)'!E9:E200,"A Devolver")</f>
        <v/>
      </c>
    </row>
    <row r="20">
      <c r="A20" s="44" t="n">
        <v>46239</v>
      </c>
      <c r="B20" s="45" t="inlineStr">
        <is>
          <t>Silva e Silva Advogados</t>
        </is>
      </c>
      <c r="C20" s="45" t="inlineStr">
        <is>
          <t>2x Refil Everest + Mangueira</t>
        </is>
      </c>
      <c r="D20" s="46" t="n">
        <v>150</v>
      </c>
      <c r="E20" s="45" t="inlineStr">
        <is>
          <t>Pix</t>
        </is>
      </c>
      <c r="F20" s="47" t="n"/>
      <c r="G20" s="48" t="n"/>
      <c r="H20" s="49" t="n"/>
      <c r="I20" s="45" t="n"/>
      <c r="J20" s="45" t="inlineStr">
        <is>
          <t>EMP-0295</t>
        </is>
      </c>
    </row>
    <row r="21">
      <c r="A21" s="17" t="n">
        <v>46239</v>
      </c>
      <c r="B21" s="18" t="inlineStr">
        <is>
          <t>Multipet</t>
        </is>
      </c>
      <c r="C21" s="18" t="inlineStr">
        <is>
          <t>Refil Everest</t>
        </is>
      </c>
      <c r="D21" s="27" t="n">
        <v>140</v>
      </c>
      <c r="E21" s="18" t="inlineStr">
        <is>
          <t>Pix</t>
        </is>
      </c>
      <c r="F21" s="19" t="n"/>
      <c r="G21" s="19" t="n"/>
      <c r="H21" s="21" t="n"/>
      <c r="I21" s="18" t="inlineStr">
        <is>
          <t>Pago via Pix em 13/08/2026 (venda de 05/08)</t>
        </is>
      </c>
      <c r="J21" s="18" t="inlineStr">
        <is>
          <t>EMP-0225</t>
        </is>
      </c>
    </row>
    <row r="22">
      <c r="A22" s="44" t="n">
        <v>46239</v>
      </c>
      <c r="B22" s="45" t="inlineStr">
        <is>
          <t>Cilmara Melo Nunes de Souza</t>
        </is>
      </c>
      <c r="C22" s="45" t="inlineStr">
        <is>
          <t>Refil Everest</t>
        </is>
      </c>
      <c r="D22" s="46" t="n">
        <v>140</v>
      </c>
      <c r="E22" s="45" t="inlineStr">
        <is>
          <t>Pix</t>
        </is>
      </c>
      <c r="F22" s="47" t="n"/>
      <c r="G22" s="48" t="n"/>
      <c r="H22" s="49" t="n"/>
      <c r="I22" s="45" t="n"/>
      <c r="J22" s="45" t="inlineStr">
        <is>
          <t>CLI-0017</t>
        </is>
      </c>
    </row>
    <row r="23">
      <c r="A23" s="17" t="n">
        <v>46248</v>
      </c>
      <c r="B23" s="18" t="inlineStr">
        <is>
          <t>Farmácia Popular</t>
        </is>
      </c>
      <c r="C23" s="18" t="inlineStr">
        <is>
          <t>Refil Everest + Pré Filtro</t>
        </is>
      </c>
      <c r="D23" s="27" t="n">
        <v>180</v>
      </c>
      <c r="E23" s="18" t="inlineStr">
        <is>
          <t>Dinheiro</t>
        </is>
      </c>
      <c r="F23" s="19" t="n"/>
      <c r="G23" s="19" t="n"/>
      <c r="H23" s="21" t="n"/>
      <c r="I23" s="18" t="n"/>
      <c r="J23" s="18" t="inlineStr">
        <is>
          <t>EMP-0147</t>
        </is>
      </c>
    </row>
    <row r="24">
      <c r="A24" s="44" t="n">
        <v>46254</v>
      </c>
      <c r="B24" s="45" t="inlineStr">
        <is>
          <t>Ivanilton Costa</t>
        </is>
      </c>
      <c r="C24" s="45" t="inlineStr">
        <is>
          <t>Refil Everest</t>
        </is>
      </c>
      <c r="D24" s="46" t="n">
        <v>120</v>
      </c>
      <c r="E24" s="45" t="inlineStr">
        <is>
          <t>Crédito à Vista</t>
        </is>
      </c>
      <c r="F24" s="47" t="n">
        <v>4.21</v>
      </c>
      <c r="G24" s="48" t="n"/>
      <c r="H24" s="49" t="n"/>
      <c r="I24" s="45" t="inlineStr">
        <is>
          <t>Venda de 05/08/2026 — pagamento recebido em 20/08/2026</t>
        </is>
      </c>
      <c r="J24" s="45" t="inlineStr">
        <is>
          <t>CLI-0401</t>
        </is>
      </c>
    </row>
    <row r="25">
      <c r="A25" s="17" t="n">
        <v>46239</v>
      </c>
      <c r="B25" s="18" t="inlineStr">
        <is>
          <t>Centro de Especialidades Odontomédicas</t>
        </is>
      </c>
      <c r="C25" s="18" t="inlineStr">
        <is>
          <t>Refil Everest</t>
        </is>
      </c>
      <c r="D25" s="27" t="n">
        <v>140</v>
      </c>
      <c r="E25" s="18" t="inlineStr">
        <is>
          <t>Aguardando Pagamento</t>
        </is>
      </c>
      <c r="F25" s="19" t="n"/>
      <c r="G25" s="19" t="n"/>
      <c r="H25" s="21" t="n"/>
      <c r="I25" s="18" t="n"/>
      <c r="J25" s="18" t="inlineStr">
        <is>
          <t>EMP-0277</t>
        </is>
      </c>
    </row>
    <row r="26">
      <c r="A26" s="44" t="n">
        <v>46239</v>
      </c>
      <c r="B26" s="45" t="inlineStr">
        <is>
          <t>Supermercado Brasil</t>
        </is>
      </c>
      <c r="C26" s="45" t="inlineStr">
        <is>
          <t>2x Refil Pro Life</t>
        </is>
      </c>
      <c r="D26" s="46" t="n">
        <v>280</v>
      </c>
      <c r="E26" s="45" t="inlineStr">
        <is>
          <t>Aguardando Pagamento</t>
        </is>
      </c>
      <c r="F26" s="47" t="n"/>
      <c r="G26" s="48" t="n"/>
      <c r="H26" s="49" t="n"/>
      <c r="I26" s="45" t="n"/>
      <c r="J26" s="45" t="inlineStr">
        <is>
          <t>EMP-0261</t>
        </is>
      </c>
    </row>
    <row r="27">
      <c r="A27" s="17" t="n">
        <v>46239</v>
      </c>
      <c r="B27" s="18" t="inlineStr">
        <is>
          <t>Marcio Itamar</t>
        </is>
      </c>
      <c r="C27" s="18" t="inlineStr">
        <is>
          <t>Refil Everest</t>
        </is>
      </c>
      <c r="D27" s="27" t="n">
        <v>140</v>
      </c>
      <c r="E27" s="18" t="inlineStr">
        <is>
          <t>Dinheiro</t>
        </is>
      </c>
      <c r="F27" s="19" t="n"/>
      <c r="G27" s="19" t="n"/>
      <c r="H27" s="21" t="n"/>
      <c r="I27" s="18" t="n"/>
      <c r="J27" s="18" t="inlineStr">
        <is>
          <t>CLI-0501</t>
        </is>
      </c>
    </row>
    <row r="28">
      <c r="A28" s="44" t="n">
        <v>46239</v>
      </c>
      <c r="B28" s="45" t="inlineStr">
        <is>
          <t>Arena Jacobina Society</t>
        </is>
      </c>
      <c r="C28" s="45" t="inlineStr">
        <is>
          <t>Refil Carbon Tech 9"</t>
        </is>
      </c>
      <c r="D28" s="46" t="n">
        <v>90</v>
      </c>
      <c r="E28" s="45" t="inlineStr">
        <is>
          <t>Pix</t>
        </is>
      </c>
      <c r="F28" s="47" t="n"/>
      <c r="G28" s="48" t="n"/>
      <c r="H28" s="49" t="n"/>
      <c r="I28" s="45" t="n"/>
      <c r="J28" s="45" t="inlineStr">
        <is>
          <t>EMP-0004</t>
        </is>
      </c>
    </row>
    <row r="29" ht="15.75" customHeight="1" s="157">
      <c r="A29" s="17" t="n">
        <v>46239</v>
      </c>
      <c r="B29" s="18" t="inlineStr">
        <is>
          <t>Verdes Mares Tintas</t>
        </is>
      </c>
      <c r="C29" s="18" t="inlineStr">
        <is>
          <t>Botão do Purificador + Limpeza de Refil</t>
        </is>
      </c>
      <c r="D29" s="27" t="n">
        <v>70</v>
      </c>
      <c r="E29" s="18" t="inlineStr">
        <is>
          <t>Dinheiro</t>
        </is>
      </c>
      <c r="F29" s="19" t="n"/>
      <c r="G29" s="19" t="n"/>
      <c r="H29" s="21" t="n"/>
      <c r="I29" s="18" t="n"/>
      <c r="J29" s="18" t="inlineStr">
        <is>
          <t>EMP-0303</t>
        </is>
      </c>
    </row>
    <row r="30">
      <c r="A30" s="44" t="n">
        <v>46239</v>
      </c>
      <c r="B30" s="45" t="inlineStr">
        <is>
          <t>Filtros Planeta Água</t>
        </is>
      </c>
      <c r="C30" s="45" t="n"/>
      <c r="D30" s="46" t="n"/>
      <c r="E30" s="45" t="n"/>
      <c r="F30" s="47" t="n"/>
      <c r="G30" s="48" t="n">
        <v>1674.12</v>
      </c>
      <c r="H30" s="49" t="inlineStr">
        <is>
          <t>Fornecedores / Mercadoria</t>
        </is>
      </c>
      <c r="I30" s="45" t="inlineStr">
        <is>
          <t>Financiado por Capital de Giro (BB) — ver aba "Capital de Giro (BB)" · Compra total R$ 5.831,67 (IPI R$ 288,26): 5x Refil Fp4 + 8x Refil Carbon Tech 5 Pol + 120x Refil E3 + 90x Refil Pre-E3 + 10x Refil Top Multifilter + 4x Refil Fpa16</t>
        </is>
      </c>
    </row>
    <row r="31">
      <c r="A31" s="17" t="n">
        <v>46239</v>
      </c>
      <c r="B31" s="18" t="inlineStr">
        <is>
          <t>Eversoft</t>
        </is>
      </c>
      <c r="C31" s="18" t="n"/>
      <c r="D31" s="27" t="n"/>
      <c r="E31" s="18" t="n"/>
      <c r="F31" s="19" t="n"/>
      <c r="G31" s="19" t="n">
        <v>980.83</v>
      </c>
      <c r="H31" s="21" t="inlineStr">
        <is>
          <t>Fornecedores / Mercadoria</t>
        </is>
      </c>
      <c r="I31" s="18" t="inlineStr">
        <is>
          <t>Financiado por Capital de Giro (BB) — ver aba "Capital de Giro (BB)" · Compra total R$ 4.904,13: 100x Refil Everest + 50x Pré Filtro</t>
        </is>
      </c>
    </row>
    <row r="32">
      <c r="A32" s="44" t="n">
        <v>46239</v>
      </c>
      <c r="B32" s="45" t="inlineStr">
        <is>
          <t>Tarifa Pix</t>
        </is>
      </c>
      <c r="C32" s="45" t="n"/>
      <c r="D32" s="46" t="n"/>
      <c r="E32" s="45" t="n"/>
      <c r="F32" s="47" t="n"/>
      <c r="G32" s="48" t="n">
        <v>6.99</v>
      </c>
      <c r="H32" s="49" t="inlineStr">
        <is>
          <t>Tarifas Bancárias e Cartão</t>
        </is>
      </c>
      <c r="I32" s="45" t="n"/>
    </row>
    <row r="33">
      <c r="A33" s="17" t="n">
        <v>46239</v>
      </c>
      <c r="B33" s="18" t="inlineStr">
        <is>
          <t>Tarifa Pacote de Tarifas</t>
        </is>
      </c>
      <c r="C33" s="18" t="n"/>
      <c r="D33" s="27" t="n"/>
      <c r="E33" s="18" t="n"/>
      <c r="F33" s="19" t="n"/>
      <c r="G33" s="19" t="n">
        <v>52.5</v>
      </c>
      <c r="H33" s="21" t="inlineStr">
        <is>
          <t>Tarifas Bancárias e Cartão</t>
        </is>
      </c>
      <c r="I33" s="18" t="n"/>
    </row>
    <row r="34">
      <c r="A34" s="44" t="n">
        <v>46239</v>
      </c>
      <c r="B34" s="45" t="inlineStr">
        <is>
          <t>Correios</t>
        </is>
      </c>
      <c r="C34" s="45" t="n"/>
      <c r="D34" s="46" t="n"/>
      <c r="E34" s="45" t="n"/>
      <c r="F34" s="47" t="n"/>
      <c r="G34" s="48" t="n">
        <v>52</v>
      </c>
      <c r="H34" s="49" t="inlineStr">
        <is>
          <t>Transporte e Entregas</t>
        </is>
      </c>
      <c r="I34" s="45" t="n"/>
    </row>
    <row r="35">
      <c r="A35" s="17" t="n">
        <v>46240</v>
      </c>
      <c r="B35" s="18" t="inlineStr">
        <is>
          <t>Silvania Mota</t>
        </is>
      </c>
      <c r="C35" s="18" t="inlineStr">
        <is>
          <t>Refil Pro Life</t>
        </is>
      </c>
      <c r="D35" s="27" t="n">
        <v>140</v>
      </c>
      <c r="E35" s="18" t="inlineStr">
        <is>
          <t>Pix</t>
        </is>
      </c>
      <c r="F35" s="19" t="n"/>
      <c r="G35" s="19" t="n"/>
      <c r="H35" s="21" t="n"/>
      <c r="I35" s="18" t="n"/>
      <c r="J35" s="18" t="inlineStr">
        <is>
          <t>CLI-0259</t>
        </is>
      </c>
    </row>
    <row r="36">
      <c r="A36" s="44" t="n">
        <v>46240</v>
      </c>
      <c r="B36" s="45" t="inlineStr">
        <is>
          <t>Ariosvaldo Mendes</t>
        </is>
      </c>
      <c r="C36" s="45" t="inlineStr">
        <is>
          <t>Reinstalação de Purificador + Registro + Refil Everest</t>
        </is>
      </c>
      <c r="D36" s="46" t="n">
        <v>200</v>
      </c>
      <c r="E36" s="45" t="inlineStr">
        <is>
          <t>Pix</t>
        </is>
      </c>
      <c r="F36" s="47" t="n"/>
      <c r="G36" s="48" t="n"/>
      <c r="H36" s="49" t="n"/>
      <c r="I36" s="45" t="n"/>
    </row>
    <row r="37">
      <c r="A37" s="17" t="n">
        <v>46240</v>
      </c>
      <c r="B37" s="18" t="inlineStr">
        <is>
          <t>Correios</t>
        </is>
      </c>
      <c r="C37" s="18" t="n"/>
      <c r="D37" s="27" t="n"/>
      <c r="E37" s="18" t="n"/>
      <c r="F37" s="19" t="n"/>
      <c r="G37" s="19" t="n">
        <v>167.8</v>
      </c>
      <c r="H37" s="21" t="inlineStr">
        <is>
          <t>Transporte e Entregas</t>
        </is>
      </c>
      <c r="I37" s="18" t="n"/>
    </row>
    <row r="38">
      <c r="A38" s="44" t="n">
        <v>46240</v>
      </c>
      <c r="B38" s="45" t="inlineStr">
        <is>
          <t>Comissão Wiliam</t>
        </is>
      </c>
      <c r="C38" s="45" t="n"/>
      <c r="D38" s="46" t="n"/>
      <c r="E38" s="45" t="n"/>
      <c r="F38" s="47" t="n"/>
      <c r="G38" s="48" t="n">
        <v>150</v>
      </c>
      <c r="H38" s="49" t="inlineStr">
        <is>
          <t>Salários, Comissões e Encargos</t>
        </is>
      </c>
      <c r="I38" s="45" t="n"/>
    </row>
    <row r="39" ht="15.75" customHeight="1" s="157">
      <c r="A39" s="17" t="n">
        <v>46241</v>
      </c>
      <c r="B39" s="18" t="inlineStr">
        <is>
          <t>Cliente Consumidor Final</t>
        </is>
      </c>
      <c r="C39" s="18" t="inlineStr">
        <is>
          <t>Refil Everest</t>
        </is>
      </c>
      <c r="D39" s="27" t="n">
        <v>130</v>
      </c>
      <c r="E39" s="18" t="inlineStr">
        <is>
          <t>Crédito Parcelado</t>
        </is>
      </c>
      <c r="F39" s="19" t="n">
        <v>9.08</v>
      </c>
      <c r="G39" s="19" t="n"/>
      <c r="H39" s="21" t="n"/>
      <c r="I39" s="18" t="n"/>
    </row>
    <row r="40">
      <c r="A40" s="44" t="n">
        <v>46241</v>
      </c>
      <c r="B40" s="45" t="inlineStr">
        <is>
          <t>Comissão Wiliam</t>
        </is>
      </c>
      <c r="C40" s="45" t="n"/>
      <c r="D40" s="46" t="n"/>
      <c r="E40" s="45" t="n"/>
      <c r="F40" s="47" t="n"/>
      <c r="G40" s="48" t="n">
        <v>210</v>
      </c>
      <c r="H40" s="49" t="inlineStr">
        <is>
          <t>Salários, Comissões e Encargos</t>
        </is>
      </c>
      <c r="I40" s="45" t="n"/>
    </row>
    <row r="41">
      <c r="A41" s="17" t="n">
        <v>46244</v>
      </c>
      <c r="B41" s="18" t="inlineStr">
        <is>
          <t>Andrea Lopes dos Santos</t>
        </is>
      </c>
      <c r="C41" s="18" t="inlineStr">
        <is>
          <t>Refil Pro Life + Mangueira + Registro</t>
        </is>
      </c>
      <c r="D41" s="27" t="n">
        <v>180</v>
      </c>
      <c r="E41" s="18" t="inlineStr">
        <is>
          <t>Débito</t>
        </is>
      </c>
      <c r="F41" s="19" t="n">
        <v>2.61</v>
      </c>
      <c r="G41" s="19" t="n"/>
      <c r="H41" s="21" t="n"/>
      <c r="I41" s="18" t="n"/>
      <c r="J41" s="18" t="inlineStr">
        <is>
          <t>CLI-0433</t>
        </is>
      </c>
    </row>
    <row r="42" ht="15.75" customHeight="1" s="157">
      <c r="A42" s="44" t="n">
        <v>46251</v>
      </c>
      <c r="B42" s="45" t="inlineStr">
        <is>
          <t>Marsilia Marmores e Granitos Erelli</t>
        </is>
      </c>
      <c r="C42" s="45" t="inlineStr">
        <is>
          <t>Refil Pro Life</t>
        </is>
      </c>
      <c r="D42" s="46" t="n">
        <v>140</v>
      </c>
      <c r="E42" s="45" t="inlineStr">
        <is>
          <t>Pix</t>
        </is>
      </c>
      <c r="F42" s="47" t="n"/>
      <c r="G42" s="48" t="n"/>
      <c r="H42" s="49" t="n"/>
      <c r="I42" s="45" t="inlineStr">
        <is>
          <t>Venda de 10/08/2026 — pagamento recebido em 17/08/2026</t>
        </is>
      </c>
      <c r="J42" s="45" t="inlineStr">
        <is>
          <t>EMP-0216</t>
        </is>
      </c>
    </row>
    <row r="43">
      <c r="A43" s="17" t="n">
        <v>46254</v>
      </c>
      <c r="B43" s="18" t="inlineStr">
        <is>
          <t>Clinica da Mulher - MR Valois Serviços</t>
        </is>
      </c>
      <c r="C43" s="18" t="inlineStr">
        <is>
          <t>3x Refil Everest</t>
        </is>
      </c>
      <c r="D43" s="27" t="n">
        <v>420</v>
      </c>
      <c r="E43" s="18" t="inlineStr">
        <is>
          <t>Pix</t>
        </is>
      </c>
      <c r="F43" s="19" t="n"/>
      <c r="G43" s="19" t="n"/>
      <c r="H43" s="21" t="n"/>
      <c r="I43" s="18" t="inlineStr">
        <is>
          <t>Venda de 10/08/2026 — pagamento recebido em 20/08/2026</t>
        </is>
      </c>
      <c r="J43" s="18" t="inlineStr">
        <is>
          <t>EMP-0073</t>
        </is>
      </c>
    </row>
    <row r="44">
      <c r="A44" s="44" t="n">
        <v>46244</v>
      </c>
      <c r="B44" s="45" t="inlineStr">
        <is>
          <t>Acerto de Armando</t>
        </is>
      </c>
      <c r="C44" s="45" t="n"/>
      <c r="D44" s="46" t="n">
        <v>900</v>
      </c>
      <c r="E44" s="45" t="inlineStr">
        <is>
          <t>Dinheiro</t>
        </is>
      </c>
      <c r="F44" s="47" t="n"/>
      <c r="G44" s="48" t="n"/>
      <c r="H44" s="49" t="n"/>
      <c r="I44" s="45" t="n"/>
    </row>
    <row r="45">
      <c r="A45" s="17" t="n">
        <v>46244</v>
      </c>
      <c r="B45" s="18" t="inlineStr">
        <is>
          <t>Cliente Consumidor Final</t>
        </is>
      </c>
      <c r="C45" s="18" t="inlineStr">
        <is>
          <t>Refil C+3</t>
        </is>
      </c>
      <c r="D45" s="27" t="n">
        <v>115</v>
      </c>
      <c r="E45" s="18" t="inlineStr">
        <is>
          <t>Débito</t>
        </is>
      </c>
      <c r="F45" s="19" t="n">
        <v>1.67</v>
      </c>
      <c r="G45" s="19" t="n"/>
      <c r="H45" s="21" t="n"/>
      <c r="I45" s="18" t="n"/>
    </row>
    <row r="46">
      <c r="A46" s="44" t="n">
        <v>46244</v>
      </c>
      <c r="B46" s="45" t="inlineStr">
        <is>
          <t>Audioclin Clinca Médica LTDA - Tarcisio Nascimento</t>
        </is>
      </c>
      <c r="C46" s="45" t="inlineStr">
        <is>
          <t>2x Refil Everest + Refil Pro Life</t>
        </is>
      </c>
      <c r="D46" s="46" t="n">
        <v>399</v>
      </c>
      <c r="E46" s="45" t="inlineStr">
        <is>
          <t>Pix</t>
        </is>
      </c>
      <c r="F46" s="47" t="n"/>
      <c r="G46" s="48" t="n"/>
      <c r="H46" s="49" t="n"/>
      <c r="I46" s="45" t="inlineStr">
        <is>
          <t>Pago via Pix em 11/08/2026 (venda de 10/08)</t>
        </is>
      </c>
      <c r="J46" s="45" t="inlineStr">
        <is>
          <t>EMP-0138</t>
        </is>
      </c>
    </row>
    <row r="47">
      <c r="A47" s="17" t="n">
        <v>46244</v>
      </c>
      <c r="B47" s="18" t="inlineStr">
        <is>
          <t>Everest Refrigeração</t>
        </is>
      </c>
      <c r="C47" s="18" t="n"/>
      <c r="D47" s="27" t="n"/>
      <c r="E47" s="18" t="n"/>
      <c r="F47" s="19" t="n"/>
      <c r="G47" s="19" t="n">
        <v>725.5</v>
      </c>
      <c r="H47" s="21" t="inlineStr">
        <is>
          <t>Fornecedores / Mercadoria</t>
        </is>
      </c>
      <c r="I47" s="18" t="inlineStr">
        <is>
          <t>NF 372597 de 11/03/2026 · parcela 5/5 (venc. 08/08/2026) · compra total R$ 3.627,42: 2x Purificador Everest Plus Branco + Purificador Everest Fit Preto + Purificador Everest Slim Preto + Purificador Everest Star Preto</t>
        </is>
      </c>
    </row>
    <row r="48" ht="15.75" customHeight="1" s="157">
      <c r="A48" s="44" t="n">
        <v>46244</v>
      </c>
      <c r="B48" s="45" t="inlineStr">
        <is>
          <t>Eversoft</t>
        </is>
      </c>
      <c r="C48" s="45" t="n"/>
      <c r="D48" s="46" t="n"/>
      <c r="E48" s="45" t="n"/>
      <c r="F48" s="47" t="n"/>
      <c r="G48" s="48" t="n">
        <v>878.92</v>
      </c>
      <c r="H48" s="49" t="inlineStr">
        <is>
          <t>Fornecedores / Mercadoria</t>
        </is>
      </c>
      <c r="I48" s="45" t="inlineStr">
        <is>
          <t>NF 73636 de 10/06/2026 · parcela 2/5 (venc. 09/08/2026) · compra total R$ 4.394,61: 100x Refil Everest</t>
        </is>
      </c>
    </row>
    <row r="49">
      <c r="A49" s="17" t="n">
        <v>46254</v>
      </c>
      <c r="B49" s="18" t="inlineStr">
        <is>
          <t>Clinica da Mulher - MR Valois Serviços</t>
        </is>
      </c>
      <c r="C49" s="18" t="inlineStr">
        <is>
          <t>Refil Plissado + Carcaça 9" 3/4</t>
        </is>
      </c>
      <c r="D49" s="27" t="n">
        <v>180</v>
      </c>
      <c r="E49" s="18" t="inlineStr">
        <is>
          <t>Pix</t>
        </is>
      </c>
      <c r="F49" s="19" t="n"/>
      <c r="G49" s="19" t="n"/>
      <c r="H49" s="21" t="n"/>
      <c r="I49" s="18" t="inlineStr">
        <is>
          <t>Venda de 11/08/2026 — pagamento recebido em 20/08/2026</t>
        </is>
      </c>
      <c r="J49" s="18" t="inlineStr">
        <is>
          <t>EMP-0073</t>
        </is>
      </c>
    </row>
    <row r="50">
      <c r="A50" s="44" t="n">
        <v>46245</v>
      </c>
      <c r="B50" s="45" t="inlineStr">
        <is>
          <t>Maria das Dores e Reje Celia</t>
        </is>
      </c>
      <c r="C50" s="45" t="inlineStr">
        <is>
          <t>2x Refil Everest</t>
        </is>
      </c>
      <c r="D50" s="46" t="n">
        <v>280</v>
      </c>
      <c r="E50" s="45" t="inlineStr">
        <is>
          <t>Crédito Parcelado</t>
        </is>
      </c>
      <c r="F50" s="47" t="n">
        <v>19.57</v>
      </c>
      <c r="G50" s="48" t="n"/>
      <c r="H50" s="49" t="n"/>
      <c r="I50" s="45" t="n"/>
      <c r="J50" s="45" t="inlineStr">
        <is>
          <t>CLI-0222</t>
        </is>
      </c>
    </row>
    <row r="51">
      <c r="A51" s="17" t="n">
        <v>46245</v>
      </c>
      <c r="B51" s="18" t="inlineStr">
        <is>
          <t>Nlx Comercio e Serviços Subway - Alexandre Neder</t>
        </is>
      </c>
      <c r="C51" s="18" t="inlineStr">
        <is>
          <t>Refil Everest</t>
        </is>
      </c>
      <c r="D51" s="27" t="n">
        <v>140</v>
      </c>
      <c r="E51" s="18" t="inlineStr">
        <is>
          <t>Dinheiro</t>
        </is>
      </c>
      <c r="F51" s="19" t="n"/>
      <c r="G51" s="19" t="n"/>
      <c r="H51" s="21" t="n"/>
      <c r="I51" s="18" t="n"/>
      <c r="J51" s="18" t="inlineStr">
        <is>
          <t>EMP-0231</t>
        </is>
      </c>
    </row>
    <row r="52">
      <c r="A52" s="44" t="n">
        <v>46245</v>
      </c>
      <c r="B52" s="45" t="inlineStr">
        <is>
          <t>Bucha Redução 3/4 x 1/2 (2 unidades)</t>
        </is>
      </c>
      <c r="C52" s="45" t="n"/>
      <c r="D52" s="46" t="n"/>
      <c r="E52" s="45" t="n"/>
      <c r="F52" s="47" t="n"/>
      <c r="G52" s="48" t="n">
        <v>3</v>
      </c>
      <c r="H52" s="49" t="inlineStr">
        <is>
          <t>Fornecedores / Mercadoria</t>
        </is>
      </c>
      <c r="I52" s="45" t="n"/>
    </row>
    <row r="53" ht="15.75" customHeight="1" s="157">
      <c r="A53" s="17" t="n">
        <v>46259</v>
      </c>
      <c r="B53" s="18" t="inlineStr">
        <is>
          <t>Tropical Motos LTDA</t>
        </is>
      </c>
      <c r="C53" s="18" t="inlineStr">
        <is>
          <t>3x Refil Everest + Refil Pro Life + 3x Pré Filtro + Válvula Reguladora de Pressão</t>
        </is>
      </c>
      <c r="D53" s="27" t="n">
        <v>820</v>
      </c>
      <c r="E53" s="18" t="inlineStr">
        <is>
          <t>Pix</t>
        </is>
      </c>
      <c r="F53" s="19" t="n"/>
      <c r="G53" s="19" t="n"/>
      <c r="H53" s="21" t="n"/>
      <c r="I53" s="18" t="inlineStr">
        <is>
          <t>Venda de 11/08/2026 — pagamento recebido em 25/08/2026 via TED. NF conferida: 3x Refil Original Everest (R$420) + Refil Pro Life Especial OC (R$140) + 3x Pré Filtro (R$180) + Válvula Reguladora de Pressão Soft (R$80) = R$820, faltava a válvula no lançamento original</t>
        </is>
      </c>
      <c r="J53" s="18" t="inlineStr">
        <is>
          <t>EMP-0296</t>
        </is>
      </c>
    </row>
    <row r="54">
      <c r="A54" s="44" t="n">
        <v>46245</v>
      </c>
      <c r="B54" s="45" t="inlineStr">
        <is>
          <t>Ivanir Carneiro de Oliveira</t>
        </is>
      </c>
      <c r="C54" s="45" t="inlineStr">
        <is>
          <t>Refil Pro Life + Mangueira</t>
        </is>
      </c>
      <c r="D54" s="46" t="n">
        <v>150</v>
      </c>
      <c r="E54" s="45" t="inlineStr">
        <is>
          <t>Crédito Parcelado</t>
        </is>
      </c>
      <c r="F54" s="47" t="n">
        <v>10.48</v>
      </c>
      <c r="G54" s="48" t="n"/>
      <c r="H54" s="49" t="n"/>
      <c r="I54" s="45" t="n"/>
      <c r="J54" s="45" t="inlineStr">
        <is>
          <t>CLI-0454</t>
        </is>
      </c>
    </row>
    <row r="55">
      <c r="A55" s="17" t="n">
        <v>46253</v>
      </c>
      <c r="B55" s="18" t="inlineStr">
        <is>
          <t>Condominio Ilha do Ouro</t>
        </is>
      </c>
      <c r="C55" s="18" t="inlineStr">
        <is>
          <t>Refil Everest</t>
        </is>
      </c>
      <c r="D55" s="27" t="n">
        <v>140</v>
      </c>
      <c r="E55" s="18" t="inlineStr">
        <is>
          <t>Pix</t>
        </is>
      </c>
      <c r="F55" s="19" t="n"/>
      <c r="G55" s="19" t="n"/>
      <c r="H55" s="21" t="n"/>
      <c r="I55" s="18" t="inlineStr">
        <is>
          <t>Venda de 11/08/2026 — pagamento recebido em 19/08/2026</t>
        </is>
      </c>
      <c r="J55" s="18" t="inlineStr">
        <is>
          <t>EMP-0085</t>
        </is>
      </c>
    </row>
    <row r="56">
      <c r="A56" s="44" t="n">
        <v>46245</v>
      </c>
      <c r="B56" s="45" t="inlineStr">
        <is>
          <t>Bucha Redução 3/4 x 1/2 (2 unidades)</t>
        </is>
      </c>
      <c r="C56" s="45" t="n"/>
      <c r="D56" s="46" t="n"/>
      <c r="E56" s="45" t="n"/>
      <c r="F56" s="47" t="n"/>
      <c r="G56" s="48" t="n">
        <v>3</v>
      </c>
      <c r="H56" s="49" t="inlineStr">
        <is>
          <t>Fornecedores / Mercadoria</t>
        </is>
      </c>
      <c r="I56" s="45" t="n"/>
    </row>
    <row r="57">
      <c r="A57" s="17" t="n">
        <v>46245</v>
      </c>
      <c r="B57" s="18" t="inlineStr">
        <is>
          <t>Crédito Celular da Loja</t>
        </is>
      </c>
      <c r="C57" s="18" t="n"/>
      <c r="D57" s="27" t="n"/>
      <c r="E57" s="18" t="n"/>
      <c r="F57" s="19" t="n"/>
      <c r="G57" s="19" t="n">
        <v>25</v>
      </c>
      <c r="H57" s="21" t="inlineStr">
        <is>
          <t>Outras Despesas</t>
        </is>
      </c>
      <c r="I57" s="18" t="n"/>
    </row>
    <row r="58">
      <c r="A58" s="44" t="n">
        <v>46245</v>
      </c>
      <c r="B58" s="45" t="inlineStr">
        <is>
          <t>Crédito Celular de Edilânia</t>
        </is>
      </c>
      <c r="C58" s="45" t="n"/>
      <c r="D58" s="46" t="n"/>
      <c r="E58" s="45" t="n"/>
      <c r="F58" s="47" t="n"/>
      <c r="G58" s="48" t="n">
        <v>25</v>
      </c>
      <c r="H58" s="49" t="inlineStr">
        <is>
          <t>Pro Labore Edilânia</t>
        </is>
      </c>
      <c r="I58" s="45" t="n"/>
    </row>
    <row r="59">
      <c r="A59" s="17" t="n">
        <v>46245</v>
      </c>
      <c r="B59" s="18" t="inlineStr">
        <is>
          <t>Acerto de Armando</t>
        </is>
      </c>
      <c r="C59" s="18" t="n"/>
      <c r="D59" s="27" t="n">
        <v>2000</v>
      </c>
      <c r="E59" s="18" t="inlineStr">
        <is>
          <t>Pix</t>
        </is>
      </c>
      <c r="F59" s="19" t="n"/>
      <c r="G59" s="19" t="n"/>
      <c r="H59" s="21" t="n"/>
      <c r="I59" s="18" t="n"/>
    </row>
    <row r="60">
      <c r="A60" s="44" t="n">
        <v>46245</v>
      </c>
      <c r="B60" s="45" t="inlineStr">
        <is>
          <t>Pro Labore Edilânia</t>
        </is>
      </c>
      <c r="C60" s="45" t="n"/>
      <c r="D60" s="46" t="n"/>
      <c r="E60" s="45" t="n"/>
      <c r="F60" s="47" t="n"/>
      <c r="G60" s="48" t="n">
        <v>1000</v>
      </c>
      <c r="H60" s="49" t="inlineStr">
        <is>
          <t>Pro Labore Edilânia</t>
        </is>
      </c>
      <c r="I60" s="45" t="n"/>
    </row>
    <row r="61">
      <c r="A61" s="17" t="n">
        <v>46245</v>
      </c>
      <c r="B61" s="18" t="inlineStr">
        <is>
          <t>Filtros Planeta Água</t>
        </is>
      </c>
      <c r="C61" s="18" t="n"/>
      <c r="D61" s="27" t="n"/>
      <c r="E61" s="18" t="n"/>
      <c r="F61" s="19" t="n"/>
      <c r="G61" s="19" t="n">
        <v>504.34</v>
      </c>
      <c r="H61" s="21" t="inlineStr">
        <is>
          <t>Fornecedores / Mercadoria</t>
        </is>
      </c>
      <c r="I61" s="18" t="inlineStr">
        <is>
          <t>NF 131442 de 17/06/2026 · parcela 3/4 (venc. 12/08/2026) · compra total R$ 2.122,28 (IPI R$ 104,91): 25x Refil Pro Life + 5x Refil Fit Poe Pp 9.3/4 + 10x Refil Bebedouro B A G + 8x Refil Carbon Tech 5 Pol + 10x Refil Carbon Tech 9.3/4 Pol + 2x Refil Pa 230 Fit + 4x Refil Fpa16</t>
        </is>
      </c>
    </row>
    <row r="62">
      <c r="A62" s="44" t="n">
        <v>46246</v>
      </c>
      <c r="B62" s="45" t="inlineStr">
        <is>
          <t>Angelo Marcio Bispo</t>
        </is>
      </c>
      <c r="C62" s="45" t="inlineStr">
        <is>
          <t>Refil Everest + Pré Filtro</t>
        </is>
      </c>
      <c r="D62" s="46" t="n">
        <v>200</v>
      </c>
      <c r="E62" s="45" t="inlineStr">
        <is>
          <t>Dinheiro</t>
        </is>
      </c>
      <c r="F62" s="47" t="n"/>
      <c r="G62" s="48" t="n"/>
      <c r="H62" s="49" t="n"/>
      <c r="I62" s="45" t="n"/>
      <c r="J62" s="45" t="inlineStr">
        <is>
          <t>CLI-0023</t>
        </is>
      </c>
    </row>
    <row r="63" ht="15.75" customHeight="1" s="157">
      <c r="A63" s="17" t="n">
        <v>46247</v>
      </c>
      <c r="B63" s="18" t="inlineStr">
        <is>
          <t>Cliente Consumidor Final</t>
        </is>
      </c>
      <c r="C63" s="18" t="inlineStr">
        <is>
          <t>Mangueira</t>
        </is>
      </c>
      <c r="D63" s="27" t="n">
        <v>20</v>
      </c>
      <c r="E63" s="18" t="inlineStr">
        <is>
          <t>Dinheiro</t>
        </is>
      </c>
      <c r="F63" s="19" t="n"/>
      <c r="G63" s="19" t="n"/>
      <c r="H63" s="21" t="n"/>
      <c r="I63" s="18" t="n"/>
    </row>
    <row r="64">
      <c r="A64" s="44" t="n">
        <v>46247</v>
      </c>
      <c r="B64" s="45" t="inlineStr">
        <is>
          <t>Acerto de Armando</t>
        </is>
      </c>
      <c r="C64" s="45" t="n"/>
      <c r="D64" s="46" t="n">
        <v>140</v>
      </c>
      <c r="E64" s="45" t="inlineStr">
        <is>
          <t>Crédito à Vista</t>
        </is>
      </c>
      <c r="F64" s="47" t="n">
        <v>4.91</v>
      </c>
      <c r="G64" s="48" t="n"/>
      <c r="H64" s="49" t="n"/>
      <c r="I64" s="45" t="n"/>
    </row>
    <row r="65">
      <c r="A65" s="17" t="n">
        <v>46247</v>
      </c>
      <c r="B65" s="18" t="inlineStr">
        <is>
          <t>Elio Pereira dos Santos</t>
        </is>
      </c>
      <c r="C65" s="18" t="inlineStr">
        <is>
          <t>Refil Everest</t>
        </is>
      </c>
      <c r="D65" s="27" t="n">
        <v>135</v>
      </c>
      <c r="E65" s="18" t="inlineStr">
        <is>
          <t>Pix</t>
        </is>
      </c>
      <c r="F65" s="19" t="n"/>
      <c r="G65" s="19" t="n"/>
      <c r="H65" s="21" t="n"/>
      <c r="I65" s="18" t="n"/>
      <c r="J65" s="18" t="inlineStr">
        <is>
          <t>CLI-0024</t>
        </is>
      </c>
    </row>
    <row r="66">
      <c r="A66" s="44" t="n">
        <v>46254</v>
      </c>
      <c r="B66" s="45" t="inlineStr">
        <is>
          <t>Maria Madalena de Santana Santos</t>
        </is>
      </c>
      <c r="C66" s="45" t="inlineStr">
        <is>
          <t>Refil Everest</t>
        </is>
      </c>
      <c r="D66" s="46" t="n">
        <v>130</v>
      </c>
      <c r="E66" s="45" t="inlineStr">
        <is>
          <t>Dinheiro</t>
        </is>
      </c>
      <c r="F66" s="47" t="n"/>
      <c r="G66" s="48" t="n"/>
      <c r="H66" s="49" t="n"/>
      <c r="I66" s="45" t="inlineStr">
        <is>
          <t>Venda de 13/08/2026 — pagamento recebido em 20/08/2026 (desconto de R$ 10,00)</t>
        </is>
      </c>
      <c r="J66" s="45" t="inlineStr">
        <is>
          <t>CLI-0018</t>
        </is>
      </c>
    </row>
    <row r="67">
      <c r="A67" s="17" t="n">
        <v>46248</v>
      </c>
      <c r="B67" s="18" t="inlineStr">
        <is>
          <t>Marsilia Marmores e Granitos Erelli</t>
        </is>
      </c>
      <c r="C67" s="18" t="inlineStr">
        <is>
          <t>Refil E3</t>
        </is>
      </c>
      <c r="D67" s="27" t="n">
        <v>110</v>
      </c>
      <c r="E67" s="18" t="inlineStr">
        <is>
          <t>Pix</t>
        </is>
      </c>
      <c r="F67" s="19" t="n"/>
      <c r="G67" s="19" t="n"/>
      <c r="H67" s="21" t="n"/>
      <c r="I67" s="18" t="n"/>
      <c r="J67" s="18" t="inlineStr">
        <is>
          <t>EMP-0216</t>
        </is>
      </c>
    </row>
    <row r="68">
      <c r="A68" s="44" t="n">
        <v>46247</v>
      </c>
      <c r="B68" s="45" t="inlineStr">
        <is>
          <t>SESC Administração Regional do Estado da Bahia</t>
        </is>
      </c>
      <c r="C68" s="45" t="inlineStr">
        <is>
          <t>4x Refil Carbon Tech 5"</t>
        </is>
      </c>
      <c r="D68" s="46" t="n">
        <v>240</v>
      </c>
      <c r="E68" s="45" t="inlineStr">
        <is>
          <t>Crédito à Vista</t>
        </is>
      </c>
      <c r="F68" s="47" t="n">
        <v>8.42</v>
      </c>
      <c r="G68" s="48" t="n"/>
      <c r="H68" s="49" t="n"/>
      <c r="I68" s="45" t="n"/>
    </row>
    <row r="69">
      <c r="A69" s="17" t="n">
        <v>46247</v>
      </c>
      <c r="B69" s="18" t="inlineStr">
        <is>
          <t>Lilian Patrícia</t>
        </is>
      </c>
      <c r="C69" s="18" t="inlineStr">
        <is>
          <t>2x Refil Everest</t>
        </is>
      </c>
      <c r="D69" s="27" t="n">
        <v>280</v>
      </c>
      <c r="E69" s="18" t="inlineStr">
        <is>
          <t>Crédito Parcelado</t>
        </is>
      </c>
      <c r="F69" s="19" t="n">
        <v>22.37</v>
      </c>
      <c r="G69" s="19" t="n"/>
      <c r="H69" s="21" t="n"/>
      <c r="I69" s="18" t="n"/>
    </row>
    <row r="70">
      <c r="A70" s="44" t="n">
        <v>46247</v>
      </c>
      <c r="B70" s="45" t="inlineStr">
        <is>
          <t>Natalice da Silva Masquarenhas</t>
        </is>
      </c>
      <c r="C70" s="45" t="inlineStr">
        <is>
          <t>Refil Everest + Mangueira</t>
        </is>
      </c>
      <c r="D70" s="46" t="n">
        <v>150</v>
      </c>
      <c r="E70" s="45" t="inlineStr">
        <is>
          <t>Crédito Parcelado</t>
        </is>
      </c>
      <c r="F70" s="47" t="n">
        <v>10.48</v>
      </c>
      <c r="G70" s="48" t="n"/>
      <c r="H70" s="49" t="n"/>
      <c r="I70" s="45" t="n"/>
      <c r="J70" s="45" t="inlineStr">
        <is>
          <t>CLI-0051</t>
        </is>
      </c>
    </row>
    <row r="71">
      <c r="A71" s="17" t="n">
        <v>46247</v>
      </c>
      <c r="B71" s="18" t="inlineStr">
        <is>
          <t>Joelma Almeida</t>
        </is>
      </c>
      <c r="C71" s="18" t="inlineStr">
        <is>
          <t>Refil Everest + Pré Filtro</t>
        </is>
      </c>
      <c r="D71" s="27" t="n">
        <v>200</v>
      </c>
      <c r="E71" s="18" t="inlineStr">
        <is>
          <t>Crédito Parcelado</t>
        </is>
      </c>
      <c r="F71" s="19" t="n">
        <v>13.98</v>
      </c>
      <c r="G71" s="19" t="n"/>
      <c r="H71" s="21" t="n"/>
      <c r="I71" s="18" t="n"/>
      <c r="J71" s="18" t="inlineStr">
        <is>
          <t>CLI-0450</t>
        </is>
      </c>
    </row>
    <row r="72">
      <c r="A72" s="44" t="n">
        <v>46253</v>
      </c>
      <c r="B72" s="45" t="inlineStr">
        <is>
          <t>Ten Internet</t>
        </is>
      </c>
      <c r="C72" s="45" t="inlineStr">
        <is>
          <t>Refil Carbon Tech 5" + Refil Plissado</t>
        </is>
      </c>
      <c r="D72" s="46" t="n">
        <v>160</v>
      </c>
      <c r="E72" s="45" t="inlineStr">
        <is>
          <t>Pix</t>
        </is>
      </c>
      <c r="F72" s="47" t="n"/>
      <c r="G72" s="48" t="n"/>
      <c r="H72" s="49" t="n"/>
      <c r="I72" s="45" t="inlineStr">
        <is>
          <t>Venda de 14/08/2026 — pagamento recebido em 19/08/2026</t>
        </is>
      </c>
    </row>
    <row r="73" ht="15.75" customHeight="1" s="157">
      <c r="A73" s="17" t="n">
        <v>46248</v>
      </c>
      <c r="B73" s="18" t="inlineStr">
        <is>
          <t>Ivanilton</t>
        </is>
      </c>
      <c r="C73" s="18" t="inlineStr">
        <is>
          <t>Refil Everest + Engate + Serviço</t>
        </is>
      </c>
      <c r="D73" s="27" t="n">
        <v>240</v>
      </c>
      <c r="E73" s="18" t="inlineStr">
        <is>
          <t>Débito</t>
        </is>
      </c>
      <c r="F73" s="19" t="n">
        <v>6.34</v>
      </c>
      <c r="G73" s="19" t="n"/>
      <c r="H73" s="21" t="n"/>
      <c r="I73" s="18" t="n"/>
      <c r="J73" s="18" t="inlineStr">
        <is>
          <t>CLI-0401</t>
        </is>
      </c>
    </row>
    <row r="74">
      <c r="A74" s="44" t="n">
        <v>46248</v>
      </c>
      <c r="B74" s="45" t="inlineStr">
        <is>
          <t>Ivanilton</t>
        </is>
      </c>
      <c r="C74" s="45" t="inlineStr">
        <is>
          <t>Mangueira</t>
        </is>
      </c>
      <c r="D74" s="46" t="n">
        <v>10</v>
      </c>
      <c r="E74" s="45" t="inlineStr">
        <is>
          <t>Débito</t>
        </is>
      </c>
      <c r="F74" s="47" t="n"/>
      <c r="G74" s="48" t="n"/>
      <c r="H74" s="49" t="n"/>
      <c r="I74" s="45" t="n"/>
      <c r="J74" s="45" t="inlineStr">
        <is>
          <t>CLI-0401</t>
        </is>
      </c>
    </row>
    <row r="75">
      <c r="A75" s="17" t="n">
        <v>46249</v>
      </c>
      <c r="B75" s="18" t="inlineStr">
        <is>
          <t>Maria Conceição Dias Da Silva</t>
        </is>
      </c>
      <c r="C75" s="18" t="inlineStr">
        <is>
          <t>Termostato</t>
        </is>
      </c>
      <c r="D75" s="27" t="n">
        <v>160</v>
      </c>
      <c r="E75" s="18" t="inlineStr">
        <is>
          <t>Pix</t>
        </is>
      </c>
      <c r="F75" s="19" t="n"/>
      <c r="G75" s="19" t="n"/>
      <c r="H75" s="21" t="n"/>
      <c r="I75" s="18" t="n"/>
      <c r="J75" s="18" t="inlineStr">
        <is>
          <t>CLI-0731</t>
        </is>
      </c>
    </row>
    <row r="76">
      <c r="A76" s="44" t="n">
        <v>46251</v>
      </c>
      <c r="B76" s="45" t="inlineStr">
        <is>
          <t>Acerto de Armando</t>
        </is>
      </c>
      <c r="C76" s="45" t="n"/>
      <c r="D76" s="46" t="n">
        <v>1200</v>
      </c>
      <c r="E76" s="45" t="inlineStr">
        <is>
          <t>Dinheiro</t>
        </is>
      </c>
      <c r="F76" s="47" t="n"/>
      <c r="G76" s="48" t="n"/>
      <c r="H76" s="49" t="n"/>
      <c r="I76" s="45" t="n"/>
    </row>
    <row r="77">
      <c r="A77" s="17" t="n">
        <v>46251</v>
      </c>
      <c r="B77" s="18" t="inlineStr">
        <is>
          <t>Fracione Transportes</t>
        </is>
      </c>
      <c r="C77" s="18" t="n"/>
      <c r="D77" s="27" t="n"/>
      <c r="E77" s="18" t="n"/>
      <c r="F77" s="19" t="n"/>
      <c r="G77" s="19" t="n">
        <v>400.01</v>
      </c>
      <c r="H77" s="21" t="inlineStr">
        <is>
          <t>Transporte e Entregas</t>
        </is>
      </c>
      <c r="I77" s="18" t="n"/>
    </row>
    <row r="78">
      <c r="A78" s="44" t="n">
        <v>46251</v>
      </c>
      <c r="B78" s="45" t="inlineStr">
        <is>
          <t>Everest Refrigeração</t>
        </is>
      </c>
      <c r="C78" s="45" t="n"/>
      <c r="D78" s="46" t="n"/>
      <c r="E78" s="45" t="n"/>
      <c r="F78" s="47" t="n"/>
      <c r="G78" s="48" t="n">
        <v>139.31</v>
      </c>
      <c r="H78" s="49" t="inlineStr">
        <is>
          <t>Fornecedores / Mercadoria</t>
        </is>
      </c>
      <c r="I78" s="45" t="inlineStr">
        <is>
          <t>NF 377737 de 19/05/2026 · parcela 3/5 (venc. 17/08/2026) · compra total R$ 725,16 (IPI R$ 28,60): 12x Conexão T + 30x Registro + 20x Botao Completo Purificador (N) + 30x Suporte</t>
        </is>
      </c>
    </row>
    <row r="79" ht="15.75" customHeight="1" s="157">
      <c r="A79" s="17" t="n">
        <v>46251</v>
      </c>
      <c r="B79" s="18" t="inlineStr">
        <is>
          <t>Everest Refrigeração</t>
        </is>
      </c>
      <c r="C79" s="18" t="n"/>
      <c r="D79" s="27" t="n"/>
      <c r="E79" s="18" t="n"/>
      <c r="F79" s="19" t="n"/>
      <c r="G79" s="19" t="n">
        <v>865.5</v>
      </c>
      <c r="H79" s="21" t="inlineStr">
        <is>
          <t>Fornecedores / Mercadoria</t>
        </is>
      </c>
      <c r="I79" s="18" t="inlineStr">
        <is>
          <t>NF 377738 de 19/05/2026 · parcela 3/5 (venc. 17/08/2026) · compra total R$ 4.327,52: Purificador Everest Plus Branco + Purificador Everest Plus Prata + Purificador Everest Slim Branco + 2x Purificador Everest Fit Prata + Purificador Everest Fit Preto</t>
        </is>
      </c>
    </row>
    <row r="80">
      <c r="A80" s="44" t="n">
        <v>46251</v>
      </c>
      <c r="B80" s="45" t="inlineStr">
        <is>
          <t>Everest Refrigeração</t>
        </is>
      </c>
      <c r="C80" s="45" t="n"/>
      <c r="D80" s="46" t="n"/>
      <c r="E80" s="45" t="n"/>
      <c r="F80" s="47" t="n"/>
      <c r="G80" s="48" t="n">
        <v>856.35</v>
      </c>
      <c r="H80" s="49" t="inlineStr">
        <is>
          <t>Fornecedores / Mercadoria</t>
        </is>
      </c>
      <c r="I80" s="45" t="inlineStr">
        <is>
          <t>NF 377739 de 19/05/2026 · parcela 3/5 (venc. 17/08/2026) · compra total R$ 4.281,74: Purificador Everest Slim Branco + Purificador Everest Slim Preto + Purificador Everest Plus Branco + Purificador Everest Star Branco + Purificador Everest Fit Branco + Purificador Everest Plus Prata</t>
        </is>
      </c>
    </row>
    <row r="81">
      <c r="A81" s="17" t="n">
        <v>46251</v>
      </c>
      <c r="B81" s="18" t="inlineStr">
        <is>
          <t>Eversoft</t>
        </is>
      </c>
      <c r="C81" s="18" t="n"/>
      <c r="D81" s="27" t="n"/>
      <c r="E81" s="18" t="n"/>
      <c r="F81" s="19" t="n"/>
      <c r="G81" s="19" t="n">
        <v>980.83</v>
      </c>
      <c r="H81" s="21" t="inlineStr">
        <is>
          <t>Fornecedores / Mercadoria</t>
        </is>
      </c>
      <c r="I81" s="18" t="inlineStr">
        <is>
          <t>NF 74454 de 17/07/2026 · parcela 1/5 (venc. 16/08/2026) · compra total R$ 4.904,13: 100x Refil Everest + 50x Pré Filtro</t>
        </is>
      </c>
    </row>
    <row r="82">
      <c r="A82" s="44" t="n">
        <v>46251</v>
      </c>
      <c r="B82" s="45" t="inlineStr">
        <is>
          <t>Everest Refrigeração</t>
        </is>
      </c>
      <c r="C82" s="45" t="n"/>
      <c r="D82" s="46" t="n"/>
      <c r="E82" s="45" t="n"/>
      <c r="F82" s="47" t="n"/>
      <c r="G82" s="48" t="n">
        <v>892.3</v>
      </c>
      <c r="H82" s="49" t="inlineStr">
        <is>
          <t>Fornecedores / Mercadoria</t>
        </is>
      </c>
      <c r="I82" s="45" t="inlineStr">
        <is>
          <t>NF 381554 de 17/07/2026 · parcela 1/5 (venc. 16/08/2026) · compra total R$ 4.461,49: Purificador Everest Fit Branco + Purificador Everest Fit Preto + 2x Purificador Everest Star Branco + Purificador Everest Star Preto + Purificador Everest Plus Prata</t>
        </is>
      </c>
    </row>
    <row r="83">
      <c r="A83" s="17" t="n">
        <v>46251</v>
      </c>
      <c r="B83" s="18" t="inlineStr">
        <is>
          <t>Tarcisio Oliveira Lima</t>
        </is>
      </c>
      <c r="C83" s="18" t="n"/>
      <c r="D83" s="27" t="n"/>
      <c r="E83" s="18" t="n"/>
      <c r="F83" s="19" t="n"/>
      <c r="G83" s="19" t="n">
        <v>486.32</v>
      </c>
      <c r="H83" s="21" t="inlineStr">
        <is>
          <t>Contabilidade</t>
        </is>
      </c>
      <c r="I83" s="18" t="n"/>
    </row>
    <row r="84">
      <c r="A84" s="44" t="n">
        <v>46253</v>
      </c>
      <c r="B84" s="45" t="inlineStr">
        <is>
          <t>Abrigo São Vicente Miguel Calmon</t>
        </is>
      </c>
      <c r="C84" s="45" t="inlineStr">
        <is>
          <t>Refil Everest</t>
        </is>
      </c>
      <c r="D84" s="46" t="n">
        <v>150</v>
      </c>
      <c r="E84" s="45" t="inlineStr">
        <is>
          <t>Dinheiro</t>
        </is>
      </c>
      <c r="F84" s="47" t="n"/>
      <c r="G84" s="48" t="n"/>
      <c r="H84" s="49" t="n"/>
      <c r="I84" s="45" t="inlineStr">
        <is>
          <t>Venda de 18/08/2026 — pagamento recebido em 19/08/2026</t>
        </is>
      </c>
    </row>
    <row r="85">
      <c r="A85" s="17" t="n">
        <v>46252</v>
      </c>
      <c r="B85" s="18" t="inlineStr">
        <is>
          <t>Caroline Rios</t>
        </is>
      </c>
      <c r="C85" s="18" t="inlineStr">
        <is>
          <t>Refil Everest</t>
        </is>
      </c>
      <c r="D85" s="27" t="n">
        <v>150</v>
      </c>
      <c r="E85" s="18" t="inlineStr">
        <is>
          <t>Crédito Parcelado</t>
        </is>
      </c>
      <c r="F85" s="19" t="n">
        <v>10.48</v>
      </c>
      <c r="G85" s="19" t="n"/>
      <c r="H85" s="21" t="n"/>
      <c r="I85" s="18" t="n"/>
      <c r="J85" s="18" t="inlineStr">
        <is>
          <t>OUT-0054</t>
        </is>
      </c>
    </row>
    <row r="86">
      <c r="A86" s="44" t="n">
        <v>46252</v>
      </c>
      <c r="B86" s="45" t="inlineStr">
        <is>
          <t>Marinez Bráulio</t>
        </is>
      </c>
      <c r="C86" s="45" t="inlineStr">
        <is>
          <t>Refil Everest</t>
        </is>
      </c>
      <c r="D86" s="46" t="n">
        <v>150</v>
      </c>
      <c r="E86" s="45" t="inlineStr">
        <is>
          <t>Dinheiro</t>
        </is>
      </c>
      <c r="F86" s="47" t="n"/>
      <c r="G86" s="48" t="n"/>
      <c r="H86" s="49" t="n"/>
      <c r="I86" s="45" t="n"/>
      <c r="J86" s="45" t="inlineStr">
        <is>
          <t>OUT-0078</t>
        </is>
      </c>
    </row>
    <row r="87">
      <c r="A87" s="17" t="n">
        <v>46252</v>
      </c>
      <c r="B87" s="18" t="inlineStr">
        <is>
          <t>Orlanete Souza</t>
        </is>
      </c>
      <c r="C87" s="18" t="inlineStr">
        <is>
          <t>Refil Everest</t>
        </is>
      </c>
      <c r="D87" s="27" t="n">
        <v>150</v>
      </c>
      <c r="E87" s="18" t="inlineStr">
        <is>
          <t>Crédito à Vista</t>
        </is>
      </c>
      <c r="F87" s="19" t="n">
        <v>5.27</v>
      </c>
      <c r="G87" s="19" t="n"/>
      <c r="H87" s="21" t="n"/>
      <c r="I87" s="18" t="n"/>
      <c r="J87" s="18" t="inlineStr">
        <is>
          <t>OUT-0016</t>
        </is>
      </c>
    </row>
    <row r="88">
      <c r="A88" s="44" t="n">
        <v>46252</v>
      </c>
      <c r="B88" s="45" t="inlineStr">
        <is>
          <t>Vitor Gabriel</t>
        </is>
      </c>
      <c r="C88" s="45" t="inlineStr">
        <is>
          <t>Refil Everest</t>
        </is>
      </c>
      <c r="D88" s="46" t="n">
        <v>120</v>
      </c>
      <c r="E88" s="45" t="inlineStr">
        <is>
          <t>Dinheiro</t>
        </is>
      </c>
      <c r="F88" s="47" t="n"/>
      <c r="G88" s="48" t="n"/>
      <c r="H88" s="49" t="n"/>
      <c r="I88" s="45" t="n"/>
    </row>
    <row r="89">
      <c r="A89" s="17" t="n">
        <v>46252</v>
      </c>
      <c r="B89" s="18" t="inlineStr">
        <is>
          <t>Maria Madalena Nunes de Oliveira - Marijane</t>
        </is>
      </c>
      <c r="C89" s="18" t="inlineStr">
        <is>
          <t>Refil Pro Life + Pré Filtro</t>
        </is>
      </c>
      <c r="D89" s="27" t="n">
        <v>200</v>
      </c>
      <c r="E89" s="18" t="inlineStr">
        <is>
          <t>Crédito Parcelado</t>
        </is>
      </c>
      <c r="F89" s="19" t="n">
        <v>13.98</v>
      </c>
      <c r="G89" s="19" t="n"/>
      <c r="H89" s="21" t="n"/>
      <c r="I89" s="18" t="inlineStr">
        <is>
          <t>Crédito em 3x.</t>
        </is>
      </c>
      <c r="J89" s="18" t="inlineStr">
        <is>
          <t>CLI-0362</t>
        </is>
      </c>
    </row>
    <row r="90">
      <c r="A90" s="44" t="n">
        <v>46254</v>
      </c>
      <c r="B90" s="45" t="inlineStr">
        <is>
          <t>Edivaldo Jonas de Oliveira</t>
        </is>
      </c>
      <c r="C90" s="45" t="inlineStr">
        <is>
          <t>Refil Pro Life</t>
        </is>
      </c>
      <c r="D90" s="46" t="n">
        <v>140</v>
      </c>
      <c r="E90" s="45" t="inlineStr">
        <is>
          <t>Crédito Parcelado</t>
        </is>
      </c>
      <c r="F90" s="47" t="n">
        <v>9.970000000000001</v>
      </c>
      <c r="G90" s="48" t="n"/>
      <c r="H90" s="49" t="n"/>
      <c r="I90" s="45" t="inlineStr">
        <is>
          <t>Venda de 19/08/2026 — pagamento recebido em 20/08/2026 (crédito 3x)</t>
        </is>
      </c>
      <c r="J90" s="45" t="inlineStr">
        <is>
          <t>CLI-0211</t>
        </is>
      </c>
    </row>
    <row r="91">
      <c r="A91" s="17" t="n">
        <v>46253</v>
      </c>
      <c r="B91" s="18" t="inlineStr">
        <is>
          <t>Roup Mania</t>
        </is>
      </c>
      <c r="C91" s="18" t="inlineStr">
        <is>
          <t>2x Refil Everest</t>
        </is>
      </c>
      <c r="D91" s="27" t="n">
        <v>270</v>
      </c>
      <c r="E91" s="18" t="inlineStr">
        <is>
          <t>Pix</t>
        </is>
      </c>
      <c r="F91" s="19" t="n"/>
      <c r="G91" s="19" t="n"/>
      <c r="H91" s="21" t="n"/>
      <c r="I91" s="18" t="n"/>
      <c r="J91" s="18" t="inlineStr">
        <is>
          <t>EMP-0263</t>
        </is>
      </c>
    </row>
    <row r="92">
      <c r="A92" s="44" t="n">
        <v>46253</v>
      </c>
      <c r="B92" s="45" t="inlineStr">
        <is>
          <t>Cliente Consumidor Final</t>
        </is>
      </c>
      <c r="C92" s="45" t="inlineStr">
        <is>
          <t>Mangueira</t>
        </is>
      </c>
      <c r="D92" s="46" t="n">
        <v>10</v>
      </c>
      <c r="E92" s="45" t="inlineStr">
        <is>
          <t>Dinheiro</t>
        </is>
      </c>
      <c r="F92" s="47" t="n"/>
      <c r="G92" s="48" t="n"/>
      <c r="H92" s="49" t="n"/>
      <c r="I92" s="45" t="n"/>
    </row>
    <row r="93">
      <c r="A93" s="17" t="n">
        <v>46253</v>
      </c>
      <c r="B93" s="18" t="inlineStr">
        <is>
          <t>Dona Rute (Limpeza)</t>
        </is>
      </c>
      <c r="C93" s="18" t="n"/>
      <c r="D93" s="27" t="n"/>
      <c r="E93" s="18" t="n"/>
      <c r="F93" s="19" t="n"/>
      <c r="G93" s="19" t="n">
        <v>50</v>
      </c>
      <c r="H93" s="21" t="inlineStr">
        <is>
          <t>Salários, Comissões e Encargos</t>
        </is>
      </c>
      <c r="I93" s="18" t="n"/>
    </row>
    <row r="94">
      <c r="A94" s="44" t="n">
        <v>46253</v>
      </c>
      <c r="B94" s="45" t="inlineStr">
        <is>
          <t>Gasolina</t>
        </is>
      </c>
      <c r="C94" s="45" t="n"/>
      <c r="D94" s="46" t="n"/>
      <c r="E94" s="45" t="n"/>
      <c r="F94" s="47" t="n"/>
      <c r="G94" s="48" t="n">
        <v>50</v>
      </c>
      <c r="H94" s="49" t="inlineStr">
        <is>
          <t>Transporte e Entregas</t>
        </is>
      </c>
      <c r="I94" s="45" t="n"/>
    </row>
    <row r="95">
      <c r="A95" s="17" t="n">
        <v>46253</v>
      </c>
      <c r="B95" s="18" t="inlineStr">
        <is>
          <t>Dm Contabilidade Acessoria e Consultoria</t>
        </is>
      </c>
      <c r="C95" s="18" t="inlineStr">
        <is>
          <t>Refil Pro Life</t>
        </is>
      </c>
      <c r="D95" s="27" t="n">
        <v>140</v>
      </c>
      <c r="E95" s="18" t="inlineStr">
        <is>
          <t>Crédito à Vista</t>
        </is>
      </c>
      <c r="F95" s="19" t="n"/>
      <c r="G95" s="19" t="n"/>
      <c r="H95" s="21" t="n"/>
      <c r="I95" s="18" t="n"/>
      <c r="J95" s="18" t="inlineStr">
        <is>
          <t>EMP-0120</t>
        </is>
      </c>
    </row>
    <row r="96">
      <c r="A96" s="44" t="n">
        <v>46253</v>
      </c>
      <c r="B96" s="45" t="inlineStr">
        <is>
          <t>Atacadão Lojão dos Calçados</t>
        </is>
      </c>
      <c r="C96" s="45" t="inlineStr">
        <is>
          <t>Refil Everest</t>
        </is>
      </c>
      <c r="D96" s="46" t="n">
        <v>140</v>
      </c>
      <c r="E96" s="45" t="inlineStr">
        <is>
          <t>Dinheiro</t>
        </is>
      </c>
      <c r="F96" s="47" t="n"/>
      <c r="G96" s="48" t="n"/>
      <c r="H96" s="49" t="n"/>
      <c r="I96" s="45" t="n"/>
      <c r="J96" s="45" t="inlineStr">
        <is>
          <t>EMP-0309</t>
        </is>
      </c>
    </row>
    <row r="97">
      <c r="A97" s="17" t="n">
        <v>46253</v>
      </c>
      <c r="B97" s="18" t="inlineStr">
        <is>
          <t>Filtros Planeta Água</t>
        </is>
      </c>
      <c r="C97" s="18" t="n"/>
      <c r="D97" s="27" t="n"/>
      <c r="E97" s="18" t="n"/>
      <c r="F97" s="19" t="n"/>
      <c r="G97" s="19" t="n">
        <v>1385.85</v>
      </c>
      <c r="H97" s="21" t="inlineStr">
        <is>
          <t>Fornecedores / Mercadoria</t>
        </is>
      </c>
      <c r="I97" s="18" t="inlineStr">
        <is>
          <t>NF 131997 de 08/07/2026 · parcela 2/4 (venc. 19/08/2026) · compra total R$ 5.831,67 (IPI R$ 288,26): 5x Refil Fp4 + 8x Refil Carbon Tech 5 Pol + 120x Refil E3 + 90x Refil Pre-E3 + 10x Refil Top Multifilter + 4x Refil Fpa16</t>
        </is>
      </c>
    </row>
    <row r="98">
      <c r="A98" s="44" t="n">
        <v>46253</v>
      </c>
      <c r="B98" s="45" t="inlineStr">
        <is>
          <t>Lapec</t>
        </is>
      </c>
      <c r="C98" s="45" t="inlineStr">
        <is>
          <t>Refil C+3</t>
        </is>
      </c>
      <c r="D98" s="46" t="n">
        <v>100</v>
      </c>
      <c r="E98" s="45" t="inlineStr">
        <is>
          <t>Dinheiro</t>
        </is>
      </c>
      <c r="F98" s="47" t="n"/>
      <c r="G98" s="48" t="n"/>
      <c r="H98" s="49" t="n"/>
      <c r="I98" s="45" t="n"/>
      <c r="J98" s="45" t="inlineStr">
        <is>
          <t>EMP-0199</t>
        </is>
      </c>
    </row>
    <row r="99">
      <c r="A99" s="17" t="n">
        <v>46253</v>
      </c>
      <c r="B99" s="18" t="inlineStr">
        <is>
          <t>Canetas e Tesoura</t>
        </is>
      </c>
      <c r="C99" s="18" t="n"/>
      <c r="D99" s="27" t="n"/>
      <c r="E99" s="18" t="n"/>
      <c r="F99" s="19" t="n"/>
      <c r="G99" s="19" t="n">
        <v>10</v>
      </c>
      <c r="H99" s="21" t="inlineStr">
        <is>
          <t>Material de Limpeza e Escritório</t>
        </is>
      </c>
      <c r="I99" s="18" t="n"/>
    </row>
    <row r="100" ht="15.75" customHeight="1" s="157">
      <c r="A100" s="44" t="n">
        <v>46254</v>
      </c>
      <c r="B100" s="45" t="inlineStr">
        <is>
          <t>Elvira Rocha Magalhães</t>
        </is>
      </c>
      <c r="C100" s="45" t="inlineStr">
        <is>
          <t>Refil Everest</t>
        </is>
      </c>
      <c r="D100" s="46" t="n">
        <v>140</v>
      </c>
      <c r="E100" s="45" t="inlineStr">
        <is>
          <t>Débito</t>
        </is>
      </c>
      <c r="F100" s="47" t="n">
        <v>2.03</v>
      </c>
      <c r="G100" s="48" t="n"/>
      <c r="H100" s="49" t="n"/>
      <c r="I100" s="45" t="n"/>
      <c r="J100" s="45" t="inlineStr">
        <is>
          <t>CLI-0885</t>
        </is>
      </c>
    </row>
    <row r="101">
      <c r="A101" s="17" t="n">
        <v>46254</v>
      </c>
      <c r="B101" s="18" t="inlineStr">
        <is>
          <t>Pedro Sangalo</t>
        </is>
      </c>
      <c r="C101" s="18" t="inlineStr">
        <is>
          <t>Refil Everest + Mangueira + Revisão/Manutenção</t>
        </is>
      </c>
      <c r="D101" s="27" t="n">
        <v>210</v>
      </c>
      <c r="E101" s="18" t="inlineStr">
        <is>
          <t>Pix</t>
        </is>
      </c>
      <c r="F101" s="19" t="n"/>
      <c r="G101" s="19" t="n"/>
      <c r="H101" s="21" t="n"/>
      <c r="I101" s="18" t="inlineStr">
        <is>
          <t>Recebido via Pix de Arena Daniel 73 LTDA — DOC 71208662 (20/08/2026)</t>
        </is>
      </c>
    </row>
    <row r="102" ht="15.75" customHeight="1" s="157">
      <c r="A102" s="44" t="n">
        <v>46254</v>
      </c>
      <c r="B102" s="45" t="inlineStr">
        <is>
          <t>Endalba</t>
        </is>
      </c>
      <c r="C102" s="45" t="inlineStr">
        <is>
          <t>Refil Pro Life</t>
        </is>
      </c>
      <c r="D102" s="46" t="n">
        <v>135</v>
      </c>
      <c r="E102" s="45" t="inlineStr">
        <is>
          <t>Dinheiro</t>
        </is>
      </c>
      <c r="F102" s="47" t="n"/>
      <c r="G102" s="48" t="n"/>
      <c r="H102" s="49" t="n"/>
      <c r="I102" s="45" t="n"/>
      <c r="J102" s="45" t="inlineStr">
        <is>
          <t>CLI-0219</t>
        </is>
      </c>
    </row>
    <row r="103">
      <c r="A103" s="17" t="n">
        <v>46255</v>
      </c>
      <c r="B103" s="18" t="inlineStr">
        <is>
          <t>Salão de Luciana</t>
        </is>
      </c>
      <c r="C103" s="18" t="inlineStr">
        <is>
          <t>Refil Everest + Refil Carbon 9"</t>
        </is>
      </c>
      <c r="D103" s="27" t="n">
        <v>225</v>
      </c>
      <c r="E103" s="18" t="inlineStr">
        <is>
          <t>Crédito Parcelado</t>
        </is>
      </c>
      <c r="F103" s="19" t="n">
        <v>17.98</v>
      </c>
      <c r="G103" s="19" t="n"/>
      <c r="H103" s="21" t="n"/>
      <c r="I103" s="18" t="n"/>
      <c r="J103" s="18" t="inlineStr">
        <is>
          <t>EMP-0268</t>
        </is>
      </c>
    </row>
    <row r="104" ht="15.75" customHeight="1" s="157">
      <c r="A104" s="44" t="n">
        <v>46254</v>
      </c>
      <c r="B104" s="45" t="inlineStr">
        <is>
          <t>DAS — Documento de Arrecadação do Simples Nacional</t>
        </is>
      </c>
      <c r="C104" s="45" t="n"/>
      <c r="D104" s="46" t="n"/>
      <c r="E104" s="45" t="n"/>
      <c r="F104" s="47" t="n"/>
      <c r="G104" s="48" t="n">
        <v>2330.53</v>
      </c>
      <c r="H104" s="49" t="inlineStr">
        <is>
          <t>Impostos e Taxas</t>
        </is>
      </c>
      <c r="I104" s="45" t="inlineStr">
        <is>
          <t>Financiado por Capital de Giro (BB) — ver aba "Capital de Giro (BB)"</t>
        </is>
      </c>
    </row>
    <row r="105">
      <c r="A105" s="17" t="n">
        <v>46254</v>
      </c>
      <c r="B105" s="18" t="inlineStr">
        <is>
          <t>FGTS</t>
        </is>
      </c>
      <c r="C105" s="18" t="n"/>
      <c r="D105" s="27" t="n"/>
      <c r="E105" s="18" t="n"/>
      <c r="F105" s="19" t="n"/>
      <c r="G105" s="19" t="n">
        <v>136</v>
      </c>
      <c r="H105" s="21" t="inlineStr">
        <is>
          <t>Impostos e Taxas</t>
        </is>
      </c>
      <c r="I105" s="18" t="inlineStr">
        <is>
          <t>Pago via Pix à Caixa Econômica Federal — DOC 70916805 (20/08/2026)</t>
        </is>
      </c>
    </row>
    <row r="106">
      <c r="A106" s="44" t="n">
        <v>46254</v>
      </c>
      <c r="B106" s="45" t="inlineStr">
        <is>
          <t>Pagamento de Tributos — Internet Banking</t>
        </is>
      </c>
      <c r="C106" s="45" t="n"/>
      <c r="D106" s="46" t="n"/>
      <c r="E106" s="45" t="n"/>
      <c r="F106" s="47" t="n"/>
      <c r="G106" s="48" t="n">
        <v>306.99</v>
      </c>
      <c r="H106" s="49" t="inlineStr">
        <is>
          <t>Impostos e Taxas</t>
        </is>
      </c>
      <c r="I106" s="45" t="inlineStr">
        <is>
          <t>Extrato: PGTO TRIBUTOS INTERNBANK — DOC 70953537 (20/08/2026)</t>
        </is>
      </c>
    </row>
    <row r="107">
      <c r="A107" s="17" t="n">
        <v>46255</v>
      </c>
      <c r="B107" s="18" t="inlineStr">
        <is>
          <t>Luana Mesquita Victoria</t>
        </is>
      </c>
      <c r="C107" s="18" t="inlineStr">
        <is>
          <t>Purificador Everest Foz Grafite</t>
        </is>
      </c>
      <c r="D107" s="27" t="n">
        <v>1689</v>
      </c>
      <c r="E107" s="18" t="inlineStr">
        <is>
          <t>Crédito Parcelado</t>
        </is>
      </c>
      <c r="F107" s="19" t="n">
        <v>236.29</v>
      </c>
      <c r="G107" s="19" t="n"/>
      <c r="H107" s="21" t="n"/>
      <c r="I107" s="18" t="n"/>
      <c r="J107" s="18" t="inlineStr">
        <is>
          <t>CLI-0887</t>
        </is>
      </c>
    </row>
    <row r="108">
      <c r="A108" s="44" t="n">
        <v>46255</v>
      </c>
      <c r="B108" s="45" t="inlineStr">
        <is>
          <t>Amélia Pinho</t>
        </is>
      </c>
      <c r="C108" s="45" t="inlineStr">
        <is>
          <t>Refil Pro Life + Pré Filtro</t>
        </is>
      </c>
      <c r="D108" s="46" t="n">
        <v>200</v>
      </c>
      <c r="E108" s="45" t="inlineStr">
        <is>
          <t>Débito</t>
        </is>
      </c>
      <c r="F108" s="47" t="n">
        <v>2.9</v>
      </c>
      <c r="G108" s="48" t="n"/>
      <c r="H108" s="49" t="n"/>
      <c r="I108" s="45" t="n"/>
    </row>
    <row r="109">
      <c r="A109" s="17" t="n">
        <v>46255</v>
      </c>
      <c r="B109" s="18" t="inlineStr">
        <is>
          <t>Colégio Armando Xavier de Oliveira</t>
        </is>
      </c>
      <c r="C109" s="18" t="inlineStr">
        <is>
          <t>Refil Plissado + Refil Carbon 9"</t>
        </is>
      </c>
      <c r="D109" s="27" t="n">
        <v>150</v>
      </c>
      <c r="E109" s="18" t="inlineStr">
        <is>
          <t>Dinheiro</t>
        </is>
      </c>
      <c r="F109" s="19" t="n"/>
      <c r="G109" s="19" t="n"/>
      <c r="H109" s="21" t="n"/>
      <c r="I109" s="18" t="n"/>
    </row>
    <row r="110">
      <c r="A110" s="44" t="n">
        <v>46255</v>
      </c>
      <c r="B110" s="45" t="inlineStr">
        <is>
          <t>Diarista Eva</t>
        </is>
      </c>
      <c r="C110" s="45" t="n"/>
      <c r="D110" s="46" t="n"/>
      <c r="E110" s="45" t="n"/>
      <c r="F110" s="47" t="n"/>
      <c r="G110" s="48" t="n">
        <v>250</v>
      </c>
      <c r="H110" s="49" t="inlineStr">
        <is>
          <t>Pro Labore Edilânia</t>
        </is>
      </c>
      <c r="I110" s="45" t="n"/>
    </row>
    <row r="111">
      <c r="A111" s="17" t="n">
        <v>46255</v>
      </c>
      <c r="B111" s="18" t="inlineStr">
        <is>
          <t>Gasolina</t>
        </is>
      </c>
      <c r="C111" s="18" t="n"/>
      <c r="D111" s="27" t="n"/>
      <c r="E111" s="18" t="n"/>
      <c r="F111" s="19" t="n"/>
      <c r="G111" s="19" t="n">
        <v>20</v>
      </c>
      <c r="H111" s="21" t="inlineStr">
        <is>
          <t>Transporte e Entregas</t>
        </is>
      </c>
      <c r="I111" s="18" t="n"/>
    </row>
    <row r="112">
      <c r="A112" s="44" t="n">
        <v>46255</v>
      </c>
      <c r="B112" s="45" t="inlineStr">
        <is>
          <t>Everest</t>
        </is>
      </c>
      <c r="C112" s="45" t="n"/>
      <c r="D112" s="46" t="n"/>
      <c r="E112" s="45" t="n"/>
      <c r="F112" s="47" t="n"/>
      <c r="G112" s="48" t="n">
        <v>874.6799999999999</v>
      </c>
      <c r="H112" s="49" t="inlineStr">
        <is>
          <t>Fornecedores / Mercadoria</t>
        </is>
      </c>
      <c r="I112" s="45" t="inlineStr">
        <is>
          <t>NF 379826 de 22/06/2026 · parcela 2/5 (venc. 21/08/2026) · compra total R$ 4.373,40: 2x Purificador Everest Slim Prata + 2x Purificador Everest Star Prata + Purificador Everest Star Branco + Purificador Everest Fit Branco</t>
        </is>
      </c>
    </row>
    <row r="113">
      <c r="A113" s="17" t="n">
        <v>46261</v>
      </c>
      <c r="B113" s="18" t="inlineStr">
        <is>
          <t>Hospital e Clinica Santa Barbara</t>
        </is>
      </c>
      <c r="C113" s="18" t="inlineStr">
        <is>
          <t>Purificador Everest Foz Branco</t>
        </is>
      </c>
      <c r="D113" s="27" t="n">
        <v>1489</v>
      </c>
      <c r="E113" s="18" t="inlineStr">
        <is>
          <t>Pix</t>
        </is>
      </c>
      <c r="F113" s="19" t="n"/>
      <c r="G113" s="19" t="n"/>
      <c r="H113" s="21" t="n"/>
      <c r="I113" s="18" t="n"/>
      <c r="J113" s="18" t="inlineStr">
        <is>
          <t>EMP-0172</t>
        </is>
      </c>
    </row>
    <row r="114">
      <c r="A114" s="44" t="n">
        <v>46256</v>
      </c>
      <c r="B114" s="45" t="inlineStr">
        <is>
          <t>Cliente Consumidor Final</t>
        </is>
      </c>
      <c r="C114" s="45" t="inlineStr">
        <is>
          <t>Refil FP4</t>
        </is>
      </c>
      <c r="D114" s="46" t="n">
        <v>80</v>
      </c>
      <c r="E114" s="45" t="inlineStr">
        <is>
          <t>Dinheiro</t>
        </is>
      </c>
      <c r="F114" s="47" t="n"/>
      <c r="G114" s="48" t="n"/>
      <c r="H114" s="49" t="n"/>
      <c r="I114" s="45" t="n"/>
    </row>
    <row r="115">
      <c r="A115" s="17" t="n">
        <v>46256</v>
      </c>
      <c r="B115" s="18" t="inlineStr">
        <is>
          <t>Academia Diego Cesar</t>
        </is>
      </c>
      <c r="C115" s="18" t="inlineStr">
        <is>
          <t>Refil Carbon Tech 9"</t>
        </is>
      </c>
      <c r="D115" s="27" t="n">
        <v>90</v>
      </c>
      <c r="E115" s="18" t="inlineStr">
        <is>
          <t>Pix</t>
        </is>
      </c>
      <c r="F115" s="19" t="n"/>
      <c r="G115" s="19" t="n"/>
      <c r="H115" s="21" t="n"/>
      <c r="I115" s="18" t="n"/>
      <c r="J115" s="18" t="inlineStr">
        <is>
          <t>EMP-0310</t>
        </is>
      </c>
    </row>
    <row r="116">
      <c r="A116" s="44" t="n">
        <v>46256</v>
      </c>
      <c r="B116" s="45" t="inlineStr">
        <is>
          <t>Pedras e Pisos Depósito</t>
        </is>
      </c>
      <c r="C116" s="45" t="inlineStr">
        <is>
          <t>Refil E3</t>
        </is>
      </c>
      <c r="D116" s="46" t="n">
        <v>100</v>
      </c>
      <c r="E116" s="45" t="inlineStr">
        <is>
          <t>Dinheiro</t>
        </is>
      </c>
      <c r="F116" s="47" t="n"/>
      <c r="G116" s="48" t="n"/>
      <c r="H116" s="49" t="n"/>
      <c r="I116" s="45" t="n"/>
      <c r="J116" s="45" t="inlineStr">
        <is>
          <t>EMP-0245</t>
        </is>
      </c>
    </row>
    <row r="117">
      <c r="A117" s="17" t="n">
        <v>46254</v>
      </c>
      <c r="B117" s="18" t="inlineStr">
        <is>
          <t>Tarifa Pix</t>
        </is>
      </c>
      <c r="C117" s="18" t="n"/>
      <c r="D117" s="27" t="n"/>
      <c r="E117" s="18" t="n"/>
      <c r="F117" s="19" t="n"/>
      <c r="G117" s="19" t="n">
        <v>1</v>
      </c>
      <c r="H117" s="21" t="inlineStr">
        <is>
          <t>Tarifas Bancárias e Cartão</t>
        </is>
      </c>
      <c r="I117" s="18" t="inlineStr">
        <is>
          <t>Extrato: TAR PIX PAGTO TRANSFERENC — DOC 70819916 (20/08/2026)</t>
        </is>
      </c>
    </row>
    <row r="118">
      <c r="A118" s="44" t="n">
        <v>46256</v>
      </c>
      <c r="B118" s="45" t="inlineStr">
        <is>
          <t>Comissão Wiliam</t>
        </is>
      </c>
      <c r="C118" s="45" t="n"/>
      <c r="D118" s="46" t="n"/>
      <c r="E118" s="45" t="n"/>
      <c r="F118" s="47" t="n"/>
      <c r="G118" s="48" t="n">
        <v>590</v>
      </c>
      <c r="H118" s="49" t="inlineStr">
        <is>
          <t>Salários, Comissões e Encargos</t>
        </is>
      </c>
      <c r="I118" s="45" t="inlineStr">
        <is>
          <t>Comissões da quinzena de 10/08 a 22/08/2026 — 53 serviços</t>
        </is>
      </c>
    </row>
    <row r="119">
      <c r="A119" s="17" t="n">
        <v>46258</v>
      </c>
      <c r="B119" s="18" t="inlineStr">
        <is>
          <t>UNIFG Brumado (Brumado/BA)</t>
        </is>
      </c>
      <c r="C119" s="18" t="inlineStr">
        <is>
          <t>3x Refil E3 + 3x Refil Pré E3 + 2x Refil Carbon Tech 5" + 2x Refil FP4 + 2x Refil Multifilter</t>
        </is>
      </c>
      <c r="D119" s="27" t="n">
        <v>1358</v>
      </c>
      <c r="E119" s="18" t="inlineStr">
        <is>
          <t>Pix</t>
        </is>
      </c>
      <c r="F119" s="19" t="n"/>
      <c r="G119" s="19" t="n"/>
      <c r="H119" s="21" t="n"/>
      <c r="I119" s="18" t="inlineStr">
        <is>
          <t>Grupo Ânima — OC PO_CESGPO00006007_0 · orçamento de 07/07/2026 (desc. 3%) · pago via Pix pela CESG em 24/08/2026</t>
        </is>
      </c>
    </row>
    <row r="120">
      <c r="A120" s="44" t="n">
        <v>46258</v>
      </c>
      <c r="B120" s="45" t="inlineStr">
        <is>
          <t>UNIFG Vasco da Gama (Guanambi/BA)</t>
        </is>
      </c>
      <c r="C120" s="45" t="inlineStr">
        <is>
          <t>11x Refil E3 + 6x Refil Pré E3</t>
        </is>
      </c>
      <c r="D120" s="46" t="n">
        <v>2320</v>
      </c>
      <c r="E120" s="45" t="inlineStr">
        <is>
          <t>Pix</t>
        </is>
      </c>
      <c r="F120" s="47" t="n"/>
      <c r="G120" s="48" t="n"/>
      <c r="H120" s="49" t="n"/>
      <c r="I120" s="45" t="inlineStr">
        <is>
          <t>Grupo Ânima — OC PO_CESGPO00006009_1 · orçamento de 07/07/2026 · pago via Pix pela CESG em 24/08/2026</t>
        </is>
      </c>
    </row>
    <row r="121">
      <c r="A121" s="17" t="n">
        <v>46258</v>
      </c>
      <c r="B121" s="18" t="inlineStr">
        <is>
          <t>UNP Salgado Filho (Natal/RN)</t>
        </is>
      </c>
      <c r="C121" s="18" t="inlineStr">
        <is>
          <t>8x Refil E3 + 8x Refil Pré E3 + 6x Refil Carbon Tech 9"</t>
        </is>
      </c>
      <c r="D121" s="27" t="n">
        <v>2948.8</v>
      </c>
      <c r="E121" s="18" t="inlineStr">
        <is>
          <t>Pix</t>
        </is>
      </c>
      <c r="F121" s="19" t="n"/>
      <c r="G121" s="19" t="n"/>
      <c r="H121" s="21" t="n"/>
      <c r="I121" s="18" t="inlineStr">
        <is>
          <t>Grupo Ânima — OC PO_APECPO00019433_0 · orçamento de 08/07/2026 (desc. 3%) · pago via Pix pela APEC em 24/08/2026</t>
        </is>
      </c>
    </row>
    <row r="122">
      <c r="A122" s="44" t="n">
        <v>46258</v>
      </c>
      <c r="B122" s="45" t="inlineStr">
        <is>
          <t>FG Piedade (Jaboatão/PE)</t>
        </is>
      </c>
      <c r="C122" s="45" t="inlineStr">
        <is>
          <t>10x Refil E3 + 10x Refil Pré E3</t>
        </is>
      </c>
      <c r="D122" s="46" t="n">
        <v>2600</v>
      </c>
      <c r="E122" s="45" t="inlineStr">
        <is>
          <t>Pix</t>
        </is>
      </c>
      <c r="F122" s="47" t="n"/>
      <c r="G122" s="48" t="n"/>
      <c r="H122" s="49" t="n"/>
      <c r="I122" s="45" t="inlineStr">
        <is>
          <t>Grupo Ânima — OC PO_SOCECPO00006536_0 · orçamento de 08/07/2026 · pago via Pix pela SOCEC em 24/08/2026</t>
        </is>
      </c>
    </row>
    <row r="123">
      <c r="A123" s="17" t="n">
        <v>46258</v>
      </c>
      <c r="B123" s="18" t="inlineStr">
        <is>
          <t>FPB João Pessoa (João Pessoa/PB)</t>
        </is>
      </c>
      <c r="C123" s="18" t="inlineStr">
        <is>
          <t>10x Refil E3 + 10x Refil Pré E3 + 4x Refil BAG + 2x Refil Pro Life</t>
        </is>
      </c>
      <c r="D123" s="27" t="n">
        <v>3181.6</v>
      </c>
      <c r="E123" s="18" t="inlineStr">
        <is>
          <t>Pix</t>
        </is>
      </c>
      <c r="F123" s="19" t="n"/>
      <c r="G123" s="19" t="n"/>
      <c r="H123" s="21" t="n"/>
      <c r="I123" s="18" t="inlineStr">
        <is>
          <t>Grupo Ânima — OC PO_ASPECPO00004346_0 · orçamento de 08/07/2026 (desc. 3%) · pago via Pix pela ASPEC em 24/08/2026</t>
        </is>
      </c>
    </row>
    <row r="124">
      <c r="A124" s="44" t="n">
        <v>46238</v>
      </c>
      <c r="B124" s="45" t="inlineStr">
        <is>
          <t>Click Comércio e Distribuição</t>
        </is>
      </c>
      <c r="C124" s="45" t="n"/>
      <c r="D124" s="46" t="n"/>
      <c r="E124" s="45" t="n"/>
      <c r="F124" s="47" t="n"/>
      <c r="G124" s="48" t="n">
        <v>3</v>
      </c>
      <c r="H124" s="49" t="inlineStr">
        <is>
          <t>Pro Labore Edilânia</t>
        </is>
      </c>
      <c r="I124" s="45" t="inlineStr">
        <is>
          <t>Extrato Stone — Pix de 04/08/2026</t>
        </is>
      </c>
    </row>
    <row r="125">
      <c r="A125" s="17" t="n">
        <v>46238</v>
      </c>
      <c r="B125" s="18" t="inlineStr">
        <is>
          <t>Vaz Comércio de Cosméticos</t>
        </is>
      </c>
      <c r="C125" s="18" t="n"/>
      <c r="D125" s="27" t="n"/>
      <c r="E125" s="18" t="n"/>
      <c r="F125" s="19" t="n"/>
      <c r="G125" s="19" t="n">
        <v>10</v>
      </c>
      <c r="H125" s="21" t="inlineStr">
        <is>
          <t>Pro Labore Edilânia</t>
        </is>
      </c>
      <c r="I125" s="18" t="inlineStr">
        <is>
          <t>Extrato Stone — Pix de 04/08/2026</t>
        </is>
      </c>
    </row>
    <row r="126">
      <c r="A126" s="44" t="n">
        <v>46238</v>
      </c>
      <c r="B126" s="45" t="inlineStr">
        <is>
          <t>Estacionamento (Pagar.me)</t>
        </is>
      </c>
      <c r="C126" s="45" t="n"/>
      <c r="D126" s="46" t="n"/>
      <c r="E126" s="45" t="n"/>
      <c r="F126" s="47" t="n"/>
      <c r="G126" s="48" t="n">
        <v>4.8</v>
      </c>
      <c r="H126" s="49" t="inlineStr">
        <is>
          <t>Transporte e Entregas</t>
        </is>
      </c>
      <c r="I126" s="45" t="inlineStr">
        <is>
          <t>Extrato Stone — Pix de 04/08/2026</t>
        </is>
      </c>
    </row>
    <row r="127">
      <c r="A127" s="17" t="n">
        <v>46238</v>
      </c>
      <c r="B127" s="18" t="inlineStr">
        <is>
          <t>Estacionamento (Pagar.me)</t>
        </is>
      </c>
      <c r="C127" s="18" t="n"/>
      <c r="D127" s="27" t="n"/>
      <c r="E127" s="18" t="n"/>
      <c r="F127" s="19" t="n"/>
      <c r="G127" s="19" t="n">
        <v>2.4</v>
      </c>
      <c r="H127" s="21" t="inlineStr">
        <is>
          <t>Transporte e Entregas</t>
        </is>
      </c>
      <c r="I127" s="18" t="inlineStr">
        <is>
          <t>Extrato Stone — Pix de 04/08/2026</t>
        </is>
      </c>
    </row>
    <row r="128" ht="15.75" customHeight="1" s="157">
      <c r="A128" s="44" t="n">
        <v>46239</v>
      </c>
      <c r="B128" s="45" t="inlineStr">
        <is>
          <t>Estacionamento (Pagar.me)</t>
        </is>
      </c>
      <c r="C128" s="45" t="n"/>
      <c r="D128" s="46" t="n"/>
      <c r="E128" s="45" t="n"/>
      <c r="F128" s="47" t="n"/>
      <c r="G128" s="48" t="n">
        <v>2.4</v>
      </c>
      <c r="H128" s="49" t="inlineStr">
        <is>
          <t>Transporte e Entregas</t>
        </is>
      </c>
      <c r="I128" s="45" t="inlineStr">
        <is>
          <t>Extrato Stone — Pix de 05/08/2026</t>
        </is>
      </c>
    </row>
    <row r="129">
      <c r="A129" s="17" t="n">
        <v>46239</v>
      </c>
      <c r="B129" s="18" t="inlineStr">
        <is>
          <t>Estacionamento (Pagar.me)</t>
        </is>
      </c>
      <c r="C129" s="18" t="n"/>
      <c r="D129" s="27" t="n"/>
      <c r="E129" s="18" t="n"/>
      <c r="F129" s="19" t="n"/>
      <c r="G129" s="19" t="n">
        <v>1.2</v>
      </c>
      <c r="H129" s="21" t="inlineStr">
        <is>
          <t>Transporte e Entregas</t>
        </is>
      </c>
      <c r="I129" s="18" t="inlineStr">
        <is>
          <t>Extrato Stone — Pix de 05/08/2026</t>
        </is>
      </c>
    </row>
    <row r="130">
      <c r="A130" s="44" t="n">
        <v>46244</v>
      </c>
      <c r="B130" s="45" t="inlineStr">
        <is>
          <t>Estacionamento (Pagar.me)</t>
        </is>
      </c>
      <c r="C130" s="45" t="n"/>
      <c r="D130" s="46" t="n"/>
      <c r="E130" s="45" t="n"/>
      <c r="F130" s="47" t="n"/>
      <c r="G130" s="48" t="n">
        <v>2.4</v>
      </c>
      <c r="H130" s="49" t="inlineStr">
        <is>
          <t>Transporte e Entregas</t>
        </is>
      </c>
      <c r="I130" s="45" t="inlineStr">
        <is>
          <t>Extrato Stone — Pix de 10/08/2026</t>
        </is>
      </c>
    </row>
    <row r="131">
      <c r="A131" s="17" t="n">
        <v>46245</v>
      </c>
      <c r="B131" s="18" t="inlineStr">
        <is>
          <t>Claudina dos Santos Morais</t>
        </is>
      </c>
      <c r="C131" s="18" t="n"/>
      <c r="D131" s="27" t="n"/>
      <c r="E131" s="18" t="n"/>
      <c r="F131" s="19" t="n"/>
      <c r="G131" s="19" t="n">
        <v>120</v>
      </c>
      <c r="H131" s="21" t="inlineStr">
        <is>
          <t>Pro Labore Edilânia</t>
        </is>
      </c>
      <c r="I131" s="18" t="inlineStr">
        <is>
          <t>Extrato Stone — Pix de 11/08/2026</t>
        </is>
      </c>
    </row>
    <row r="132">
      <c r="A132" s="44" t="n">
        <v>46245</v>
      </c>
      <c r="B132" s="45" t="inlineStr">
        <is>
          <t>Gerlaine Vieira Santos Costa</t>
        </is>
      </c>
      <c r="C132" s="45" t="n"/>
      <c r="D132" s="46" t="n"/>
      <c r="E132" s="45" t="n"/>
      <c r="F132" s="47" t="n"/>
      <c r="G132" s="48" t="n">
        <v>50</v>
      </c>
      <c r="H132" s="49" t="inlineStr">
        <is>
          <t>Pro Labore Edilânia</t>
        </is>
      </c>
      <c r="I132" s="45" t="inlineStr">
        <is>
          <t>Extrato Stone — Pix de 11/08/2026</t>
        </is>
      </c>
    </row>
    <row r="133">
      <c r="A133" s="17" t="n">
        <v>46246</v>
      </c>
      <c r="B133" s="18" t="inlineStr">
        <is>
          <t>Malena Lorrane Santos do Nascimento</t>
        </is>
      </c>
      <c r="C133" s="18" t="n"/>
      <c r="D133" s="27" t="n"/>
      <c r="E133" s="18" t="n"/>
      <c r="F133" s="19" t="n"/>
      <c r="G133" s="19" t="n">
        <v>40</v>
      </c>
      <c r="H133" s="21" t="inlineStr">
        <is>
          <t>Pro Labore Edilânia</t>
        </is>
      </c>
      <c r="I133" s="18" t="inlineStr">
        <is>
          <t>Extrato Stone — Pix de 12/08/2026</t>
        </is>
      </c>
    </row>
    <row r="134">
      <c r="A134" s="44" t="n">
        <v>46247</v>
      </c>
      <c r="B134" s="45" t="inlineStr">
        <is>
          <t>Evanice Ferreira da Silva</t>
        </is>
      </c>
      <c r="C134" s="45" t="n"/>
      <c r="D134" s="46" t="n"/>
      <c r="E134" s="45" t="n"/>
      <c r="F134" s="47" t="n"/>
      <c r="G134" s="48" t="n">
        <v>90</v>
      </c>
      <c r="H134" s="49" t="inlineStr">
        <is>
          <t>Pro Labore Edilânia</t>
        </is>
      </c>
      <c r="I134" s="45" t="inlineStr">
        <is>
          <t>Extrato Stone — Pix de 13/08/2026</t>
        </is>
      </c>
    </row>
    <row r="135">
      <c r="A135" s="17" t="n">
        <v>46247</v>
      </c>
      <c r="B135" s="18" t="inlineStr">
        <is>
          <t>Luciana Cruz Freire Santos</t>
        </is>
      </c>
      <c r="C135" s="18" t="n"/>
      <c r="D135" s="27" t="n"/>
      <c r="E135" s="18" t="n"/>
      <c r="F135" s="19" t="n"/>
      <c r="G135" s="19" t="n">
        <v>130</v>
      </c>
      <c r="H135" s="21" t="inlineStr">
        <is>
          <t>Pro Labore Edilânia</t>
        </is>
      </c>
      <c r="I135" s="18" t="inlineStr">
        <is>
          <t>Extrato Stone — Pix de 13/08/2026</t>
        </is>
      </c>
    </row>
    <row r="136">
      <c r="A136" s="44" t="n">
        <v>46249</v>
      </c>
      <c r="B136" s="45" t="inlineStr">
        <is>
          <t>Teresinha Almeida Silva Costa</t>
        </is>
      </c>
      <c r="C136" s="45" t="n"/>
      <c r="D136" s="46" t="n"/>
      <c r="E136" s="45" t="n"/>
      <c r="F136" s="47" t="n"/>
      <c r="G136" s="48" t="n">
        <v>73</v>
      </c>
      <c r="H136" s="49" t="inlineStr">
        <is>
          <t>Pro Labore Edilânia</t>
        </is>
      </c>
      <c r="I136" s="45" t="inlineStr">
        <is>
          <t>Extrato Stone — Pix de 15/08/2026</t>
        </is>
      </c>
    </row>
    <row r="137">
      <c r="A137" s="17" t="n">
        <v>46251</v>
      </c>
      <c r="B137" s="18" t="inlineStr">
        <is>
          <t>Daniel Barbosa dos Santos (Moto Táxi)</t>
        </is>
      </c>
      <c r="C137" s="18" t="n"/>
      <c r="D137" s="27" t="n"/>
      <c r="E137" s="18" t="n"/>
      <c r="F137" s="19" t="n"/>
      <c r="G137" s="19" t="n">
        <v>16</v>
      </c>
      <c r="H137" s="21" t="inlineStr">
        <is>
          <t>Transporte e Entregas</t>
        </is>
      </c>
      <c r="I137" s="18" t="inlineStr">
        <is>
          <t>Extrato Stone — Pix de 17/08/2026</t>
        </is>
      </c>
    </row>
    <row r="138">
      <c r="A138" s="44" t="n">
        <v>46252</v>
      </c>
      <c r="B138" s="45" t="inlineStr">
        <is>
          <t>Japedido Software</t>
        </is>
      </c>
      <c r="C138" s="45" t="n"/>
      <c r="D138" s="46" t="n"/>
      <c r="E138" s="45" t="n"/>
      <c r="F138" s="47" t="n"/>
      <c r="G138" s="48" t="n">
        <v>49.49</v>
      </c>
      <c r="H138" s="49" t="inlineStr">
        <is>
          <t>Pro Labore Edilânia</t>
        </is>
      </c>
      <c r="I138" s="45" t="inlineStr">
        <is>
          <t>Extrato Stone — Pix de 18/08/2026</t>
        </is>
      </c>
    </row>
    <row r="139">
      <c r="A139" s="17" t="n">
        <v>46252</v>
      </c>
      <c r="B139" s="18" t="inlineStr">
        <is>
          <t>L. A. Moreira Gráfica e Informática</t>
        </is>
      </c>
      <c r="C139" s="18" t="n"/>
      <c r="D139" s="27" t="n"/>
      <c r="E139" s="18" t="n"/>
      <c r="F139" s="19" t="n"/>
      <c r="G139" s="19" t="n">
        <v>18</v>
      </c>
      <c r="H139" s="21" t="inlineStr">
        <is>
          <t>Pro Labore Edilânia</t>
        </is>
      </c>
      <c r="I139" s="18" t="inlineStr">
        <is>
          <t>Extrato Stone — Pix de 18/08/2026</t>
        </is>
      </c>
    </row>
    <row r="140">
      <c r="A140" s="44" t="n">
        <v>46252</v>
      </c>
      <c r="B140" s="45" t="inlineStr">
        <is>
          <t>Antonia Bizerra Neta</t>
        </is>
      </c>
      <c r="C140" s="45" t="n"/>
      <c r="D140" s="46" t="n"/>
      <c r="E140" s="45" t="n"/>
      <c r="F140" s="47" t="n"/>
      <c r="G140" s="48" t="n">
        <v>51.6</v>
      </c>
      <c r="H140" s="49" t="inlineStr">
        <is>
          <t>Pro Labore Edilânia</t>
        </is>
      </c>
      <c r="I140" s="45" t="inlineStr">
        <is>
          <t>Extrato Stone — Pix de 18/08/2026</t>
        </is>
      </c>
    </row>
    <row r="141">
      <c r="A141" s="17" t="n">
        <v>46253</v>
      </c>
      <c r="B141" s="18" t="inlineStr">
        <is>
          <t>Pampet Club</t>
        </is>
      </c>
      <c r="C141" s="18" t="n"/>
      <c r="D141" s="27" t="n"/>
      <c r="E141" s="18" t="n"/>
      <c r="F141" s="19" t="n"/>
      <c r="G141" s="19" t="n">
        <v>28</v>
      </c>
      <c r="H141" s="21" t="inlineStr">
        <is>
          <t>Pro Labore Edilânia</t>
        </is>
      </c>
      <c r="I141" s="18" t="inlineStr">
        <is>
          <t>Extrato Stone — Pix de 19/08/2026</t>
        </is>
      </c>
    </row>
    <row r="142">
      <c r="A142" s="44" t="n">
        <v>46255</v>
      </c>
      <c r="B142" s="45" t="inlineStr">
        <is>
          <t>Laura Christina Pecanhuk Hutson Schwenker Arcara Sales</t>
        </is>
      </c>
      <c r="C142" s="45" t="n"/>
      <c r="D142" s="46" t="n"/>
      <c r="E142" s="45" t="n"/>
      <c r="F142" s="47" t="n"/>
      <c r="G142" s="48" t="n">
        <v>50</v>
      </c>
      <c r="H142" s="49" t="inlineStr">
        <is>
          <t>Pro Labore Edilânia</t>
        </is>
      </c>
      <c r="I142" s="45" t="inlineStr">
        <is>
          <t>Extrato Stone — Pix de 21/08/2026</t>
        </is>
      </c>
    </row>
    <row r="143">
      <c r="A143" s="17" t="n">
        <v>46258</v>
      </c>
      <c r="B143" s="18" t="inlineStr">
        <is>
          <t>Estacionamento (Pagar.me)</t>
        </is>
      </c>
      <c r="C143" s="18" t="n"/>
      <c r="D143" s="27" t="n"/>
      <c r="E143" s="18" t="n"/>
      <c r="F143" s="19" t="n"/>
      <c r="G143" s="19" t="n">
        <v>2.4</v>
      </c>
      <c r="H143" s="21" t="inlineStr">
        <is>
          <t>Transporte e Entregas</t>
        </is>
      </c>
      <c r="I143" s="18" t="inlineStr">
        <is>
          <t>Extrato Stone — Pix de 24/08/2026</t>
        </is>
      </c>
    </row>
    <row r="144">
      <c r="A144" s="44" t="n">
        <v>46258</v>
      </c>
      <c r="B144" s="45" t="inlineStr">
        <is>
          <t>Comercial de Estivas e Cereais Rio do Ouro</t>
        </is>
      </c>
      <c r="C144" s="45" t="n"/>
      <c r="D144" s="46" t="n"/>
      <c r="E144" s="45" t="n"/>
      <c r="F144" s="47" t="n"/>
      <c r="G144" s="48" t="n">
        <v>58.1</v>
      </c>
      <c r="H144" s="49" t="inlineStr">
        <is>
          <t>Pro Labore Edilânia</t>
        </is>
      </c>
      <c r="I144" s="45" t="inlineStr">
        <is>
          <t>Extrato Stone — Pix de 24/08/2026</t>
        </is>
      </c>
    </row>
    <row r="145">
      <c r="A145" s="17" t="n">
        <v>46258</v>
      </c>
      <c r="B145" s="18" t="inlineStr">
        <is>
          <t>Cliente Consumidor Final</t>
        </is>
      </c>
      <c r="C145" s="18" t="inlineStr">
        <is>
          <t>Refil Universal</t>
        </is>
      </c>
      <c r="D145" s="27" t="n">
        <v>30</v>
      </c>
      <c r="E145" s="18" t="inlineStr">
        <is>
          <t>Crédito à Vista</t>
        </is>
      </c>
      <c r="F145" s="19" t="n">
        <v>1.05</v>
      </c>
      <c r="G145" s="19" t="n"/>
      <c r="H145" s="21" t="n"/>
      <c r="I145" s="18" t="n"/>
    </row>
    <row r="146">
      <c r="A146" s="44" t="n">
        <v>46258</v>
      </c>
      <c r="B146" s="45" t="inlineStr">
        <is>
          <t>Papelaria Castro</t>
        </is>
      </c>
      <c r="C146" s="45" t="inlineStr">
        <is>
          <t>Refil Pro Life + Pré Filtro</t>
        </is>
      </c>
      <c r="D146" s="50" t="n">
        <v>185</v>
      </c>
      <c r="E146" s="45" t="inlineStr">
        <is>
          <t>Dinheiro</t>
        </is>
      </c>
      <c r="F146" s="47" t="n"/>
      <c r="G146" s="47" t="n"/>
      <c r="H146" s="49" t="n"/>
      <c r="I146" s="45" t="n"/>
      <c r="J146" s="45" t="inlineStr">
        <is>
          <t>EMP-0243</t>
        </is>
      </c>
    </row>
    <row r="147">
      <c r="A147" s="17" t="n">
        <v>46259</v>
      </c>
      <c r="B147" s="18" t="inlineStr">
        <is>
          <t>Cristiane Lima Procopio</t>
        </is>
      </c>
      <c r="C147" s="18" t="inlineStr">
        <is>
          <t>Refil Everest + Pré Filtro</t>
        </is>
      </c>
      <c r="D147" s="134" t="n">
        <v>200</v>
      </c>
      <c r="E147" s="18" t="inlineStr">
        <is>
          <t>Pix</t>
        </is>
      </c>
      <c r="F147" s="19" t="n"/>
      <c r="G147" s="20" t="n"/>
      <c r="H147" s="21" t="n"/>
      <c r="I147" s="18" t="inlineStr">
        <is>
          <t>Venda de 24/08/2026 — pagamento recebido via Pix em 25/08/2026</t>
        </is>
      </c>
      <c r="J147" s="18" t="inlineStr">
        <is>
          <t>CLI-0471</t>
        </is>
      </c>
    </row>
    <row r="148">
      <c r="A148" s="44" t="n">
        <v>46258</v>
      </c>
      <c r="B148" s="45" t="inlineStr">
        <is>
          <t>ICMS Antecipação Parcial</t>
        </is>
      </c>
      <c r="C148" s="45" t="n"/>
      <c r="D148" s="50" t="n"/>
      <c r="E148" s="45" t="n"/>
      <c r="F148" s="47" t="n"/>
      <c r="G148" s="47" t="n">
        <v>2135.72</v>
      </c>
      <c r="H148" s="49" t="inlineStr">
        <is>
          <t>Impostos e Taxas</t>
        </is>
      </c>
      <c r="I148" s="45" t="n"/>
    </row>
    <row r="149" ht="15.75" customHeight="1" s="157">
      <c r="A149" s="17" t="n">
        <v>46259</v>
      </c>
      <c r="B149" s="18" t="inlineStr">
        <is>
          <t>Clinica Sao Lucas (Caém)</t>
        </is>
      </c>
      <c r="C149" s="18" t="inlineStr">
        <is>
          <t>Refil Pro Life + Mangueira</t>
        </is>
      </c>
      <c r="D149" s="134" t="n">
        <v>130</v>
      </c>
      <c r="E149" s="18" t="inlineStr">
        <is>
          <t>Crédito Parcelado</t>
        </is>
      </c>
      <c r="F149" s="19" t="n">
        <v>9.09</v>
      </c>
      <c r="G149" s="20" t="n"/>
      <c r="H149" s="21" t="n"/>
      <c r="I149" s="18" t="n"/>
    </row>
    <row r="150">
      <c r="A150" s="44" t="n">
        <v>46259</v>
      </c>
      <c r="B150" s="45" t="inlineStr">
        <is>
          <t>Luciano de Matos Nascimento</t>
        </is>
      </c>
      <c r="C150" s="45" t="inlineStr">
        <is>
          <t>Purificador Everest Star Prata</t>
        </is>
      </c>
      <c r="D150" s="50" t="n">
        <v>1486</v>
      </c>
      <c r="E150" s="45" t="inlineStr">
        <is>
          <t>Crédito Parcelado</t>
        </is>
      </c>
      <c r="F150" s="47" t="n">
        <v>207.89</v>
      </c>
      <c r="G150" s="47" t="n"/>
      <c r="H150" s="49" t="n"/>
      <c r="I150" s="45" t="inlineStr">
        <is>
          <t>Crédito em 10x</t>
        </is>
      </c>
      <c r="J150" s="45" t="inlineStr">
        <is>
          <t>CLI-0886</t>
        </is>
      </c>
    </row>
    <row r="151">
      <c r="A151" s="17" t="n">
        <v>46259</v>
      </c>
      <c r="B151" s="18" t="inlineStr">
        <is>
          <t>Filtros Planeta Água</t>
        </is>
      </c>
      <c r="C151" s="18" t="n"/>
      <c r="D151" s="134" t="n"/>
      <c r="E151" s="18" t="n"/>
      <c r="F151" s="19" t="n"/>
      <c r="G151" s="20" t="n">
        <v>504.34</v>
      </c>
      <c r="H151" s="21" t="inlineStr">
        <is>
          <t>Fornecedores / Mercadoria</t>
        </is>
      </c>
      <c r="I151" s="18" t="inlineStr">
        <is>
          <t>NF 131442 de 17/06/2026 · parcela 4/4 (venc. 26/08/2026) · compra total R$ 2.122,28 (IPI R$ 104,91): 25x Refil Pro Life + 5x Refil Fit Poe Pp 9.3/4 + 10x Refil Bebedouro B A G + 8x Refil Carbon Tech 5 Pol + 10x Refil Carbon Tech 9.3/4 Pol + 2x Refil Pa 230 Fit + 4x Refil Fpa16</t>
        </is>
      </c>
    </row>
    <row r="152">
      <c r="A152" s="44" t="n">
        <v>46259</v>
      </c>
      <c r="B152" s="45" t="inlineStr">
        <is>
          <t>Fix English School</t>
        </is>
      </c>
      <c r="C152" s="45" t="n"/>
      <c r="D152" s="50" t="n"/>
      <c r="E152" s="45" t="n"/>
      <c r="F152" s="47" t="n"/>
      <c r="G152" s="47" t="n">
        <v>137</v>
      </c>
      <c r="H152" s="49" t="inlineStr">
        <is>
          <t>Pro Labore Edilânia</t>
        </is>
      </c>
      <c r="I152" s="45" t="n"/>
    </row>
    <row r="153">
      <c r="A153" s="17" t="n">
        <v>46251</v>
      </c>
      <c r="B153" s="18" t="inlineStr">
        <is>
          <t>Retirada Complementar — Despesas de 17/08</t>
        </is>
      </c>
      <c r="C153" s="18" t="n"/>
      <c r="D153" s="134" t="n"/>
      <c r="E153" s="18" t="n"/>
      <c r="F153" s="19" t="n"/>
      <c r="G153" s="20" t="n">
        <v>250</v>
      </c>
      <c r="H153" s="21" t="inlineStr">
        <is>
          <t>Outras Despesas</t>
        </is>
      </c>
      <c r="I153" s="18" t="inlineStr">
        <is>
          <t>Financiado por Capital de Giro (BB) — ver aba "Capital de Giro (BB)"</t>
        </is>
      </c>
    </row>
    <row r="154">
      <c r="A154" s="44" t="n">
        <v>46260</v>
      </c>
      <c r="B154" s="45" t="inlineStr">
        <is>
          <t>Cliente Consumidor Final</t>
        </is>
      </c>
      <c r="C154" s="45" t="inlineStr">
        <is>
          <t>Refil Carbon Tech 9"</t>
        </is>
      </c>
      <c r="D154" s="50" t="n">
        <v>80</v>
      </c>
      <c r="E154" s="45" t="inlineStr">
        <is>
          <t>Dinheiro</t>
        </is>
      </c>
      <c r="F154" s="47" t="n"/>
      <c r="G154" s="47" t="n"/>
      <c r="H154" s="49" t="n"/>
      <c r="I154" s="45" t="n"/>
    </row>
    <row r="155">
      <c r="A155" s="17" t="n">
        <v>46260</v>
      </c>
      <c r="B155" s="18" t="inlineStr">
        <is>
          <t>Luana Mesquita Victoria</t>
        </is>
      </c>
      <c r="C155" s="18" t="inlineStr">
        <is>
          <t>Pré Filtro</t>
        </is>
      </c>
      <c r="D155" s="134" t="n">
        <v>60</v>
      </c>
      <c r="E155" s="18" t="inlineStr">
        <is>
          <t>Pix</t>
        </is>
      </c>
      <c r="F155" s="19" t="n"/>
      <c r="G155" s="20" t="n"/>
      <c r="H155" s="21" t="n"/>
      <c r="I155" s="18" t="n"/>
      <c r="J155" s="18" t="inlineStr">
        <is>
          <t>CLI-0887</t>
        </is>
      </c>
    </row>
    <row r="156">
      <c r="A156" s="44" t="n">
        <v>46261</v>
      </c>
      <c r="B156" s="45" t="inlineStr">
        <is>
          <t>Cícero Lima</t>
        </is>
      </c>
      <c r="C156" s="45" t="inlineStr">
        <is>
          <t>Refil Everest</t>
        </is>
      </c>
      <c r="D156" s="50" t="n">
        <v>140</v>
      </c>
      <c r="E156" s="45" t="inlineStr">
        <is>
          <t>Pix</t>
        </is>
      </c>
      <c r="F156" s="47" t="n"/>
      <c r="G156" s="47" t="n"/>
      <c r="H156" s="49" t="n"/>
      <c r="I156" s="45" t="n"/>
      <c r="J156" s="45" t="inlineStr">
        <is>
          <t>CLI-0738</t>
        </is>
      </c>
    </row>
    <row r="157">
      <c r="A157" s="17" t="n">
        <v>46262</v>
      </c>
      <c r="B157" s="18" t="inlineStr">
        <is>
          <t>Promotoria Regional de Jacobina</t>
        </is>
      </c>
      <c r="C157" s="18" t="inlineStr">
        <is>
          <t>2x Carcaça 9" + 2x Refil Plissado 9" + Conexão Reta Rosca</t>
        </is>
      </c>
      <c r="D157" s="134" t="n">
        <v>270</v>
      </c>
      <c r="E157" s="18" t="inlineStr">
        <is>
          <t>Pix</t>
        </is>
      </c>
      <c r="F157" s="19" t="n"/>
      <c r="G157" s="20" t="n"/>
      <c r="H157" s="21" t="n"/>
      <c r="I157" s="18" t="inlineStr">
        <is>
          <t>Venda única de R$ 470,00 (27/08/2026), paga em 28/08/2026 em duas formas: R$ 270,00 Pix (esta linha) + R$ 200,00 crédito 2x (linha seguinte). Os produtos estão listados só aqui.</t>
        </is>
      </c>
    </row>
    <row r="158">
      <c r="A158" s="44" t="n">
        <v>46262</v>
      </c>
      <c r="B158" s="45" t="inlineStr">
        <is>
          <t>Promotoria Regional de Jacobina</t>
        </is>
      </c>
      <c r="C158" s="45" t="inlineStr">
        <is>
          <t>(Mesma venda acima — 2ª forma de pagamento, sem produtos novos)</t>
        </is>
      </c>
      <c r="D158" s="50" t="n">
        <v>200</v>
      </c>
      <c r="E158" s="45" t="inlineStr">
        <is>
          <t>Crédito Parcelado</t>
        </is>
      </c>
      <c r="F158" s="47" t="n">
        <v>16.76</v>
      </c>
      <c r="G158" s="47" t="n"/>
      <c r="H158" s="49" t="n"/>
      <c r="I158" s="45" t="inlineStr">
        <is>
          <t>Parte 2/2 da venda de R$ 470,00 da Promotoria Regional de Jacobina — R$ 200,00 no crédito 2x. NÃO é uma venda nova; os itens já constam na linha anterior.</t>
        </is>
      </c>
    </row>
    <row r="159">
      <c r="A159" s="17" t="n">
        <v>46261</v>
      </c>
      <c r="B159" s="18" t="inlineStr">
        <is>
          <t>Acerto de Armando</t>
        </is>
      </c>
      <c r="C159" s="18" t="n"/>
      <c r="D159" s="134" t="n">
        <v>1000</v>
      </c>
      <c r="E159" s="18" t="inlineStr">
        <is>
          <t>Dinheiro</t>
        </is>
      </c>
      <c r="F159" s="19" t="n"/>
      <c r="G159" s="20" t="n"/>
      <c r="H159" s="21" t="n"/>
      <c r="I159" s="18" t="n"/>
    </row>
    <row r="160">
      <c r="A160" s="44" t="n">
        <v>46261</v>
      </c>
      <c r="B160" s="45" t="inlineStr">
        <is>
          <t>A E G Calçados LTDA</t>
        </is>
      </c>
      <c r="C160" s="45" t="n"/>
      <c r="D160" s="50" t="n"/>
      <c r="E160" s="45" t="n"/>
      <c r="F160" s="47" t="n"/>
      <c r="G160" s="47" t="n">
        <v>127.42</v>
      </c>
      <c r="H160" s="49" t="inlineStr">
        <is>
          <t>Pro Labore Edilânia</t>
        </is>
      </c>
      <c r="I160" s="45" t="inlineStr">
        <is>
          <t>Extrato Stone — Pix de 27/08/2026</t>
        </is>
      </c>
    </row>
    <row r="161">
      <c r="A161" s="17" t="n">
        <v>46261</v>
      </c>
      <c r="B161" s="18" t="inlineStr">
        <is>
          <t>Queite Almeida Duarte</t>
        </is>
      </c>
      <c r="C161" s="18" t="n"/>
      <c r="D161" s="134" t="n"/>
      <c r="E161" s="18" t="n"/>
      <c r="F161" s="19" t="n"/>
      <c r="G161" s="20" t="n">
        <v>100</v>
      </c>
      <c r="H161" s="21" t="inlineStr">
        <is>
          <t>Pro Labore Edilânia</t>
        </is>
      </c>
      <c r="I161" s="18" t="inlineStr">
        <is>
          <t>Extrato Stone — Pix de 27/08/2026</t>
        </is>
      </c>
    </row>
    <row r="162">
      <c r="A162" s="44" t="n">
        <v>46260</v>
      </c>
      <c r="B162" s="45" t="inlineStr">
        <is>
          <t>Edilania Almeida Silva Costa Fontes</t>
        </is>
      </c>
      <c r="C162" s="45" t="n"/>
      <c r="D162" s="50" t="n"/>
      <c r="E162" s="45" t="n"/>
      <c r="F162" s="47" t="n"/>
      <c r="G162" s="47" t="n">
        <v>230</v>
      </c>
      <c r="H162" s="49" t="inlineStr">
        <is>
          <t>Pro Labore Edilânia</t>
        </is>
      </c>
      <c r="I162" s="45" t="inlineStr">
        <is>
          <t>Extrato Stone — Pix de 26/08/2026</t>
        </is>
      </c>
    </row>
    <row r="163">
      <c r="A163" s="17" t="n">
        <v>46260</v>
      </c>
      <c r="B163" s="18" t="inlineStr">
        <is>
          <t>Estacionamento (Pagar.me)</t>
        </is>
      </c>
      <c r="C163" s="18" t="n"/>
      <c r="D163" s="134" t="n"/>
      <c r="E163" s="18" t="n"/>
      <c r="F163" s="19" t="n"/>
      <c r="G163" s="20" t="n">
        <v>1.2</v>
      </c>
      <c r="H163" s="21" t="inlineStr">
        <is>
          <t>Transporte e Entregas</t>
        </is>
      </c>
      <c r="I163" s="18" t="inlineStr">
        <is>
          <t>Extrato Stone — Pix de 26/08/2026</t>
        </is>
      </c>
    </row>
    <row r="164">
      <c r="A164" s="44" t="n">
        <v>46261</v>
      </c>
      <c r="B164" s="45" t="inlineStr">
        <is>
          <t>4x Parafuso</t>
        </is>
      </c>
      <c r="C164" s="45" t="n"/>
      <c r="D164" s="46" t="n"/>
      <c r="E164" s="45" t="n"/>
      <c r="F164" s="47" t="n"/>
      <c r="G164" s="48" t="n">
        <v>4</v>
      </c>
      <c r="H164" s="49" t="inlineStr">
        <is>
          <t>Manutenção e Reparos</t>
        </is>
      </c>
      <c r="I164" s="45" t="n"/>
    </row>
    <row r="165">
      <c r="A165" s="17" t="n">
        <v>46261</v>
      </c>
      <c r="B165" s="18" t="inlineStr">
        <is>
          <t>FG Boa Vista (Recife/PE)</t>
        </is>
      </c>
      <c r="C165" s="18" t="inlineStr">
        <is>
          <t>Refis — troca de julho/2026</t>
        </is>
      </c>
      <c r="D165" s="27" t="n">
        <v>1008.8</v>
      </c>
      <c r="E165" s="18" t="inlineStr">
        <is>
          <t>Pix</t>
        </is>
      </c>
      <c r="F165" s="19" t="n"/>
      <c r="G165" s="19" t="n"/>
      <c r="H165" s="21" t="n"/>
      <c r="I165" s="18" t="inlineStr">
        <is>
          <t>Grupo Ânima — OC SOCECPO00006537 · NF 000.004.280 de 28/07/2026 · prazo 30 dias · vencimento 27/08/2026. OC lista R$ 1.040,00 sem aplicar o desconto de 3%; Lorena confirmou que não há problema. · Pago em 27/08/2026 (confirmado via Pix SOCEC no extrato bancário)</t>
        </is>
      </c>
      <c r="K165" s="13" t="n"/>
      <c r="L165" s="14" t="n"/>
    </row>
    <row r="166">
      <c r="A166" s="44" t="n">
        <v>46261</v>
      </c>
      <c r="B166" s="45" t="inlineStr">
        <is>
          <t>UNIFG Guanambi (Guanambi/BA)</t>
        </is>
      </c>
      <c r="C166" s="45" t="inlineStr">
        <is>
          <t>Refis — troca de julho/2026</t>
        </is>
      </c>
      <c r="D166" s="46" t="n">
        <v>4534.75</v>
      </c>
      <c r="E166" s="45" t="inlineStr">
        <is>
          <t>Pix</t>
        </is>
      </c>
      <c r="F166" s="47" t="n"/>
      <c r="G166" s="48" t="n"/>
      <c r="H166" s="49" t="n"/>
      <c r="I166" s="45" t="inlineStr">
        <is>
          <t>Grupo Ânima — OC CESGPO00006036 · NF 000.004.281 de 28/07/2026 · prazo 30 dias · vencimento 27/08/2026 (desc. 3%) · Pago em 27/08/2026 (confirmado via Pix CESG no extrato bancário)</t>
        </is>
      </c>
      <c r="K166" s="42" t="n"/>
      <c r="L166" s="8" t="n"/>
    </row>
    <row r="167">
      <c r="A167" s="17" t="n">
        <v>46261</v>
      </c>
      <c r="B167" s="18" t="inlineStr">
        <is>
          <t>UNP Zona Norte (Natal/RN)</t>
        </is>
      </c>
      <c r="C167" s="18" t="inlineStr">
        <is>
          <t>Refis — troca de julho/2026</t>
        </is>
      </c>
      <c r="D167" s="27" t="n">
        <v>870</v>
      </c>
      <c r="E167" s="18" t="inlineStr">
        <is>
          <t>Pix</t>
        </is>
      </c>
      <c r="F167" s="19" t="n"/>
      <c r="G167" s="19" t="n"/>
      <c r="H167" s="21" t="n"/>
      <c r="I167" s="18" t="inlineStr">
        <is>
          <t>Grupo Ânima — OC APECPO00019432 · NF 000.004.282 de 28/07/2026 · prazo 30 dias · vencimento 27/08/2026 · Pago em 27/08/2026 (confirmado via Pix APEC no extrato bancário)</t>
        </is>
      </c>
      <c r="K167" s="31" t="n"/>
      <c r="L167" s="31" t="n"/>
    </row>
    <row r="168">
      <c r="A168" s="44" t="n">
        <v>46262</v>
      </c>
      <c r="B168" s="45" t="inlineStr">
        <is>
          <t>UNP Caicó (Caicó/RN)</t>
        </is>
      </c>
      <c r="C168" s="45" t="inlineStr">
        <is>
          <t>Refis — troca de julho/2026</t>
        </is>
      </c>
      <c r="D168" s="46" t="n">
        <v>440</v>
      </c>
      <c r="E168" s="45" t="inlineStr">
        <is>
          <t>Pix</t>
        </is>
      </c>
      <c r="F168" s="47" t="n"/>
      <c r="G168" s="48" t="n"/>
      <c r="H168" s="49" t="n"/>
      <c r="I168" s="45" t="inlineStr">
        <is>
          <t>Grupo Ânima — OC APECPO00019405 · NF 000.004.283 de 28/07/2026 · pago via Pix pela APEC em 27/08/2026 (após o fechamento do relatório do dia)</t>
        </is>
      </c>
      <c r="K168" s="31" t="n"/>
      <c r="L168" s="31" t="n"/>
    </row>
    <row r="169">
      <c r="A169" s="17" t="n">
        <v>46262</v>
      </c>
      <c r="B169" s="18" t="inlineStr">
        <is>
          <t>Produtos de Higiene</t>
        </is>
      </c>
      <c r="C169" s="18" t="n"/>
      <c r="D169" s="27" t="n"/>
      <c r="E169" s="18" t="n"/>
      <c r="F169" s="19" t="n"/>
      <c r="G169" s="19" t="n">
        <v>19.85</v>
      </c>
      <c r="H169" s="21" t="inlineStr">
        <is>
          <t>Material de Limpeza e Escritório</t>
        </is>
      </c>
      <c r="I169" s="18" t="n"/>
    </row>
    <row r="170">
      <c r="A170" s="44" t="n">
        <v>46265</v>
      </c>
      <c r="B170" s="45" t="inlineStr">
        <is>
          <t>Katiane</t>
        </is>
      </c>
      <c r="C170" s="45" t="inlineStr">
        <is>
          <t>Refil Everest + Mangueira</t>
        </is>
      </c>
      <c r="D170" s="46" t="n">
        <v>150</v>
      </c>
      <c r="E170" s="45" t="inlineStr">
        <is>
          <t>Dinheiro</t>
        </is>
      </c>
      <c r="F170" s="47" t="n"/>
      <c r="G170" s="48" t="n"/>
      <c r="H170" s="49" t="n"/>
      <c r="I170" s="45" t="n"/>
      <c r="J170" s="45" t="inlineStr">
        <is>
          <t>CLI-0449</t>
        </is>
      </c>
    </row>
    <row r="171">
      <c r="A171" s="17" t="n">
        <v>46265</v>
      </c>
      <c r="B171" s="18" t="inlineStr">
        <is>
          <t>Eversoft</t>
        </is>
      </c>
      <c r="C171" s="18" t="n"/>
      <c r="D171" s="27" t="n"/>
      <c r="E171" s="18" t="n"/>
      <c r="F171" s="19" t="n"/>
      <c r="G171" s="19" t="n">
        <v>878.9299999999999</v>
      </c>
      <c r="H171" s="21" t="inlineStr">
        <is>
          <t>Fornecedores / Mercadoria</t>
        </is>
      </c>
      <c r="I171" s="18" t="inlineStr">
        <is>
          <t>NF 72153 de 02/04/2026 · parcela 5/5 (venc. 30/08/2026) · compra total R$ 4.394,61: 100x Refil Everest</t>
        </is>
      </c>
    </row>
    <row r="172">
      <c r="A172" s="44" t="n">
        <v>46265</v>
      </c>
      <c r="B172" s="45" t="inlineStr">
        <is>
          <t>Cliente Consumidor Final</t>
        </is>
      </c>
      <c r="C172" s="45" t="inlineStr">
        <is>
          <t>Refil E3</t>
        </is>
      </c>
      <c r="D172" s="46" t="n">
        <v>80</v>
      </c>
      <c r="E172" s="45" t="inlineStr">
        <is>
          <t>Dinheiro</t>
        </is>
      </c>
      <c r="F172" s="47" t="n"/>
      <c r="G172" s="48" t="n"/>
      <c r="H172" s="49" t="n"/>
      <c r="I172" s="45" t="n"/>
    </row>
    <row r="173" ht="15.75" customHeight="1" s="157">
      <c r="A173" s="17" t="n">
        <v>46265</v>
      </c>
      <c r="B173" s="18" t="inlineStr">
        <is>
          <t>Salário Erick (Estagiário)</t>
        </is>
      </c>
      <c r="C173" s="18" t="n"/>
      <c r="D173" s="27" t="n"/>
      <c r="E173" s="18" t="n"/>
      <c r="F173" s="19" t="n"/>
      <c r="G173" s="19" t="n">
        <v>600</v>
      </c>
      <c r="H173" s="21" t="inlineStr">
        <is>
          <t>Salários, Comissões e Encargos</t>
        </is>
      </c>
      <c r="I173" s="18" t="n"/>
    </row>
    <row r="174">
      <c r="A174" s="44" t="n">
        <v>46265</v>
      </c>
      <c r="B174" s="45" t="inlineStr">
        <is>
          <t>Marcelo Pioverzan Pinheiro</t>
        </is>
      </c>
      <c r="C174" s="45" t="inlineStr">
        <is>
          <t>Bebedouro Industrial 50L + Engate</t>
        </is>
      </c>
      <c r="D174" s="50" t="n">
        <v>2020</v>
      </c>
      <c r="E174" s="45" t="inlineStr">
        <is>
          <t>Pix</t>
        </is>
      </c>
      <c r="F174" s="47" t="n"/>
      <c r="G174" s="47" t="n"/>
      <c r="H174" s="49" t="n"/>
      <c r="I174" s="45" t="n"/>
    </row>
    <row r="175">
      <c r="A175" s="17" t="n">
        <v>46265</v>
      </c>
      <c r="B175" s="18" t="inlineStr">
        <is>
          <t>Raiane Melo do Rosario</t>
        </is>
      </c>
      <c r="C175" s="18" t="inlineStr">
        <is>
          <t>Refil Everest + Pré Filtro</t>
        </is>
      </c>
      <c r="D175" s="134" t="n">
        <v>200</v>
      </c>
      <c r="E175" s="18" t="inlineStr">
        <is>
          <t>Crédito Parcelado</t>
        </is>
      </c>
      <c r="F175" s="19" t="n">
        <v>15.98</v>
      </c>
      <c r="G175" s="20" t="n"/>
      <c r="H175" s="21" t="n"/>
      <c r="I175" s="18" t="inlineStr">
        <is>
          <t>Crédito em 4x</t>
        </is>
      </c>
      <c r="J175" s="18" t="inlineStr">
        <is>
          <t>CLI-0405</t>
        </is>
      </c>
    </row>
    <row r="176" ht="15.75" customHeight="1" s="157">
      <c r="A176" s="44" t="n">
        <v>46265</v>
      </c>
      <c r="B176" s="45" t="inlineStr">
        <is>
          <t>Salário Wiliam</t>
        </is>
      </c>
      <c r="C176" s="45" t="n"/>
      <c r="D176" s="50" t="n"/>
      <c r="E176" s="45" t="n"/>
      <c r="F176" s="47" t="n"/>
      <c r="G176" s="47" t="n">
        <v>1571.32</v>
      </c>
      <c r="H176" s="49" t="inlineStr">
        <is>
          <t>Salários, Comissões e Encargos</t>
        </is>
      </c>
      <c r="I176" s="45" t="n"/>
    </row>
    <row r="177">
      <c r="A177" s="17" t="n">
        <v>46265</v>
      </c>
      <c r="B177" s="18" t="inlineStr">
        <is>
          <t>Tarifa Pix (14 lançamentos)</t>
        </is>
      </c>
      <c r="C177" s="18" t="n"/>
      <c r="D177" s="134" t="n"/>
      <c r="E177" s="18" t="n"/>
      <c r="F177" s="19" t="n"/>
      <c r="G177" s="20" t="n">
        <v>48.25</v>
      </c>
      <c r="H177" s="21" t="inlineStr">
        <is>
          <t>Tarifas Bancárias e Cartão</t>
        </is>
      </c>
      <c r="I177" s="18" t="inlineStr">
        <is>
          <t>Extrato BNB agosto/2026 — soma de 14 tarifas Pix individuais</t>
        </is>
      </c>
    </row>
    <row r="178">
      <c r="A178" s="44" t="n">
        <v>46265</v>
      </c>
      <c r="B178" s="45" t="inlineStr">
        <is>
          <t>Pix Pessoal (4 lançamentos)</t>
        </is>
      </c>
      <c r="C178" s="45" t="n"/>
      <c r="D178" s="50" t="n"/>
      <c r="E178" s="45" t="n"/>
      <c r="F178" s="47" t="n"/>
      <c r="G178" s="47" t="n">
        <v>221.5</v>
      </c>
      <c r="H178" s="49" t="inlineStr">
        <is>
          <t>Pro Labore Edilânia</t>
        </is>
      </c>
      <c r="I178" s="45" t="inlineStr">
        <is>
          <t>Extrato BNB agosto/2026 — soma de 4 Pix pessoais de Adriano/Edilânia</t>
        </is>
      </c>
    </row>
    <row r="179">
      <c r="A179" s="17" t="n">
        <v>46265</v>
      </c>
      <c r="B179" s="18" t="inlineStr">
        <is>
          <t>Compras p/Loja (2 lançamentos)</t>
        </is>
      </c>
      <c r="C179" s="18" t="n"/>
      <c r="D179" s="134" t="n"/>
      <c r="E179" s="18" t="n"/>
      <c r="F179" s="19" t="n"/>
      <c r="G179" s="20" t="n">
        <v>131.29</v>
      </c>
      <c r="H179" s="21" t="inlineStr">
        <is>
          <t>Fornecedores / Mercadoria</t>
        </is>
      </c>
      <c r="I179" s="18" t="inlineStr">
        <is>
          <t>Extrato BNB agosto/2026 — soma de 2 compras para a loja</t>
        </is>
      </c>
    </row>
    <row r="180">
      <c r="A180" s="44" t="n">
        <v>46265</v>
      </c>
      <c r="B180" s="45" t="inlineStr">
        <is>
          <t>Estacionamento (2 lançamentos)</t>
        </is>
      </c>
      <c r="C180" s="45" t="n"/>
      <c r="D180" s="50" t="n"/>
      <c r="E180" s="45" t="n"/>
      <c r="F180" s="47" t="n"/>
      <c r="G180" s="47" t="n">
        <v>6</v>
      </c>
      <c r="H180" s="49" t="inlineStr">
        <is>
          <t>Transporte e Entregas</t>
        </is>
      </c>
      <c r="I180" s="45" t="inlineStr">
        <is>
          <t>Extrato BNB agosto/2026 — soma de 2 lançamentos de estacionamento</t>
        </is>
      </c>
    </row>
    <row r="181">
      <c r="A181" s="17" t="n">
        <v>46265</v>
      </c>
      <c r="B181" s="18" t="inlineStr">
        <is>
          <t>Gasolina</t>
        </is>
      </c>
      <c r="C181" s="18" t="n"/>
      <c r="D181" s="134" t="n"/>
      <c r="E181" s="18" t="n"/>
      <c r="F181" s="19" t="n"/>
      <c r="G181" s="20" t="n">
        <v>30</v>
      </c>
      <c r="H181" s="21" t="inlineStr">
        <is>
          <t>Transporte e Entregas</t>
        </is>
      </c>
      <c r="I181" s="18" t="n"/>
    </row>
    <row r="182">
      <c r="A182" s="44" t="n">
        <v>46251</v>
      </c>
      <c r="B182" s="45" t="inlineStr">
        <is>
          <t>Cliente de Armando</t>
        </is>
      </c>
      <c r="C182" s="45" t="n"/>
      <c r="D182" s="50" t="n">
        <v>160</v>
      </c>
      <c r="E182" s="45" t="inlineStr">
        <is>
          <t>Crédito Parcelado</t>
        </is>
      </c>
      <c r="F182" s="47" t="n">
        <v>11.18</v>
      </c>
      <c r="G182" s="47" t="n"/>
      <c r="H182" s="49" t="n"/>
      <c r="I182" s="45" t="inlineStr">
        <is>
          <t>Crédito em 3x. Venda do relatório de prestação de contas do Armando (14/09/2026) — lançada em 21/09/2026.</t>
        </is>
      </c>
    </row>
    <row r="183">
      <c r="A183" s="17" t="n">
        <v>46252</v>
      </c>
      <c r="B183" s="18" t="inlineStr">
        <is>
          <t>Cliente de Armando</t>
        </is>
      </c>
      <c r="C183" s="18" t="n"/>
      <c r="D183" s="134" t="n">
        <v>200</v>
      </c>
      <c r="E183" s="18" t="inlineStr">
        <is>
          <t>Crédito Parcelado</t>
        </is>
      </c>
      <c r="F183" s="19" t="n">
        <v>13.98</v>
      </c>
      <c r="G183" s="20" t="n"/>
      <c r="H183" s="21" t="n"/>
      <c r="I183" s="18" t="inlineStr">
        <is>
          <t>Crédito em 2x. Venda do relatório de prestação de contas do Armando (14/09/2026) — lançada em 21/09/2026.</t>
        </is>
      </c>
    </row>
    <row r="184" ht="15.75" customHeight="1" s="157">
      <c r="A184" s="44" t="n"/>
      <c r="B184" s="45" t="n"/>
      <c r="C184" s="45" t="n"/>
      <c r="D184" s="50" t="n"/>
      <c r="E184" s="45" t="n"/>
      <c r="F184" s="47" t="n"/>
      <c r="G184" s="47" t="n"/>
      <c r="H184" s="49" t="n"/>
      <c r="I184" s="45" t="n"/>
    </row>
    <row r="185">
      <c r="A185" s="29" t="n"/>
      <c r="B185" s="43" t="inlineStr">
        <is>
          <t>TOTAL DO MÊS</t>
        </is>
      </c>
      <c r="C185" s="160" t="n"/>
      <c r="D185" s="8">
        <f>SUM(D5:D184)</f>
        <v/>
      </c>
      <c r="E185" s="8" t="n"/>
      <c r="F185" s="29">
        <f>SUM(F5:F184)</f>
        <v/>
      </c>
      <c r="G185" s="8">
        <f>SUM(G5:G184)</f>
        <v/>
      </c>
      <c r="H185" s="29" t="n"/>
      <c r="I185" s="29" t="n"/>
      <c r="K185" s="31" t="n"/>
      <c r="L185" s="31" t="n"/>
    </row>
    <row r="186" ht="15.75" customHeight="1" s="157">
      <c r="A186" s="30" t="n"/>
      <c r="B186" s="133" t="inlineStr">
        <is>
          <t>SALDO DO MÊS (Entradas líquidas − Despesas da loja)</t>
        </is>
      </c>
      <c r="D186" s="132">
        <f>(D185-F185-T5)-(L18-L19)</f>
        <v/>
      </c>
      <c r="F186" s="30" t="n"/>
      <c r="H186" s="30" t="n"/>
      <c r="I186" s="30" t="n"/>
      <c r="K186" s="31" t="n"/>
      <c r="L186" s="31" t="n"/>
    </row>
    <row r="187">
      <c r="K187" s="31" t="n"/>
      <c r="L187" s="31" t="n"/>
    </row>
    <row r="188">
      <c r="K188" s="31" t="n"/>
      <c r="L188" s="31" t="n"/>
    </row>
    <row r="189">
      <c r="K189" s="31" t="n"/>
      <c r="L189" s="31" t="n"/>
    </row>
  </sheetData>
  <mergeCells count="19">
    <mergeCell ref="P4:Q4"/>
    <mergeCell ref="P8:Q9"/>
    <mergeCell ref="T8:U9"/>
    <mergeCell ref="N7:O7"/>
    <mergeCell ref="R4:S4"/>
    <mergeCell ref="T4:U4"/>
    <mergeCell ref="A2:I2"/>
    <mergeCell ref="R7:S7"/>
    <mergeCell ref="P5:Q6"/>
    <mergeCell ref="R5:S6"/>
    <mergeCell ref="R8:S9"/>
    <mergeCell ref="P7:Q7"/>
    <mergeCell ref="T5:U6"/>
    <mergeCell ref="T7:U7"/>
    <mergeCell ref="A1:I1"/>
    <mergeCell ref="K4:L4"/>
    <mergeCell ref="N5:O6"/>
    <mergeCell ref="N4:O4"/>
    <mergeCell ref="N8:O9"/>
  </mergeCells>
  <conditionalFormatting sqref="R7:S7">
    <cfRule type="expression" priority="1" dxfId="1">
      <formula>LEFT($R$7,6)="PASSOU"</formula>
    </cfRule>
  </conditionalFormatting>
  <conditionalFormatting sqref="R8:S9">
    <cfRule type="expression" priority="2" dxfId="0">
      <formula>LEFT($R$7,6)="PASSOU"</formula>
    </cfRule>
  </conditionalFormatting>
  <conditionalFormatting sqref="T8:U9">
    <cfRule type="cellIs" priority="3" operator="lessThan" dxfId="0">
      <formula>0</formula>
    </cfRule>
  </conditionalFormatting>
  <conditionalFormatting sqref="R5:S6">
    <cfRule type="cellIs" priority="4" operator="lessThan" dxfId="0">
      <formula>0</formula>
    </cfRule>
  </conditionalFormatting>
  <dataValidations count="2">
    <dataValidation sqref="E5:E1000" showDropDown="0" showInputMessage="0" showErrorMessage="0" allowBlank="1" errorTitle="Forma de pagamento inválida" error="Selecione uma forma de pagamento da lista." type="list">
      <formula1>"Dinheiro,Pix,Débito,Crédito à Vista,Crédito Parcelado,Aguardando Pagamento"</formula1>
    </dataValidation>
    <dataValidation sqref="H5:H1000" showDropDown="0" showInputMessage="0" showErrorMessage="0" allowBlank="1" errorTitle="Categoria inválida" error="Selecione uma categoria da lista." type="list">
      <formula1>$K$5:$K$17</formula1>
    </dataValidation>
  </dataValidations>
  <hyperlinks>
    <hyperlink ref="A3" location="'Início'!A1" display="← Início"/>
  </hyperlinks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tabColor rgb="FF0F9D8B"/>
    <outlinePr summaryBelow="1" summaryRight="1"/>
    <pageSetUpPr/>
  </sheetPr>
  <dimension ref="A1:U256"/>
  <sheetViews>
    <sheetView showGridLines="0" tabSelected="1" zoomScale="85" zoomScaleNormal="85" workbookViewId="0">
      <pane ySplit="4" topLeftCell="A173" activePane="bottomLeft" state="frozen"/>
      <selection pane="bottomLeft" activeCell="C179" sqref="C179"/>
    </sheetView>
  </sheetViews>
  <sheetFormatPr baseColWidth="8" defaultRowHeight="15"/>
  <cols>
    <col width="13" customWidth="1" style="157" min="1" max="1"/>
    <col width="42" customWidth="1" style="157" min="2" max="2"/>
    <col width="26" customWidth="1" style="157" min="3" max="3"/>
    <col width="14" customWidth="1" style="157" min="4" max="4"/>
    <col width="20" customWidth="1" style="157" min="5" max="5"/>
    <col width="16" customWidth="1" style="157" min="6" max="6"/>
    <col width="14" customWidth="1" style="157" min="7" max="7"/>
    <col width="26" customWidth="1" style="157" min="8" max="8"/>
    <col width="30" customWidth="1" style="157" min="9" max="9"/>
    <col width="11" customWidth="1" style="157" min="10" max="10"/>
    <col width="30" customWidth="1" style="157" min="11" max="11"/>
    <col width="14" customWidth="1" style="157" min="12" max="12"/>
    <col width="3" customWidth="1" style="157" min="13" max="13"/>
    <col width="13" customWidth="1" style="157" min="14" max="21"/>
  </cols>
  <sheetData>
    <row r="1" ht="21" customHeight="1" s="157">
      <c r="A1" s="234" t="inlineStr">
        <is>
          <t>RELATÓRIO FINANCEIRO — SETEMBRO / 2026</t>
        </is>
      </c>
    </row>
    <row r="2">
      <c r="A2" s="195" t="inlineStr">
        <is>
          <t>Fluxo de caixa da loja — entradas e saídas detalhadas por lançamento (lançamento manual)</t>
        </is>
      </c>
    </row>
    <row r="3">
      <c r="A3" s="127" t="inlineStr">
        <is>
          <t>← Início</t>
        </is>
      </c>
    </row>
    <row r="4" ht="30" customHeight="1" s="157">
      <c r="A4" s="76" t="inlineStr">
        <is>
          <t>Data</t>
        </is>
      </c>
      <c r="B4" s="76" t="inlineStr">
        <is>
          <t>Descrição / Cliente</t>
        </is>
      </c>
      <c r="C4" s="76" t="inlineStr">
        <is>
          <t>Produto</t>
        </is>
      </c>
      <c r="D4" s="76" t="inlineStr">
        <is>
          <t>Entrada (R$)</t>
        </is>
      </c>
      <c r="E4" s="76" t="inlineStr">
        <is>
          <t>Forma de Pagamento</t>
        </is>
      </c>
      <c r="F4" s="76" t="inlineStr">
        <is>
          <t>Taxa da Máquina (R$)</t>
        </is>
      </c>
      <c r="G4" s="76" t="inlineStr">
        <is>
          <t>Saída (R$)</t>
        </is>
      </c>
      <c r="H4" s="76" t="inlineStr">
        <is>
          <t>Categoria da Saída</t>
        </is>
      </c>
      <c r="I4" s="76" t="inlineStr">
        <is>
          <t>Observações</t>
        </is>
      </c>
      <c r="J4" s="76" t="inlineStr">
        <is>
          <t>ID Cliente</t>
        </is>
      </c>
      <c r="K4" s="235" t="inlineStr">
        <is>
          <t>Saídas por Categoria</t>
        </is>
      </c>
      <c r="N4" s="237" t="inlineStr">
        <is>
          <t>FATURAMENTO</t>
        </is>
      </c>
      <c r="P4" s="198" t="inlineStr">
        <is>
          <t>DESPESAS</t>
        </is>
      </c>
      <c r="R4" s="199" t="inlineStr">
        <is>
          <t>SALDO ANTES DO PRÓ-LABORE</t>
        </is>
      </c>
      <c r="T4" s="206" t="inlineStr">
        <is>
          <t>A RECEBER</t>
        </is>
      </c>
    </row>
    <row r="5">
      <c r="A5" s="77" t="n">
        <v>46269</v>
      </c>
      <c r="B5" s="78" t="inlineStr">
        <is>
          <t>AGES Irecê (Irecê/BA)</t>
        </is>
      </c>
      <c r="C5" s="78" t="inlineStr">
        <is>
          <t>Refis — troca de julho/2026</t>
        </is>
      </c>
      <c r="D5" s="79" t="n">
        <v>1338.6</v>
      </c>
      <c r="E5" s="78" t="inlineStr">
        <is>
          <t>Pix</t>
        </is>
      </c>
      <c r="F5" s="79" t="n"/>
      <c r="G5" s="79" t="n"/>
      <c r="H5" s="78" t="n"/>
      <c r="I5" s="78" t="inlineStr">
        <is>
          <t>Grupo Ânima — OC AEMPPO00004359 · NF 000.004.294 de 05/08/2026 · prazo 30 dias · vencimento 04/09/2026 (desc. 3%) · previsão de pagamento confirmada no portal V360 em 02/09/2026 · pagamento recebido via Pix em 04/09/2026</t>
        </is>
      </c>
      <c r="J5" s="78" t="inlineStr">
        <is>
          <t>ESC-0005</t>
        </is>
      </c>
      <c r="K5" s="78" t="inlineStr">
        <is>
          <t>Fornecedores / Mercadoria</t>
        </is>
      </c>
      <c r="L5" s="80">
        <f>SUMIF(H5:H254,K5,G5:G254)</f>
        <v/>
      </c>
      <c r="N5" s="236">
        <f>D255-F255-T5</f>
        <v/>
      </c>
      <c r="P5" s="189">
        <f>L18-L19</f>
        <v/>
      </c>
      <c r="R5" s="205">
        <f>D256</f>
        <v/>
      </c>
      <c r="T5" s="204">
        <f>SUMIF(E5:E254,"Aguardando Pagamento",D5:D254)</f>
        <v/>
      </c>
    </row>
    <row r="6">
      <c r="A6" s="81" t="n">
        <v>46269</v>
      </c>
      <c r="B6" s="82" t="inlineStr">
        <is>
          <t>CIS Irecê (Irecê/BA)</t>
        </is>
      </c>
      <c r="C6" s="82" t="inlineStr">
        <is>
          <t>Refis — troca de julho/2026</t>
        </is>
      </c>
      <c r="D6" s="83" t="n">
        <v>1358</v>
      </c>
      <c r="E6" s="82" t="inlineStr">
        <is>
          <t>Pix</t>
        </is>
      </c>
      <c r="F6" s="83" t="n"/>
      <c r="G6" s="83" t="n"/>
      <c r="H6" s="82" t="n"/>
      <c r="I6" s="82" t="inlineStr">
        <is>
          <t>Grupo Ânima — OC AEMPPO00004358 · NF 000.004.295 de 05/08/2026 · prazo 30 dias · vencimento 04/09/2026 (desc. 3%) · previsão de pagamento confirmada no portal V360 em 02/09/2026 · pagamento recebido via Pix em 04/09/2026</t>
        </is>
      </c>
      <c r="K6" s="78" t="inlineStr">
        <is>
          <t>Aluguel</t>
        </is>
      </c>
      <c r="L6" s="80">
        <f>SUMIF(H5:H254,K6,G5:G254)</f>
        <v/>
      </c>
    </row>
    <row r="7">
      <c r="A7" s="77" t="n">
        <v>46273</v>
      </c>
      <c r="B7" s="78" t="inlineStr">
        <is>
          <t>AGES Senhor do Bonfim (S. do Bonfim/BA)</t>
        </is>
      </c>
      <c r="C7" s="78" t="inlineStr">
        <is>
          <t>Refis — troca de julho/2026</t>
        </is>
      </c>
      <c r="D7" s="79" t="n">
        <v>649.9</v>
      </c>
      <c r="E7" s="78" t="inlineStr">
        <is>
          <t>Pix</t>
        </is>
      </c>
      <c r="F7" s="79" t="n"/>
      <c r="G7" s="79" t="n"/>
      <c r="H7" s="78" t="n"/>
      <c r="I7" s="78" t="inlineStr">
        <is>
          <t>Grupo Ânima — OC AEDPO00004751 · NF 000.004.298 de 06/08/2026 · prazo 30 dias · vencimento 05/09/2026 (desc. 3%) · previsão de pagamento confirmada no portal V360 em 02/09/2026 · pagamento recebido via Pix em 08/09/2026</t>
        </is>
      </c>
      <c r="J7" s="78" t="inlineStr">
        <is>
          <t>ESC-0007</t>
        </is>
      </c>
      <c r="K7" s="78" t="inlineStr">
        <is>
          <t>Água, Energia e Internet</t>
        </is>
      </c>
      <c r="L7" s="80">
        <f>SUMIF(H5:H254,K7,G5:G254)</f>
        <v/>
      </c>
      <c r="N7" s="251" t="inlineStr">
        <is>
          <t>PRÓ-LABORE EDILÂNIA</t>
        </is>
      </c>
      <c r="P7" s="252" t="inlineStr">
        <is>
          <t>COMBINADO NO MÊS</t>
        </is>
      </c>
      <c r="R7" s="199">
        <f>IF(L17&gt;'Ponto de Equilíbrio'!$B$10,"PASSOU DO COMBINADO",IF(TODAY()&gt;EOMONTH(DATE(2026,9,1),0),"ABAIXO DO COMBINADO","AINDA PODE GASTAR"))</f>
        <v/>
      </c>
      <c r="T7" s="237" t="inlineStr">
        <is>
          <t>SOBRA FINAL DO MÊS</t>
        </is>
      </c>
    </row>
    <row r="8">
      <c r="A8" s="81" t="n">
        <v>46273</v>
      </c>
      <c r="B8" s="82" t="inlineStr">
        <is>
          <t>CIS Senhor do Bonfim (S. do Bonfim/BA)</t>
        </is>
      </c>
      <c r="C8" s="82" t="inlineStr">
        <is>
          <t>Refis — troca de julho/2026</t>
        </is>
      </c>
      <c r="D8" s="83" t="n">
        <v>562.6</v>
      </c>
      <c r="E8" s="82" t="inlineStr">
        <is>
          <t>Pix</t>
        </is>
      </c>
      <c r="F8" s="83" t="n"/>
      <c r="G8" s="83" t="n"/>
      <c r="H8" s="82" t="n"/>
      <c r="I8" s="82" t="inlineStr">
        <is>
          <t>Grupo Ânima — OC AEDPO00004750 · NF 000.004.299 de 06/08/2026 · prazo 30 dias · vencimento 05/09/2026 (desc. 3%) · previsão de pagamento confirmada no portal V360 em 02/09/2026 · pagamento recebido via Pix em 08/09/2026</t>
        </is>
      </c>
      <c r="K8" s="78" t="inlineStr">
        <is>
          <t>Impostos e Taxas</t>
        </is>
      </c>
      <c r="L8" s="80">
        <f>SUMIF(H5:H254,K8,G5:G254)</f>
        <v/>
      </c>
      <c r="N8" s="250">
        <f>L17</f>
        <v/>
      </c>
      <c r="P8" s="215">
        <f>'Ponto de Equilíbrio'!$B$10</f>
        <v/>
      </c>
      <c r="R8" s="205">
        <f>ABS('Ponto de Equilíbrio'!$B$10-L17)</f>
        <v/>
      </c>
      <c r="T8" s="236">
        <f>R5-L17</f>
        <v/>
      </c>
    </row>
    <row r="9">
      <c r="A9" s="77" t="n">
        <v>46273</v>
      </c>
      <c r="B9" s="78" t="inlineStr">
        <is>
          <t>AGES Paripiranga (Paripiranga/BA)</t>
        </is>
      </c>
      <c r="C9" s="78" t="inlineStr">
        <is>
          <t>Refis — troca de julho/2026</t>
        </is>
      </c>
      <c r="D9" s="79" t="n">
        <v>1086.4</v>
      </c>
      <c r="E9" s="78" t="inlineStr">
        <is>
          <t>Pix</t>
        </is>
      </c>
      <c r="F9" s="79" t="n"/>
      <c r="G9" s="79" t="n"/>
      <c r="H9" s="78" t="n"/>
      <c r="I9" s="78" t="inlineStr">
        <is>
          <t>Grupo Ânima — OC AEDPO00004743 · NF 000.004.300 de 06/08/2026 · prazo 30 dias · vencimento 05/09/2026 (desc. 3%) · previsão de pagamento confirmada no portal V360 em 02/09/2026 · pagamento recebido via Pix em 08/09/2026</t>
        </is>
      </c>
      <c r="J9" s="78" t="inlineStr">
        <is>
          <t>ESC-0006</t>
        </is>
      </c>
      <c r="K9" s="78" t="inlineStr">
        <is>
          <t>Tarifas Bancárias e Cartão</t>
        </is>
      </c>
      <c r="L9" s="80">
        <f>SUMIF(H5:H254,K9,G5:G254)</f>
        <v/>
      </c>
    </row>
    <row r="10">
      <c r="A10" s="81" t="n">
        <v>46273</v>
      </c>
      <c r="B10" s="82" t="inlineStr">
        <is>
          <t>Clínica Veterinária Paripiranga (Paripiranga/BA)</t>
        </is>
      </c>
      <c r="C10" s="82" t="inlineStr">
        <is>
          <t>Refis — troca de julho/2026</t>
        </is>
      </c>
      <c r="D10" s="83" t="n">
        <v>1265.85</v>
      </c>
      <c r="E10" s="82" t="inlineStr">
        <is>
          <t>Pix</t>
        </is>
      </c>
      <c r="F10" s="83" t="n"/>
      <c r="G10" s="83" t="n"/>
      <c r="H10" s="82" t="n"/>
      <c r="I10" s="82" t="inlineStr">
        <is>
          <t>Grupo Ânima — OC AEDPO00004749 · NF 000.004.301 de 06/08/2026 · prazo 30 dias · vencimento 05/09/2026 (desc. 3%) · previsão de pagamento confirmada no portal V360 em 02/09/2026 · pagamento recebido via Pix em 08/09/2026</t>
        </is>
      </c>
      <c r="K10" s="78" t="inlineStr">
        <is>
          <t>Transporte e Entregas</t>
        </is>
      </c>
      <c r="L10" s="80">
        <f>SUMIF(H5:H254,K10,G5:G254)</f>
        <v/>
      </c>
    </row>
    <row r="11">
      <c r="A11" s="77" t="n">
        <v>46273</v>
      </c>
      <c r="B11" s="78" t="inlineStr">
        <is>
          <t>UNP Mossoró (Mossoró/RN)</t>
        </is>
      </c>
      <c r="C11" s="78" t="inlineStr">
        <is>
          <t>Refis — troca de julho/2026</t>
        </is>
      </c>
      <c r="D11" s="79" t="n">
        <v>1867.25</v>
      </c>
      <c r="E11" s="78" t="inlineStr">
        <is>
          <t>Pix</t>
        </is>
      </c>
      <c r="F11" s="79" t="n"/>
      <c r="G11" s="79" t="n"/>
      <c r="H11" s="78" t="n"/>
      <c r="I11" s="78" t="inlineStr">
        <is>
          <t>Grupo Ânima — OC APECPO00019551 · NF 000.004.302 de 06/08/2026 · prazo 30 dias · vencimento 05/09/2026 (desc. 3%) · previsão de pagamento confirmada no portal V360 em 02/09/2026 · pagamento recebido via Pix em 08/09/2026</t>
        </is>
      </c>
      <c r="K11" s="78" t="inlineStr">
        <is>
          <t>Salários, Comissões e Encargos</t>
        </is>
      </c>
      <c r="L11" s="80">
        <f>SUMIF(H5:H254,K11,G5:G254)</f>
        <v/>
      </c>
    </row>
    <row r="12">
      <c r="A12" s="81" t="n">
        <v>46290</v>
      </c>
      <c r="B12" s="82" t="inlineStr">
        <is>
          <t>CIS Jacobina (Jacobina/BA)</t>
        </is>
      </c>
      <c r="C12" s="82" t="inlineStr">
        <is>
          <t>Refis — troca de julho/2026</t>
        </is>
      </c>
      <c r="D12" s="83" t="n">
        <v>2095.2</v>
      </c>
      <c r="E12" s="82" t="inlineStr">
        <is>
          <t>Pix</t>
        </is>
      </c>
      <c r="F12" s="83" t="n"/>
      <c r="G12" s="83" t="n"/>
      <c r="H12" s="82" t="n"/>
      <c r="I12" s="82" t="inlineStr">
        <is>
          <t>Grupo Ânima — OC AEMPPO00004452 · NF 000.004.333 de 26/08/2026 · prazo 30 dias · vencimento 25/09/2026 (desc. 3%) · previsão de pagamento confirmada no portal V360 em 02/09/2026 · pagamento recebido via Pix em 25/09/2026 (Nota Paga no portal V360)</t>
        </is>
      </c>
      <c r="K12" s="78" t="inlineStr">
        <is>
          <t>Contabilidade</t>
        </is>
      </c>
      <c r="L12" s="80">
        <f>SUMIF(H5:H254,K12,G5:G254)</f>
        <v/>
      </c>
    </row>
    <row r="13">
      <c r="A13" s="77" t="n">
        <v>46266</v>
      </c>
      <c r="B13" s="78" t="inlineStr">
        <is>
          <t>Carlos Tubbi</t>
        </is>
      </c>
      <c r="C13" s="78" t="inlineStr">
        <is>
          <t>Refil Everest</t>
        </is>
      </c>
      <c r="D13" s="79" t="n">
        <v>140</v>
      </c>
      <c r="E13" s="78" t="inlineStr">
        <is>
          <t>Dinheiro</t>
        </is>
      </c>
      <c r="F13" s="79" t="n"/>
      <c r="G13" s="79" t="n"/>
      <c r="H13" s="78" t="n"/>
      <c r="I13" s="78" t="n"/>
      <c r="J13" s="78" t="inlineStr">
        <is>
          <t>CLI-0475</t>
        </is>
      </c>
      <c r="K13" s="78" t="inlineStr">
        <is>
          <t>Manutenção e Reparos</t>
        </is>
      </c>
      <c r="L13" s="80">
        <f>SUMIF(H5:H254,K13,G5:G254)</f>
        <v/>
      </c>
    </row>
    <row r="14">
      <c r="A14" s="81" t="n">
        <v>46266</v>
      </c>
      <c r="B14" s="82" t="inlineStr">
        <is>
          <t>Neli Sena Rego</t>
        </is>
      </c>
      <c r="C14" s="82" t="inlineStr">
        <is>
          <t>Refil Pro Life + Conexão + Mangueira</t>
        </is>
      </c>
      <c r="D14" s="83" t="n">
        <v>170</v>
      </c>
      <c r="E14" s="82" t="inlineStr">
        <is>
          <t>Dinheiro</t>
        </is>
      </c>
      <c r="F14" s="83" t="n"/>
      <c r="G14" s="83" t="n"/>
      <c r="H14" s="82" t="n"/>
      <c r="I14" s="82" t="inlineStr">
        <is>
          <t>Vendas de 20 e 21/08/2026 (R$ 140,00 + R$ 40,00) — pagamento recebido em 01/09/2026 com desconto de R$ 10,00</t>
        </is>
      </c>
      <c r="J14" s="82" t="inlineStr">
        <is>
          <t>CLI-0014</t>
        </is>
      </c>
      <c r="K14" s="78" t="inlineStr">
        <is>
          <t>Material de Limpeza e Escritório</t>
        </is>
      </c>
      <c r="L14" s="80">
        <f>SUMIF(H5:H254,K14,G5:G254)</f>
        <v/>
      </c>
    </row>
    <row r="15">
      <c r="A15" s="77" t="n">
        <v>46275</v>
      </c>
      <c r="B15" s="78" t="inlineStr">
        <is>
          <t>Armazem Cecilio Mota</t>
        </is>
      </c>
      <c r="C15" s="78" t="inlineStr">
        <is>
          <t>Refil Everest + Refil Carbon 9"</t>
        </is>
      </c>
      <c r="D15" s="79" t="n">
        <v>225</v>
      </c>
      <c r="E15" s="78" t="inlineStr">
        <is>
          <t>Pix</t>
        </is>
      </c>
      <c r="F15" s="79" t="n"/>
      <c r="G15" s="79" t="n"/>
      <c r="H15" s="78" t="n"/>
      <c r="I15" s="78" t="inlineStr">
        <is>
          <t>Venda de 01/09/2026 — pagamento recebido via Pix em 10/09/2026</t>
        </is>
      </c>
      <c r="J15" s="78" t="inlineStr">
        <is>
          <t>EMP-0014</t>
        </is>
      </c>
      <c r="K15" s="78" t="inlineStr">
        <is>
          <t>Estornos de Vendas (Cancelamentos)</t>
        </is>
      </c>
      <c r="L15" s="80">
        <f>SUMIF(H5:H254,K15,G5:G254)</f>
        <v/>
      </c>
    </row>
    <row r="16">
      <c r="A16" s="81" t="n">
        <v>46266</v>
      </c>
      <c r="B16" s="82" t="inlineStr">
        <is>
          <t>Olindina Maria Santos Goes</t>
        </is>
      </c>
      <c r="C16" s="82" t="inlineStr">
        <is>
          <t>Refil Everest + Mangueira</t>
        </is>
      </c>
      <c r="D16" s="83" t="n">
        <v>150</v>
      </c>
      <c r="E16" s="82" t="inlineStr">
        <is>
          <t>Dinheiro</t>
        </is>
      </c>
      <c r="F16" s="83" t="n"/>
      <c r="G16" s="83" t="n"/>
      <c r="H16" s="82" t="n"/>
      <c r="I16" s="82" t="n"/>
      <c r="J16" s="82" t="inlineStr">
        <is>
          <t>CLI-0460</t>
        </is>
      </c>
      <c r="K16" s="78" t="inlineStr">
        <is>
          <t>Outras Despesas</t>
        </is>
      </c>
      <c r="L16" s="80">
        <f>SUMIF(H5:H254,K16,G5:G254)</f>
        <v/>
      </c>
    </row>
    <row r="17">
      <c r="A17" s="77" t="n">
        <v>46267</v>
      </c>
      <c r="B17" s="78" t="inlineStr">
        <is>
          <t>Clebson Dantas Da Silva</t>
        </is>
      </c>
      <c r="C17" s="78" t="inlineStr">
        <is>
          <t>Refil Everest</t>
        </is>
      </c>
      <c r="D17" s="79" t="n">
        <v>140</v>
      </c>
      <c r="E17" s="78" t="inlineStr">
        <is>
          <t>Pix</t>
        </is>
      </c>
      <c r="F17" s="79" t="n"/>
      <c r="G17" s="79" t="n"/>
      <c r="H17" s="78" t="n"/>
      <c r="I17" s="78" t="inlineStr">
        <is>
          <t>Venda de 01/09/2026 — pagamento recebido em 02/09/2026</t>
        </is>
      </c>
      <c r="J17" s="78" t="inlineStr">
        <is>
          <t>CLI-0465</t>
        </is>
      </c>
      <c r="K17" s="84" t="inlineStr">
        <is>
          <t>Pro Labore Edilânia</t>
        </is>
      </c>
      <c r="L17" s="85">
        <f>SUMIF(H5:H254,K17,G5:G254)</f>
        <v/>
      </c>
    </row>
    <row r="18">
      <c r="A18" s="81" t="n">
        <v>46266</v>
      </c>
      <c r="B18" s="82" t="inlineStr">
        <is>
          <t>RC Produtos Naturais - Renilde Teixeira</t>
        </is>
      </c>
      <c r="C18" s="82" t="inlineStr">
        <is>
          <t>Purificador Everest Baby Cereja + Pré Filtro</t>
        </is>
      </c>
      <c r="D18" s="83" t="n">
        <v>400</v>
      </c>
      <c r="E18" s="82" t="inlineStr">
        <is>
          <t>Dinheiro</t>
        </is>
      </c>
      <c r="F18" s="83" t="n"/>
      <c r="G18" s="83" t="n"/>
      <c r="H18" s="82" t="n"/>
      <c r="I18" s="82" t="n"/>
      <c r="J18" s="82" t="inlineStr">
        <is>
          <t>EMP-0311</t>
        </is>
      </c>
      <c r="K18" s="86" t="inlineStr">
        <is>
          <t>Total</t>
        </is>
      </c>
      <c r="L18" s="87">
        <f>SUM(L5:L16)</f>
        <v/>
      </c>
    </row>
    <row r="19">
      <c r="A19" s="77" t="n">
        <v>46266</v>
      </c>
      <c r="B19" s="78" t="inlineStr">
        <is>
          <t>Joselita Alves Da Silva</t>
        </is>
      </c>
      <c r="C19" s="78" t="inlineStr">
        <is>
          <t>Refil Pro Life</t>
        </is>
      </c>
      <c r="D19" s="79" t="n">
        <v>140</v>
      </c>
      <c r="E19" s="78" t="inlineStr">
        <is>
          <t>Débito</t>
        </is>
      </c>
      <c r="F19" s="79" t="n">
        <v>2.03</v>
      </c>
      <c r="G19" s="79" t="n"/>
      <c r="H19" s="78" t="n"/>
      <c r="I19" s="78" t="n"/>
      <c r="J19" s="78" t="inlineStr">
        <is>
          <t>CLI-0472</t>
        </is>
      </c>
      <c r="K19" s="88" t="inlineStr">
        <is>
          <t>Capital de Giro (BB) — ainda a devolver</t>
        </is>
      </c>
      <c r="L19" s="89">
        <f>SUMIFS('Capital de Giro (BB)'!D9:D200,'Capital de Giro (BB)'!A9:A200,"&gt;="&amp;DATE(2026,9,1),'Capital de Giro (BB)'!A9:A200,"&lt;="&amp;DATE(2026,9,30),'Capital de Giro (BB)'!E9:E200,"A Devolver")</f>
        <v/>
      </c>
    </row>
    <row r="20">
      <c r="A20" s="81" t="n">
        <v>46266</v>
      </c>
      <c r="B20" s="82" t="inlineStr">
        <is>
          <t>Dalcira</t>
        </is>
      </c>
      <c r="C20" s="82" t="inlineStr">
        <is>
          <t>Refil Pro Life + Pré Filtro</t>
        </is>
      </c>
      <c r="D20" s="83" t="n">
        <v>190</v>
      </c>
      <c r="E20" s="82" t="inlineStr">
        <is>
          <t>Dinheiro</t>
        </is>
      </c>
      <c r="F20" s="83" t="n"/>
      <c r="G20" s="83" t="n"/>
      <c r="H20" s="82" t="n"/>
      <c r="I20" s="82" t="n"/>
      <c r="J20" s="82" t="inlineStr">
        <is>
          <t>CLI-0474</t>
        </is>
      </c>
    </row>
    <row r="21">
      <c r="A21" s="77" t="n">
        <v>46266</v>
      </c>
      <c r="B21" s="78" t="inlineStr">
        <is>
          <t>Maria Adriana Lima</t>
        </is>
      </c>
      <c r="C21" s="78" t="inlineStr">
        <is>
          <t>Refil Everest + Pré Filtro</t>
        </is>
      </c>
      <c r="D21" s="79" t="n">
        <v>200</v>
      </c>
      <c r="E21" s="78" t="inlineStr">
        <is>
          <t>Dinheiro</t>
        </is>
      </c>
      <c r="F21" s="79" t="n"/>
      <c r="G21" s="79" t="n"/>
      <c r="H21" s="78" t="n"/>
      <c r="I21" s="78" t="n"/>
      <c r="J21" s="78" t="inlineStr">
        <is>
          <t>CLI-0482</t>
        </is>
      </c>
    </row>
    <row r="22">
      <c r="A22" s="81" t="n">
        <v>46266</v>
      </c>
      <c r="B22" s="82" t="inlineStr">
        <is>
          <t>Vitoria Maria F Santos</t>
        </is>
      </c>
      <c r="C22" s="82" t="n"/>
      <c r="D22" s="83" t="n"/>
      <c r="E22" s="82" t="n"/>
      <c r="F22" s="83" t="n"/>
      <c r="G22" s="83" t="n">
        <v>880</v>
      </c>
      <c r="H22" s="82" t="inlineStr">
        <is>
          <t>Aluguel</t>
        </is>
      </c>
      <c r="I22" s="82" t="inlineStr">
        <is>
          <t>Aluguel da loja — referente a setembro/2026</t>
        </is>
      </c>
    </row>
    <row r="23">
      <c r="A23" s="77" t="n">
        <v>46266</v>
      </c>
      <c r="B23" s="78" t="inlineStr">
        <is>
          <t>Conta de Água Adriano</t>
        </is>
      </c>
      <c r="C23" s="78" t="n"/>
      <c r="D23" s="79" t="n"/>
      <c r="E23" s="78" t="n"/>
      <c r="F23" s="79" t="n"/>
      <c r="G23" s="79" t="n">
        <v>50.08</v>
      </c>
      <c r="H23" s="78" t="inlineStr">
        <is>
          <t>Pro Labore Edilânia</t>
        </is>
      </c>
      <c r="I23" s="78" t="n"/>
    </row>
    <row r="24">
      <c r="A24" s="81" t="n">
        <v>46273</v>
      </c>
      <c r="B24" s="82" t="inlineStr">
        <is>
          <t>Tesla Imagem Medicina Diagnostica Ltda</t>
        </is>
      </c>
      <c r="C24" s="82" t="inlineStr">
        <is>
          <t>3x Refil Everest + 2x Pré Filtro</t>
        </is>
      </c>
      <c r="D24" s="83" t="n">
        <v>540</v>
      </c>
      <c r="E24" s="82" t="inlineStr">
        <is>
          <t>Pix</t>
        </is>
      </c>
      <c r="F24" s="83" t="n"/>
      <c r="G24" s="83" t="n"/>
      <c r="H24" s="82" t="n"/>
      <c r="I24" s="82" t="inlineStr">
        <is>
          <t>Venda de 02/09/2026 — pagamento recebido via Pix em 08/09/2026</t>
        </is>
      </c>
      <c r="J24" s="82" t="inlineStr">
        <is>
          <t>EMP-0289</t>
        </is>
      </c>
    </row>
    <row r="25">
      <c r="A25" s="77" t="n">
        <v>46267</v>
      </c>
      <c r="B25" s="78" t="inlineStr">
        <is>
          <t>Javan Palace Hotel - Rosa Bruno</t>
        </is>
      </c>
      <c r="C25" s="78" t="inlineStr">
        <is>
          <t>Refil Everest</t>
        </is>
      </c>
      <c r="D25" s="79" t="n">
        <v>140</v>
      </c>
      <c r="E25" s="78" t="inlineStr">
        <is>
          <t>Dinheiro</t>
        </is>
      </c>
      <c r="F25" s="79" t="n"/>
      <c r="G25" s="79" t="n"/>
      <c r="H25" s="78" t="n"/>
      <c r="I25" s="78" t="n"/>
      <c r="J25" s="78" t="inlineStr">
        <is>
          <t>EMP-0196</t>
        </is>
      </c>
    </row>
    <row r="26">
      <c r="A26" s="81" t="n">
        <v>46267</v>
      </c>
      <c r="B26" s="82" t="inlineStr">
        <is>
          <t>Ozirema Silva Santos</t>
        </is>
      </c>
      <c r="C26" s="82" t="inlineStr">
        <is>
          <t>Purificador Everest Fit Branco</t>
        </is>
      </c>
      <c r="D26" s="83" t="n">
        <v>1379</v>
      </c>
      <c r="E26" s="82" t="inlineStr">
        <is>
          <t>Crédito Parcelado</t>
        </is>
      </c>
      <c r="F26" s="83" t="n">
        <v>137.76</v>
      </c>
      <c r="G26" s="83" t="n"/>
      <c r="H26" s="82" t="n"/>
      <c r="I26" s="82" t="inlineStr">
        <is>
          <t>Crédito em 5x</t>
        </is>
      </c>
      <c r="J26" s="82" t="inlineStr">
        <is>
          <t>CLI-0888</t>
        </is>
      </c>
    </row>
    <row r="27">
      <c r="A27" s="77" t="n">
        <v>46275</v>
      </c>
      <c r="B27" s="78" t="inlineStr">
        <is>
          <t>Cecilio Mota Junior</t>
        </is>
      </c>
      <c r="C27" s="78" t="inlineStr">
        <is>
          <t>Refil Everest</t>
        </is>
      </c>
      <c r="D27" s="79" t="n">
        <v>140</v>
      </c>
      <c r="E27" s="78" t="inlineStr">
        <is>
          <t>Pix</t>
        </is>
      </c>
      <c r="F27" s="79" t="n"/>
      <c r="G27" s="79" t="n"/>
      <c r="H27" s="78" t="n"/>
      <c r="I27" s="78" t="inlineStr">
        <is>
          <t>Venda de 02/09/2026 — pagamento recebido via Pix em 10/09/2026</t>
        </is>
      </c>
      <c r="J27" s="78" t="inlineStr">
        <is>
          <t>CLI-0473</t>
        </is>
      </c>
    </row>
    <row r="28">
      <c r="A28" s="81" t="n">
        <v>46268</v>
      </c>
      <c r="B28" s="82" t="inlineStr">
        <is>
          <t>Diane Oliveira dos Santos</t>
        </is>
      </c>
      <c r="C28" s="82" t="inlineStr">
        <is>
          <t>Refil Everest</t>
        </is>
      </c>
      <c r="D28" s="83" t="n">
        <v>145</v>
      </c>
      <c r="E28" s="82" t="inlineStr">
        <is>
          <t>Crédito Parcelado</t>
        </is>
      </c>
      <c r="F28" s="83" t="n">
        <v>10.14</v>
      </c>
      <c r="G28" s="83" t="n"/>
      <c r="H28" s="82" t="n"/>
      <c r="I28" s="82" t="inlineStr">
        <is>
          <t>Crédito em 3x</t>
        </is>
      </c>
      <c r="J28" s="82" t="inlineStr">
        <is>
          <t>CLI-0064</t>
        </is>
      </c>
    </row>
    <row r="29">
      <c r="A29" s="77" t="n">
        <v>46268</v>
      </c>
      <c r="B29" s="78" t="inlineStr">
        <is>
          <t>Helena Henrique Santos</t>
        </is>
      </c>
      <c r="C29" s="78" t="inlineStr">
        <is>
          <t>Refil Pro Life</t>
        </is>
      </c>
      <c r="D29" s="79" t="n">
        <v>120</v>
      </c>
      <c r="E29" s="78" t="inlineStr">
        <is>
          <t>Dinheiro</t>
        </is>
      </c>
      <c r="F29" s="79" t="n"/>
      <c r="G29" s="79" t="n"/>
      <c r="H29" s="78" t="n"/>
      <c r="I29" s="78" t="n"/>
      <c r="J29" s="78" t="inlineStr">
        <is>
          <t>CLI-0452</t>
        </is>
      </c>
    </row>
    <row r="30">
      <c r="A30" s="81" t="n">
        <v>46269</v>
      </c>
      <c r="B30" s="82" t="inlineStr">
        <is>
          <t>Tereza Cristina Aquino Martins - Luiz Augusto</t>
        </is>
      </c>
      <c r="C30" s="82" t="inlineStr">
        <is>
          <t>Refil Everest + Pré Filtro</t>
        </is>
      </c>
      <c r="D30" s="83" t="n">
        <v>200</v>
      </c>
      <c r="E30" s="82" t="inlineStr">
        <is>
          <t>Pix</t>
        </is>
      </c>
      <c r="F30" s="83" t="n"/>
      <c r="G30" s="83" t="n"/>
      <c r="H30" s="82" t="n"/>
      <c r="I30" s="82" t="inlineStr">
        <is>
          <t>Venda de 03/09/2026 — pagamento recebido via Pix em 04/09/2026</t>
        </is>
      </c>
      <c r="J30" s="82" t="inlineStr">
        <is>
          <t>CLI-0483</t>
        </is>
      </c>
    </row>
    <row r="31">
      <c r="A31" s="77" t="n">
        <v>46267</v>
      </c>
      <c r="B31" s="78" t="inlineStr">
        <is>
          <t>Compra de Velas Tripla Ação (12 un.) - Filtro de Barro</t>
        </is>
      </c>
      <c r="C31" s="78" t="n"/>
      <c r="D31" s="79" t="n"/>
      <c r="E31" s="78" t="n"/>
      <c r="F31" s="79" t="n"/>
      <c r="G31" s="79" t="n">
        <v>124.73</v>
      </c>
      <c r="H31" s="78" t="inlineStr">
        <is>
          <t>Fornecedores / Mercadoria</t>
        </is>
      </c>
      <c r="I31" s="78" t="inlineStr">
        <is>
          <t>Boleto Santander pago por Edilânia — venc. 02/09/2026</t>
        </is>
      </c>
    </row>
    <row r="32">
      <c r="A32" s="81" t="n">
        <v>46268</v>
      </c>
      <c r="B32" s="82" t="inlineStr">
        <is>
          <t>Acerto de Armando</t>
        </is>
      </c>
      <c r="C32" s="82" t="n"/>
      <c r="D32" s="83" t="n">
        <v>900</v>
      </c>
      <c r="E32" s="82" t="inlineStr">
        <is>
          <t>Dinheiro</t>
        </is>
      </c>
      <c r="F32" s="83" t="n"/>
      <c r="G32" s="83" t="n"/>
      <c r="H32" s="82" t="n"/>
      <c r="I32" s="82" t="n"/>
    </row>
    <row r="33">
      <c r="A33" s="77" t="n">
        <v>46267</v>
      </c>
      <c r="B33" s="78" t="inlineStr">
        <is>
          <t>Free Way</t>
        </is>
      </c>
      <c r="C33" s="78" t="inlineStr">
        <is>
          <t>5x Refil Everest</t>
        </is>
      </c>
      <c r="D33" s="79" t="n">
        <v>700</v>
      </c>
      <c r="E33" s="78" t="inlineStr">
        <is>
          <t>Pix</t>
        </is>
      </c>
      <c r="F33" s="79" t="n"/>
      <c r="G33" s="79" t="n"/>
      <c r="H33" s="78" t="n"/>
      <c r="I33" s="78" t="inlineStr">
        <is>
          <t>Venda de 17/08/2026 — pagamento recebido em 02/09/2026 via TED</t>
        </is>
      </c>
      <c r="J33" s="78" t="inlineStr">
        <is>
          <t>EMP-0156</t>
        </is>
      </c>
    </row>
    <row r="34">
      <c r="A34" s="81" t="n">
        <v>46266</v>
      </c>
      <c r="B34" s="82" t="inlineStr">
        <is>
          <t>Clube dos Mineiros</t>
        </is>
      </c>
      <c r="C34" s="82" t="inlineStr">
        <is>
          <t>Refil Pro Life</t>
        </is>
      </c>
      <c r="D34" s="83" t="n">
        <v>150</v>
      </c>
      <c r="E34" s="82" t="inlineStr">
        <is>
          <t>Pix</t>
        </is>
      </c>
      <c r="F34" s="83" t="n"/>
      <c r="G34" s="83" t="n"/>
      <c r="H34" s="82" t="n"/>
      <c r="I34" s="82" t="inlineStr">
        <is>
          <t>Venda de 31/08/2026 — pagamento recebido em 01/09/2026 via Pix (Sindicato dos Mineiros de Jacobina)</t>
        </is>
      </c>
      <c r="J34" s="82" t="inlineStr">
        <is>
          <t>EMP-0179</t>
        </is>
      </c>
    </row>
    <row r="35">
      <c r="A35" s="77" t="n">
        <v>46268</v>
      </c>
      <c r="B35" s="78" t="inlineStr">
        <is>
          <t>Eletronic Segurança Eletronica</t>
        </is>
      </c>
      <c r="C35" s="78" t="inlineStr">
        <is>
          <t>Pré Filtro</t>
        </is>
      </c>
      <c r="D35" s="79" t="n">
        <v>60</v>
      </c>
      <c r="E35" s="78" t="inlineStr">
        <is>
          <t>Pix</t>
        </is>
      </c>
      <c r="F35" s="79" t="n"/>
      <c r="G35" s="79" t="n"/>
      <c r="H35" s="78" t="n"/>
      <c r="I35" s="78" t="inlineStr">
        <is>
          <t>Venda de 31/08/2026 — pagamento recebido em 03/09/2026 via Pix</t>
        </is>
      </c>
      <c r="J35" s="78" t="inlineStr">
        <is>
          <t>EMP-0133</t>
        </is>
      </c>
    </row>
    <row r="36">
      <c r="A36" s="81" t="n">
        <v>46267</v>
      </c>
      <c r="B36" s="82" t="inlineStr">
        <is>
          <t>Filtros Planeta Água</t>
        </is>
      </c>
      <c r="C36" s="82" t="n"/>
      <c r="D36" s="83" t="n"/>
      <c r="E36" s="82" t="n"/>
      <c r="F36" s="83" t="n"/>
      <c r="G36" s="83" t="n">
        <v>1385.85</v>
      </c>
      <c r="H36" s="82" t="inlineStr">
        <is>
          <t>Fornecedores / Mercadoria</t>
        </is>
      </c>
      <c r="I36" s="82" t="inlineStr">
        <is>
          <t>Boleto doc. 131997 (emissão 08/07/2026) — venc. 02/09/2026 · Compra total R$ 5.831,67 (IPI R$ 288,26): 5x Refil Fp4 + 8x Refil Carbon Tech 5 Pol + 120x Refil E3 + 90x Refil Pre-E3 + 10x Refil Top Multifilter + 4x Refil Fpa16</t>
        </is>
      </c>
    </row>
    <row r="37">
      <c r="A37" s="77" t="n">
        <v>46268</v>
      </c>
      <c r="B37" s="78" t="inlineStr">
        <is>
          <t>Everest Refrigeração</t>
        </is>
      </c>
      <c r="C37" s="78" t="n"/>
      <c r="D37" s="79" t="n"/>
      <c r="E37" s="78" t="n"/>
      <c r="F37" s="79" t="n"/>
      <c r="G37" s="79" t="n">
        <v>706.67</v>
      </c>
      <c r="H37" s="78" t="inlineStr">
        <is>
          <t>Fornecedores / Mercadoria</t>
        </is>
      </c>
      <c r="I37" s="78" t="inlineStr">
        <is>
          <t>Boleto doc. 374271 (emissão 06/04/2026) — venc. 03/09/2026 · Compra total R$ 3.533,27: Purificador Everest Plus Prata + Purificador Everest Star Branco + Purificador Everest Star Preto + Purificador Everest Slim Prata + Purificador Everest Fit Branco</t>
        </is>
      </c>
    </row>
    <row r="38">
      <c r="A38" s="81" t="n">
        <v>46268</v>
      </c>
      <c r="B38" s="82" t="inlineStr">
        <is>
          <t>Consumidor Final</t>
        </is>
      </c>
      <c r="C38" s="82" t="inlineStr">
        <is>
          <t>Refil Carbon 7" + Carcaça 7"</t>
        </is>
      </c>
      <c r="D38" s="83" t="n">
        <v>170</v>
      </c>
      <c r="E38" s="82" t="inlineStr">
        <is>
          <t>Débito</t>
        </is>
      </c>
      <c r="F38" s="83" t="n">
        <v>2.46</v>
      </c>
      <c r="G38" s="83" t="n"/>
      <c r="H38" s="82" t="n"/>
      <c r="I38" s="82" t="n"/>
    </row>
    <row r="39">
      <c r="A39" s="77" t="n">
        <v>46269</v>
      </c>
      <c r="B39" s="78" t="inlineStr">
        <is>
          <t>Eversoft</t>
        </is>
      </c>
      <c r="C39" s="78" t="n"/>
      <c r="D39" s="79" t="n"/>
      <c r="E39" s="78" t="n"/>
      <c r="F39" s="79" t="n"/>
      <c r="G39" s="79" t="n">
        <v>980.83</v>
      </c>
      <c r="H39" s="78" t="inlineStr">
        <is>
          <t>Fornecedores / Mercadoria</t>
        </is>
      </c>
      <c r="I39" s="78" t="inlineStr">
        <is>
          <t>Boleto doc. 72869 (emissão 07/05/2026) — venc. 04/09/2026. Pago em 04/09/2026 pelo Banco do Nordeste, DOC 5301 · Compra total R$ 4.904,13: 100x Refil Everest + 50x Pré Filtro</t>
        </is>
      </c>
    </row>
    <row r="40">
      <c r="A40" s="81" t="n">
        <v>46268</v>
      </c>
      <c r="B40" s="82" t="inlineStr">
        <is>
          <t>Lucas Souza</t>
        </is>
      </c>
      <c r="C40" s="82" t="inlineStr">
        <is>
          <t>Refil Everest + Pré Filtro</t>
        </is>
      </c>
      <c r="D40" s="83" t="n">
        <v>200</v>
      </c>
      <c r="E40" s="82" t="inlineStr">
        <is>
          <t>Dinheiro</t>
        </is>
      </c>
      <c r="F40" s="83" t="n"/>
      <c r="G40" s="83" t="n"/>
      <c r="H40" s="82" t="n"/>
      <c r="I40" s="82" t="inlineStr">
        <is>
          <t>Venda de 27/08/2026 — pagamento recebido em dinheiro em 03/09/2026</t>
        </is>
      </c>
      <c r="J40" s="82" t="inlineStr">
        <is>
          <t>CLI-0494</t>
        </is>
      </c>
    </row>
    <row r="41">
      <c r="A41" s="77" t="n">
        <v>46268</v>
      </c>
      <c r="B41" s="78" t="inlineStr">
        <is>
          <t>Frutos de Goiás - Rivael Sousa Santos</t>
        </is>
      </c>
      <c r="C41" s="78" t="inlineStr">
        <is>
          <t>Refil Everest</t>
        </is>
      </c>
      <c r="D41" s="79" t="n">
        <v>140</v>
      </c>
      <c r="E41" s="78" t="inlineStr">
        <is>
          <t>Pix</t>
        </is>
      </c>
      <c r="F41" s="79" t="n"/>
      <c r="G41" s="79" t="n"/>
      <c r="H41" s="78" t="n"/>
      <c r="I41" s="78" t="n"/>
      <c r="J41" s="78" t="inlineStr">
        <is>
          <t>EMP-0312</t>
        </is>
      </c>
    </row>
    <row r="42">
      <c r="A42" s="81" t="n">
        <v>46267</v>
      </c>
      <c r="B42" s="82" t="inlineStr">
        <is>
          <t>Andrea Dias Rocha (Blogueira) — Permuta</t>
        </is>
      </c>
      <c r="C42" s="82" t="inlineStr">
        <is>
          <t>Purificador Everest Fit Prata</t>
        </is>
      </c>
      <c r="D42" s="83" t="n">
        <v>0</v>
      </c>
      <c r="E42" s="82" t="n"/>
      <c r="F42" s="83" t="n"/>
      <c r="G42" s="83" t="n"/>
      <c r="H42" s="82" t="n"/>
      <c r="I42" s="82" t="inlineStr">
        <is>
          <t>Permuta: purificador entregue em troca de divulgação no Instagram (instalação em 02/09/2026). Sem entrada em caixa — valor de tabela do aparelho R$ 1.366,00.</t>
        </is>
      </c>
      <c r="J42" s="82" t="inlineStr">
        <is>
          <t>CLI-0844</t>
        </is>
      </c>
    </row>
    <row r="43">
      <c r="A43" s="77" t="n">
        <v>46269</v>
      </c>
      <c r="B43" s="78" t="inlineStr">
        <is>
          <t>DS Transportes</t>
        </is>
      </c>
      <c r="C43" s="78" t="inlineStr">
        <is>
          <t>Refil Everest</t>
        </is>
      </c>
      <c r="D43" s="79" t="n">
        <v>140</v>
      </c>
      <c r="E43" s="78" t="inlineStr">
        <is>
          <t>Pix</t>
        </is>
      </c>
      <c r="F43" s="79" t="n"/>
      <c r="G43" s="79" t="n"/>
      <c r="H43" s="78" t="n"/>
      <c r="I43" s="78" t="n"/>
      <c r="J43" s="78" t="inlineStr">
        <is>
          <t>EMP-0313</t>
        </is>
      </c>
    </row>
    <row r="44">
      <c r="A44" s="81" t="n">
        <v>46269</v>
      </c>
      <c r="B44" s="82" t="inlineStr">
        <is>
          <t>Sabrina Valois</t>
        </is>
      </c>
      <c r="C44" s="82" t="inlineStr">
        <is>
          <t>Refil Everest</t>
        </is>
      </c>
      <c r="D44" s="83" t="n">
        <v>140</v>
      </c>
      <c r="E44" s="82" t="inlineStr">
        <is>
          <t>Pix</t>
        </is>
      </c>
      <c r="F44" s="83" t="n"/>
      <c r="G44" s="83" t="n"/>
      <c r="H44" s="82" t="n"/>
      <c r="I44" s="82" t="n"/>
      <c r="J44" s="82" t="inlineStr">
        <is>
          <t>CLI-0889</t>
        </is>
      </c>
    </row>
    <row r="45">
      <c r="A45" s="77" t="n">
        <v>46269</v>
      </c>
      <c r="B45" s="78" t="inlineStr">
        <is>
          <t>José Henrique Silva Lima - Naiara Freire</t>
        </is>
      </c>
      <c r="C45" s="78" t="inlineStr">
        <is>
          <t>Refil Everest</t>
        </is>
      </c>
      <c r="D45" s="79" t="n">
        <v>140</v>
      </c>
      <c r="E45" s="78" t="inlineStr">
        <is>
          <t>Pix</t>
        </is>
      </c>
      <c r="F45" s="79" t="n"/>
      <c r="G45" s="79" t="n"/>
      <c r="H45" s="78" t="n"/>
      <c r="I45" s="78" t="n"/>
      <c r="J45" s="78" t="inlineStr">
        <is>
          <t>CLI-0630</t>
        </is>
      </c>
    </row>
    <row r="46">
      <c r="A46" s="81" t="n">
        <v>46269</v>
      </c>
      <c r="B46" s="82" t="inlineStr">
        <is>
          <t>Maria Alzete Santana</t>
        </is>
      </c>
      <c r="C46" s="82" t="inlineStr">
        <is>
          <t>Refil Everest</t>
        </is>
      </c>
      <c r="D46" s="83" t="n">
        <v>135</v>
      </c>
      <c r="E46" s="82" t="inlineStr">
        <is>
          <t>Pix</t>
        </is>
      </c>
      <c r="F46" s="83" t="n"/>
      <c r="G46" s="83" t="n"/>
      <c r="H46" s="82" t="n"/>
      <c r="I46" s="82" t="n"/>
      <c r="J46" s="82" t="inlineStr">
        <is>
          <t>CLI-0419</t>
        </is>
      </c>
    </row>
    <row r="47">
      <c r="A47" s="77" t="n">
        <v>46275</v>
      </c>
      <c r="B47" s="78" t="inlineStr">
        <is>
          <t>Samille Fiscina Lima Lordello - Tiago (Cartório)</t>
        </is>
      </c>
      <c r="C47" s="78" t="inlineStr">
        <is>
          <t>Refil Pro Life</t>
        </is>
      </c>
      <c r="D47" s="79" t="n">
        <v>140</v>
      </c>
      <c r="E47" s="78" t="inlineStr">
        <is>
          <t>Pix</t>
        </is>
      </c>
      <c r="F47" s="79" t="n"/>
      <c r="G47" s="79" t="n"/>
      <c r="H47" s="78" t="n"/>
      <c r="I47" s="78" t="inlineStr">
        <is>
          <t>Venda de 04/09/2026 — pagamento recebido via Pix em 10/09/2026</t>
        </is>
      </c>
      <c r="J47" s="78" t="inlineStr">
        <is>
          <t>CLI-0508</t>
        </is>
      </c>
    </row>
    <row r="48">
      <c r="A48" s="81" t="n">
        <v>46269</v>
      </c>
      <c r="B48" s="82" t="inlineStr">
        <is>
          <t>Luciane Martins de Souza Santos</t>
        </is>
      </c>
      <c r="C48" s="82" t="inlineStr">
        <is>
          <t>Refil Everest</t>
        </is>
      </c>
      <c r="D48" s="83" t="n">
        <v>140</v>
      </c>
      <c r="E48" s="82" t="inlineStr">
        <is>
          <t>Dinheiro</t>
        </is>
      </c>
      <c r="F48" s="83" t="n"/>
      <c r="G48" s="83" t="n"/>
      <c r="H48" s="82" t="n"/>
      <c r="I48" s="82" t="n"/>
      <c r="J48" s="82" t="inlineStr">
        <is>
          <t>CLI-0035</t>
        </is>
      </c>
    </row>
    <row r="49">
      <c r="A49" s="77" t="n">
        <v>46268</v>
      </c>
      <c r="B49" s="78" t="inlineStr">
        <is>
          <t>Consumidor Final</t>
        </is>
      </c>
      <c r="C49" s="78" t="inlineStr">
        <is>
          <t>Refil Universal + Filtro Bica Móvel</t>
        </is>
      </c>
      <c r="D49" s="79" t="n">
        <v>110</v>
      </c>
      <c r="E49" s="78" t="inlineStr">
        <is>
          <t>Dinheiro</t>
        </is>
      </c>
      <c r="F49" s="79" t="n"/>
      <c r="G49" s="79" t="n"/>
      <c r="H49" s="78" t="n"/>
      <c r="I49" s="78" t="n"/>
    </row>
    <row r="50">
      <c r="A50" s="81" t="n">
        <v>46273</v>
      </c>
      <c r="B50" s="82" t="inlineStr">
        <is>
          <t>Consumidor Final</t>
        </is>
      </c>
      <c r="C50" s="82" t="inlineStr">
        <is>
          <t>Suporte Everest</t>
        </is>
      </c>
      <c r="D50" s="83" t="n">
        <v>35</v>
      </c>
      <c r="E50" s="82" t="inlineStr">
        <is>
          <t>Dinheiro</t>
        </is>
      </c>
      <c r="F50" s="83" t="n"/>
      <c r="G50" s="83" t="n"/>
      <c r="H50" s="82" t="n"/>
      <c r="I50" s="82" t="n"/>
    </row>
    <row r="51">
      <c r="A51" s="77" t="n">
        <v>46273</v>
      </c>
      <c r="B51" s="78" t="inlineStr">
        <is>
          <t>Instituto Paulo Leão</t>
        </is>
      </c>
      <c r="C51" s="78" t="inlineStr">
        <is>
          <t>Refil E3 + Pré Filtro</t>
        </is>
      </c>
      <c r="D51" s="79" t="n">
        <v>160</v>
      </c>
      <c r="E51" s="78" t="inlineStr">
        <is>
          <t>Pix</t>
        </is>
      </c>
      <c r="F51" s="79" t="n"/>
      <c r="G51" s="79" t="n"/>
      <c r="H51" s="78" t="n"/>
      <c r="I51" s="78" t="inlineStr">
        <is>
          <t>Venda de 31/08/2026 — pagamento recebido via Pix em 08/09/2026</t>
        </is>
      </c>
      <c r="J51" s="78" t="inlineStr">
        <is>
          <t>EMP-0183</t>
        </is>
      </c>
    </row>
    <row r="52">
      <c r="A52" s="81" t="n">
        <v>46273</v>
      </c>
      <c r="B52" s="82" t="inlineStr">
        <is>
          <t>Crédito Celular da Loja</t>
        </is>
      </c>
      <c r="C52" s="82" t="n"/>
      <c r="D52" s="83" t="n"/>
      <c r="E52" s="82" t="n"/>
      <c r="F52" s="83" t="n"/>
      <c r="G52" s="83" t="n">
        <v>25</v>
      </c>
      <c r="H52" s="82" t="inlineStr">
        <is>
          <t>Outras Despesas</t>
        </is>
      </c>
      <c r="I52" s="82" t="n"/>
    </row>
    <row r="53">
      <c r="A53" s="77" t="n">
        <v>46273</v>
      </c>
      <c r="B53" s="78" t="inlineStr">
        <is>
          <t>Edileia Santana Lima</t>
        </is>
      </c>
      <c r="C53" s="78" t="inlineStr">
        <is>
          <t>Purificador Everest Fit Branco</t>
        </is>
      </c>
      <c r="D53" s="79" t="n">
        <v>1429</v>
      </c>
      <c r="E53" s="78" t="inlineStr">
        <is>
          <t>Crédito Parcelado</t>
        </is>
      </c>
      <c r="F53" s="79" t="n">
        <v>199.92</v>
      </c>
      <c r="G53" s="79" t="n"/>
      <c r="H53" s="78" t="n"/>
      <c r="I53" s="78" t="inlineStr">
        <is>
          <t>Crédito em 10x</t>
        </is>
      </c>
      <c r="J53" s="78" t="inlineStr">
        <is>
          <t>CLI-0890</t>
        </is>
      </c>
    </row>
    <row r="54">
      <c r="A54" s="81" t="n">
        <v>46273</v>
      </c>
      <c r="B54" s="82" t="inlineStr">
        <is>
          <t>Luiz Junior</t>
        </is>
      </c>
      <c r="C54" s="82" t="inlineStr">
        <is>
          <t>Refil Pro Life</t>
        </is>
      </c>
      <c r="D54" s="83" t="n">
        <v>130</v>
      </c>
      <c r="E54" s="82" t="inlineStr">
        <is>
          <t>Dinheiro</t>
        </is>
      </c>
      <c r="F54" s="83" t="n"/>
      <c r="G54" s="83" t="n"/>
      <c r="H54" s="82" t="n"/>
      <c r="I54" s="82" t="n"/>
      <c r="J54" s="82" t="inlineStr">
        <is>
          <t>CLI-0441</t>
        </is>
      </c>
    </row>
    <row r="55">
      <c r="A55" s="77" t="n">
        <v>46273</v>
      </c>
      <c r="B55" s="78" t="inlineStr">
        <is>
          <t>Consultório Dr Vitor Hugo</t>
        </is>
      </c>
      <c r="C55" s="78" t="inlineStr">
        <is>
          <t>Refil Everest</t>
        </is>
      </c>
      <c r="D55" s="79" t="n">
        <v>140</v>
      </c>
      <c r="E55" s="78" t="inlineStr">
        <is>
          <t>Dinheiro</t>
        </is>
      </c>
      <c r="F55" s="79" t="n"/>
      <c r="G55" s="79" t="n"/>
      <c r="H55" s="78" t="n"/>
      <c r="I55" s="78" t="n"/>
      <c r="J55" s="78" t="inlineStr">
        <is>
          <t>EMP-0314</t>
        </is>
      </c>
    </row>
    <row r="56">
      <c r="A56" s="81" t="n">
        <v>46273</v>
      </c>
      <c r="B56" s="82" t="inlineStr">
        <is>
          <t>Consumidor Final</t>
        </is>
      </c>
      <c r="C56" s="82" t="inlineStr">
        <is>
          <t>Carcaça 7" + 2x Refil Carbon 7"</t>
        </is>
      </c>
      <c r="D56" s="83" t="n">
        <v>230</v>
      </c>
      <c r="E56" s="82" t="inlineStr">
        <is>
          <t>Crédito Parcelado</t>
        </is>
      </c>
      <c r="F56" s="83" t="n">
        <v>19.27</v>
      </c>
      <c r="G56" s="83" t="n"/>
      <c r="H56" s="82" t="n"/>
      <c r="I56" s="82" t="inlineStr">
        <is>
          <t>Crédito em 2x</t>
        </is>
      </c>
    </row>
    <row r="57">
      <c r="A57" s="77" t="n">
        <v>46273</v>
      </c>
      <c r="B57" s="78" t="inlineStr">
        <is>
          <t>Lapec</t>
        </is>
      </c>
      <c r="C57" s="78" t="inlineStr">
        <is>
          <t>4x Refil Everest</t>
        </is>
      </c>
      <c r="D57" s="79" t="n">
        <v>480</v>
      </c>
      <c r="E57" s="78" t="inlineStr">
        <is>
          <t>Dinheiro</t>
        </is>
      </c>
      <c r="F57" s="79" t="n"/>
      <c r="G57" s="79" t="n"/>
      <c r="H57" s="78" t="n"/>
      <c r="I57" s="78" t="inlineStr">
        <is>
          <t>Venda de 24/08/2026 — pagamento recebido em dinheiro em 08/09/2026</t>
        </is>
      </c>
      <c r="J57" s="78" t="inlineStr">
        <is>
          <t>EMP-0199</t>
        </is>
      </c>
    </row>
    <row r="58">
      <c r="A58" s="81" t="n">
        <v>46273</v>
      </c>
      <c r="B58" s="82" t="inlineStr">
        <is>
          <t>Lapec</t>
        </is>
      </c>
      <c r="C58" s="82" t="inlineStr">
        <is>
          <t>Refil Everest + Refil C+3</t>
        </is>
      </c>
      <c r="D58" s="83" t="n">
        <v>220</v>
      </c>
      <c r="E58" s="82" t="inlineStr">
        <is>
          <t>Dinheiro</t>
        </is>
      </c>
      <c r="F58" s="83" t="n"/>
      <c r="G58" s="83" t="n"/>
      <c r="H58" s="82" t="n"/>
      <c r="I58" s="82" t="n"/>
      <c r="J58" s="82" t="inlineStr">
        <is>
          <t>EMP-0199</t>
        </is>
      </c>
    </row>
    <row r="59">
      <c r="A59" s="77" t="n">
        <v>46270</v>
      </c>
      <c r="B59" s="78" t="inlineStr">
        <is>
          <t>Comissão Wiliam</t>
        </is>
      </c>
      <c r="C59" s="78" t="n"/>
      <c r="D59" s="79" t="n"/>
      <c r="E59" s="78" t="n"/>
      <c r="F59" s="79" t="n"/>
      <c r="G59" s="79" t="n">
        <v>550</v>
      </c>
      <c r="H59" s="78" t="inlineStr">
        <is>
          <t>Salários, Comissões e Encargos</t>
        </is>
      </c>
      <c r="I59" s="78" t="inlineStr">
        <is>
          <t>Comissões da quinzena de 24/08 a 05/09/2026 — R$ 550,00 de R$ 580,00; os R$ 30,00 restantes foram pagos em 11/09</t>
        </is>
      </c>
    </row>
    <row r="60">
      <c r="A60" s="81" t="n">
        <v>46273</v>
      </c>
      <c r="B60" s="82" t="inlineStr">
        <is>
          <t>Central do Suplemento</t>
        </is>
      </c>
      <c r="C60" s="82" t="inlineStr">
        <is>
          <t>Refil Everest</t>
        </is>
      </c>
      <c r="D60" s="83" t="n">
        <v>140</v>
      </c>
      <c r="E60" s="82" t="inlineStr">
        <is>
          <t>Dinheiro</t>
        </is>
      </c>
      <c r="F60" s="83" t="n"/>
      <c r="G60" s="83" t="n"/>
      <c r="H60" s="82" t="n"/>
      <c r="I60" s="82" t="n"/>
      <c r="J60" s="82" t="inlineStr">
        <is>
          <t>EMP-0055</t>
        </is>
      </c>
    </row>
    <row r="61">
      <c r="A61" s="77" t="n">
        <v>46273</v>
      </c>
      <c r="B61" s="78" t="inlineStr">
        <is>
          <t>Tarifa Pix (Cobrança QR Code)</t>
        </is>
      </c>
      <c r="C61" s="78" t="n"/>
      <c r="D61" s="79" t="n"/>
      <c r="E61" s="78" t="n"/>
      <c r="F61" s="79" t="n"/>
      <c r="G61" s="79" t="n">
        <v>0.5</v>
      </c>
      <c r="H61" s="78" t="inlineStr">
        <is>
          <t>Tarifas Bancárias e Cartão</t>
        </is>
      </c>
      <c r="I61" s="78" t="inlineStr">
        <is>
          <t>DOC 85500035</t>
        </is>
      </c>
    </row>
    <row r="62">
      <c r="A62" s="81" t="n">
        <v>46273</v>
      </c>
      <c r="B62" s="82" t="inlineStr">
        <is>
          <t>Conta de Energia Loja</t>
        </is>
      </c>
      <c r="C62" s="82" t="n"/>
      <c r="D62" s="83" t="n"/>
      <c r="E62" s="82" t="n"/>
      <c r="F62" s="83" t="n"/>
      <c r="G62" s="83" t="n">
        <v>150.06</v>
      </c>
      <c r="H62" s="82" t="inlineStr">
        <is>
          <t>Água, Energia e Internet</t>
        </is>
      </c>
      <c r="I62" s="82" t="inlineStr">
        <is>
          <t>Neoenergia Coelba — ref. 08/2026, venc. 08/09/2026.</t>
        </is>
      </c>
    </row>
    <row r="63">
      <c r="A63" s="77" t="n">
        <v>46273</v>
      </c>
      <c r="B63" s="78" t="inlineStr">
        <is>
          <t>Eversoft</t>
        </is>
      </c>
      <c r="C63" s="78" t="n"/>
      <c r="D63" s="79" t="n"/>
      <c r="E63" s="78" t="n"/>
      <c r="F63" s="79" t="n"/>
      <c r="G63" s="79" t="n">
        <v>878.92</v>
      </c>
      <c r="H63" s="78" t="inlineStr">
        <is>
          <t>Fornecedores / Mercadoria</t>
        </is>
      </c>
      <c r="I63" s="78" t="inlineStr">
        <is>
          <t>Boleto doc. 73636 (emissão 10/06/2026) — venc. 08/09/2026. Pago em 08/09/2026 · Compra total R$ 4.394,61: 100x Refil Everest</t>
        </is>
      </c>
    </row>
    <row r="64">
      <c r="A64" s="81" t="n">
        <v>46274</v>
      </c>
      <c r="B64" s="82" t="inlineStr">
        <is>
          <t>Juliane Rosa de Oliveira</t>
        </is>
      </c>
      <c r="C64" s="82" t="inlineStr">
        <is>
          <t>Refil Everest</t>
        </is>
      </c>
      <c r="D64" s="83" t="n">
        <v>140</v>
      </c>
      <c r="E64" s="82" t="inlineStr">
        <is>
          <t>Crédito à Vista</t>
        </is>
      </c>
      <c r="F64" s="83" t="n">
        <v>4.92</v>
      </c>
      <c r="G64" s="83" t="n"/>
      <c r="H64" s="82" t="n"/>
      <c r="I64" s="82" t="n"/>
      <c r="J64" s="82" t="inlineStr">
        <is>
          <t>CLI-0492</t>
        </is>
      </c>
    </row>
    <row r="65">
      <c r="A65" s="77" t="n">
        <v>46274</v>
      </c>
      <c r="B65" s="78" t="inlineStr">
        <is>
          <t>Erika Lopes de Guimaraes</t>
        </is>
      </c>
      <c r="C65" s="78" t="inlineStr">
        <is>
          <t>Refil FPA14</t>
        </is>
      </c>
      <c r="D65" s="79" t="n">
        <v>100</v>
      </c>
      <c r="E65" s="78" t="inlineStr">
        <is>
          <t>Pix</t>
        </is>
      </c>
      <c r="F65" s="79" t="n"/>
      <c r="G65" s="79" t="n"/>
      <c r="H65" s="78" t="n"/>
      <c r="I65" s="78" t="n"/>
      <c r="J65" s="78" t="inlineStr">
        <is>
          <t>CLI-0891</t>
        </is>
      </c>
    </row>
    <row r="66">
      <c r="A66" s="81" t="n">
        <v>46281</v>
      </c>
      <c r="B66" s="82" t="inlineStr">
        <is>
          <t>Bomboniere Doce Mania - Veronildo Basilio</t>
        </is>
      </c>
      <c r="C66" s="82" t="inlineStr">
        <is>
          <t>Refil Plissado + Refil BAG</t>
        </is>
      </c>
      <c r="D66" s="83" t="n">
        <v>150</v>
      </c>
      <c r="E66" s="82" t="inlineStr">
        <is>
          <t>Dinheiro</t>
        </is>
      </c>
      <c r="F66" s="83" t="n"/>
      <c r="G66" s="83" t="n"/>
      <c r="H66" s="82" t="n"/>
      <c r="I66" s="82" t="inlineStr">
        <is>
          <t>Venda de 09/09/2026 — pagamento recebido em dinheiro em 16/09/2026</t>
        </is>
      </c>
      <c r="J66" s="82" t="inlineStr">
        <is>
          <t>EMP-0188</t>
        </is>
      </c>
    </row>
    <row r="67">
      <c r="A67" s="77" t="n">
        <v>46274</v>
      </c>
      <c r="B67" s="78" t="inlineStr">
        <is>
          <t>Filtros Planeta Água</t>
        </is>
      </c>
      <c r="C67" s="78" t="n"/>
      <c r="D67" s="79" t="n"/>
      <c r="E67" s="78" t="n"/>
      <c r="F67" s="79" t="n"/>
      <c r="G67" s="79" t="n">
        <v>649.83</v>
      </c>
      <c r="H67" s="78" t="inlineStr">
        <is>
          <t>Fornecedores / Mercadoria</t>
        </is>
      </c>
      <c r="I67" s="78" t="inlineStr">
        <is>
          <t>Boleto doc. 133138/1 (emissão 12/08/2026) — venc. 09/09/2026. Pago em 09/09/2026 · Compra total R$ 2.263,62 (IPI R$ 111,90): 10x Refil Fit Poe Pp 9.3/4 + 5x Refil Universal Rosca Curta + 5x Refil Universal Rosca Longa + 5x Refil Universal Rosca Media + 5x Refil Top Color + 3x Refil Acquatec + 5x Refil Cp500 + 30x Refil Carbon Tech 9.3/4 Pol + 20x Refil Poli Flu Plissado 9.3/4 + 5x Refil E3 Compacto + Carcaca Fit 9.3/4 Pol Branca</t>
        </is>
      </c>
    </row>
    <row r="68">
      <c r="A68" s="81" t="n">
        <v>46274</v>
      </c>
      <c r="B68" s="82" t="inlineStr">
        <is>
          <t>Sindicato dos Empregados no Comércio de Jacobina</t>
        </is>
      </c>
      <c r="C68" s="82" t="n"/>
      <c r="D68" s="83" t="n"/>
      <c r="E68" s="82" t="n"/>
      <c r="F68" s="83" t="n"/>
      <c r="G68" s="83" t="n">
        <v>59.5</v>
      </c>
      <c r="H68" s="82" t="inlineStr">
        <is>
          <t>Impostos e Taxas</t>
        </is>
      </c>
      <c r="I68" s="82" t="inlineStr">
        <is>
          <t>Contribuição assistencial — competência junho/2026. Venc. 10/09/2026, pago em 09/09/2026.</t>
        </is>
      </c>
    </row>
    <row r="69">
      <c r="A69" s="77" t="n">
        <v>46274</v>
      </c>
      <c r="B69" s="78" t="inlineStr">
        <is>
          <t>Pro Labore Edilânia</t>
        </is>
      </c>
      <c r="C69" s="78" t="n"/>
      <c r="D69" s="79" t="n"/>
      <c r="E69" s="78" t="n"/>
      <c r="F69" s="79" t="n"/>
      <c r="G69" s="79" t="n">
        <v>400</v>
      </c>
      <c r="H69" s="78" t="inlineStr">
        <is>
          <t>Pro Labore Edilânia</t>
        </is>
      </c>
      <c r="I69" s="78" t="n"/>
    </row>
    <row r="70">
      <c r="A70" s="81" t="n">
        <v>46274</v>
      </c>
      <c r="B70" s="82" t="inlineStr">
        <is>
          <t>Antonio Felix dos Santos</t>
        </is>
      </c>
      <c r="C70" s="82" t="inlineStr">
        <is>
          <t>Refil Everest</t>
        </is>
      </c>
      <c r="D70" s="83" t="n">
        <v>140</v>
      </c>
      <c r="E70" s="82" t="inlineStr">
        <is>
          <t>Dinheiro</t>
        </is>
      </c>
      <c r="F70" s="83" t="n"/>
      <c r="G70" s="83" t="n"/>
      <c r="H70" s="82" t="n"/>
      <c r="I70" s="82" t="n"/>
      <c r="J70" s="82" t="inlineStr">
        <is>
          <t>CLI-0424</t>
        </is>
      </c>
    </row>
    <row r="71">
      <c r="A71" s="77" t="n">
        <v>46274</v>
      </c>
      <c r="B71" s="78" t="inlineStr">
        <is>
          <t>Arivaldo Teixeira Advocacia</t>
        </is>
      </c>
      <c r="C71" s="78" t="inlineStr">
        <is>
          <t>Refil Everest</t>
        </is>
      </c>
      <c r="D71" s="79" t="n">
        <v>140</v>
      </c>
      <c r="E71" s="78" t="inlineStr">
        <is>
          <t>Pix</t>
        </is>
      </c>
      <c r="F71" s="79" t="n"/>
      <c r="G71" s="79" t="n"/>
      <c r="H71" s="78" t="n"/>
      <c r="I71" s="78" t="n"/>
      <c r="J71" s="78" t="inlineStr">
        <is>
          <t>EMP-0262</t>
        </is>
      </c>
    </row>
    <row r="72">
      <c r="A72" s="81" t="n">
        <v>46274</v>
      </c>
      <c r="B72" s="82" t="inlineStr">
        <is>
          <t>Central do Suplemento</t>
        </is>
      </c>
      <c r="C72" s="82" t="inlineStr">
        <is>
          <t>2x Botão do Purificador Everest</t>
        </is>
      </c>
      <c r="D72" s="83" t="n">
        <v>60</v>
      </c>
      <c r="E72" s="82" t="inlineStr">
        <is>
          <t>Dinheiro</t>
        </is>
      </c>
      <c r="F72" s="83" t="n"/>
      <c r="G72" s="83" t="n"/>
      <c r="H72" s="82" t="n"/>
      <c r="I72" s="82" t="n"/>
      <c r="J72" s="82" t="inlineStr">
        <is>
          <t>EMP-0055</t>
        </is>
      </c>
    </row>
    <row r="73">
      <c r="A73" s="77" t="n">
        <v>46274</v>
      </c>
      <c r="B73" s="78" t="inlineStr">
        <is>
          <t>Tereza Cristina Aquino Martins - Escritório</t>
        </is>
      </c>
      <c r="C73" s="78" t="inlineStr">
        <is>
          <t>Refil FPA14 + Refil Universal</t>
        </is>
      </c>
      <c r="D73" s="79" t="n">
        <v>130</v>
      </c>
      <c r="E73" s="78" t="inlineStr">
        <is>
          <t>Pix</t>
        </is>
      </c>
      <c r="F73" s="79" t="n"/>
      <c r="G73" s="79" t="n"/>
      <c r="H73" s="78" t="n"/>
      <c r="I73" s="78" t="n"/>
      <c r="J73" s="78" t="inlineStr">
        <is>
          <t>CLI-0892</t>
        </is>
      </c>
    </row>
    <row r="74">
      <c r="A74" s="81" t="n">
        <v>46274</v>
      </c>
      <c r="B74" s="82" t="inlineStr">
        <is>
          <t>Consumidor Final</t>
        </is>
      </c>
      <c r="C74" s="82" t="inlineStr">
        <is>
          <t>Mangueira (11m)</t>
        </is>
      </c>
      <c r="D74" s="83" t="n">
        <v>100</v>
      </c>
      <c r="E74" s="82" t="inlineStr">
        <is>
          <t>Dinheiro</t>
        </is>
      </c>
      <c r="F74" s="83" t="n"/>
      <c r="G74" s="83" t="n"/>
      <c r="H74" s="82" t="n"/>
      <c r="I74" s="82" t="n"/>
    </row>
    <row r="75">
      <c r="A75" s="77" t="n">
        <v>46274</v>
      </c>
      <c r="B75" s="78" t="inlineStr">
        <is>
          <t>Rebeca Oliveira Soares Avelino</t>
        </is>
      </c>
      <c r="C75" s="78" t="inlineStr">
        <is>
          <t>Purificador Everest Fit Branco</t>
        </is>
      </c>
      <c r="D75" s="79" t="n">
        <v>1299</v>
      </c>
      <c r="E75" s="78" t="inlineStr">
        <is>
          <t>Crédito Parcelado</t>
        </is>
      </c>
      <c r="F75" s="79" t="n">
        <v>181.73</v>
      </c>
      <c r="G75" s="79" t="n"/>
      <c r="H75" s="78" t="n"/>
      <c r="I75" s="78" t="inlineStr">
        <is>
          <t>Crédito em 10x. Instalação feita em 24/09/2026.</t>
        </is>
      </c>
      <c r="J75" t="inlineStr">
        <is>
          <t>CLI-0896</t>
        </is>
      </c>
    </row>
    <row r="76">
      <c r="A76" s="81" t="n">
        <v>46274</v>
      </c>
      <c r="B76" s="82" t="inlineStr">
        <is>
          <t>Acerto de Armando</t>
        </is>
      </c>
      <c r="C76" s="82" t="n"/>
      <c r="D76" s="83" t="n">
        <v>700</v>
      </c>
      <c r="E76" s="82" t="inlineStr">
        <is>
          <t>Dinheiro</t>
        </is>
      </c>
      <c r="F76" s="83" t="n"/>
      <c r="G76" s="83" t="n"/>
      <c r="H76" s="82" t="n"/>
      <c r="I76" s="82" t="n"/>
    </row>
    <row r="77">
      <c r="A77" s="77" t="n">
        <v>46275</v>
      </c>
      <c r="B77" s="78" t="inlineStr">
        <is>
          <t>Acerto de Armando</t>
        </is>
      </c>
      <c r="C77" s="78" t="n"/>
      <c r="D77" s="79" t="n">
        <v>2000</v>
      </c>
      <c r="E77" s="78" t="inlineStr">
        <is>
          <t>Pix</t>
        </is>
      </c>
      <c r="F77" s="79" t="n"/>
      <c r="G77" s="79" t="n"/>
      <c r="H77" s="78" t="n"/>
      <c r="I77" s="78" t="n"/>
    </row>
    <row r="78">
      <c r="A78" s="81" t="n">
        <v>46275</v>
      </c>
      <c r="B78" s="82" t="inlineStr">
        <is>
          <t>Consumidor Final</t>
        </is>
      </c>
      <c r="C78" s="82" t="inlineStr">
        <is>
          <t>Mangueira (2m)</t>
        </is>
      </c>
      <c r="D78" s="83" t="n">
        <v>20</v>
      </c>
      <c r="E78" s="82" t="inlineStr">
        <is>
          <t>Dinheiro</t>
        </is>
      </c>
      <c r="F78" s="83" t="n"/>
      <c r="G78" s="83" t="n"/>
      <c r="H78" s="82" t="n"/>
      <c r="I78" s="82" t="n"/>
    </row>
    <row r="79">
      <c r="A79" s="77" t="n">
        <v>46275</v>
      </c>
      <c r="B79" s="78" t="inlineStr">
        <is>
          <t>Compra na Shopee - Ferramentas, Velas e Tinta</t>
        </is>
      </c>
      <c r="C79" s="78" t="n"/>
      <c r="D79" s="79" t="n"/>
      <c r="E79" s="78" t="n"/>
      <c r="F79" s="79" t="n"/>
      <c r="G79" s="79" t="n">
        <v>139.59</v>
      </c>
      <c r="H79" s="78" t="inlineStr">
        <is>
          <t>Manutenção e Reparos</t>
        </is>
      </c>
      <c r="I79" s="78" t="inlineStr">
        <is>
          <t>Pix de 10/09/2026 11:56 para Shpp Brasil Instituição de Pagamento (CNPJ 38.372.267/0001-82) — ferramentas e tinta para a loja + velas de carvão ativado para revenda. ID E07237373202609101455 8N7SUEN9VKQ</t>
        </is>
      </c>
    </row>
    <row r="80">
      <c r="A80" s="81" t="n">
        <v>46275</v>
      </c>
      <c r="B80" s="82" t="inlineStr">
        <is>
          <t>Pamella Rodrigues Ribeiro de Oliveira</t>
        </is>
      </c>
      <c r="C80" s="82" t="inlineStr">
        <is>
          <t>Refil Everest + Mangueira</t>
        </is>
      </c>
      <c r="D80" s="83" t="n">
        <v>150</v>
      </c>
      <c r="E80" s="82" t="inlineStr">
        <is>
          <t>Crédito Parcelado</t>
        </is>
      </c>
      <c r="F80" s="83" t="n">
        <v>10.48</v>
      </c>
      <c r="G80" s="83" t="n"/>
      <c r="H80" s="82" t="n"/>
      <c r="I80" s="82" t="inlineStr">
        <is>
          <t>Crédito em 2x</t>
        </is>
      </c>
      <c r="J80" s="82" t="inlineStr">
        <is>
          <t>CLI-0493</t>
        </is>
      </c>
    </row>
    <row r="81">
      <c r="A81" s="77" t="n">
        <v>46275</v>
      </c>
      <c r="B81" s="78" t="inlineStr">
        <is>
          <t>Consumidor Final</t>
        </is>
      </c>
      <c r="C81" s="78" t="inlineStr">
        <is>
          <t>Refil BAG</t>
        </is>
      </c>
      <c r="D81" s="79" t="n">
        <v>50</v>
      </c>
      <c r="E81" s="78" t="inlineStr">
        <is>
          <t>Débito</t>
        </is>
      </c>
      <c r="F81" s="79" t="n">
        <v>0.72</v>
      </c>
      <c r="G81" s="79" t="n"/>
      <c r="H81" s="78" t="n"/>
      <c r="I81" s="78" t="n"/>
    </row>
    <row r="82">
      <c r="A82" s="81" t="n">
        <v>46276</v>
      </c>
      <c r="B82" s="82" t="inlineStr">
        <is>
          <t>Adriadne (Hotel Jovem Jota)</t>
        </is>
      </c>
      <c r="C82" s="82" t="inlineStr">
        <is>
          <t>Refil Everest</t>
        </is>
      </c>
      <c r="D82" s="83" t="n">
        <v>140</v>
      </c>
      <c r="E82" s="82" t="inlineStr">
        <is>
          <t>Pix</t>
        </is>
      </c>
      <c r="F82" s="83" t="n"/>
      <c r="G82" s="83" t="n"/>
      <c r="H82" s="82" t="n"/>
      <c r="I82" s="82" t="inlineStr">
        <is>
          <t>Venda de 10/09/2026 — pagamento recebido via Pix em 11/09/2026</t>
        </is>
      </c>
      <c r="J82" s="82" t="inlineStr">
        <is>
          <t>CLI-0801</t>
        </is>
      </c>
    </row>
    <row r="83">
      <c r="A83" s="77" t="n">
        <v>46276</v>
      </c>
      <c r="B83" s="78" t="inlineStr">
        <is>
          <t>Pousada Triunfo Ltda (Hotel Triunfo)</t>
        </is>
      </c>
      <c r="C83" s="78" t="inlineStr">
        <is>
          <t>Refil Everest + Pré Filtro</t>
        </is>
      </c>
      <c r="D83" s="79" t="n">
        <v>200</v>
      </c>
      <c r="E83" s="78" t="inlineStr">
        <is>
          <t>Pix</t>
        </is>
      </c>
      <c r="F83" s="79" t="n"/>
      <c r="G83" s="79" t="n"/>
      <c r="H83" s="78" t="n"/>
      <c r="I83" s="78" t="inlineStr">
        <is>
          <t>Venda de 10/09/2026 — pagamento recebido via Pix em 11/09/2026</t>
        </is>
      </c>
      <c r="J83" s="78" t="inlineStr">
        <is>
          <t>EMP-0251</t>
        </is>
      </c>
    </row>
    <row r="84">
      <c r="A84" s="81" t="n"/>
      <c r="B84" s="82" t="n"/>
      <c r="C84" s="82" t="n"/>
      <c r="D84" s="83" t="n"/>
      <c r="E84" s="82" t="n"/>
      <c r="F84" s="83" t="n"/>
      <c r="G84" s="83" t="n"/>
      <c r="H84" s="82" t="n"/>
      <c r="I84" s="82" t="n"/>
      <c r="J84" s="82" t="n"/>
    </row>
    <row r="85">
      <c r="A85" s="77" t="n">
        <v>46276</v>
      </c>
      <c r="B85" s="78" t="inlineStr">
        <is>
          <t>J Diesel Motores e Reparos - Gilmara</t>
        </is>
      </c>
      <c r="C85" s="78" t="inlineStr">
        <is>
          <t>Refil Everest</t>
        </is>
      </c>
      <c r="D85" s="79" t="n">
        <v>140</v>
      </c>
      <c r="E85" s="78" t="inlineStr">
        <is>
          <t>Pix</t>
        </is>
      </c>
      <c r="F85" s="79" t="n"/>
      <c r="G85" s="79" t="n"/>
      <c r="H85" s="78" t="n"/>
      <c r="I85" s="78" t="inlineStr">
        <is>
          <t>Venda de 11/09/2026 — pagamento recebido via Pix em 14/09/2026</t>
        </is>
      </c>
      <c r="J85" s="78" t="inlineStr">
        <is>
          <t>EMP-0294</t>
        </is>
      </c>
    </row>
    <row r="86">
      <c r="A86" s="81" t="n">
        <v>46276</v>
      </c>
      <c r="B86" s="82" t="inlineStr">
        <is>
          <t>Loja D Leles</t>
        </is>
      </c>
      <c r="C86" s="82" t="inlineStr">
        <is>
          <t>Refil Everest</t>
        </is>
      </c>
      <c r="D86" s="83" t="n">
        <v>140</v>
      </c>
      <c r="E86" s="82" t="inlineStr">
        <is>
          <t>Dinheiro</t>
        </is>
      </c>
      <c r="F86" s="83" t="n"/>
      <c r="G86" s="83" t="n"/>
      <c r="H86" s="82" t="n"/>
      <c r="I86" s="82" t="n"/>
      <c r="J86" s="82" t="inlineStr">
        <is>
          <t>EMP-0206</t>
        </is>
      </c>
    </row>
    <row r="87">
      <c r="A87" s="77" t="n">
        <v>46276</v>
      </c>
      <c r="B87" s="78" t="inlineStr">
        <is>
          <t>Atacadão da Limpeza</t>
        </is>
      </c>
      <c r="C87" s="78" t="n"/>
      <c r="D87" s="79" t="n"/>
      <c r="E87" s="78" t="n"/>
      <c r="F87" s="79" t="n"/>
      <c r="G87" s="79" t="n">
        <v>46</v>
      </c>
      <c r="H87" s="78" t="inlineStr">
        <is>
          <t>Material de Limpeza e Escritório</t>
        </is>
      </c>
      <c r="I87" s="78" t="inlineStr">
        <is>
          <t>Luva vinil G + saco de lixo 60L — venda nº 00021207 (total R$ 46,98, desconto R$ 0,98). Pago em dinheiro.</t>
        </is>
      </c>
    </row>
    <row r="88">
      <c r="A88" s="81" t="n">
        <v>46276</v>
      </c>
      <c r="B88" s="82" t="inlineStr">
        <is>
          <t>Faca Feira Supermercado</t>
        </is>
      </c>
      <c r="C88" s="82" t="n"/>
      <c r="D88" s="83" t="n"/>
      <c r="E88" s="82" t="n"/>
      <c r="F88" s="83" t="n"/>
      <c r="G88" s="83" t="n">
        <v>8.48</v>
      </c>
      <c r="H88" s="82" t="inlineStr">
        <is>
          <t>Material de Limpeza e Escritório</t>
        </is>
      </c>
      <c r="I88" s="82" t="inlineStr">
        <is>
          <t>Copo descartável 200 ml — NFC-e nº 208441. Pago em dinheiro.</t>
        </is>
      </c>
    </row>
    <row r="89">
      <c r="A89" s="77" t="n">
        <v>46276</v>
      </c>
      <c r="B89" s="78" t="inlineStr">
        <is>
          <t>Conserto do Controle do Alarme da Loja</t>
        </is>
      </c>
      <c r="C89" s="78" t="n"/>
      <c r="D89" s="79" t="n"/>
      <c r="E89" s="78" t="n"/>
      <c r="F89" s="79" t="n"/>
      <c r="G89" s="79" t="n">
        <v>20</v>
      </c>
      <c r="H89" s="78" t="inlineStr">
        <is>
          <t>Manutenção e Reparos</t>
        </is>
      </c>
      <c r="I89" s="78" t="n"/>
    </row>
    <row r="90">
      <c r="A90" s="81" t="n">
        <v>46276</v>
      </c>
      <c r="B90" s="82" t="inlineStr">
        <is>
          <t>Comissão Wiliam</t>
        </is>
      </c>
      <c r="C90" s="82" t="n"/>
      <c r="D90" s="83" t="n"/>
      <c r="E90" s="82" t="n"/>
      <c r="F90" s="83" t="n"/>
      <c r="G90" s="83" t="n">
        <v>30</v>
      </c>
      <c r="H90" s="82" t="inlineStr">
        <is>
          <t>Salários, Comissões e Encargos</t>
        </is>
      </c>
      <c r="I90" s="82" t="inlineStr">
        <is>
          <t>Complemento da comissão da quinzena de 24/08 a 05/09/2026 (total R$ 580,00 — R$ 550,00 pagos em 05/09 e R$ 30,00 depois, por falta de troco no caixa)</t>
        </is>
      </c>
    </row>
    <row r="91">
      <c r="A91" s="77" t="n">
        <v>46276</v>
      </c>
      <c r="B91" s="78" t="inlineStr">
        <is>
          <t>L K Abade Ltda</t>
        </is>
      </c>
      <c r="C91" s="78" t="n"/>
      <c r="D91" s="79" t="n"/>
      <c r="E91" s="78" t="n"/>
      <c r="F91" s="79" t="n"/>
      <c r="G91" s="79" t="n">
        <v>70</v>
      </c>
      <c r="H91" s="78" t="inlineStr">
        <is>
          <t>Material de Limpeza e Escritório</t>
        </is>
      </c>
      <c r="I91" s="78" t="inlineStr">
        <is>
          <t>4 caixas organizadoras rattan 28L + 2 panos multiuso + 1 forma descartável para air fryer — pedido nº 48303.</t>
        </is>
      </c>
    </row>
    <row r="92">
      <c r="A92" s="81" t="n">
        <v>46273</v>
      </c>
      <c r="B92" s="82" t="inlineStr">
        <is>
          <t>Moto Táxi</t>
        </is>
      </c>
      <c r="C92" s="82" t="n"/>
      <c r="D92" s="83" t="n"/>
      <c r="E92" s="82" t="n"/>
      <c r="F92" s="83" t="n"/>
      <c r="G92" s="83" t="n">
        <v>16</v>
      </c>
      <c r="H92" s="82" t="inlineStr">
        <is>
          <t>Transporte e Entregas</t>
        </is>
      </c>
      <c r="I92" s="82" t="n"/>
    </row>
    <row r="93">
      <c r="A93" s="77" t="n">
        <v>46279</v>
      </c>
      <c r="B93" s="78" t="inlineStr">
        <is>
          <t>Consumidor Final</t>
        </is>
      </c>
      <c r="C93" s="78" t="inlineStr">
        <is>
          <t>Refil E3</t>
        </is>
      </c>
      <c r="D93" s="79" t="n">
        <v>90</v>
      </c>
      <c r="E93" s="78" t="inlineStr">
        <is>
          <t>Dinheiro</t>
        </is>
      </c>
      <c r="F93" s="79" t="n"/>
      <c r="G93" s="79" t="n"/>
      <c r="H93" s="78" t="n"/>
      <c r="I93" s="78" t="n"/>
    </row>
    <row r="94">
      <c r="A94" s="81" t="n">
        <v>46279</v>
      </c>
      <c r="B94" s="82" t="inlineStr">
        <is>
          <t>IOB</t>
        </is>
      </c>
      <c r="C94" s="82" t="inlineStr">
        <is>
          <t>Refil Everest + Pré Filtro</t>
        </is>
      </c>
      <c r="D94" s="83" t="n">
        <v>200</v>
      </c>
      <c r="E94" s="82" t="inlineStr">
        <is>
          <t>Pix</t>
        </is>
      </c>
      <c r="F94" s="83" t="n"/>
      <c r="G94" s="83" t="n"/>
      <c r="H94" s="82" t="n"/>
      <c r="I94" s="82" t="n"/>
      <c r="J94" s="82" t="inlineStr">
        <is>
          <t>EMP-0185</t>
        </is>
      </c>
    </row>
    <row r="95">
      <c r="A95" s="77" t="n">
        <v>46279</v>
      </c>
      <c r="B95" s="78" t="inlineStr">
        <is>
          <t>Cliente de Armando</t>
        </is>
      </c>
      <c r="C95" s="78" t="n"/>
      <c r="D95" s="79" t="n">
        <v>145</v>
      </c>
      <c r="E95" s="78" t="inlineStr">
        <is>
          <t>Crédito Parcelado</t>
        </is>
      </c>
      <c r="F95" s="79" t="n">
        <v>10.14</v>
      </c>
      <c r="G95" s="79" t="n"/>
      <c r="H95" s="78" t="n"/>
      <c r="I95" s="78" t="inlineStr">
        <is>
          <t>Crédito em 3x</t>
        </is>
      </c>
    </row>
    <row r="96">
      <c r="A96" s="81" t="n">
        <v>46279</v>
      </c>
      <c r="B96" s="82" t="inlineStr">
        <is>
          <t>Acerto de Armando</t>
        </is>
      </c>
      <c r="C96" s="82" t="n"/>
      <c r="D96" s="83" t="n">
        <v>800</v>
      </c>
      <c r="E96" s="82" t="inlineStr">
        <is>
          <t>Dinheiro</t>
        </is>
      </c>
      <c r="F96" s="83" t="n"/>
      <c r="G96" s="83" t="n"/>
      <c r="H96" s="82" t="n"/>
      <c r="I96" s="82" t="n"/>
    </row>
    <row r="97">
      <c r="A97" s="77" t="n">
        <v>46279</v>
      </c>
      <c r="B97" s="78" t="inlineStr">
        <is>
          <t>Consumidor Final</t>
        </is>
      </c>
      <c r="C97" s="78" t="inlineStr">
        <is>
          <t>Suporte Fit (para Carcaça) + Refil Plissado + Refil Carbon Tech 9"</t>
        </is>
      </c>
      <c r="D97" s="79" t="n">
        <v>205</v>
      </c>
      <c r="E97" s="78" t="inlineStr">
        <is>
          <t>Crédito Parcelado</t>
        </is>
      </c>
      <c r="F97" s="79" t="n">
        <v>16.38</v>
      </c>
      <c r="G97" s="79" t="n"/>
      <c r="H97" s="78" t="n"/>
      <c r="I97" s="78" t="inlineStr">
        <is>
          <t>Crédito em 4x</t>
        </is>
      </c>
    </row>
    <row r="98">
      <c r="A98" s="81" t="n">
        <v>46279</v>
      </c>
      <c r="B98" s="82" t="inlineStr">
        <is>
          <t>Jaqueline da Silva Oliveira Nunes</t>
        </is>
      </c>
      <c r="C98" s="82" t="inlineStr">
        <is>
          <t>Refil Everest + Pré Filtro</t>
        </is>
      </c>
      <c r="D98" s="83" t="n">
        <v>200</v>
      </c>
      <c r="E98" s="82" t="inlineStr">
        <is>
          <t>Crédito Parcelado</t>
        </is>
      </c>
      <c r="F98" s="83" t="n">
        <v>16.38</v>
      </c>
      <c r="G98" s="83" t="n"/>
      <c r="H98" s="82" t="n"/>
      <c r="I98" s="82" t="inlineStr">
        <is>
          <t>Crédito em 4x</t>
        </is>
      </c>
      <c r="J98" s="82" t="inlineStr">
        <is>
          <t>CLI-0337</t>
        </is>
      </c>
    </row>
    <row r="99">
      <c r="A99" s="77" t="n">
        <v>46277</v>
      </c>
      <c r="B99" s="78" t="inlineStr">
        <is>
          <t>Conta de Energia Adriano</t>
        </is>
      </c>
      <c r="C99" s="78" t="n"/>
      <c r="D99" s="79" t="n"/>
      <c r="E99" s="78" t="n"/>
      <c r="F99" s="79" t="n"/>
      <c r="G99" s="79" t="n">
        <v>282.68</v>
      </c>
      <c r="H99" s="78" t="inlineStr">
        <is>
          <t>Pro Labore Edilânia</t>
        </is>
      </c>
      <c r="I99" s="78" t="inlineStr">
        <is>
          <t>Neoenergia Coelba — conta pessoal do Adriano (não é da loja). Pix em 12/09/2026 14:49:27 pelo Banco do Nordeste. ID E07237373202609121749YCSQ3HPNJUY</t>
        </is>
      </c>
    </row>
    <row r="100">
      <c r="A100" s="81" t="n">
        <v>46277</v>
      </c>
      <c r="B100" s="82" t="inlineStr">
        <is>
          <t>Conta de Energia Adriano</t>
        </is>
      </c>
      <c r="C100" s="82" t="n"/>
      <c r="D100" s="83" t="n"/>
      <c r="E100" s="82" t="n"/>
      <c r="F100" s="83" t="n"/>
      <c r="G100" s="83" t="n">
        <v>221.93</v>
      </c>
      <c r="H100" s="82" t="inlineStr">
        <is>
          <t>Pro Labore Edilânia</t>
        </is>
      </c>
      <c r="I100" s="82" t="inlineStr">
        <is>
          <t>Neoenergia Coelba — conta pessoal do Adriano (não é da loja). Pix em 12/09/2026 14:51:41 pelo Banco do Nordeste. ID E07237373202609121751A6GIRL92T9A</t>
        </is>
      </c>
    </row>
    <row r="101">
      <c r="A101" s="77" t="n">
        <v>46280</v>
      </c>
      <c r="B101" s="78" t="inlineStr">
        <is>
          <t>Tarifa Pix (Pagamento/Transferência)</t>
        </is>
      </c>
      <c r="C101" s="78" t="n"/>
      <c r="D101" s="79" t="n"/>
      <c r="E101" s="78" t="n"/>
      <c r="F101" s="79" t="n"/>
      <c r="G101" s="79" t="n">
        <v>2.2</v>
      </c>
      <c r="H101" s="78" t="inlineStr">
        <is>
          <t>Tarifas Bancárias e Cartão</t>
        </is>
      </c>
      <c r="I101" s="78" t="inlineStr">
        <is>
          <t>DOC 91449500</t>
        </is>
      </c>
    </row>
    <row r="102">
      <c r="A102" s="81" t="n">
        <v>46280</v>
      </c>
      <c r="B102" s="82" t="inlineStr">
        <is>
          <t>Tarifa Pix (Cobrança QR Code)</t>
        </is>
      </c>
      <c r="C102" s="82" t="n"/>
      <c r="D102" s="83" t="n"/>
      <c r="E102" s="82" t="n"/>
      <c r="F102" s="83" t="n"/>
      <c r="G102" s="83" t="n">
        <v>0.89</v>
      </c>
      <c r="H102" s="82" t="inlineStr">
        <is>
          <t>Tarifas Bancárias e Cartão</t>
        </is>
      </c>
      <c r="I102" s="82" t="inlineStr">
        <is>
          <t>DOC 91449501</t>
        </is>
      </c>
    </row>
    <row r="103">
      <c r="A103" s="77" t="n">
        <v>46280</v>
      </c>
      <c r="B103" s="78" t="inlineStr">
        <is>
          <t>Tarifa Pix (Pagamento/Transferência)</t>
        </is>
      </c>
      <c r="C103" s="78" t="n"/>
      <c r="D103" s="79" t="n"/>
      <c r="E103" s="78" t="n"/>
      <c r="F103" s="79" t="n"/>
      <c r="G103" s="79" t="n">
        <v>2.8</v>
      </c>
      <c r="H103" s="78" t="inlineStr">
        <is>
          <t>Tarifas Bancárias e Cartão</t>
        </is>
      </c>
      <c r="I103" s="78" t="inlineStr">
        <is>
          <t>DOC 91449504</t>
        </is>
      </c>
    </row>
    <row r="104">
      <c r="A104" s="81" t="n">
        <v>46280</v>
      </c>
      <c r="B104" s="82" t="inlineStr">
        <is>
          <t>Eversoft</t>
        </is>
      </c>
      <c r="C104" s="82" t="n"/>
      <c r="D104" s="83" t="n"/>
      <c r="E104" s="82" t="n"/>
      <c r="F104" s="83" t="n"/>
      <c r="G104" s="83" t="n">
        <v>980.83</v>
      </c>
      <c r="H104" s="82" t="inlineStr">
        <is>
          <t>Fornecedores / Mercadoria</t>
        </is>
      </c>
      <c r="I104" s="82" t="inlineStr">
        <is>
          <t>Boleto doc. 74454 (emissão 17/07/2026) · parcela 2/5 — venc. 15/09/2026. Pago em 15/09/2026 pelo Banco do Nordeste, DOC 91607814 · Compra total R$ 4.904,13: 100x Refil Everest + 50x Pré Filtro</t>
        </is>
      </c>
    </row>
    <row r="105">
      <c r="A105" s="77" t="n">
        <v>46280</v>
      </c>
      <c r="B105" s="78" t="inlineStr">
        <is>
          <t>Everest Refrigeração</t>
        </is>
      </c>
      <c r="C105" s="78" t="n"/>
      <c r="D105" s="79" t="n"/>
      <c r="E105" s="78" t="n"/>
      <c r="F105" s="79" t="n"/>
      <c r="G105" s="79" t="n">
        <v>892.3</v>
      </c>
      <c r="H105" s="78" t="inlineStr">
        <is>
          <t>Fornecedores / Mercadoria</t>
        </is>
      </c>
      <c r="I105" s="78" t="inlineStr">
        <is>
          <t>Boleto doc. 381554 (emissão 17/07/2026) · parcela 2/5 — venc. 15/09/2026. Pago em 15/09/2026 pelo Banco do Nordeste, DOC 91630932 · Compra total R$ 4.461,49: Purificador Everest Fit Branco + Purificador Everest Fit Preto + 2x Purificador Everest Star Branco + Purificador Everest Star Preto + Purificador Everest Plus Prata</t>
        </is>
      </c>
    </row>
    <row r="106">
      <c r="A106" s="81" t="n">
        <v>46280</v>
      </c>
      <c r="B106" s="82" t="inlineStr">
        <is>
          <t>Tarcisio Oliveira Lima</t>
        </is>
      </c>
      <c r="C106" s="82" t="n"/>
      <c r="D106" s="83" t="n"/>
      <c r="E106" s="82" t="n"/>
      <c r="F106" s="83" t="n"/>
      <c r="G106" s="83" t="n">
        <v>486.32</v>
      </c>
      <c r="H106" s="82" t="inlineStr">
        <is>
          <t>Contabilidade</t>
        </is>
      </c>
      <c r="I106" s="82" t="inlineStr">
        <is>
          <t>Serviço contábil — boleto doc. 38/0926, venc. 15/09/2026. Pago em 15/09/2026 pelo Banco do Nordeste, DOC 91632428.</t>
        </is>
      </c>
    </row>
    <row r="107">
      <c r="A107" s="77" t="n">
        <v>46280</v>
      </c>
      <c r="B107" s="78" t="inlineStr">
        <is>
          <t>Instituto Euvaldo Lodi</t>
        </is>
      </c>
      <c r="C107" s="78" t="n"/>
      <c r="D107" s="79" t="n"/>
      <c r="E107" s="78" t="n"/>
      <c r="F107" s="79" t="n"/>
      <c r="G107" s="79" t="n">
        <v>75</v>
      </c>
      <c r="H107" s="78" t="inlineStr">
        <is>
          <t>Salários, Comissões e Encargos</t>
        </is>
      </c>
      <c r="I107" s="78" t="inlineStr">
        <is>
          <t>Contribuição do contrato de estágio — doc. A 000007329, venc. 15/09/2026. Pago em 15/09/2026 pelo Banco do Nordeste, DOC 91633744.</t>
        </is>
      </c>
    </row>
    <row r="108">
      <c r="A108" s="81" t="n">
        <v>46280</v>
      </c>
      <c r="B108" s="82" t="inlineStr">
        <is>
          <t>Proxxima Telecomunicações</t>
        </is>
      </c>
      <c r="C108" s="82" t="n"/>
      <c r="D108" s="83" t="n"/>
      <c r="E108" s="82" t="n"/>
      <c r="F108" s="83" t="n"/>
      <c r="G108" s="83" t="n">
        <v>69.98999999999999</v>
      </c>
      <c r="H108" s="82" t="inlineStr">
        <is>
          <t>Água, Energia e Internet</t>
        </is>
      </c>
      <c r="I108" s="82" t="inlineStr">
        <is>
          <t>Internet da loja — plano Turbinados 700 MB, contrato 578646. Fatura FAT26081721473042, venc. 15/09/2026. Pago em 15/09/2026 pelo Banco do Nordeste, DOC 91638140.</t>
        </is>
      </c>
    </row>
    <row r="109">
      <c r="A109" s="77" t="n">
        <v>46280</v>
      </c>
      <c r="B109" s="78" t="inlineStr">
        <is>
          <t>Consumidor Final</t>
        </is>
      </c>
      <c r="C109" s="78" t="inlineStr">
        <is>
          <t>Refil Carbon Tech 9"</t>
        </is>
      </c>
      <c r="D109" s="79" t="n">
        <v>80</v>
      </c>
      <c r="E109" s="78" t="inlineStr">
        <is>
          <t>Dinheiro</t>
        </is>
      </c>
      <c r="F109" s="79" t="n"/>
      <c r="G109" s="79" t="n"/>
      <c r="H109" s="78" t="n"/>
      <c r="I109" s="78" t="n"/>
    </row>
    <row r="110" ht="15.75" customHeight="1" s="157">
      <c r="A110" s="81" t="n">
        <v>46280</v>
      </c>
      <c r="B110" s="82" t="inlineStr">
        <is>
          <t>Maria Lopes dos Santos</t>
        </is>
      </c>
      <c r="C110" s="82" t="inlineStr">
        <is>
          <t>Refil Everest</t>
        </is>
      </c>
      <c r="D110" s="83" t="n">
        <v>140</v>
      </c>
      <c r="E110" s="82" t="inlineStr">
        <is>
          <t>Pix</t>
        </is>
      </c>
      <c r="F110" s="83" t="n"/>
      <c r="G110" s="83" t="n"/>
      <c r="H110" s="82" t="n"/>
      <c r="I110" s="82" t="n"/>
      <c r="J110" s="82" t="inlineStr">
        <is>
          <t>CLI-0127</t>
        </is>
      </c>
    </row>
    <row r="111">
      <c r="A111" s="77" t="n">
        <v>46280</v>
      </c>
      <c r="B111" s="78" t="inlineStr">
        <is>
          <t>Gardenia Ribeiro de Paula</t>
        </is>
      </c>
      <c r="C111" s="78" t="inlineStr">
        <is>
          <t>Refil Pro Life</t>
        </is>
      </c>
      <c r="D111" s="79" t="n">
        <v>140</v>
      </c>
      <c r="E111" s="78" t="inlineStr">
        <is>
          <t>Dinheiro</t>
        </is>
      </c>
      <c r="F111" s="79" t="n"/>
      <c r="G111" s="79" t="n"/>
      <c r="H111" s="78" t="n"/>
      <c r="I111" s="78" t="n"/>
      <c r="J111" s="78" t="inlineStr">
        <is>
          <t>CLI-0456</t>
        </is>
      </c>
    </row>
    <row r="112">
      <c r="A112" s="81" t="n">
        <v>46280</v>
      </c>
      <c r="B112" s="82" t="inlineStr">
        <is>
          <t>Gildete Pinho</t>
        </is>
      </c>
      <c r="C112" s="82" t="inlineStr">
        <is>
          <t>Refil Pro Life</t>
        </is>
      </c>
      <c r="D112" s="83" t="n">
        <v>145</v>
      </c>
      <c r="E112" s="82" t="inlineStr">
        <is>
          <t>Crédito Parcelado</t>
        </is>
      </c>
      <c r="F112" s="83" t="n">
        <v>12.15</v>
      </c>
      <c r="G112" s="83" t="n"/>
      <c r="H112" s="82" t="n"/>
      <c r="I112" s="82" t="inlineStr">
        <is>
          <t>Crédito em 3x</t>
        </is>
      </c>
      <c r="J112" s="82" t="inlineStr">
        <is>
          <t>CLI-0502</t>
        </is>
      </c>
    </row>
    <row r="113">
      <c r="A113" s="77" t="n">
        <v>46280</v>
      </c>
      <c r="B113" s="78" t="inlineStr">
        <is>
          <t>Atacadão das Confecções e Utilidades</t>
        </is>
      </c>
      <c r="C113" s="78" t="inlineStr">
        <is>
          <t>Válvula Reguladora de Pressão</t>
        </is>
      </c>
      <c r="D113" s="79" t="n">
        <v>80</v>
      </c>
      <c r="E113" s="78" t="inlineStr">
        <is>
          <t>Dinheiro</t>
        </is>
      </c>
      <c r="F113" s="79" t="n"/>
      <c r="G113" s="79" t="n"/>
      <c r="H113" s="78" t="n"/>
      <c r="I113" s="78" t="inlineStr">
        <is>
          <t>Instalação feita em 15/09/2026.</t>
        </is>
      </c>
      <c r="J113" s="78" t="inlineStr">
        <is>
          <t>EMP-0018</t>
        </is>
      </c>
    </row>
    <row r="114">
      <c r="A114" s="81" t="n">
        <v>46280</v>
      </c>
      <c r="B114" s="82" t="inlineStr">
        <is>
          <t>Consumidor Final</t>
        </is>
      </c>
      <c r="C114" s="82" t="inlineStr">
        <is>
          <t>2x Refil Carbon Tech 5" Rosca</t>
        </is>
      </c>
      <c r="D114" s="83" t="n">
        <v>60</v>
      </c>
      <c r="E114" s="82" t="inlineStr">
        <is>
          <t>Dinheiro</t>
        </is>
      </c>
      <c r="F114" s="83" t="n"/>
      <c r="G114" s="83" t="n"/>
      <c r="H114" s="82" t="n"/>
      <c r="I114" s="82" t="inlineStr">
        <is>
          <t>R$ 30,00 cada (preço normal R$ 60,00). Versão com encaixe de rosca em vez de borracha de vedação — duas últimas unidades, paradas no estoque havia muito tempo; preço reduzido para girar. Estoque zerado.</t>
        </is>
      </c>
    </row>
    <row r="115">
      <c r="A115" s="77" t="n">
        <v>46280</v>
      </c>
      <c r="B115" s="78" t="inlineStr">
        <is>
          <t>Dínamo Engenharia Ltda</t>
        </is>
      </c>
      <c r="C115" s="78" t="inlineStr">
        <is>
          <t>2x Refil Carbon Tech 9" + 2x Refil Plissado</t>
        </is>
      </c>
      <c r="D115" s="79" t="n">
        <v>310</v>
      </c>
      <c r="E115" s="78" t="inlineStr">
        <is>
          <t>Pix</t>
        </is>
      </c>
      <c r="F115" s="79" t="n"/>
      <c r="G115" s="79" t="n"/>
      <c r="H115" s="78" t="n"/>
      <c r="I115" s="78" t="n"/>
    </row>
    <row r="116">
      <c r="A116" s="81" t="n">
        <v>46294</v>
      </c>
      <c r="B116" s="82" t="inlineStr">
        <is>
          <t>Clínica Santa Cecília</t>
        </is>
      </c>
      <c r="C116" s="82" t="inlineStr">
        <is>
          <t>Refil Everest + Termostato</t>
        </is>
      </c>
      <c r="D116" s="83" t="n">
        <v>310</v>
      </c>
      <c r="E116" s="82" t="inlineStr">
        <is>
          <t>Pix</t>
        </is>
      </c>
      <c r="F116" s="83" t="n"/>
      <c r="G116" s="83" t="n"/>
      <c r="H116" s="82" t="n"/>
      <c r="I116" s="82" t="inlineStr">
        <is>
          <t>Venda de 16/09/2026 — pagamento recebido em 29/09/2026 (Pix)</t>
        </is>
      </c>
      <c r="J116" s="82" t="inlineStr">
        <is>
          <t>EMP-0090</t>
        </is>
      </c>
    </row>
    <row r="117">
      <c r="A117" s="77" t="n">
        <v>46281</v>
      </c>
      <c r="B117" s="78" t="inlineStr">
        <is>
          <t>Posto Payaya</t>
        </is>
      </c>
      <c r="C117" s="78" t="inlineStr">
        <is>
          <t>Refil Everest</t>
        </is>
      </c>
      <c r="D117" s="79" t="n">
        <v>140</v>
      </c>
      <c r="E117" s="78" t="inlineStr">
        <is>
          <t>Dinheiro</t>
        </is>
      </c>
      <c r="F117" s="79" t="n"/>
      <c r="G117" s="79" t="n"/>
      <c r="H117" s="78" t="n"/>
      <c r="I117" s="78" t="n"/>
      <c r="J117" s="78" t="inlineStr">
        <is>
          <t>EMP-0315</t>
        </is>
      </c>
    </row>
    <row r="118">
      <c r="A118" s="81" t="n">
        <v>46280</v>
      </c>
      <c r="B118" s="82" t="inlineStr">
        <is>
          <t>App 99</t>
        </is>
      </c>
      <c r="C118" s="82" t="n"/>
      <c r="D118" s="83" t="n"/>
      <c r="E118" s="82" t="n"/>
      <c r="F118" s="83" t="n"/>
      <c r="G118" s="83" t="n">
        <v>20</v>
      </c>
      <c r="H118" s="82" t="inlineStr">
        <is>
          <t>Transporte e Entregas</t>
        </is>
      </c>
      <c r="I118" s="82" t="inlineStr">
        <is>
          <t>Corrida para ir fazer serviços</t>
        </is>
      </c>
    </row>
    <row r="119">
      <c r="A119" s="77" t="n">
        <v>46281</v>
      </c>
      <c r="B119" s="78" t="inlineStr">
        <is>
          <t>Gasolina</t>
        </is>
      </c>
      <c r="C119" s="78" t="n"/>
      <c r="D119" s="79" t="n"/>
      <c r="E119" s="78" t="n"/>
      <c r="F119" s="79" t="n"/>
      <c r="G119" s="79" t="n">
        <v>30</v>
      </c>
      <c r="H119" s="78" t="inlineStr">
        <is>
          <t>Transporte e Entregas</t>
        </is>
      </c>
      <c r="I119" s="78" t="n"/>
    </row>
    <row r="120">
      <c r="A120" s="81" t="n">
        <v>46281</v>
      </c>
      <c r="B120" s="82" t="inlineStr">
        <is>
          <t>Consumidor Final</t>
        </is>
      </c>
      <c r="C120" s="82" t="inlineStr">
        <is>
          <t>Mangueira (2m)</t>
        </is>
      </c>
      <c r="D120" s="83" t="n">
        <v>20</v>
      </c>
      <c r="E120" s="82" t="inlineStr">
        <is>
          <t>Dinheiro</t>
        </is>
      </c>
      <c r="F120" s="83" t="n"/>
      <c r="G120" s="83" t="n"/>
      <c r="H120" s="82" t="n"/>
      <c r="I120" s="82" t="n"/>
    </row>
    <row r="121">
      <c r="A121" s="77" t="n">
        <v>46281</v>
      </c>
      <c r="B121" s="78" t="inlineStr">
        <is>
          <t>Luciana dos Santos Freire</t>
        </is>
      </c>
      <c r="C121" s="78" t="inlineStr">
        <is>
          <t>Purificador Everest Baby Branco</t>
        </is>
      </c>
      <c r="D121" s="79" t="n">
        <v>379</v>
      </c>
      <c r="E121" s="78" t="inlineStr">
        <is>
          <t>Dinheiro</t>
        </is>
      </c>
      <c r="F121" s="79" t="n"/>
      <c r="G121" s="79" t="n"/>
      <c r="H121" s="78" t="n"/>
      <c r="I121" s="78" t="n"/>
      <c r="J121" s="78" t="inlineStr">
        <is>
          <t>CLI-0893</t>
        </is>
      </c>
    </row>
    <row r="122">
      <c r="A122" s="81" t="n">
        <v>46281</v>
      </c>
      <c r="B122" s="82" t="inlineStr">
        <is>
          <t>Patrus Transportes</t>
        </is>
      </c>
      <c r="C122" s="82" t="n"/>
      <c r="D122" s="83" t="n"/>
      <c r="E122" s="82" t="n"/>
      <c r="F122" s="83" t="n"/>
      <c r="G122" s="83" t="n">
        <v>292.68</v>
      </c>
      <c r="H122" s="82" t="inlineStr">
        <is>
          <t>Transporte e Entregas</t>
        </is>
      </c>
      <c r="I122" s="82" t="inlineStr">
        <is>
          <t>Frete da fatura 26-08-913041 (CT-e 2117850, remetente Eversoft, NF 75472) — venc. 16/09/2026. Pago em 16/09/2026.</t>
        </is>
      </c>
    </row>
    <row r="123">
      <c r="A123" s="77" t="n">
        <v>46281</v>
      </c>
      <c r="B123" s="78" t="inlineStr">
        <is>
          <t>Everest Refrigeração</t>
        </is>
      </c>
      <c r="C123" s="78" t="n"/>
      <c r="D123" s="79" t="n"/>
      <c r="E123" s="78" t="n"/>
      <c r="F123" s="79" t="n"/>
      <c r="G123" s="79" t="n">
        <v>139.31</v>
      </c>
      <c r="H123" s="78" t="inlineStr">
        <is>
          <t>Fornecedores / Mercadoria</t>
        </is>
      </c>
      <c r="I123" s="78" t="inlineStr">
        <is>
          <t>Boleto doc. 377737 (emissão 19/05/2026) · parcela 4/5 — venc. 16/09/2026. Pago em 16/09/2026 · Compra total R$ 725,16 (IPI R$ 28,60): 12x Conexão T + 30x Registro + 20x Botao Completo Purificador (N) + 30x Suporte</t>
        </is>
      </c>
    </row>
    <row r="124">
      <c r="A124" s="81" t="n">
        <v>46281</v>
      </c>
      <c r="B124" s="82" t="inlineStr">
        <is>
          <t>Everest Refrigeração</t>
        </is>
      </c>
      <c r="C124" s="82" t="n"/>
      <c r="D124" s="83" t="n"/>
      <c r="E124" s="82" t="n"/>
      <c r="F124" s="83" t="n"/>
      <c r="G124" s="83" t="n">
        <v>856.35</v>
      </c>
      <c r="H124" s="82" t="inlineStr">
        <is>
          <t>Fornecedores / Mercadoria</t>
        </is>
      </c>
      <c r="I124" s="82" t="inlineStr">
        <is>
          <t>Boleto doc. 377739 (emissão 19/05/2026) · parcela 4/5 — venc. 16/09/2026. Pago em 16/09/2026 · Compra total R$ 4.281,74: Purificador Everest Slim Branco + Purificador Everest Slim Preto + Purificador Everest Plus Branco + Purificador Everest Star Branco + Purificador Everest Fit Branco + Purificador Everest Plus Prata</t>
        </is>
      </c>
    </row>
    <row r="125">
      <c r="A125" s="77" t="n">
        <v>46281</v>
      </c>
      <c r="B125" s="78" t="inlineStr">
        <is>
          <t>Everest Refrigeração</t>
        </is>
      </c>
      <c r="C125" s="78" t="n"/>
      <c r="D125" s="79" t="n"/>
      <c r="E125" s="78" t="n"/>
      <c r="F125" s="79" t="n"/>
      <c r="G125" s="79" t="n">
        <v>865.5</v>
      </c>
      <c r="H125" s="78" t="inlineStr">
        <is>
          <t>Fornecedores / Mercadoria</t>
        </is>
      </c>
      <c r="I125" s="78" t="inlineStr">
        <is>
          <t>Boleto doc. 377738 (emissão 19/05/2026) · parcela 4/5 — venc. 16/09/2026. Pago em 16/09/2026 pelo Banco do Nordeste · Compra total R$ 4.327,52: Purificador Everest Plus Branco + Purificador Everest Plus Prata + Purificador Everest Slim Branco + 2x Purificador Everest Fit Prata + Purificador Everest Fit Preto</t>
        </is>
      </c>
    </row>
    <row r="126">
      <c r="A126" s="81" t="n">
        <v>46281</v>
      </c>
      <c r="B126" s="82" t="inlineStr">
        <is>
          <t>Filtros Planeta Água</t>
        </is>
      </c>
      <c r="C126" s="82" t="n"/>
      <c r="D126" s="83" t="n"/>
      <c r="E126" s="82" t="n"/>
      <c r="F126" s="83" t="n"/>
      <c r="G126" s="83" t="n">
        <v>1385.85</v>
      </c>
      <c r="H126" s="82" t="inlineStr">
        <is>
          <t>Fornecedores / Mercadoria</t>
        </is>
      </c>
      <c r="I126" s="82" t="inlineStr">
        <is>
          <t>Boleto doc. 131997/4 (emissão 08/07/2026) · parcela 4/4 (última) — venc. 16/09/2026. Pago em 16/09/2026 pelo Banco do Nordeste · Compra total R$ 5.831,67 (IPI R$ 288,26): 5x Refil Fp4 + 8x Refil Carbon Tech 5 Pol + 120x Refil E3 + 90x Refil Pre-E3 + 10x Refil Top Multifilter + 4x Refil Fpa16</t>
        </is>
      </c>
    </row>
    <row r="127">
      <c r="A127" s="77" t="n">
        <v>46282</v>
      </c>
      <c r="B127" s="78" t="inlineStr">
        <is>
          <t>Centro Medico Boa Saude</t>
        </is>
      </c>
      <c r="C127" s="78" t="inlineStr">
        <is>
          <t>Refil Everest + Mangueira</t>
        </is>
      </c>
      <c r="D127" s="79" t="n">
        <v>150</v>
      </c>
      <c r="E127" s="78" t="inlineStr">
        <is>
          <t>Pix</t>
        </is>
      </c>
      <c r="F127" s="79" t="n"/>
      <c r="G127" s="79" t="n"/>
      <c r="H127" s="78" t="n"/>
      <c r="I127" s="78" t="n"/>
      <c r="J127" s="78" t="inlineStr">
        <is>
          <t>EMP-0061</t>
        </is>
      </c>
    </row>
    <row r="128">
      <c r="A128" s="81" t="n">
        <v>46282</v>
      </c>
      <c r="B128" s="82" t="inlineStr">
        <is>
          <t>Instituição Adventista Nordeste Brasileiro</t>
        </is>
      </c>
      <c r="C128" s="82" t="inlineStr">
        <is>
          <t>Torneira para Bebedouro Industrial</t>
        </is>
      </c>
      <c r="D128" s="83" t="n">
        <v>60</v>
      </c>
      <c r="E128" s="82" t="inlineStr">
        <is>
          <t>Crédito à Vista</t>
        </is>
      </c>
      <c r="F128" s="83" t="n">
        <v>2.11</v>
      </c>
      <c r="G128" s="83" t="n"/>
      <c r="H128" s="82" t="n"/>
      <c r="I128" s="82" t="n"/>
      <c r="J128" t="inlineStr">
        <is>
          <t>ESC-0016</t>
        </is>
      </c>
    </row>
    <row r="129">
      <c r="A129" s="77" t="n">
        <v>46282</v>
      </c>
      <c r="B129" s="78" t="inlineStr">
        <is>
          <t>Julia Ribeiro Bezerra Santos</t>
        </is>
      </c>
      <c r="C129" s="78" t="inlineStr">
        <is>
          <t>Refil FPA14</t>
        </is>
      </c>
      <c r="D129" s="79" t="n">
        <v>100</v>
      </c>
      <c r="E129" s="78" t="inlineStr">
        <is>
          <t>Pix</t>
        </is>
      </c>
      <c r="F129" s="79" t="n"/>
      <c r="G129" s="79" t="n"/>
      <c r="H129" s="78" t="n"/>
      <c r="I129" s="78" t="n"/>
      <c r="J129" s="78" t="inlineStr">
        <is>
          <t>CLI-0894</t>
        </is>
      </c>
    </row>
    <row r="130">
      <c r="A130" s="81" t="n">
        <v>46282</v>
      </c>
      <c r="B130" s="82" t="inlineStr">
        <is>
          <t>Pousada Triunfo Ltda (Hotel Triunfo)</t>
        </is>
      </c>
      <c r="C130" s="82" t="inlineStr">
        <is>
          <t>Registro</t>
        </is>
      </c>
      <c r="D130" s="83" t="n">
        <v>30</v>
      </c>
      <c r="E130" s="82" t="inlineStr">
        <is>
          <t>Dinheiro</t>
        </is>
      </c>
      <c r="F130" s="83" t="n"/>
      <c r="G130" s="83" t="n"/>
      <c r="H130" s="82" t="n"/>
      <c r="I130" s="82" t="n"/>
      <c r="J130" t="inlineStr">
        <is>
          <t>EMP-0251</t>
        </is>
      </c>
    </row>
    <row r="131">
      <c r="A131" s="77" t="n">
        <v>46283</v>
      </c>
      <c r="B131" s="78" t="inlineStr">
        <is>
          <t>Salão de Beleza - Tauana Naiara Matos - Pura Beleza</t>
        </is>
      </c>
      <c r="C131" s="78" t="inlineStr">
        <is>
          <t>Refil Everest</t>
        </is>
      </c>
      <c r="D131" s="79" t="n">
        <v>150</v>
      </c>
      <c r="E131" s="78" t="inlineStr">
        <is>
          <t>Dinheiro</t>
        </is>
      </c>
      <c r="F131" s="79" t="n"/>
      <c r="G131" s="79" t="n"/>
      <c r="H131" s="78" t="n"/>
      <c r="I131" s="78" t="n"/>
      <c r="J131" s="78" t="inlineStr">
        <is>
          <t>EMP-0267</t>
        </is>
      </c>
    </row>
    <row r="132">
      <c r="A132" s="81" t="n">
        <v>46284</v>
      </c>
      <c r="B132" s="82" t="inlineStr">
        <is>
          <t>Marilda Macedo / José Luciano Costa</t>
        </is>
      </c>
      <c r="C132" s="82" t="inlineStr">
        <is>
          <t>Refil Everest + Pré Filtro</t>
        </is>
      </c>
      <c r="D132" s="83" t="n">
        <v>200</v>
      </c>
      <c r="E132" s="82" t="inlineStr">
        <is>
          <t>Pix</t>
        </is>
      </c>
      <c r="F132" s="83" t="n"/>
      <c r="G132" s="83" t="n"/>
      <c r="H132" s="82" t="n"/>
      <c r="I132" s="82" t="inlineStr">
        <is>
          <t>Venda de 18/09/2026 — pagamento recebido via Pix em 19/09/2026</t>
        </is>
      </c>
      <c r="J132" t="inlineStr">
        <is>
          <t>CLI-0388</t>
        </is>
      </c>
    </row>
    <row r="133">
      <c r="A133" s="77" t="n">
        <v>46283</v>
      </c>
      <c r="B133" s="78" t="inlineStr">
        <is>
          <t>Valdemar</t>
        </is>
      </c>
      <c r="C133" s="78" t="inlineStr">
        <is>
          <t>Pré Filtro</t>
        </is>
      </c>
      <c r="D133" s="79" t="n">
        <v>60</v>
      </c>
      <c r="E133" s="78" t="inlineStr">
        <is>
          <t>Dinheiro</t>
        </is>
      </c>
      <c r="F133" s="79" t="n"/>
      <c r="G133" s="79" t="n"/>
      <c r="H133" s="78" t="n"/>
      <c r="I133" s="78" t="inlineStr">
        <is>
          <t>Instalação do pré-filtro pelo Wiliam. Cliente ainda sem cadastro na Planilha de Clientes.</t>
        </is>
      </c>
      <c r="J133" s="78" t="n"/>
    </row>
    <row r="134">
      <c r="A134" s="81" t="n">
        <v>46283</v>
      </c>
      <c r="B134" s="82" t="inlineStr">
        <is>
          <t>Dailana Araujo Lima</t>
        </is>
      </c>
      <c r="C134" s="82" t="inlineStr">
        <is>
          <t>Purificador Everest Foz Cinza Claro</t>
        </is>
      </c>
      <c r="D134" s="83" t="n">
        <v>1490</v>
      </c>
      <c r="E134" s="82" t="inlineStr">
        <is>
          <t>Crédito Parcelado</t>
        </is>
      </c>
      <c r="F134" s="83" t="n">
        <v>148.85</v>
      </c>
      <c r="G134" s="83" t="n"/>
      <c r="H134" s="82" t="n"/>
      <c r="I134" s="82" t="inlineStr">
        <is>
          <t>Crédito em 5x. Instalação feita em 18/09/2026.</t>
        </is>
      </c>
      <c r="J134" t="inlineStr">
        <is>
          <t>CLI-0895</t>
        </is>
      </c>
    </row>
    <row r="135">
      <c r="A135" s="77" t="n">
        <v>46283</v>
      </c>
      <c r="B135" s="78" t="inlineStr">
        <is>
          <t>Maria Lucia Pinho Guimarães</t>
        </is>
      </c>
      <c r="C135" s="78" t="inlineStr">
        <is>
          <t>Refil Everest</t>
        </is>
      </c>
      <c r="D135" s="79" t="n">
        <v>140</v>
      </c>
      <c r="E135" s="78" t="inlineStr">
        <is>
          <t>Dinheiro</t>
        </is>
      </c>
      <c r="F135" s="79" t="n"/>
      <c r="G135" s="79" t="n"/>
      <c r="H135" s="78" t="n"/>
      <c r="I135" s="78" t="n"/>
      <c r="J135" s="78" t="inlineStr">
        <is>
          <t>CLI-0065</t>
        </is>
      </c>
    </row>
    <row r="136">
      <c r="A136" s="81" t="n">
        <v>46283</v>
      </c>
      <c r="B136" s="82" t="inlineStr">
        <is>
          <t>Consumidor Final</t>
        </is>
      </c>
      <c r="C136" s="82" t="inlineStr">
        <is>
          <t>Refil FP4</t>
        </is>
      </c>
      <c r="D136" s="83" t="n">
        <v>60</v>
      </c>
      <c r="E136" s="82" t="inlineStr">
        <is>
          <t>Pix</t>
        </is>
      </c>
      <c r="F136" s="83" t="n"/>
      <c r="G136" s="83" t="n"/>
      <c r="H136" s="82" t="n"/>
      <c r="I136" s="82" t="n"/>
    </row>
    <row r="137">
      <c r="A137" s="77" t="n">
        <v>46281</v>
      </c>
      <c r="B137" s="78" t="inlineStr">
        <is>
          <t>Supermercado</t>
        </is>
      </c>
      <c r="C137" s="78" t="n"/>
      <c r="D137" s="79" t="n"/>
      <c r="E137" s="78" t="n"/>
      <c r="F137" s="79" t="n"/>
      <c r="G137" s="79" t="n">
        <v>150</v>
      </c>
      <c r="H137" s="78" t="inlineStr">
        <is>
          <t>Pro Labore Edilânia</t>
        </is>
      </c>
      <c r="I137" s="78" t="inlineStr">
        <is>
          <t>Compra de supermercado — despesa pessoal (Edilânia).</t>
        </is>
      </c>
      <c r="J137" s="78" t="n"/>
    </row>
    <row r="138">
      <c r="A138" s="81" t="n">
        <v>46267</v>
      </c>
      <c r="B138" s="82" t="inlineStr">
        <is>
          <t>Adrielly Costa Fontes</t>
        </is>
      </c>
      <c r="C138" s="82" t="n"/>
      <c r="D138" s="83" t="n"/>
      <c r="E138" s="82" t="n"/>
      <c r="F138" s="83" t="n"/>
      <c r="G138" s="83" t="n">
        <v>50</v>
      </c>
      <c r="H138" s="82" t="inlineStr">
        <is>
          <t>Pro Labore Edilânia</t>
        </is>
      </c>
      <c r="I138" s="82" t="inlineStr">
        <is>
          <t>Extrato Stone — saída de 02/09/2026.</t>
        </is>
      </c>
    </row>
    <row r="139">
      <c r="A139" s="77" t="n">
        <v>46267</v>
      </c>
      <c r="B139" s="78" t="inlineStr">
        <is>
          <t>Dlocal Brasil Instituição de Pagamento</t>
        </is>
      </c>
      <c r="C139" s="78" t="n"/>
      <c r="D139" s="79" t="n"/>
      <c r="E139" s="78" t="n"/>
      <c r="F139" s="79" t="n"/>
      <c r="G139" s="79" t="n">
        <v>103.52</v>
      </c>
      <c r="H139" s="78" t="inlineStr">
        <is>
          <t>Pro Labore Edilânia</t>
        </is>
      </c>
      <c r="I139" s="78" t="inlineStr">
        <is>
          <t>Extrato Stone — saída de 02/09/2026.</t>
        </is>
      </c>
      <c r="J139" s="78" t="n"/>
    </row>
    <row r="140">
      <c r="A140" s="81" t="n">
        <v>46268</v>
      </c>
      <c r="B140" s="82" t="inlineStr">
        <is>
          <t>Appmax Plataforma</t>
        </is>
      </c>
      <c r="C140" s="82" t="n"/>
      <c r="D140" s="83" t="n"/>
      <c r="E140" s="82" t="n"/>
      <c r="F140" s="83" t="n"/>
      <c r="G140" s="83" t="n">
        <v>176.67</v>
      </c>
      <c r="H140" s="82" t="inlineStr">
        <is>
          <t>Pro Labore Edilânia</t>
        </is>
      </c>
      <c r="I140" s="82" t="inlineStr">
        <is>
          <t>Extrato Stone — saída de 03/09/2026.</t>
        </is>
      </c>
    </row>
    <row r="141">
      <c r="A141" s="77" t="n">
        <v>46269</v>
      </c>
      <c r="B141" s="78" t="inlineStr">
        <is>
          <t>Thiago de Jesus Nascimento</t>
        </is>
      </c>
      <c r="C141" s="78" t="n"/>
      <c r="D141" s="79" t="n"/>
      <c r="E141" s="78" t="n"/>
      <c r="F141" s="79" t="n"/>
      <c r="G141" s="79" t="n">
        <v>21</v>
      </c>
      <c r="H141" s="78" t="inlineStr">
        <is>
          <t>Pro Labore Edilânia</t>
        </is>
      </c>
      <c r="I141" s="78" t="inlineStr">
        <is>
          <t>Extrato Stone — saída de 04/09/2026.</t>
        </is>
      </c>
      <c r="J141" s="78" t="n"/>
    </row>
    <row r="142">
      <c r="A142" s="81" t="n">
        <v>46269</v>
      </c>
      <c r="B142" s="82" t="inlineStr">
        <is>
          <t>Dlocal Brasil Instituição de Pagamento</t>
        </is>
      </c>
      <c r="C142" s="82" t="n"/>
      <c r="D142" s="83" t="n"/>
      <c r="E142" s="82" t="n"/>
      <c r="F142" s="83" t="n"/>
      <c r="G142" s="83" t="n">
        <v>143.8</v>
      </c>
      <c r="H142" s="82" t="inlineStr">
        <is>
          <t>Pro Labore Edilânia</t>
        </is>
      </c>
      <c r="I142" s="82" t="inlineStr">
        <is>
          <t>Extrato Stone — saída de 04/09/2026.</t>
        </is>
      </c>
    </row>
    <row r="143">
      <c r="A143" s="77" t="n">
        <v>46271</v>
      </c>
      <c r="B143" s="78" t="inlineStr">
        <is>
          <t>Junior e Oliveira Ltda</t>
        </is>
      </c>
      <c r="C143" s="78" t="n"/>
      <c r="D143" s="79" t="n"/>
      <c r="E143" s="78" t="n"/>
      <c r="F143" s="79" t="n"/>
      <c r="G143" s="79" t="n">
        <v>72.8</v>
      </c>
      <c r="H143" s="78" t="inlineStr">
        <is>
          <t>Pro Labore Edilânia</t>
        </is>
      </c>
      <c r="I143" s="78" t="inlineStr">
        <is>
          <t>Extrato Stone — saída de 06/09/2026.</t>
        </is>
      </c>
      <c r="J143" s="78" t="n"/>
    </row>
    <row r="144">
      <c r="A144" s="81" t="n">
        <v>46271</v>
      </c>
      <c r="B144" s="82" t="inlineStr">
        <is>
          <t>Maree Instituição de Pagamento</t>
        </is>
      </c>
      <c r="C144" s="82" t="n"/>
      <c r="D144" s="83" t="n"/>
      <c r="E144" s="82" t="n"/>
      <c r="F144" s="83" t="n"/>
      <c r="G144" s="83" t="n">
        <v>11.89</v>
      </c>
      <c r="H144" s="82" t="inlineStr">
        <is>
          <t>Pro Labore Edilânia</t>
        </is>
      </c>
      <c r="I144" s="82" t="inlineStr">
        <is>
          <t>Extrato Stone — saída de 06/09/2026.</t>
        </is>
      </c>
    </row>
    <row r="145">
      <c r="A145" s="77" t="n">
        <v>46273</v>
      </c>
      <c r="B145" s="78" t="inlineStr">
        <is>
          <t>Japedido Software</t>
        </is>
      </c>
      <c r="C145" s="78" t="n"/>
      <c r="D145" s="79" t="n"/>
      <c r="E145" s="78" t="n"/>
      <c r="F145" s="79" t="n"/>
      <c r="G145" s="79" t="n">
        <v>43.99</v>
      </c>
      <c r="H145" s="78" t="inlineStr">
        <is>
          <t>Pro Labore Edilânia</t>
        </is>
      </c>
      <c r="I145" s="78" t="inlineStr">
        <is>
          <t>Extrato Stone — saída de 08/09/2026.</t>
        </is>
      </c>
      <c r="J145" s="78" t="n"/>
    </row>
    <row r="146">
      <c r="A146" s="81" t="n">
        <v>46274</v>
      </c>
      <c r="B146" s="82" t="inlineStr">
        <is>
          <t>Estacionamento (Pagar.me)</t>
        </is>
      </c>
      <c r="C146" s="82" t="n"/>
      <c r="D146" s="83" t="n"/>
      <c r="E146" s="82" t="n"/>
      <c r="F146" s="83" t="n"/>
      <c r="G146" s="83" t="n">
        <v>2.4</v>
      </c>
      <c r="H146" s="82" t="inlineStr">
        <is>
          <t>Transporte e Entregas</t>
        </is>
      </c>
      <c r="I146" s="82" t="inlineStr">
        <is>
          <t>Extrato Stone/Ton — Pix de 09/09/2026 para Pagar.me Instituição de Pagamento (estacionamento).</t>
        </is>
      </c>
    </row>
    <row r="147">
      <c r="A147" s="77" t="n">
        <v>46274</v>
      </c>
      <c r="B147" s="78" t="inlineStr">
        <is>
          <t>Isabella Santos Flores</t>
        </is>
      </c>
      <c r="C147" s="78" t="n"/>
      <c r="D147" s="79" t="n"/>
      <c r="E147" s="78" t="n"/>
      <c r="F147" s="79" t="n"/>
      <c r="G147" s="79" t="n">
        <v>170</v>
      </c>
      <c r="H147" s="78" t="inlineStr">
        <is>
          <t>Pro Labore Edilânia</t>
        </is>
      </c>
      <c r="I147" s="78" t="inlineStr">
        <is>
          <t>Extrato Stone — saída de 09/09/2026.</t>
        </is>
      </c>
      <c r="J147" s="78" t="n"/>
    </row>
    <row r="148">
      <c r="A148" s="81" t="n">
        <v>46275</v>
      </c>
      <c r="B148" s="82" t="inlineStr">
        <is>
          <t>Thiago de Jesus Nascimento</t>
        </is>
      </c>
      <c r="C148" s="82" t="n"/>
      <c r="D148" s="83" t="n"/>
      <c r="E148" s="82" t="n"/>
      <c r="F148" s="83" t="n"/>
      <c r="G148" s="83" t="n">
        <v>21</v>
      </c>
      <c r="H148" s="82" t="inlineStr">
        <is>
          <t>Pro Labore Edilânia</t>
        </is>
      </c>
      <c r="I148" s="82" t="inlineStr">
        <is>
          <t>Extrato Stone — saída de 10/09/2026.</t>
        </is>
      </c>
    </row>
    <row r="149">
      <c r="A149" s="77" t="n">
        <v>46279</v>
      </c>
      <c r="B149" s="78" t="inlineStr">
        <is>
          <t>Sinesio Moura da Silva</t>
        </is>
      </c>
      <c r="C149" s="78" t="n"/>
      <c r="D149" s="79" t="n"/>
      <c r="E149" s="78" t="n"/>
      <c r="F149" s="79" t="n"/>
      <c r="G149" s="79" t="n">
        <v>100</v>
      </c>
      <c r="H149" s="78" t="inlineStr">
        <is>
          <t>Pro Labore Edilânia</t>
        </is>
      </c>
      <c r="I149" s="78" t="inlineStr">
        <is>
          <t>Extrato Stone — saída de 14/09/2026.</t>
        </is>
      </c>
      <c r="J149" s="78" t="n"/>
    </row>
    <row r="150">
      <c r="A150" s="81" t="n">
        <v>46280</v>
      </c>
      <c r="B150" s="82" t="inlineStr">
        <is>
          <t>Eziquiel Soares da Cruz</t>
        </is>
      </c>
      <c r="C150" s="82" t="n"/>
      <c r="D150" s="83" t="n"/>
      <c r="E150" s="82" t="n"/>
      <c r="F150" s="83" t="n"/>
      <c r="G150" s="83" t="n">
        <v>50</v>
      </c>
      <c r="H150" s="82" t="inlineStr">
        <is>
          <t>Pro Labore Edilânia</t>
        </is>
      </c>
      <c r="I150" s="82" t="inlineStr">
        <is>
          <t>Extrato Stone — saída de 15/09/2026.</t>
        </is>
      </c>
    </row>
    <row r="151">
      <c r="A151" s="77" t="n">
        <v>46280</v>
      </c>
      <c r="B151" s="78" t="inlineStr">
        <is>
          <t>Lojão JB Mega 25</t>
        </is>
      </c>
      <c r="C151" s="78" t="n"/>
      <c r="D151" s="79" t="n"/>
      <c r="E151" s="78" t="n"/>
      <c r="F151" s="79" t="n"/>
      <c r="G151" s="79" t="n">
        <v>50</v>
      </c>
      <c r="H151" s="78" t="inlineStr">
        <is>
          <t>Pro Labore Edilânia</t>
        </is>
      </c>
      <c r="I151" s="78" t="inlineStr">
        <is>
          <t>Extrato Stone — saída de 15/09/2026.</t>
        </is>
      </c>
      <c r="J151" s="78" t="n"/>
    </row>
    <row r="152">
      <c r="A152" s="81" t="n">
        <v>46280</v>
      </c>
      <c r="B152" s="82" t="inlineStr">
        <is>
          <t>Rivael Sousa Santos</t>
        </is>
      </c>
      <c r="C152" s="82" t="n"/>
      <c r="D152" s="83" t="n"/>
      <c r="E152" s="82" t="n"/>
      <c r="F152" s="83" t="n"/>
      <c r="G152" s="83" t="n">
        <v>48.8</v>
      </c>
      <c r="H152" s="82" t="inlineStr">
        <is>
          <t>Pro Labore Edilânia</t>
        </is>
      </c>
      <c r="I152" s="82" t="inlineStr">
        <is>
          <t>Extrato Stone — saída de 15/09/2026.</t>
        </is>
      </c>
    </row>
    <row r="153">
      <c r="A153" s="77" t="n">
        <v>46280</v>
      </c>
      <c r="B153" s="78" t="inlineStr">
        <is>
          <t>Thiago de Jesus Nascimento</t>
        </is>
      </c>
      <c r="C153" s="78" t="n"/>
      <c r="D153" s="79" t="n"/>
      <c r="E153" s="78" t="n"/>
      <c r="F153" s="79" t="n"/>
      <c r="G153" s="79" t="n">
        <v>28</v>
      </c>
      <c r="H153" s="78" t="inlineStr">
        <is>
          <t>Pro Labore Edilânia</t>
        </is>
      </c>
      <c r="I153" s="78" t="inlineStr">
        <is>
          <t>Extrato Stone — saída de 15/09/2026.</t>
        </is>
      </c>
      <c r="J153" s="78" t="n"/>
    </row>
    <row r="154">
      <c r="A154" s="81" t="n">
        <v>46280</v>
      </c>
      <c r="B154" s="82" t="inlineStr">
        <is>
          <t>Luciana Cruz Freire Santos</t>
        </is>
      </c>
      <c r="C154" s="82" t="n"/>
      <c r="D154" s="83" t="n"/>
      <c r="E154" s="82" t="n"/>
      <c r="F154" s="83" t="n"/>
      <c r="G154" s="83" t="n">
        <v>140</v>
      </c>
      <c r="H154" s="82" t="inlineStr">
        <is>
          <t>Pro Labore Edilânia</t>
        </is>
      </c>
      <c r="I154" s="82" t="inlineStr">
        <is>
          <t>Extrato Stone — saída de 15/09/2026.</t>
        </is>
      </c>
    </row>
    <row r="155">
      <c r="A155" s="77" t="n">
        <v>46281</v>
      </c>
      <c r="B155" s="78" t="inlineStr">
        <is>
          <t>Comercial de Estivas e Cereais Rio do Ouro</t>
        </is>
      </c>
      <c r="C155" s="78" t="n"/>
      <c r="D155" s="79" t="n"/>
      <c r="E155" s="78" t="n"/>
      <c r="F155" s="79" t="n"/>
      <c r="G155" s="79" t="n">
        <v>44.98</v>
      </c>
      <c r="H155" s="78" t="inlineStr">
        <is>
          <t>Pro Labore Edilânia</t>
        </is>
      </c>
      <c r="I155" s="78" t="inlineStr">
        <is>
          <t>Extrato Stone — saída de 16/09/2026.</t>
        </is>
      </c>
      <c r="J155" s="78" t="n"/>
    </row>
    <row r="156">
      <c r="A156" s="81" t="n">
        <v>46283</v>
      </c>
      <c r="B156" s="82" t="inlineStr">
        <is>
          <t>Japedido Software</t>
        </is>
      </c>
      <c r="C156" s="82" t="n"/>
      <c r="D156" s="83" t="n"/>
      <c r="E156" s="82" t="n"/>
      <c r="F156" s="83" t="n"/>
      <c r="G156" s="83" t="n">
        <v>62.19</v>
      </c>
      <c r="H156" s="82" t="inlineStr">
        <is>
          <t>Pro Labore Edilânia</t>
        </is>
      </c>
      <c r="I156" s="82" t="inlineStr">
        <is>
          <t>Extrato Stone — saída de 18/09/2026.</t>
        </is>
      </c>
    </row>
    <row r="157">
      <c r="A157" s="77" t="n">
        <v>46283</v>
      </c>
      <c r="B157" s="78" t="inlineStr">
        <is>
          <t>Jose Barbosa Leal Filho Ltda</t>
        </is>
      </c>
      <c r="C157" s="78" t="n"/>
      <c r="D157" s="79" t="n"/>
      <c r="E157" s="78" t="n"/>
      <c r="F157" s="79" t="n"/>
      <c r="G157" s="79" t="n">
        <v>130</v>
      </c>
      <c r="H157" s="78" t="inlineStr">
        <is>
          <t>Pro Labore Edilânia</t>
        </is>
      </c>
      <c r="I157" s="78" t="inlineStr">
        <is>
          <t>Extrato Stone — saída de 18/09/2026.</t>
        </is>
      </c>
      <c r="J157" s="78" t="n"/>
    </row>
    <row r="158">
      <c r="A158" s="81" t="n">
        <v>46283</v>
      </c>
      <c r="B158" s="82" t="inlineStr">
        <is>
          <t>L K Abade Ltda</t>
        </is>
      </c>
      <c r="C158" s="82" t="n"/>
      <c r="D158" s="83" t="n"/>
      <c r="E158" s="82" t="n"/>
      <c r="F158" s="83" t="n"/>
      <c r="G158" s="83" t="n">
        <v>40</v>
      </c>
      <c r="H158" s="82" t="inlineStr">
        <is>
          <t>Pro Labore Edilânia</t>
        </is>
      </c>
      <c r="I158" s="82" t="inlineStr">
        <is>
          <t>Extrato Stone — saída de 18/09/2026.</t>
        </is>
      </c>
    </row>
    <row r="159">
      <c r="A159" s="77" t="n">
        <v>46273</v>
      </c>
      <c r="B159" s="78" t="inlineStr">
        <is>
          <t>Multidisplay Comercio e Servicos Tecnologicos</t>
        </is>
      </c>
      <c r="C159" s="78" t="n"/>
      <c r="D159" s="79" t="n"/>
      <c r="E159" s="78" t="n"/>
      <c r="F159" s="79" t="n"/>
      <c r="G159" s="79" t="n">
        <v>25</v>
      </c>
      <c r="H159" s="78" t="inlineStr">
        <is>
          <t>Pro Labore Edilânia</t>
        </is>
      </c>
      <c r="I159" s="78" t="inlineStr">
        <is>
          <t>Extrato Stone — saída de 08/09/2026.</t>
        </is>
      </c>
      <c r="J159" s="78" t="n"/>
    </row>
    <row r="160">
      <c r="A160" s="81" t="n">
        <v>46281</v>
      </c>
      <c r="B160" s="82" t="inlineStr">
        <is>
          <t>FGTS Digital (GFD)</t>
        </is>
      </c>
      <c r="C160" s="82" t="n"/>
      <c r="D160" s="83" t="n"/>
      <c r="E160" s="82" t="n"/>
      <c r="F160" s="83" t="n"/>
      <c r="G160" s="83" t="n">
        <v>136</v>
      </c>
      <c r="H160" s="82" t="inlineStr">
        <is>
          <t>Impostos e Taxas</t>
        </is>
      </c>
      <c r="I160" s="82" t="inlineStr">
        <is>
          <t>FGTS mensal — competência 08/2026. Venc. 18/09/2026, pago em 16/09/2026.</t>
        </is>
      </c>
    </row>
    <row r="161">
      <c r="A161" s="77" t="n">
        <v>46281</v>
      </c>
      <c r="B161" s="78" t="inlineStr">
        <is>
          <t>Receita Federal — DARF / INSS</t>
        </is>
      </c>
      <c r="C161" s="78" t="n"/>
      <c r="D161" s="79" t="n"/>
      <c r="E161" s="78" t="n"/>
      <c r="F161" s="79" t="n"/>
      <c r="G161" s="79" t="n">
        <v>306.99</v>
      </c>
      <c r="H161" s="78" t="inlineStr">
        <is>
          <t>Impostos e Taxas</t>
        </is>
      </c>
      <c r="I161" s="78" t="inlineStr">
        <is>
          <t>DARF / INSS — período de apuração agosto/2026. Venc. 18/09/2026, pago em 16/09/2026.</t>
        </is>
      </c>
      <c r="J161" s="78" t="n"/>
    </row>
    <row r="162">
      <c r="A162" s="81" t="n">
        <v>46287</v>
      </c>
      <c r="B162" s="82" t="inlineStr">
        <is>
          <t>Tatiana Rocha</t>
        </is>
      </c>
      <c r="C162" s="82" t="inlineStr">
        <is>
          <t>Refil Everest</t>
        </is>
      </c>
      <c r="D162" s="83" t="n">
        <v>140</v>
      </c>
      <c r="E162" s="82" t="inlineStr">
        <is>
          <t>Pix</t>
        </is>
      </c>
      <c r="F162" s="83" t="n"/>
      <c r="G162" s="83" t="n"/>
      <c r="H162" s="82" t="n"/>
      <c r="I162" s="82" t="inlineStr">
        <is>
          <t>Venda de 21/09/2026 — pagamento recebido via Pix em 22/09/2026</t>
        </is>
      </c>
      <c r="J162" t="inlineStr">
        <is>
          <t>CLI-0032</t>
        </is>
      </c>
    </row>
    <row r="163">
      <c r="A163" s="77" t="n">
        <v>46286</v>
      </c>
      <c r="B163" s="78" t="inlineStr">
        <is>
          <t>Josimar Souza Santos</t>
        </is>
      </c>
      <c r="C163" s="78" t="inlineStr">
        <is>
          <t>Refil Everest</t>
        </is>
      </c>
      <c r="D163" s="79" t="n">
        <v>140</v>
      </c>
      <c r="E163" s="78" t="inlineStr">
        <is>
          <t>Pix</t>
        </is>
      </c>
      <c r="F163" s="79" t="n"/>
      <c r="G163" s="79" t="n"/>
      <c r="H163" s="78" t="n"/>
      <c r="I163" s="78" t="n"/>
      <c r="J163" s="78" t="inlineStr">
        <is>
          <t>CLI-0367</t>
        </is>
      </c>
    </row>
    <row r="164">
      <c r="A164" s="81" t="n">
        <v>46286</v>
      </c>
      <c r="B164" s="82" t="inlineStr">
        <is>
          <t>Cleone Gomes de Andrade</t>
        </is>
      </c>
      <c r="C164" s="82" t="inlineStr">
        <is>
          <t>Refil Everest</t>
        </is>
      </c>
      <c r="D164" s="83" t="n">
        <v>140</v>
      </c>
      <c r="E164" s="82" t="inlineStr">
        <is>
          <t>Pix</t>
        </is>
      </c>
      <c r="F164" s="83" t="n"/>
      <c r="G164" s="83" t="n"/>
      <c r="H164" s="82" t="n"/>
      <c r="I164" s="82" t="n"/>
      <c r="J164" t="inlineStr">
        <is>
          <t>CLI-0296</t>
        </is>
      </c>
    </row>
    <row r="165">
      <c r="A165" s="77" t="n">
        <v>46286</v>
      </c>
      <c r="B165" s="78" t="inlineStr">
        <is>
          <t>Combustível (Etanol) — Transvale</t>
        </is>
      </c>
      <c r="C165" s="78" t="n"/>
      <c r="D165" s="79" t="n"/>
      <c r="E165" s="78" t="n"/>
      <c r="F165" s="79" t="n"/>
      <c r="G165" s="79" t="n">
        <v>50</v>
      </c>
      <c r="H165" s="78" t="inlineStr">
        <is>
          <t>Transporte e Entregas</t>
        </is>
      </c>
      <c r="I165" s="78" t="inlineStr">
        <is>
          <t>10,31 L de etanol hidratado a R$ 4,85/L — NFC-e nº 000284718 (Transvale Derivados de Petróleo, CNPJ 11.271.229/0002-68). Pago em dinheiro.</t>
        </is>
      </c>
      <c r="J165" s="78" t="n"/>
    </row>
    <row r="166">
      <c r="A166" s="81" t="n">
        <v>46286</v>
      </c>
      <c r="B166" s="82" t="inlineStr">
        <is>
          <t>Filtros Planeta Água</t>
        </is>
      </c>
      <c r="C166" s="82" t="n"/>
      <c r="D166" s="83" t="n"/>
      <c r="E166" s="82" t="n"/>
      <c r="F166" s="83" t="n"/>
      <c r="G166" s="83" t="n">
        <v>592.89</v>
      </c>
      <c r="H166" s="82" t="inlineStr">
        <is>
          <t>Fornecedores / Mercadoria</t>
        </is>
      </c>
      <c r="I166" s="82" t="inlineStr">
        <is>
          <t>Boleto doc. 133812/001 (emissão 28/08/2026) · parcela 1/4 — 2ª via com venc. 21/09/2026 (original R$ 591,12 venc. 18/09). Pago em 21/09/2026 pelo Banco do Nordeste · Compra total R$ 2.093,55 (IPI R$ 90,31): 30x Refil Pro Life + 2x Refil Carbon Block 9.3/4 Pol + 15x Refil Carbon Tech 5 Pol + 4x Refil Poli Flu Plissado 9.3/4 + 6x Carcaca Fit 9.3/4 Pol Branca + 5x Regulador De Pressao Tubo 3/8</t>
        </is>
      </c>
    </row>
    <row r="167">
      <c r="A167" s="77" t="n">
        <v>46286</v>
      </c>
      <c r="B167" s="78" t="inlineStr">
        <is>
          <t>Receita Federal — Simples Nacional (DAS)</t>
        </is>
      </c>
      <c r="C167" s="78" t="n"/>
      <c r="D167" s="79" t="n"/>
      <c r="E167" s="78" t="n"/>
      <c r="F167" s="79" t="n"/>
      <c r="G167" s="79" t="n">
        <v>1958.02</v>
      </c>
      <c r="H167" s="78" t="inlineStr">
        <is>
          <t>Impostos e Taxas</t>
        </is>
      </c>
      <c r="I167" s="78" t="inlineStr">
        <is>
          <t>DAS competência agosto/2026 (doc. 07.20.26260.6017058-0) — venc. 21/09/2026. Pago em 21/09/2026 pela conta Ton (Stone).</t>
        </is>
      </c>
      <c r="J167" s="78" t="n"/>
    </row>
    <row r="168">
      <c r="A168" s="81" t="n">
        <v>46286</v>
      </c>
      <c r="B168" s="82" t="inlineStr">
        <is>
          <t>Everest Refrigeração</t>
        </is>
      </c>
      <c r="C168" s="82" t="n"/>
      <c r="D168" s="83" t="n"/>
      <c r="E168" s="82" t="n"/>
      <c r="F168" s="83" t="n"/>
      <c r="G168" s="83" t="n">
        <v>874.6799999999999</v>
      </c>
      <c r="H168" s="82" t="inlineStr">
        <is>
          <t>Fornecedores / Mercadoria</t>
        </is>
      </c>
      <c r="I168" s="82" t="inlineStr">
        <is>
          <t>Boleto doc. 379826 (emissão 22/06/2026) · parcela 3/5 — venc. 20/09/2026 (domingo). Pago em 21/09/2026 pelo Banco do Nordeste · Compra total R$ 4.373,40: 2x Purificador Everest Slim Prata + 2x Purificador Everest Star Prata + Purificador Everest Star Branco + Purificador Everest Fit Branco</t>
        </is>
      </c>
    </row>
    <row r="169">
      <c r="A169" s="77" t="n">
        <v>46286</v>
      </c>
      <c r="B169" s="78" t="inlineStr">
        <is>
          <t>Diarista</t>
        </is>
      </c>
      <c r="C169" s="78" t="n"/>
      <c r="D169" s="79" t="n"/>
      <c r="E169" s="78" t="n"/>
      <c r="F169" s="79" t="n"/>
      <c r="G169" s="79" t="n">
        <v>340</v>
      </c>
      <c r="H169" s="78" t="inlineStr">
        <is>
          <t>Pro Labore Edilânia</t>
        </is>
      </c>
      <c r="I169" s="78" t="inlineStr">
        <is>
          <t>Pagamento de diarista — despesa pessoal (Edilânia).</t>
        </is>
      </c>
      <c r="J169" s="78" t="n"/>
    </row>
    <row r="170">
      <c r="A170" s="81" t="n">
        <v>46286</v>
      </c>
      <c r="B170" s="82" t="inlineStr">
        <is>
          <t>Acerto de Armando</t>
        </is>
      </c>
      <c r="C170" s="82" t="n"/>
      <c r="D170" s="83" t="n">
        <v>500</v>
      </c>
      <c r="E170" s="82" t="inlineStr">
        <is>
          <t>Dinheiro</t>
        </is>
      </c>
      <c r="F170" s="83" t="n"/>
      <c r="G170" s="83" t="n"/>
      <c r="H170" s="82" t="n"/>
      <c r="I170" s="82" t="n"/>
    </row>
    <row r="171">
      <c r="A171" s="77" t="n">
        <v>46286</v>
      </c>
      <c r="B171" s="78" t="inlineStr">
        <is>
          <t>Consumidor Final</t>
        </is>
      </c>
      <c r="C171" s="78" t="inlineStr">
        <is>
          <t>Mangueira (1m)</t>
        </is>
      </c>
      <c r="D171" s="79" t="n">
        <v>10</v>
      </c>
      <c r="E171" s="78" t="inlineStr">
        <is>
          <t>Débito</t>
        </is>
      </c>
      <c r="F171" s="79" t="n">
        <v>0.14</v>
      </c>
      <c r="G171" s="79" t="n"/>
      <c r="H171" s="78" t="n"/>
      <c r="I171" s="78" t="n"/>
      <c r="J171" s="78" t="n"/>
    </row>
    <row r="172">
      <c r="A172" s="81" t="n">
        <v>46286</v>
      </c>
      <c r="B172" s="82" t="inlineStr">
        <is>
          <t>Consumidor Final</t>
        </is>
      </c>
      <c r="C172" s="82" t="inlineStr">
        <is>
          <t>Vela Carvão Ativado</t>
        </is>
      </c>
      <c r="D172" s="83" t="n">
        <v>17</v>
      </c>
      <c r="E172" s="82" t="inlineStr">
        <is>
          <t>Crédito à Vista</t>
        </is>
      </c>
      <c r="F172" s="83" t="n">
        <v>0.6</v>
      </c>
      <c r="G172" s="83" t="n"/>
      <c r="H172" s="82" t="n"/>
      <c r="I172" s="82" t="n"/>
    </row>
    <row r="173">
      <c r="A173" s="77" t="n">
        <v>46286</v>
      </c>
      <c r="B173" s="78" t="inlineStr">
        <is>
          <t>Consumidor Final</t>
        </is>
      </c>
      <c r="C173" s="78" t="inlineStr">
        <is>
          <t>Vela Carvão Ativado</t>
        </is>
      </c>
      <c r="D173" s="79" t="n">
        <v>15</v>
      </c>
      <c r="E173" s="78" t="inlineStr">
        <is>
          <t>Pix</t>
        </is>
      </c>
      <c r="F173" s="79" t="n"/>
      <c r="G173" s="79" t="n"/>
      <c r="H173" s="78" t="n"/>
      <c r="I173" s="78" t="n"/>
      <c r="J173" s="78" t="n"/>
    </row>
    <row r="174">
      <c r="A174" s="81" t="n">
        <v>46287</v>
      </c>
      <c r="B174" s="82" t="inlineStr">
        <is>
          <t>Colégio Estadual Normal Arnaldo de Oliveira</t>
        </is>
      </c>
      <c r="C174" s="82" t="inlineStr">
        <is>
          <t>9x Refil Carbon Tech 5" + 2x Refil Everest + Termostato</t>
        </is>
      </c>
      <c r="D174" s="83" t="n">
        <v>990</v>
      </c>
      <c r="E174" s="82" t="inlineStr">
        <is>
          <t>Crédito à Vista</t>
        </is>
      </c>
      <c r="F174" s="83" t="n">
        <v>34.75</v>
      </c>
      <c r="G174" s="83" t="n"/>
      <c r="H174" s="82" t="n"/>
      <c r="I174" s="82" t="n"/>
      <c r="J174" t="inlineStr">
        <is>
          <t>OUT-0018</t>
        </is>
      </c>
    </row>
    <row r="175">
      <c r="A175" s="77" t="n">
        <v>46287</v>
      </c>
      <c r="B175" s="78" t="inlineStr">
        <is>
          <t>Jacobina Etiquetas e Rotulos LTDA</t>
        </is>
      </c>
      <c r="C175" s="78" t="inlineStr">
        <is>
          <t>Refil Everest</t>
        </is>
      </c>
      <c r="D175" s="79" t="n">
        <v>140</v>
      </c>
      <c r="E175" s="78" t="inlineStr">
        <is>
          <t>Dinheiro</t>
        </is>
      </c>
      <c r="F175" s="79" t="n"/>
      <c r="G175" s="79" t="n"/>
      <c r="H175" s="78" t="n"/>
      <c r="I175" s="78" t="n"/>
      <c r="J175" s="78" t="inlineStr">
        <is>
          <t>EMP-0190</t>
        </is>
      </c>
    </row>
    <row r="176">
      <c r="A176" s="44" t="n">
        <v>46287</v>
      </c>
      <c r="B176" s="45" t="inlineStr">
        <is>
          <t>Chapada Ouro Serviços Ltda - Motel Privilege</t>
        </is>
      </c>
      <c r="C176" s="45" t="inlineStr">
        <is>
          <t>Refil Pro Life + Mangueira (2m)</t>
        </is>
      </c>
      <c r="D176" s="46" t="n">
        <v>160</v>
      </c>
      <c r="E176" s="45" t="inlineStr">
        <is>
          <t>Dinheiro</t>
        </is>
      </c>
      <c r="F176" s="47" t="n"/>
      <c r="G176" s="48" t="n"/>
      <c r="H176" s="49" t="n"/>
      <c r="I176" s="45" t="n"/>
      <c r="J176" t="inlineStr">
        <is>
          <t>EMP-0066</t>
        </is>
      </c>
    </row>
    <row r="177">
      <c r="A177" s="17" t="n">
        <v>46287</v>
      </c>
      <c r="B177" s="18" t="inlineStr">
        <is>
          <t>Casa da Construção Jacobina Ltda - Cavalcanti</t>
        </is>
      </c>
      <c r="C177" s="18" t="inlineStr">
        <is>
          <t>Refil Everest</t>
        </is>
      </c>
      <c r="D177" s="27" t="n">
        <v>140</v>
      </c>
      <c r="E177" s="18" t="inlineStr">
        <is>
          <t>Dinheiro</t>
        </is>
      </c>
      <c r="F177" s="19" t="n"/>
      <c r="G177" s="19" t="n"/>
      <c r="H177" s="21" t="n"/>
      <c r="I177" s="18" t="n"/>
      <c r="J177" s="18" t="inlineStr">
        <is>
          <t>EMP-0045</t>
        </is>
      </c>
    </row>
    <row r="178">
      <c r="A178" s="44" t="n">
        <v>46287</v>
      </c>
      <c r="B178" s="45" t="inlineStr">
        <is>
          <t>Consumidor Final</t>
        </is>
      </c>
      <c r="C178" s="45" t="inlineStr">
        <is>
          <t>Carcaça 9" + Refil Plissado</t>
        </is>
      </c>
      <c r="D178" s="46" t="n">
        <v>190</v>
      </c>
      <c r="E178" s="45" t="inlineStr">
        <is>
          <t>Pix</t>
        </is>
      </c>
      <c r="F178" s="47" t="n"/>
      <c r="G178" s="48" t="n"/>
      <c r="H178" s="49" t="n"/>
      <c r="I178" s="45" t="n"/>
    </row>
    <row r="179">
      <c r="A179" s="17" t="n">
        <v>46287</v>
      </c>
      <c r="B179" s="18" t="inlineStr">
        <is>
          <t>Isabela Alcantara Mesquita - Ivanete</t>
        </is>
      </c>
      <c r="C179" s="18" t="inlineStr">
        <is>
          <t>Refil Pro Life</t>
        </is>
      </c>
      <c r="D179" s="27" t="n">
        <v>140</v>
      </c>
      <c r="E179" s="18" t="inlineStr">
        <is>
          <t>Crédito à Vista</t>
        </is>
      </c>
      <c r="F179" s="19" t="n">
        <v>4.91</v>
      </c>
      <c r="G179" s="19" t="n"/>
      <c r="H179" s="21" t="n"/>
      <c r="I179" s="18" t="n"/>
      <c r="J179" s="18" t="inlineStr">
        <is>
          <t>CLI-0371</t>
        </is>
      </c>
    </row>
    <row r="180">
      <c r="A180" s="44" t="n">
        <v>46287</v>
      </c>
      <c r="B180" s="45" t="inlineStr">
        <is>
          <t>Jacobina Silk</t>
        </is>
      </c>
      <c r="C180" s="45" t="inlineStr">
        <is>
          <t>Refil Everest</t>
        </is>
      </c>
      <c r="D180" s="46" t="n">
        <v>140</v>
      </c>
      <c r="E180" s="45" t="inlineStr">
        <is>
          <t>Dinheiro</t>
        </is>
      </c>
      <c r="F180" s="47" t="n"/>
      <c r="G180" s="48" t="n"/>
      <c r="H180" s="49" t="n"/>
      <c r="I180" s="45" t="n"/>
      <c r="J180" t="inlineStr">
        <is>
          <t>EMP-0193</t>
        </is>
      </c>
    </row>
    <row r="181">
      <c r="A181" s="17" t="n">
        <v>46287</v>
      </c>
      <c r="B181" s="18" t="inlineStr">
        <is>
          <t>Clinica Crescer</t>
        </is>
      </c>
      <c r="C181" s="18" t="inlineStr">
        <is>
          <t>Refil Pro Life</t>
        </is>
      </c>
      <c r="D181" s="27" t="n">
        <v>140</v>
      </c>
      <c r="E181" s="18" t="inlineStr">
        <is>
          <t>Dinheiro</t>
        </is>
      </c>
      <c r="F181" s="19" t="n"/>
      <c r="G181" s="19" t="n"/>
      <c r="H181" s="21" t="n"/>
      <c r="I181" s="18" t="n"/>
      <c r="J181" s="18" t="inlineStr">
        <is>
          <t>EMP-0072</t>
        </is>
      </c>
    </row>
    <row r="182">
      <c r="A182" s="44" t="n">
        <v>46287</v>
      </c>
      <c r="B182" s="45" t="inlineStr">
        <is>
          <t>Comercial de Tintas Leal Jatobá</t>
        </is>
      </c>
      <c r="C182" s="45" t="n"/>
      <c r="D182" s="46" t="n"/>
      <c r="E182" s="45" t="n"/>
      <c r="F182" s="47" t="n"/>
      <c r="G182" s="48" t="n">
        <v>124.2</v>
      </c>
      <c r="H182" s="49" t="inlineStr">
        <is>
          <t>Manutenção e Reparos</t>
        </is>
      </c>
      <c r="I182" s="45" t="inlineStr">
        <is>
          <t>NF-e 2.879 de 17/09/2026 (CNPJ 40.528.218/0001-38) — parafusos, conexões hidráulicas (niple, tê, junção, fita veda), graxa, tinta, lâmpada LED, lixa e abraçadeiras. Pago em dinheiro em 22/09/2026.</t>
        </is>
      </c>
    </row>
    <row r="183">
      <c r="A183" s="17" t="n">
        <v>46286</v>
      </c>
      <c r="B183" s="18" t="inlineStr">
        <is>
          <t>Comissão Wiliam</t>
        </is>
      </c>
      <c r="C183" s="18" t="n"/>
      <c r="D183" s="27" t="n"/>
      <c r="E183" s="18" t="n"/>
      <c r="F183" s="19" t="n"/>
      <c r="G183" s="19" t="n">
        <v>460</v>
      </c>
      <c r="H183" s="21" t="inlineStr">
        <is>
          <t>Salários, Comissões e Encargos</t>
        </is>
      </c>
      <c r="I183" s="18" t="inlineStr">
        <is>
          <t>Comissões da quinzena de 08/09 a 18/09/2026</t>
        </is>
      </c>
      <c r="J183" s="18" t="n"/>
    </row>
    <row r="184">
      <c r="A184" s="44" t="n">
        <v>46275</v>
      </c>
      <c r="B184" s="45" t="inlineStr">
        <is>
          <t>Supermercado (retirada BNB)</t>
        </is>
      </c>
      <c r="C184" s="45" t="n"/>
      <c r="D184" s="46" t="n"/>
      <c r="E184" s="45" t="n"/>
      <c r="F184" s="47" t="n"/>
      <c r="G184" s="48" t="n">
        <v>240</v>
      </c>
      <c r="H184" s="49" t="inlineStr">
        <is>
          <t>Pro Labore Edilânia</t>
        </is>
      </c>
      <c r="I184" s="45" t="inlineStr">
        <is>
          <t>R$ 240,00 retirados no BNB para supermercado — despesa pessoal (Edilânia). Informado por ela no WhatsApp em 10/09/2026.</t>
        </is>
      </c>
    </row>
    <row r="185">
      <c r="A185" s="17" t="n">
        <v>46288</v>
      </c>
      <c r="B185" s="18" t="inlineStr">
        <is>
          <t>José Bartolomeu Doria Marques</t>
        </is>
      </c>
      <c r="C185" s="18" t="inlineStr">
        <is>
          <t>Refil Everest</t>
        </is>
      </c>
      <c r="D185" s="27" t="n">
        <v>130</v>
      </c>
      <c r="E185" s="18" t="inlineStr">
        <is>
          <t>Crédito à Vista</t>
        </is>
      </c>
      <c r="F185" s="19" t="n">
        <v>4.56</v>
      </c>
      <c r="G185" s="19" t="n"/>
      <c r="H185" s="21" t="n"/>
      <c r="I185" s="18" t="n"/>
      <c r="J185" s="18" t="inlineStr">
        <is>
          <t>CLI-0571</t>
        </is>
      </c>
    </row>
    <row r="186">
      <c r="A186" s="44" t="n">
        <v>46288</v>
      </c>
      <c r="B186" s="45" t="inlineStr">
        <is>
          <t>Silmara Variedades</t>
        </is>
      </c>
      <c r="C186" s="45" t="inlineStr">
        <is>
          <t>Refil E3 + Pré Filtro</t>
        </is>
      </c>
      <c r="D186" s="46" t="n">
        <v>150</v>
      </c>
      <c r="E186" s="45" t="inlineStr">
        <is>
          <t>Dinheiro</t>
        </is>
      </c>
      <c r="F186" s="47" t="n"/>
      <c r="G186" s="48" t="n"/>
      <c r="H186" s="49" t="n"/>
      <c r="I186" s="45" t="n"/>
      <c r="J186" t="inlineStr">
        <is>
          <t>EMP-0217</t>
        </is>
      </c>
    </row>
    <row r="187">
      <c r="A187" s="17" t="n">
        <v>46288</v>
      </c>
      <c r="B187" s="18" t="inlineStr">
        <is>
          <t>Filtros Planeta Água</t>
        </is>
      </c>
      <c r="C187" s="18" t="n"/>
      <c r="D187" s="27" t="n"/>
      <c r="E187" s="18" t="n"/>
      <c r="F187" s="19" t="n"/>
      <c r="G187" s="19" t="n">
        <v>537.9299999999999</v>
      </c>
      <c r="H187" s="21" t="inlineStr">
        <is>
          <t>Fornecedores / Mercadoria</t>
        </is>
      </c>
      <c r="I187" s="18" t="inlineStr">
        <is>
          <t>Boleto doc. 133138/2 (emissão 12/08/2026) · parcela 2/4 — venc. 23/09/2026. Pago em 23/09/2026 · Compra total R$ 2.263,62 (IPI R$ 111,90): 10x Refil Fit Poe Pp 9.3/4 + 5x Refil Universal Rosca Curta + 5x Refil Universal Rosca Longa + 5x Refil Universal Rosca Media + 5x Refil Top Color + 3x Refil Acquatec + 5x Refil Cp500 + 30x Refil Carbon Tech 9.3/4 Pol + 20x Refil Poli Flu Plissado 9.3/4 + 5x Refil E3 Compacto + Carcaca Fit 9.3/4 Pol Branca</t>
        </is>
      </c>
      <c r="J187" s="18" t="n"/>
    </row>
    <row r="188">
      <c r="A188" s="44" t="n">
        <v>46288</v>
      </c>
      <c r="B188" s="45" t="inlineStr">
        <is>
          <t>Colégio Alfa e Ômega</t>
        </is>
      </c>
      <c r="C188" s="45" t="inlineStr">
        <is>
          <t>Refil Carbon Tech 9"</t>
        </is>
      </c>
      <c r="D188" s="46" t="n">
        <v>90</v>
      </c>
      <c r="E188" s="45" t="inlineStr">
        <is>
          <t>Pix</t>
        </is>
      </c>
      <c r="F188" s="47" t="n"/>
      <c r="G188" s="48" t="n"/>
      <c r="H188" s="49" t="n"/>
      <c r="I188" s="45" t="n"/>
      <c r="J188" t="inlineStr">
        <is>
          <t>ESC-0022</t>
        </is>
      </c>
    </row>
    <row r="189">
      <c r="A189" s="17" t="n">
        <v>46269</v>
      </c>
      <c r="B189" s="18" t="inlineStr">
        <is>
          <t>Tarifa Pix (Cobrança QR Code)</t>
        </is>
      </c>
      <c r="C189" s="18" t="n"/>
      <c r="D189" s="27" t="n"/>
      <c r="E189" s="18" t="n"/>
      <c r="F189" s="19" t="n"/>
      <c r="G189" s="19" t="n">
        <v>0.59</v>
      </c>
      <c r="H189" s="21" t="inlineStr">
        <is>
          <t>Tarifas Bancárias e Cartão</t>
        </is>
      </c>
      <c r="I189" s="18" t="inlineStr">
        <is>
          <t>DOC 12423</t>
        </is>
      </c>
      <c r="J189" s="18" t="n"/>
    </row>
    <row r="190">
      <c r="A190" s="44" t="n">
        <v>46273</v>
      </c>
      <c r="B190" s="45" t="inlineStr">
        <is>
          <t>Centralmix Soluções Integradas</t>
        </is>
      </c>
      <c r="C190" s="45" t="n"/>
      <c r="D190" s="46" t="n"/>
      <c r="E190" s="45" t="n"/>
      <c r="F190" s="47" t="n"/>
      <c r="G190" s="48" t="n">
        <v>60</v>
      </c>
      <c r="H190" s="49" t="inlineStr">
        <is>
          <t>Material de Limpeza e Escritório</t>
        </is>
      </c>
      <c r="I190" s="45" t="inlineStr">
        <is>
          <t>Recarga de cartucho da impressora — Pix em 08/09/2026 pelo Banco do Nordeste, DOC 11974.</t>
        </is>
      </c>
    </row>
    <row r="191">
      <c r="A191" s="17" t="n">
        <v>46289</v>
      </c>
      <c r="B191" s="18" t="inlineStr">
        <is>
          <t>Consumidor Final</t>
        </is>
      </c>
      <c r="C191" s="18" t="inlineStr">
        <is>
          <t>Registro + Pré Filtro</t>
        </is>
      </c>
      <c r="D191" s="27" t="n">
        <v>90</v>
      </c>
      <c r="E191" s="18" t="inlineStr">
        <is>
          <t>Crédito à Vista</t>
        </is>
      </c>
      <c r="F191" s="19" t="n">
        <v>3.16</v>
      </c>
      <c r="G191" s="19" t="n"/>
      <c r="H191" s="21" t="n"/>
      <c r="I191" s="18" t="n"/>
      <c r="J191" s="18" t="n"/>
    </row>
    <row r="192">
      <c r="A192" s="44" t="n">
        <v>46289</v>
      </c>
      <c r="B192" s="45" t="inlineStr">
        <is>
          <t>Thainara</t>
        </is>
      </c>
      <c r="C192" s="45" t="inlineStr">
        <is>
          <t>Refil FPA14</t>
        </is>
      </c>
      <c r="D192" s="46" t="n">
        <v>100</v>
      </c>
      <c r="E192" s="45" t="inlineStr">
        <is>
          <t>Pix</t>
        </is>
      </c>
      <c r="F192" s="47" t="n"/>
      <c r="G192" s="48" t="n"/>
      <c r="H192" s="49" t="n"/>
      <c r="I192" s="45" t="n"/>
      <c r="J192" t="inlineStr">
        <is>
          <t>CLI-0897</t>
        </is>
      </c>
    </row>
    <row r="193">
      <c r="A193" s="17" t="n">
        <v>46289</v>
      </c>
      <c r="B193" s="18" t="inlineStr">
        <is>
          <t>4x4 Peças e Serviços</t>
        </is>
      </c>
      <c r="C193" s="18" t="inlineStr">
        <is>
          <t>Refil Everest + Refil Pro Life</t>
        </is>
      </c>
      <c r="D193" s="27" t="n">
        <v>280</v>
      </c>
      <c r="E193" s="18" t="inlineStr">
        <is>
          <t>Dinheiro</t>
        </is>
      </c>
      <c r="F193" s="19" t="n"/>
      <c r="G193" s="19" t="n"/>
      <c r="H193" s="21" t="n"/>
      <c r="I193" s="18" t="inlineStr">
        <is>
          <t>Dois purificadores: entrada e oficina</t>
        </is>
      </c>
      <c r="J193" s="18" t="inlineStr">
        <is>
          <t>EMP-0001</t>
        </is>
      </c>
    </row>
    <row r="194">
      <c r="A194" s="44" t="n">
        <v>46289</v>
      </c>
      <c r="B194" s="45" t="inlineStr">
        <is>
          <t>Labcenter Saude Preventiva e Diagnostico</t>
        </is>
      </c>
      <c r="C194" s="45" t="inlineStr">
        <is>
          <t>Refil Everest + Pré Filtro</t>
        </is>
      </c>
      <c r="D194" s="46" t="n">
        <v>200</v>
      </c>
      <c r="E194" s="45" t="inlineStr">
        <is>
          <t>Dinheiro</t>
        </is>
      </c>
      <c r="F194" s="47" t="n"/>
      <c r="G194" s="48" t="n"/>
      <c r="H194" s="49" t="n"/>
      <c r="I194" s="45" t="n"/>
      <c r="J194" t="inlineStr">
        <is>
          <t>EMP-0198</t>
        </is>
      </c>
    </row>
    <row r="195">
      <c r="A195" s="17" t="n">
        <v>46289</v>
      </c>
      <c r="B195" s="18" t="inlineStr">
        <is>
          <t>Combustível (Etanol) — Transvale</t>
        </is>
      </c>
      <c r="C195" s="18" t="n"/>
      <c r="D195" s="27" t="n"/>
      <c r="E195" s="18" t="n"/>
      <c r="F195" s="19" t="n"/>
      <c r="G195" s="19" t="n">
        <v>40</v>
      </c>
      <c r="H195" s="21" t="inlineStr">
        <is>
          <t>Transporte e Entregas</t>
        </is>
      </c>
      <c r="I195" s="18" t="inlineStr">
        <is>
          <t>8,248 L de etanol hidratado a R$ 4,85/L — NFC-e nº 000284840 (Transvale Derivados de Petróleo, CNPJ 11.271.229/0002-68). Pago em dinheiro.</t>
        </is>
      </c>
      <c r="J195" s="18" t="n"/>
    </row>
    <row r="196">
      <c r="A196" s="44" t="n">
        <v>46289</v>
      </c>
      <c r="B196" s="45" t="inlineStr">
        <is>
          <t>Eversoft</t>
        </is>
      </c>
      <c r="C196" s="45" t="n"/>
      <c r="D196" s="46" t="n"/>
      <c r="E196" s="45" t="n"/>
      <c r="F196" s="47" t="n"/>
      <c r="G196" s="48" t="n">
        <v>940.0599999999999</v>
      </c>
      <c r="H196" s="49" t="inlineStr">
        <is>
          <t>Fornecedores / Mercadoria</t>
        </is>
      </c>
      <c r="I196" s="45" t="inlineStr">
        <is>
          <t>Boleto doc. 75472 (emissão 26/08/2026) · parcela 1/5 — venc. 25/09/2026. Pago antecipado em 24/09/2026 · Compra total R$ 4.700,32: 100x Refil Everest + 30x Pré Filtro</t>
        </is>
      </c>
    </row>
    <row r="197">
      <c r="A197" s="17" t="n">
        <v>46289</v>
      </c>
      <c r="B197" s="18" t="inlineStr">
        <is>
          <t>SEFAZ-BA — ICMS Antecipação Parcial</t>
        </is>
      </c>
      <c r="C197" s="18" t="n"/>
      <c r="D197" s="27" t="n"/>
      <c r="E197" s="18" t="n"/>
      <c r="F197" s="19" t="n"/>
      <c r="G197" s="19" t="n">
        <v>1712.7</v>
      </c>
      <c r="H197" s="21" t="inlineStr">
        <is>
          <t>Impostos e Taxas</t>
        </is>
      </c>
      <c r="I197" s="18" t="inlineStr">
        <is>
          <t>DAE ICMS Antecipação Parcial ref. 08/2026 (cód. 2175, nº 1965056088) — venc. 25/09/2026. Pago antecipado em 24/09/2026.</t>
        </is>
      </c>
      <c r="J197" s="18" t="n"/>
    </row>
    <row r="198">
      <c r="A198" s="44" t="n">
        <v>46289</v>
      </c>
      <c r="B198" s="45" t="inlineStr">
        <is>
          <t>SEFAZ-BA — ICMS Antecipação Tributária</t>
        </is>
      </c>
      <c r="C198" s="45" t="n"/>
      <c r="D198" s="46" t="n"/>
      <c r="E198" s="45" t="n"/>
      <c r="F198" s="47" t="n"/>
      <c r="G198" s="48" t="n">
        <v>74.05</v>
      </c>
      <c r="H198" s="49" t="inlineStr">
        <is>
          <t>Impostos e Taxas</t>
        </is>
      </c>
      <c r="I198" s="45" t="inlineStr">
        <is>
          <t>DAE ICMS Antecipação Tributária ref. 08/2026 (cód. 1145, nº 1965056107) — venc. 25/09/2026. Pago antecipado em 24/09/2026.</t>
        </is>
      </c>
    </row>
    <row r="199">
      <c r="A199" s="17" t="n">
        <v>46290</v>
      </c>
      <c r="B199" s="18" t="inlineStr">
        <is>
          <t>Cliente de Armando</t>
        </is>
      </c>
      <c r="C199" s="18" t="n"/>
      <c r="D199" s="27" t="n">
        <v>1450</v>
      </c>
      <c r="E199" s="18" t="inlineStr">
        <is>
          <t>Crédito Parcelado</t>
        </is>
      </c>
      <c r="F199" s="19" t="n">
        <v>202.86</v>
      </c>
      <c r="G199" s="19" t="n"/>
      <c r="H199" s="21" t="n"/>
      <c r="I199" s="18" t="inlineStr">
        <is>
          <t>Crédito em 10x</t>
        </is>
      </c>
      <c r="J199" s="18" t="n"/>
    </row>
    <row r="200">
      <c r="A200" s="44" t="n">
        <v>46290</v>
      </c>
      <c r="B200" s="45" t="inlineStr">
        <is>
          <t>4x4 Peças e Serviços</t>
        </is>
      </c>
      <c r="C200" s="45" t="inlineStr">
        <is>
          <t>Refil Carbon Tech 5"</t>
        </is>
      </c>
      <c r="D200" s="46" t="n">
        <v>70</v>
      </c>
      <c r="E200" s="45" t="inlineStr">
        <is>
          <t>Dinheiro</t>
        </is>
      </c>
      <c r="F200" s="47" t="n"/>
      <c r="G200" s="48" t="n"/>
      <c r="H200" s="49" t="n"/>
      <c r="I200" s="45" t="inlineStr">
        <is>
          <t>Purificador da oficina</t>
        </is>
      </c>
      <c r="J200" t="inlineStr">
        <is>
          <t>EMP-0001</t>
        </is>
      </c>
    </row>
    <row r="201">
      <c r="A201" s="17" t="n">
        <v>46290</v>
      </c>
      <c r="B201" s="18" t="inlineStr">
        <is>
          <t>Rejane Magalhães Borges Maia</t>
        </is>
      </c>
      <c r="C201" s="18" t="inlineStr">
        <is>
          <t>Carcaça 9" + Refil Plissado</t>
        </is>
      </c>
      <c r="D201" s="27" t="n">
        <v>200</v>
      </c>
      <c r="E201" s="18" t="inlineStr">
        <is>
          <t>Crédito Parcelado</t>
        </is>
      </c>
      <c r="F201" s="19" t="n">
        <v>13.98</v>
      </c>
      <c r="G201" s="19" t="n"/>
      <c r="H201" s="21" t="n"/>
      <c r="I201" s="18" t="inlineStr">
        <is>
          <t>Filtro de ponto de entrada — instalação feita em 25/09/2026. Crédito em 2x — pagamento recebido em 25/09/2026.</t>
        </is>
      </c>
      <c r="J201" s="18" t="inlineStr">
        <is>
          <t>CLI-0656</t>
        </is>
      </c>
    </row>
    <row r="202">
      <c r="A202" s="44" t="n">
        <v>46290</v>
      </c>
      <c r="B202" s="45" t="inlineStr">
        <is>
          <t>O Pirulito Bomboniere - Paulo Eric de Souza</t>
        </is>
      </c>
      <c r="C202" s="45" t="inlineStr">
        <is>
          <t>Refil Pro Life</t>
        </is>
      </c>
      <c r="D202" s="46" t="n">
        <v>140</v>
      </c>
      <c r="E202" s="45" t="inlineStr">
        <is>
          <t>Dinheiro</t>
        </is>
      </c>
      <c r="F202" s="47" t="n"/>
      <c r="G202" s="48" t="n"/>
      <c r="H202" s="49" t="n"/>
      <c r="I202" s="45" t="n"/>
      <c r="J202" t="inlineStr">
        <is>
          <t>EMP-0232</t>
        </is>
      </c>
    </row>
    <row r="203">
      <c r="A203" s="17" t="n">
        <v>46290</v>
      </c>
      <c r="B203" s="18" t="inlineStr">
        <is>
          <t>Consumidor Final</t>
        </is>
      </c>
      <c r="C203" s="18" t="inlineStr">
        <is>
          <t>Registro</t>
        </is>
      </c>
      <c r="D203" s="27" t="n">
        <v>30</v>
      </c>
      <c r="E203" s="18" t="inlineStr">
        <is>
          <t>Pix</t>
        </is>
      </c>
      <c r="F203" s="19" t="n"/>
      <c r="G203" s="19" t="n"/>
      <c r="H203" s="21" t="n"/>
      <c r="I203" s="18" t="n"/>
      <c r="J203" s="18" t="n"/>
    </row>
    <row r="204">
      <c r="A204" s="44" t="n">
        <v>46293</v>
      </c>
      <c r="B204" s="45" t="inlineStr">
        <is>
          <t>Itala de Oliveira Moreno</t>
        </is>
      </c>
      <c r="C204" s="45" t="inlineStr">
        <is>
          <t>Refil Pro Life + Pré Filtro</t>
        </is>
      </c>
      <c r="D204" s="46" t="n">
        <v>185</v>
      </c>
      <c r="E204" s="45" t="inlineStr">
        <is>
          <t>Pix</t>
        </is>
      </c>
      <c r="F204" s="47" t="n"/>
      <c r="G204" s="48" t="n"/>
      <c r="H204" s="49" t="n"/>
      <c r="I204" s="45" t="n"/>
      <c r="J204" t="inlineStr">
        <is>
          <t>CLI-0025</t>
        </is>
      </c>
    </row>
    <row r="205">
      <c r="A205" s="17" t="n">
        <v>46293</v>
      </c>
      <c r="B205" s="18" t="inlineStr">
        <is>
          <t>Bio Imagem Serviço de Diagnostico</t>
        </is>
      </c>
      <c r="C205" s="18" t="inlineStr">
        <is>
          <t>2x Refil Everest</t>
        </is>
      </c>
      <c r="D205" s="27" t="n">
        <v>280</v>
      </c>
      <c r="E205" s="18" t="inlineStr">
        <is>
          <t>Dinheiro</t>
        </is>
      </c>
      <c r="F205" s="19" t="n"/>
      <c r="G205" s="19" t="n"/>
      <c r="H205" s="21" t="n"/>
      <c r="I205" s="18" t="inlineStr">
        <is>
          <t>Troca na Copa e na Recepção</t>
        </is>
      </c>
      <c r="J205" s="18" t="inlineStr">
        <is>
          <t>EMP-0030</t>
        </is>
      </c>
    </row>
    <row r="206">
      <c r="A206" s="44" t="n">
        <v>46293</v>
      </c>
      <c r="B206" s="45" t="inlineStr">
        <is>
          <t>SAMF Serviço de Assistencia Medica - Maria Fatima Leon</t>
        </is>
      </c>
      <c r="C206" s="45" t="inlineStr">
        <is>
          <t>Refil Pro Life</t>
        </is>
      </c>
      <c r="D206" s="46" t="n">
        <v>140</v>
      </c>
      <c r="E206" s="45" t="inlineStr">
        <is>
          <t>Pix</t>
        </is>
      </c>
      <c r="F206" s="47" t="n"/>
      <c r="G206" s="48" t="n"/>
      <c r="H206" s="49" t="n"/>
      <c r="I206" s="45" t="n"/>
      <c r="J206" t="inlineStr">
        <is>
          <t>EMP-0271</t>
        </is>
      </c>
    </row>
    <row r="207">
      <c r="A207" s="17" t="n">
        <v>46293</v>
      </c>
      <c r="B207" s="18" t="inlineStr">
        <is>
          <t>Verdes Mares Tintas</t>
        </is>
      </c>
      <c r="C207" s="18" t="inlineStr">
        <is>
          <t>Limpeza de Refil</t>
        </is>
      </c>
      <c r="D207" s="27" t="n">
        <v>40</v>
      </c>
      <c r="E207" s="18" t="inlineStr">
        <is>
          <t>Dinheiro</t>
        </is>
      </c>
      <c r="F207" s="19" t="n"/>
      <c r="G207" s="19" t="n"/>
      <c r="H207" s="21" t="n"/>
      <c r="I207" s="18" t="n"/>
      <c r="J207" s="18" t="inlineStr">
        <is>
          <t>EMP-0303</t>
        </is>
      </c>
    </row>
    <row r="208">
      <c r="A208" s="44" t="n">
        <v>46293</v>
      </c>
      <c r="B208" s="45" t="inlineStr">
        <is>
          <t>Edivandro de Jesus Bispo - Instalação do Piso da Loja</t>
        </is>
      </c>
      <c r="C208" s="45" t="n"/>
      <c r="D208" s="46" t="n"/>
      <c r="E208" s="45" t="n"/>
      <c r="F208" s="47" t="n"/>
      <c r="G208" s="48" t="n">
        <v>400</v>
      </c>
      <c r="H208" s="49" t="inlineStr">
        <is>
          <t>Manutenção e Reparos</t>
        </is>
      </c>
      <c r="I208" s="45" t="inlineStr">
        <is>
          <t>Pix de 28/09/2026 20:33 (Banco do Nordeste) — serviço de aplicação de piso na loja. ID E07237373202609282333NQNHHJRS16B</t>
        </is>
      </c>
    </row>
    <row r="209">
      <c r="A209" s="17" t="n">
        <v>46294</v>
      </c>
      <c r="B209" s="18" t="inlineStr">
        <is>
          <t>Compra na Shopee - Tapete e Fita Metalizada</t>
        </is>
      </c>
      <c r="C209" s="18" t="n"/>
      <c r="D209" s="27" t="n"/>
      <c r="E209" s="18" t="n"/>
      <c r="F209" s="19" t="n"/>
      <c r="G209" s="19" t="n">
        <v>142.94</v>
      </c>
      <c r="H209" s="21" t="inlineStr">
        <is>
          <t>Material de Limpeza e Escritório</t>
        </is>
      </c>
      <c r="I209" s="18" t="inlineStr">
        <is>
          <t>Pix QR Code de 29/09/2026 para Shpp Brasil Instituição de Pagamento (CNPJ 38.372.267/0001-82) — tapete e fita metalizada para a loja. ID E16501555202609290015cce4815a8c1</t>
        </is>
      </c>
      <c r="J209" s="18" t="n"/>
    </row>
    <row r="210">
      <c r="A210" s="44" t="n">
        <v>46294</v>
      </c>
      <c r="B210" s="45" t="inlineStr">
        <is>
          <t>Sara Andreia Barros de Souza Santana - Escola Educare</t>
        </is>
      </c>
      <c r="C210" s="45" t="inlineStr">
        <is>
          <t>Refil Pro Life</t>
        </is>
      </c>
      <c r="D210" s="46" t="n">
        <v>140</v>
      </c>
      <c r="E210" s="45" t="inlineStr">
        <is>
          <t>Pix</t>
        </is>
      </c>
      <c r="F210" s="47" t="n"/>
      <c r="G210" s="48" t="n"/>
      <c r="H210" s="49" t="n"/>
      <c r="I210" s="45" t="n"/>
      <c r="J210" t="inlineStr">
        <is>
          <t>EMP-0272</t>
        </is>
      </c>
    </row>
    <row r="211">
      <c r="A211" s="17" t="n"/>
      <c r="B211" s="18" t="n"/>
      <c r="C211" s="18" t="n"/>
      <c r="D211" s="27" t="n"/>
      <c r="E211" s="18" t="n"/>
      <c r="F211" s="19" t="n"/>
      <c r="G211" s="19" t="n"/>
      <c r="H211" s="21" t="n"/>
      <c r="I211" s="18" t="n"/>
      <c r="J211" s="18" t="n"/>
    </row>
    <row r="212">
      <c r="A212" s="44" t="n">
        <v>46294</v>
      </c>
      <c r="B212" s="45" t="inlineStr">
        <is>
          <t>Lapec</t>
        </is>
      </c>
      <c r="C212" s="45" t="inlineStr">
        <is>
          <t>Refil C+3</t>
        </is>
      </c>
      <c r="D212" s="46" t="n">
        <v>100</v>
      </c>
      <c r="E212" s="45" t="inlineStr">
        <is>
          <t>Dinheiro</t>
        </is>
      </c>
      <c r="F212" s="47" t="n"/>
      <c r="G212" s="48" t="n"/>
      <c r="H212" s="49" t="n"/>
      <c r="I212" s="45" t="inlineStr">
        <is>
          <t>Preço com desconto de cliente. Pagamento previsto para 30/09/2026. Pago em dinheiro em 14/10/2026.</t>
        </is>
      </c>
      <c r="J212" t="inlineStr">
        <is>
          <t>EMP-0199</t>
        </is>
      </c>
    </row>
    <row r="213">
      <c r="A213" s="17" t="n">
        <v>46294</v>
      </c>
      <c r="B213" s="18" t="inlineStr">
        <is>
          <t>Mil Coisas (Eletrônicos e Informática) - Pilha palito</t>
        </is>
      </c>
      <c r="C213" s="18" t="n"/>
      <c r="D213" s="27" t="n"/>
      <c r="E213" s="18" t="n"/>
      <c r="F213" s="19" t="n"/>
      <c r="G213" s="19" t="n">
        <v>2.5</v>
      </c>
      <c r="H213" s="21" t="inlineStr">
        <is>
          <t>Material de Limpeza e Escritório</t>
        </is>
      </c>
      <c r="I213" s="18" t="inlineStr">
        <is>
          <t>Pago em dinheiro — recibo da Mil Coisas.</t>
        </is>
      </c>
      <c r="J213" s="18" t="n"/>
    </row>
    <row r="214">
      <c r="A214" s="44" t="n">
        <v>46266</v>
      </c>
      <c r="B214" s="45" t="inlineStr">
        <is>
          <t>Tarifa Pacote de Tarifas</t>
        </is>
      </c>
      <c r="C214" s="45" t="n"/>
      <c r="D214" s="46" t="n"/>
      <c r="E214" s="45" t="n"/>
      <c r="F214" s="47" t="n"/>
      <c r="G214" s="48" t="n">
        <v>52.5</v>
      </c>
      <c r="H214" s="49" t="inlineStr">
        <is>
          <t>Tarifas Bancárias e Cartão</t>
        </is>
      </c>
      <c r="I214" s="45" t="inlineStr">
        <is>
          <t>Extrato BNB — TARIFA PACOTE DE TARIFAS, DOC 8227 (01/09/2026)</t>
        </is>
      </c>
    </row>
    <row r="215">
      <c r="A215" s="17" t="n">
        <v>46273</v>
      </c>
      <c r="B215" s="18" t="inlineStr">
        <is>
          <t>Maria Eva dos Santos</t>
        </is>
      </c>
      <c r="C215" s="18" t="n"/>
      <c r="D215" s="27" t="n"/>
      <c r="E215" s="18" t="n"/>
      <c r="F215" s="19" t="n"/>
      <c r="G215" s="19" t="n">
        <v>380</v>
      </c>
      <c r="H215" s="21" t="inlineStr">
        <is>
          <t>Pro Labore Edilânia</t>
        </is>
      </c>
      <c r="I215" s="18" t="inlineStr">
        <is>
          <t>Extrato BNB — Pix de 08/09/2026 (ref. 07/09), DOC 11974. Marcado como pessoal pela Edilânia.</t>
        </is>
      </c>
      <c r="J215" s="18" t="n"/>
    </row>
    <row r="216">
      <c r="A216" s="44" t="n">
        <v>46273</v>
      </c>
      <c r="B216" s="45" t="inlineStr">
        <is>
          <t>Shpp Brasil Instituição de Pagamento (Shopee)</t>
        </is>
      </c>
      <c r="C216" s="45" t="n"/>
      <c r="D216" s="46" t="n"/>
      <c r="E216" s="45" t="n"/>
      <c r="F216" s="47" t="n"/>
      <c r="G216" s="48" t="n">
        <v>100.11</v>
      </c>
      <c r="H216" s="49" t="inlineStr">
        <is>
          <t>Pro Labore Edilânia</t>
        </is>
      </c>
      <c r="I216" s="45" t="inlineStr">
        <is>
          <t>Extrato BNB — Pix de 08/09/2026 (ref. 06/09), DOC 11974. Marcado como pessoal pela Edilânia.</t>
        </is>
      </c>
    </row>
    <row r="217">
      <c r="A217" s="17" t="n">
        <v>46273</v>
      </c>
      <c r="B217" s="18" t="inlineStr">
        <is>
          <t>RC Serviços de Alimentação Ltda</t>
        </is>
      </c>
      <c r="C217" s="18" t="n"/>
      <c r="D217" s="27" t="n"/>
      <c r="E217" s="18" t="n"/>
      <c r="F217" s="19" t="n"/>
      <c r="G217" s="19" t="n">
        <v>143</v>
      </c>
      <c r="H217" s="21" t="inlineStr">
        <is>
          <t>Pro Labore Edilânia</t>
        </is>
      </c>
      <c r="I217" s="18" t="inlineStr">
        <is>
          <t>Extrato BNB — Pix de 08/09/2026 (ref. 06/09), DOC 11974. Marcado como pessoal pela Edilânia.</t>
        </is>
      </c>
      <c r="J217" s="18" t="n"/>
    </row>
    <row r="218">
      <c r="A218" s="44" t="n">
        <v>46274</v>
      </c>
      <c r="B218" s="45" t="inlineStr">
        <is>
          <t>Daniel Barbosa dos Santos (Moto Táxi)</t>
        </is>
      </c>
      <c r="C218" s="45" t="n"/>
      <c r="D218" s="46" t="n"/>
      <c r="E218" s="45" t="n"/>
      <c r="F218" s="47" t="n"/>
      <c r="G218" s="48" t="n">
        <v>8</v>
      </c>
      <c r="H218" s="49" t="inlineStr">
        <is>
          <t>Transporte e Entregas</t>
        </is>
      </c>
      <c r="I218" s="45" t="inlineStr">
        <is>
          <t>Extrato BNB — Pix de 09/09/2026, DOC 11974.</t>
        </is>
      </c>
    </row>
    <row r="219">
      <c r="A219" s="17" t="n">
        <v>46288</v>
      </c>
      <c r="B219" s="18" t="inlineStr">
        <is>
          <t>Maria Eva dos Santos</t>
        </is>
      </c>
      <c r="C219" s="18" t="n"/>
      <c r="D219" s="27" t="n"/>
      <c r="E219" s="18" t="n"/>
      <c r="F219" s="19" t="n"/>
      <c r="G219" s="19" t="n">
        <v>380</v>
      </c>
      <c r="H219" s="21" t="inlineStr">
        <is>
          <t>Pro Labore Edilânia</t>
        </is>
      </c>
      <c r="I219" s="18" t="inlineStr">
        <is>
          <t>Extrato BNB — Pix de 23/09/2026, DOC 11974. Marcado como pessoal pela Edilânia.</t>
        </is>
      </c>
      <c r="J219" s="18" t="n"/>
    </row>
    <row r="220">
      <c r="A220" s="44" t="n">
        <v>46293</v>
      </c>
      <c r="B220" s="45" t="inlineStr">
        <is>
          <t>Farmácia Pague Menos</t>
        </is>
      </c>
      <c r="C220" s="45" t="n"/>
      <c r="D220" s="46" t="n"/>
      <c r="E220" s="45" t="n"/>
      <c r="F220" s="47" t="n"/>
      <c r="G220" s="48" t="n">
        <v>74.51000000000001</v>
      </c>
      <c r="H220" s="49" t="inlineStr">
        <is>
          <t>Pro Labore Edilânia</t>
        </is>
      </c>
      <c r="I220" s="45" t="inlineStr">
        <is>
          <t>Extrato BNB — Pix de 28/09/2026 (ref. 27/09), DOC 11974. Marcado como pessoal pela Edilânia.</t>
        </is>
      </c>
    </row>
    <row r="221">
      <c r="A221" s="17" t="n">
        <v>46294</v>
      </c>
      <c r="B221" s="18" t="inlineStr">
        <is>
          <t>Atacadão da Limpeza</t>
        </is>
      </c>
      <c r="C221" s="18" t="n"/>
      <c r="D221" s="27" t="n"/>
      <c r="E221" s="18" t="n"/>
      <c r="F221" s="19" t="n"/>
      <c r="G221" s="19" t="n">
        <v>99.98</v>
      </c>
      <c r="H221" s="21" t="inlineStr">
        <is>
          <t>Material de Limpeza e Escritório</t>
        </is>
      </c>
      <c r="I221" s="18" t="inlineStr">
        <is>
          <t>Mop inox Clink (R$ 69,99) + limpa espuma multiuso 400 ml Rodabrill (R$ 29,99) — venda nº 00021875 de 29/09/2026. Pago em dinheiro.</t>
        </is>
      </c>
      <c r="J221" s="18" t="n"/>
    </row>
    <row r="222">
      <c r="A222" s="44" t="n">
        <v>46295</v>
      </c>
      <c r="B222" s="45" t="inlineStr">
        <is>
          <t>Tarifa Pix (28 lançamentos)</t>
        </is>
      </c>
      <c r="C222" s="45" t="n"/>
      <c r="D222" s="46" t="n"/>
      <c r="E222" s="45" t="n"/>
      <c r="F222" s="47" t="n"/>
      <c r="G222" s="48" t="n">
        <v>83.61</v>
      </c>
      <c r="H222" s="49" t="inlineStr">
        <is>
          <t>Tarifas Bancárias e Cartão</t>
        </is>
      </c>
      <c r="I222" s="45" t="inlineStr">
        <is>
          <t>Extrato BNB setembro/2026 — soma de 28 tarifas Pix (Cobr. QR Code DOC 12423 e Pagto/Transferência DOC 12422) de 01/09 a 30/09 ainda não lançadas: 01/09 37,73 · 11/09 2,38 · 14/09 5,30 · 16/09 4,46 · 21/09 3,23 · 22/09 2,88 · 23/09 4,50 · 24/09 4,65 · 28/09 10,30 · 29/09 6,79 · 30/09 1,39</t>
        </is>
      </c>
    </row>
    <row r="223">
      <c r="A223" s="17" t="n">
        <v>46295</v>
      </c>
      <c r="B223" s="18" t="inlineStr">
        <is>
          <t>Combustível</t>
        </is>
      </c>
      <c r="C223" s="18" t="n"/>
      <c r="D223" s="27" t="n"/>
      <c r="E223" s="18" t="n"/>
      <c r="F223" s="19" t="n"/>
      <c r="G223" s="19" t="n">
        <v>20</v>
      </c>
      <c r="H223" s="21" t="inlineStr">
        <is>
          <t>Transporte e Entregas</t>
        </is>
      </c>
      <c r="I223" s="18" t="inlineStr">
        <is>
          <t>Posto Beira Rio (Transvale Derivados de Petróleo LTDA, CNPJ 11.271.229/0002-68, Av. Orlando Oliveira Pires, 1164, Centro, Jacobina). R$ 20,00 tirados da segunda gaveta do caixa. Pago em dinheiro.</t>
        </is>
      </c>
      <c r="J223" s="18" t="n"/>
    </row>
    <row r="224">
      <c r="A224" s="44" t="n">
        <v>46266</v>
      </c>
      <c r="B224" s="45" t="inlineStr">
        <is>
          <t>Pro Labore Edilânia</t>
        </is>
      </c>
      <c r="C224" s="45" t="n"/>
      <c r="D224" s="46" t="n"/>
      <c r="E224" s="45" t="n"/>
      <c r="F224" s="47" t="n"/>
      <c r="G224" s="48" t="n">
        <v>1000</v>
      </c>
      <c r="H224" s="49" t="inlineStr">
        <is>
          <t>Pro Labore Edilânia</t>
        </is>
      </c>
      <c r="I224" s="45" t="inlineStr">
        <is>
          <t>Extrato BNB — Pix de 01/09/2026 para Edilânia Almeida Silva Costa Fontes, DOC 11974. Pró-labore de setembro (confirmado).</t>
        </is>
      </c>
    </row>
    <row r="225">
      <c r="A225" s="17" t="n">
        <v>46274</v>
      </c>
      <c r="B225" s="18" t="inlineStr">
        <is>
          <t>Estacionamento (Pagar.me)</t>
        </is>
      </c>
      <c r="C225" s="18" t="n"/>
      <c r="D225" s="27" t="n"/>
      <c r="E225" s="18" t="n"/>
      <c r="F225" s="19" t="n"/>
      <c r="G225" s="19" t="n">
        <v>2.4</v>
      </c>
      <c r="H225" s="21" t="inlineStr">
        <is>
          <t>Transporte e Entregas</t>
        </is>
      </c>
      <c r="I225" s="18" t="inlineStr">
        <is>
          <t>Extrato BNB — Pix de 09/09/2026 para Pagar.me Instituição de Pagamento, DOC 11974 (estacionamento). Outro de R$ 2,40 no mesmo dia saiu pela Ton.</t>
        </is>
      </c>
      <c r="J225" s="18" t="n"/>
    </row>
    <row r="226">
      <c r="A226" s="44" t="n">
        <v>46284</v>
      </c>
      <c r="B226" s="45" t="inlineStr">
        <is>
          <t>Pampet Club</t>
        </is>
      </c>
      <c r="C226" s="45" t="n"/>
      <c r="D226" s="46" t="n"/>
      <c r="E226" s="45" t="n"/>
      <c r="F226" s="47" t="n"/>
      <c r="G226" s="48" t="n">
        <v>76</v>
      </c>
      <c r="H226" s="49" t="inlineStr">
        <is>
          <t>Pro Labore Edilânia</t>
        </is>
      </c>
      <c r="I226" s="45" t="inlineStr">
        <is>
          <t>Extrato Ton — Pix de 19/09/2026.</t>
        </is>
      </c>
    </row>
    <row r="227">
      <c r="A227" s="17" t="n">
        <v>46286</v>
      </c>
      <c r="B227" s="18" t="inlineStr">
        <is>
          <t>Thiago de Jesus Nascimento</t>
        </is>
      </c>
      <c r="C227" s="18" t="n"/>
      <c r="D227" s="27" t="n"/>
      <c r="E227" s="18" t="n"/>
      <c r="F227" s="19" t="n"/>
      <c r="G227" s="19" t="n">
        <v>21</v>
      </c>
      <c r="H227" s="21" t="inlineStr">
        <is>
          <t>Pro Labore Edilânia</t>
        </is>
      </c>
      <c r="I227" s="18" t="inlineStr">
        <is>
          <t>Extrato Ton — Pix de 21/09/2026.</t>
        </is>
      </c>
      <c r="J227" s="18" t="n"/>
    </row>
    <row r="228">
      <c r="A228" s="44" t="n">
        <v>46286</v>
      </c>
      <c r="B228" s="45" t="inlineStr">
        <is>
          <t>Multidisplay Comercio e Servicos Tecnologicos</t>
        </is>
      </c>
      <c r="C228" s="45" t="n"/>
      <c r="D228" s="46" t="n"/>
      <c r="E228" s="45" t="n"/>
      <c r="F228" s="47" t="n"/>
      <c r="G228" s="48" t="n">
        <v>30</v>
      </c>
      <c r="H228" s="49" t="inlineStr">
        <is>
          <t>Pro Labore Edilânia</t>
        </is>
      </c>
      <c r="I228" s="45" t="inlineStr">
        <is>
          <t>Extrato Ton — Pix de 21/09/2026.</t>
        </is>
      </c>
    </row>
    <row r="229">
      <c r="A229" s="17" t="n">
        <v>46287</v>
      </c>
      <c r="B229" s="18" t="inlineStr">
        <is>
          <t>Estacionamento (Pagar.me)</t>
        </is>
      </c>
      <c r="C229" s="18" t="n"/>
      <c r="D229" s="27" t="n"/>
      <c r="E229" s="18" t="n"/>
      <c r="F229" s="19" t="n"/>
      <c r="G229" s="19" t="n">
        <v>2.4</v>
      </c>
      <c r="H229" s="21" t="inlineStr">
        <is>
          <t>Transporte e Entregas</t>
        </is>
      </c>
      <c r="I229" s="18" t="inlineStr">
        <is>
          <t>Extrato Ton — Pix de 22/09/2026 para Pagar.me Instituição de Pagamento (estacionamento).</t>
        </is>
      </c>
      <c r="J229" s="18" t="n"/>
    </row>
    <row r="230">
      <c r="A230" s="44" t="n">
        <v>46289</v>
      </c>
      <c r="B230" s="45" t="inlineStr">
        <is>
          <t>Estacionamento (Pagar.me)</t>
        </is>
      </c>
      <c r="C230" s="45" t="n"/>
      <c r="D230" s="46" t="n"/>
      <c r="E230" s="45" t="n"/>
      <c r="F230" s="47" t="n"/>
      <c r="G230" s="48" t="n">
        <v>2.4</v>
      </c>
      <c r="H230" s="49" t="inlineStr">
        <is>
          <t>Transporte e Entregas</t>
        </is>
      </c>
      <c r="I230" s="45" t="inlineStr">
        <is>
          <t>Extrato Ton — Pix de 24/09/2026 para Pagar.me Instituição de Pagamento (estacionamento).</t>
        </is>
      </c>
    </row>
    <row r="231">
      <c r="A231" s="17" t="n">
        <v>46290</v>
      </c>
      <c r="B231" s="18" t="inlineStr">
        <is>
          <t>Comercial de Estivas e Cereais Rio do Ouro</t>
        </is>
      </c>
      <c r="C231" s="18" t="n"/>
      <c r="D231" s="27" t="n"/>
      <c r="E231" s="18" t="n"/>
      <c r="F231" s="19" t="n"/>
      <c r="G231" s="19" t="n">
        <v>162.14</v>
      </c>
      <c r="H231" s="21" t="inlineStr">
        <is>
          <t>Pro Labore Edilânia</t>
        </is>
      </c>
      <c r="I231" s="18" t="inlineStr">
        <is>
          <t>Extrato Ton — Pix de 25/09/2026.</t>
        </is>
      </c>
      <c r="J231" s="18" t="n"/>
    </row>
    <row r="232">
      <c r="A232" s="44" t="n">
        <v>46293</v>
      </c>
      <c r="B232" s="45" t="inlineStr">
        <is>
          <t>Pro Labore Edilânia</t>
        </is>
      </c>
      <c r="C232" s="45" t="n"/>
      <c r="D232" s="46" t="n"/>
      <c r="E232" s="45" t="n"/>
      <c r="F232" s="47" t="n"/>
      <c r="G232" s="48" t="n">
        <v>400</v>
      </c>
      <c r="H232" s="49" t="inlineStr">
        <is>
          <t>Pro Labore Edilânia</t>
        </is>
      </c>
      <c r="I232" s="45" t="inlineStr">
        <is>
          <t>Extrato Ton — Pix de 28/09/2026 para Edilânia Almeida Silva Costa Fontes.</t>
        </is>
      </c>
    </row>
    <row r="233">
      <c r="A233" s="17" t="n">
        <v>46286</v>
      </c>
      <c r="B233" s="18" t="inlineStr">
        <is>
          <t>Maria Carolina Gomes Vasconcelos &amp; Cia Ltda</t>
        </is>
      </c>
      <c r="C233" s="18" t="n"/>
      <c r="D233" s="27" t="n"/>
      <c r="E233" s="18" t="n"/>
      <c r="F233" s="19" t="n"/>
      <c r="G233" s="19" t="n">
        <v>220</v>
      </c>
      <c r="H233" s="21" t="inlineStr">
        <is>
          <t>Pro Labore Edilânia</t>
        </is>
      </c>
      <c r="I233" s="18" t="inlineStr">
        <is>
          <t>Extrato Ton — Pix de 21/09/2026. Gasto pessoal (confirmado pela Edilânia).</t>
        </is>
      </c>
      <c r="J233" s="18" t="n"/>
    </row>
    <row r="234">
      <c r="A234" s="44" t="n">
        <v>46286</v>
      </c>
      <c r="B234" s="45" t="inlineStr">
        <is>
          <t>Edinaldo Silva da Cruz</t>
        </is>
      </c>
      <c r="C234" s="45" t="n"/>
      <c r="D234" s="46" t="n"/>
      <c r="E234" s="45" t="n"/>
      <c r="F234" s="47" t="n"/>
      <c r="G234" s="48" t="n">
        <v>50</v>
      </c>
      <c r="H234" s="49" t="inlineStr">
        <is>
          <t>Pro Labore Edilânia</t>
        </is>
      </c>
      <c r="I234" s="45" t="inlineStr">
        <is>
          <t>Extrato Ton — Pix de 21/09/2026. Gasto pessoal (confirmado pela Edilânia).</t>
        </is>
      </c>
    </row>
    <row r="235">
      <c r="A235" s="17" t="n">
        <v>46293</v>
      </c>
      <c r="B235" s="18" t="inlineStr">
        <is>
          <t>Bytedance Brasil (TikTok)</t>
        </is>
      </c>
      <c r="C235" s="18" t="n"/>
      <c r="D235" s="27" t="n"/>
      <c r="E235" s="18" t="n"/>
      <c r="F235" s="19" t="n"/>
      <c r="G235" s="19" t="n">
        <v>61.4</v>
      </c>
      <c r="H235" s="21" t="inlineStr">
        <is>
          <t>Pro Labore Edilânia</t>
        </is>
      </c>
      <c r="I235" s="18" t="inlineStr">
        <is>
          <t>Extrato Ton — Pix de 28/09/2026. Gasto pessoal (confirmado pela Edilânia).</t>
        </is>
      </c>
      <c r="J235" s="18" t="n"/>
    </row>
    <row r="236">
      <c r="A236" s="44" t="n">
        <v>46295</v>
      </c>
      <c r="B236" s="45" t="inlineStr">
        <is>
          <t>Milton Ribeiro</t>
        </is>
      </c>
      <c r="C236" s="45" t="inlineStr">
        <is>
          <t>Purificador Everest Fit Preto</t>
        </is>
      </c>
      <c r="D236" s="46" t="n">
        <v>1420</v>
      </c>
      <c r="E236" s="45" t="inlineStr">
        <is>
          <t>Crédito Parcelado</t>
        </is>
      </c>
      <c r="F236" s="47" t="n">
        <v>198.66</v>
      </c>
      <c r="G236" s="48" t="n"/>
      <c r="H236" s="49" t="n"/>
      <c r="I236" s="45" t="inlineStr">
        <is>
          <t>Crédito em 10x. Instalação agendada para 01/10/2026 (Rua 06, 156 — Morada do Sol).</t>
        </is>
      </c>
      <c r="J236" t="inlineStr">
        <is>
          <t>CLI-0898</t>
        </is>
      </c>
    </row>
    <row r="237">
      <c r="A237" s="17" t="n">
        <v>46295</v>
      </c>
      <c r="B237" s="18" t="inlineStr">
        <is>
          <t>Francilene Santos Silva</t>
        </is>
      </c>
      <c r="C237" s="18" t="inlineStr">
        <is>
          <t>Refil Everest</t>
        </is>
      </c>
      <c r="D237" s="27" t="n">
        <v>130</v>
      </c>
      <c r="E237" s="18" t="inlineStr">
        <is>
          <t>Pix</t>
        </is>
      </c>
      <c r="F237" s="19" t="n"/>
      <c r="G237" s="19" t="n"/>
      <c r="H237" s="21" t="n"/>
      <c r="I237" s="18" t="n"/>
      <c r="J237" s="18" t="inlineStr">
        <is>
          <t>CLI-0325</t>
        </is>
      </c>
    </row>
    <row r="238">
      <c r="A238" s="44" t="n">
        <v>46295</v>
      </c>
      <c r="B238" s="45" t="inlineStr">
        <is>
          <t>Maria Isabel</t>
        </is>
      </c>
      <c r="C238" s="45" t="inlineStr">
        <is>
          <t>Refil FPA16</t>
        </is>
      </c>
      <c r="D238" s="46" t="n">
        <v>100</v>
      </c>
      <c r="E238" s="45" t="inlineStr">
        <is>
          <t>Dinheiro</t>
        </is>
      </c>
      <c r="F238" s="47" t="n"/>
      <c r="G238" s="48" t="n"/>
      <c r="H238" s="49" t="n"/>
      <c r="I238" s="45" t="n"/>
      <c r="J238" t="inlineStr">
        <is>
          <t>CLI-0899</t>
        </is>
      </c>
    </row>
    <row r="239">
      <c r="A239" s="17" t="n">
        <v>46295</v>
      </c>
      <c r="B239" s="18" t="inlineStr">
        <is>
          <t>Knox Produtos Refrigerados</t>
        </is>
      </c>
      <c r="C239" s="18" t="n"/>
      <c r="D239" s="27" t="n"/>
      <c r="E239" s="18" t="n"/>
      <c r="F239" s="19" t="n"/>
      <c r="G239" s="19" t="n">
        <v>3272</v>
      </c>
      <c r="H239" s="21" t="inlineStr">
        <is>
          <t>Fornecedores / Mercadoria</t>
        </is>
      </c>
      <c r="I239" s="18" t="inlineStr">
        <is>
          <t>2 bebedouros industriais. Pix de R$ 3.272,00 em 30/09/2026 17:01 para Knox Produtos Refrigerados Ltda (CNPJ 15.719.703/0001-41), pago pelo Adriano no Banco do Brasil com dinheiro da reserva — controle na aba Capital de Giro (BB). ID E0000000020260930200055659998914</t>
        </is>
      </c>
      <c r="J239" s="18" t="n"/>
    </row>
    <row r="240">
      <c r="A240" s="44" t="n">
        <v>46295</v>
      </c>
      <c r="B240" s="45" t="inlineStr">
        <is>
          <t>Genilson Teixeira Santana Aguiar</t>
        </is>
      </c>
      <c r="C240" s="45" t="inlineStr">
        <is>
          <t>Pré Filtro</t>
        </is>
      </c>
      <c r="D240" s="46" t="n">
        <v>60</v>
      </c>
      <c r="E240" s="45" t="inlineStr">
        <is>
          <t>Débito</t>
        </is>
      </c>
      <c r="F240" s="47" t="n">
        <v>0.87</v>
      </c>
      <c r="G240" s="48" t="n"/>
      <c r="H240" s="49" t="n"/>
      <c r="I240" s="45" t="n"/>
      <c r="J240" t="inlineStr">
        <is>
          <t>CLI-0138</t>
        </is>
      </c>
    </row>
    <row r="241">
      <c r="A241" s="17" t="n">
        <v>46295</v>
      </c>
      <c r="B241" s="18" t="inlineStr">
        <is>
          <t>Faca Feira Supermercado</t>
        </is>
      </c>
      <c r="C241" s="18" t="n"/>
      <c r="D241" s="27" t="n"/>
      <c r="E241" s="18" t="n"/>
      <c r="F241" s="19" t="n"/>
      <c r="G241" s="19" t="n">
        <v>2.98</v>
      </c>
      <c r="H241" s="21" t="inlineStr">
        <is>
          <t>Material de Limpeza e Escritório</t>
        </is>
      </c>
      <c r="I241" s="18" t="inlineStr">
        <is>
          <t>Isqueiro BIC mini — NFC-e nº 000209441 de 30/09/2026. Pago em dinheiro.</t>
        </is>
      </c>
      <c r="J241" s="18" t="n"/>
    </row>
    <row r="242">
      <c r="A242" s="44" t="n"/>
      <c r="B242" s="45" t="n"/>
      <c r="C242" s="45" t="n"/>
      <c r="D242" s="46" t="n"/>
      <c r="E242" s="45" t="n"/>
      <c r="F242" s="47" t="n"/>
      <c r="G242" s="48" t="n"/>
      <c r="H242" s="49" t="n"/>
      <c r="I242" s="45" t="n"/>
    </row>
    <row r="243">
      <c r="A243" s="17" t="n"/>
      <c r="B243" s="18" t="n"/>
      <c r="C243" s="18" t="n"/>
      <c r="D243" s="27" t="n"/>
      <c r="E243" s="18" t="n"/>
      <c r="F243" s="19" t="n"/>
      <c r="G243" s="19" t="n"/>
      <c r="H243" s="21" t="n"/>
      <c r="I243" s="18" t="n"/>
      <c r="J243" s="18" t="n"/>
    </row>
    <row r="244">
      <c r="A244" s="44" t="n"/>
      <c r="B244" s="45" t="n"/>
      <c r="C244" s="45" t="n"/>
      <c r="D244" s="46" t="n"/>
      <c r="E244" s="45" t="n"/>
      <c r="F244" s="47" t="n"/>
      <c r="G244" s="48" t="n"/>
      <c r="H244" s="49" t="n"/>
      <c r="I244" s="45" t="n"/>
    </row>
    <row r="245">
      <c r="A245" s="17" t="n"/>
      <c r="B245" s="18" t="n"/>
      <c r="C245" s="18" t="n"/>
      <c r="D245" s="27" t="n"/>
      <c r="E245" s="18" t="n"/>
      <c r="F245" s="19" t="n"/>
      <c r="G245" s="19" t="n"/>
      <c r="H245" s="21" t="n"/>
      <c r="I245" s="18" t="n"/>
      <c r="J245" s="18" t="n"/>
    </row>
    <row r="246">
      <c r="A246" s="44" t="n"/>
      <c r="B246" s="45" t="n"/>
      <c r="C246" s="45" t="n"/>
      <c r="D246" s="46" t="n"/>
      <c r="E246" s="45" t="n"/>
      <c r="F246" s="47" t="n"/>
      <c r="G246" s="48" t="n"/>
      <c r="H246" s="49" t="n"/>
      <c r="I246" s="45" t="n"/>
    </row>
    <row r="247">
      <c r="A247" s="17" t="n"/>
      <c r="B247" s="18" t="n"/>
      <c r="C247" s="18" t="n"/>
      <c r="D247" s="27" t="n"/>
      <c r="E247" s="18" t="n"/>
      <c r="F247" s="19" t="n"/>
      <c r="G247" s="19" t="n"/>
      <c r="H247" s="21" t="n"/>
      <c r="I247" s="18" t="n"/>
      <c r="J247" s="18" t="n"/>
    </row>
    <row r="248">
      <c r="A248" s="44" t="n"/>
      <c r="B248" s="45" t="n"/>
      <c r="C248" s="45" t="n"/>
      <c r="D248" s="46" t="n"/>
      <c r="E248" s="45" t="n"/>
      <c r="F248" s="47" t="n"/>
      <c r="G248" s="48" t="n"/>
      <c r="H248" s="49" t="n"/>
      <c r="I248" s="45" t="n"/>
    </row>
    <row r="249">
      <c r="A249" s="17" t="n"/>
      <c r="B249" s="18" t="n"/>
      <c r="C249" s="18" t="n"/>
      <c r="D249" s="27" t="n"/>
      <c r="E249" s="18" t="n"/>
      <c r="F249" s="19" t="n"/>
      <c r="G249" s="19" t="n"/>
      <c r="H249" s="21" t="n"/>
      <c r="I249" s="18" t="n"/>
      <c r="J249" s="18" t="n"/>
    </row>
    <row r="250">
      <c r="A250" s="44" t="n"/>
      <c r="B250" s="45" t="n"/>
      <c r="C250" s="45" t="n"/>
      <c r="D250" s="46" t="n"/>
      <c r="E250" s="45" t="n"/>
      <c r="F250" s="47" t="n"/>
      <c r="G250" s="48" t="n"/>
      <c r="H250" s="49" t="n"/>
      <c r="I250" s="45" t="n"/>
    </row>
    <row r="251">
      <c r="A251" s="17" t="n"/>
      <c r="B251" s="18" t="n"/>
      <c r="C251" s="18" t="n"/>
      <c r="D251" s="27" t="n"/>
      <c r="E251" s="18" t="n"/>
      <c r="F251" s="19" t="n"/>
      <c r="G251" s="19" t="n"/>
      <c r="H251" s="21" t="n"/>
      <c r="I251" s="18" t="n"/>
      <c r="J251" s="18" t="n"/>
    </row>
    <row r="252">
      <c r="A252" s="44" t="n"/>
      <c r="B252" s="45" t="n"/>
      <c r="C252" s="45" t="n"/>
      <c r="D252" s="46" t="n"/>
      <c r="E252" s="45" t="n"/>
      <c r="F252" s="47" t="n"/>
      <c r="G252" s="48" t="n"/>
      <c r="H252" s="49" t="n"/>
      <c r="I252" s="45" t="n"/>
    </row>
    <row r="253">
      <c r="A253" s="17" t="n"/>
      <c r="B253" s="18" t="n"/>
      <c r="C253" s="18" t="n"/>
      <c r="D253" s="27" t="n"/>
      <c r="E253" s="18" t="n"/>
      <c r="F253" s="19" t="n"/>
      <c r="G253" s="19" t="n"/>
      <c r="H253" s="21" t="n"/>
      <c r="I253" s="18" t="n"/>
      <c r="J253" s="18" t="n"/>
    </row>
    <row r="254">
      <c r="A254" s="44" t="n"/>
      <c r="B254" s="45" t="n"/>
      <c r="C254" s="45" t="n"/>
      <c r="D254" s="46" t="n"/>
      <c r="E254" s="45" t="n"/>
      <c r="F254" s="47" t="n"/>
      <c r="G254" s="48" t="n"/>
      <c r="H254" s="49" t="n"/>
      <c r="I254" s="45" t="n"/>
    </row>
    <row r="255">
      <c r="A255" s="29" t="n"/>
      <c r="B255" s="43" t="inlineStr">
        <is>
          <t>TOTAL DO MÊS</t>
        </is>
      </c>
      <c r="C255" s="160" t="n"/>
      <c r="D255" s="8">
        <f>SUM(D5:D254)</f>
        <v/>
      </c>
      <c r="E255" s="8" t="n"/>
      <c r="F255" s="29">
        <f>SUM(F5:F254)</f>
        <v/>
      </c>
      <c r="G255" s="8">
        <f>SUM(G5:G254)</f>
        <v/>
      </c>
      <c r="H255" s="29" t="n"/>
      <c r="I255" s="29" t="n"/>
    </row>
    <row r="256" ht="15.75" customHeight="1" s="157">
      <c r="A256" s="30" t="n"/>
      <c r="B256" s="133" t="inlineStr">
        <is>
          <t>SALDO DO MÊS (Entradas líquidas − Despesas da loja)</t>
        </is>
      </c>
      <c r="D256" s="132">
        <f>(D255-F255-T5)-(L18-L19)</f>
        <v/>
      </c>
      <c r="F256" s="30" t="n"/>
      <c r="H256" s="30" t="n"/>
      <c r="I256" s="30" t="n"/>
    </row>
  </sheetData>
  <mergeCells count="19">
    <mergeCell ref="P4:Q4"/>
    <mergeCell ref="P8:Q9"/>
    <mergeCell ref="T8:U9"/>
    <mergeCell ref="N7:O7"/>
    <mergeCell ref="R4:S4"/>
    <mergeCell ref="T4:U4"/>
    <mergeCell ref="A2:I2"/>
    <mergeCell ref="R7:S7"/>
    <mergeCell ref="P5:Q6"/>
    <mergeCell ref="R5:S6"/>
    <mergeCell ref="R8:S9"/>
    <mergeCell ref="P7:Q7"/>
    <mergeCell ref="T5:U6"/>
    <mergeCell ref="T7:U7"/>
    <mergeCell ref="A1:I1"/>
    <mergeCell ref="K4:L4"/>
    <mergeCell ref="N5:O6"/>
    <mergeCell ref="N4:O4"/>
    <mergeCell ref="N8:O9"/>
  </mergeCells>
  <conditionalFormatting sqref="R7:S7">
    <cfRule type="expression" priority="1" dxfId="1">
      <formula>LEFT($R$7,6)="PASSOU"</formula>
    </cfRule>
  </conditionalFormatting>
  <conditionalFormatting sqref="R8:S9">
    <cfRule type="expression" priority="2" dxfId="0">
      <formula>LEFT($R$7,6)="PASSOU"</formula>
    </cfRule>
  </conditionalFormatting>
  <conditionalFormatting sqref="T8:U9">
    <cfRule type="cellIs" priority="3" operator="lessThan" dxfId="0">
      <formula>0</formula>
    </cfRule>
  </conditionalFormatting>
  <conditionalFormatting sqref="R5:S6">
    <cfRule type="cellIs" priority="4" operator="lessThan" dxfId="0">
      <formula>0</formula>
    </cfRule>
  </conditionalFormatting>
  <dataValidations count="2">
    <dataValidation sqref="E5:E254" showDropDown="0" showInputMessage="0" showErrorMessage="0" allowBlank="1" type="list">
      <formula1>"Dinheiro,Pix,Débito,Crédito à Vista,Crédito Parcelado,Aguardando Pagamento"</formula1>
    </dataValidation>
    <dataValidation sqref="H5:H254" showDropDown="0" showInputMessage="0" showErrorMessage="0" allowBlank="1" type="list">
      <formula1>$K$5:$K$17</formula1>
    </dataValidation>
  </dataValidations>
  <hyperlinks>
    <hyperlink ref="A3" location="'Início'!A1" display="← Início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0F9D8B"/>
    <outlinePr summaryBelow="1" summaryRight="1"/>
    <pageSetUpPr/>
  </sheetPr>
  <dimension ref="A1:U256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style="157" min="1" max="1"/>
    <col width="42" customWidth="1" style="157" min="2" max="2"/>
    <col width="26" customWidth="1" style="157" min="3" max="3"/>
    <col width="14" customWidth="1" style="157" min="4" max="4"/>
    <col width="20" customWidth="1" style="157" min="5" max="5"/>
    <col width="16" customWidth="1" style="157" min="6" max="6"/>
    <col width="14" customWidth="1" style="157" min="7" max="7"/>
    <col width="26" customWidth="1" style="157" min="8" max="8"/>
    <col width="30" customWidth="1" style="157" min="9" max="9"/>
    <col width="11" customWidth="1" style="157" min="10" max="10"/>
    <col width="30" customWidth="1" style="157" min="11" max="11"/>
    <col width="14" customWidth="1" style="157" min="12" max="12"/>
    <col width="3" customWidth="1" style="157" min="13" max="13"/>
    <col width="13" customWidth="1" style="157" min="14" max="21"/>
  </cols>
  <sheetData>
    <row r="1" ht="21" customHeight="1" s="157">
      <c r="A1" s="234" t="inlineStr">
        <is>
          <t>RELATÓRIO FINANCEIRO — OUTUBRO / 2026</t>
        </is>
      </c>
    </row>
    <row r="2">
      <c r="A2" s="195" t="inlineStr">
        <is>
          <t>Fluxo de caixa da loja — entradas e saídas detalhadas por lançamento (lançamento manual)</t>
        </is>
      </c>
    </row>
    <row r="3">
      <c r="A3" s="127" t="inlineStr">
        <is>
          <t>← Início</t>
        </is>
      </c>
    </row>
    <row r="4" ht="30" customHeight="1" s="157">
      <c r="A4" s="76" t="inlineStr">
        <is>
          <t>Data</t>
        </is>
      </c>
      <c r="B4" s="76" t="inlineStr">
        <is>
          <t>Descrição / Cliente</t>
        </is>
      </c>
      <c r="C4" s="76" t="inlineStr">
        <is>
          <t>Produto</t>
        </is>
      </c>
      <c r="D4" s="76" t="inlineStr">
        <is>
          <t>Entrada (R$)</t>
        </is>
      </c>
      <c r="E4" s="76" t="inlineStr">
        <is>
          <t>Forma de Pagamento</t>
        </is>
      </c>
      <c r="F4" s="76" t="inlineStr">
        <is>
          <t>Taxa da Máquina (R$)</t>
        </is>
      </c>
      <c r="G4" s="76" t="inlineStr">
        <is>
          <t>Saída (R$)</t>
        </is>
      </c>
      <c r="H4" s="76" t="inlineStr">
        <is>
          <t>Categoria da Saída</t>
        </is>
      </c>
      <c r="I4" s="76" t="inlineStr">
        <is>
          <t>Observações</t>
        </is>
      </c>
      <c r="J4" s="76" t="inlineStr">
        <is>
          <t>ID Cliente</t>
        </is>
      </c>
      <c r="K4" s="235" t="inlineStr">
        <is>
          <t>Saídas por Categoria</t>
        </is>
      </c>
      <c r="N4" s="237" t="inlineStr">
        <is>
          <t>FATURAMENTO</t>
        </is>
      </c>
      <c r="P4" s="198" t="inlineStr">
        <is>
          <t>DESPESAS</t>
        </is>
      </c>
      <c r="R4" s="199" t="inlineStr">
        <is>
          <t>SALDO ANTES DO PRÓ-LABORE</t>
        </is>
      </c>
      <c r="T4" s="206" t="inlineStr">
        <is>
          <t>A RECEBER</t>
        </is>
      </c>
    </row>
    <row r="5">
      <c r="A5" s="77" t="n">
        <v>46308</v>
      </c>
      <c r="B5" s="78" t="inlineStr">
        <is>
          <t>AGES Jacobina (Jacobina/BA)</t>
        </is>
      </c>
      <c r="C5" s="78" t="inlineStr">
        <is>
          <t>Refis — troca de julho/2026</t>
        </is>
      </c>
      <c r="D5" s="79" t="n">
        <v>1188.25</v>
      </c>
      <c r="E5" s="78" t="inlineStr">
        <is>
          <t>Pix</t>
        </is>
      </c>
      <c r="F5" s="79" t="n"/>
      <c r="G5" s="79" t="n"/>
      <c r="H5" s="78" t="n"/>
      <c r="I5" s="78" t="inlineStr">
        <is>
          <t>Grupo Ânima — OC AEMPPO00004453 · NF 000.004.332 de 26/08/2026 · prazo 45 dias · vencimento 10/10/2026 (desc. 3%) · previsão de pagamento confirmada no portal V360 em 02/09/2026 · Venda de 10/10/2026 — pagamento recebido em 13/10/2026 na conta do BNB (data em que o portal V360 marcou Nota Paga; dia/hora exatos a confirmar com a Edilânia)</t>
        </is>
      </c>
      <c r="J5" s="78" t="inlineStr">
        <is>
          <t>ESC-0008</t>
        </is>
      </c>
      <c r="K5" s="78" t="inlineStr">
        <is>
          <t>Fornecedores / Mercadoria</t>
        </is>
      </c>
      <c r="L5" s="80">
        <f>SUMIF(H5:H254,K5,G5:G254)</f>
        <v/>
      </c>
      <c r="N5" s="236">
        <f>D255-F255-T5</f>
        <v/>
      </c>
      <c r="P5" s="189">
        <f>L18-L19</f>
        <v/>
      </c>
      <c r="R5" s="205">
        <f>D256</f>
        <v/>
      </c>
      <c r="T5" s="204">
        <f>SUMIF(E5:E254,"Aguardando Pagamento",D5:D254)</f>
        <v/>
      </c>
    </row>
    <row r="6">
      <c r="A6" s="44" t="n">
        <v>46296</v>
      </c>
      <c r="B6" s="45" t="inlineStr">
        <is>
          <t>Vitoria Maria F Santos</t>
        </is>
      </c>
      <c r="C6" s="45" t="n"/>
      <c r="D6" s="46" t="n"/>
      <c r="E6" s="45" t="n"/>
      <c r="F6" s="47" t="n"/>
      <c r="G6" s="48" t="n">
        <v>880</v>
      </c>
      <c r="H6" s="49" t="inlineStr">
        <is>
          <t>Aluguel</t>
        </is>
      </c>
      <c r="I6" s="45" t="inlineStr">
        <is>
          <t>Aluguel da loja — outubro/2026. Depósito em dinheiro no Banco do Brasil em 01/10/2026 14:15 (doc. 013573031141511, autenticação 7.05D.31D.295.0FD.388) na conta de Vitoria M F Santos (ag. 3385-5, cc 111.641-X).</t>
        </is>
      </c>
      <c r="K6" s="78" t="inlineStr">
        <is>
          <t>Aluguel</t>
        </is>
      </c>
      <c r="L6" s="80">
        <f>SUMIF(H5:H254,K6,G5:G254)</f>
        <v/>
      </c>
    </row>
    <row r="7">
      <c r="A7" s="17" t="n">
        <v>46296</v>
      </c>
      <c r="B7" s="18" t="inlineStr">
        <is>
          <t>Milton Ribeiro</t>
        </is>
      </c>
      <c r="C7" s="18" t="inlineStr">
        <is>
          <t>Pré Filtro</t>
        </is>
      </c>
      <c r="D7" s="27" t="n">
        <v>60</v>
      </c>
      <c r="E7" s="18" t="inlineStr">
        <is>
          <t>Pix</t>
        </is>
      </c>
      <c r="F7" s="19" t="n"/>
      <c r="G7" s="19" t="n"/>
      <c r="H7" s="21" t="n"/>
      <c r="I7" s="18" t="inlineStr">
        <is>
          <t>Vendido na instalação do Purificador Everest Fit Preto (compra de 30/09/2026).</t>
        </is>
      </c>
      <c r="J7" s="18" t="inlineStr">
        <is>
          <t>CLI-0898</t>
        </is>
      </c>
      <c r="K7" s="78" t="inlineStr">
        <is>
          <t>Água, Energia e Internet</t>
        </is>
      </c>
      <c r="L7" s="80">
        <f>SUMIF(H5:H254,K7,G5:G254)</f>
        <v/>
      </c>
      <c r="N7" s="251" t="inlineStr">
        <is>
          <t>PRÓ-LABORE EDILÂNIA</t>
        </is>
      </c>
      <c r="P7" s="252" t="inlineStr">
        <is>
          <t>COMBINADO NO MÊS</t>
        </is>
      </c>
      <c r="R7" s="199">
        <f>IF(L17&gt;'Ponto de Equilíbrio'!$B$10,"PASSOU DO COMBINADO",IF(TODAY()&gt;EOMONTH(DATE(2026,10,1),0),"ABAIXO DO COMBINADO","AINDA PODE GASTAR"))</f>
        <v/>
      </c>
      <c r="T7" s="237" t="inlineStr">
        <is>
          <t>SOBRA FINAL DO MÊS</t>
        </is>
      </c>
    </row>
    <row r="8">
      <c r="A8" s="44" t="n">
        <v>46296</v>
      </c>
      <c r="B8" s="45" t="inlineStr">
        <is>
          <t>Eny Cordeiro Lima Santos</t>
        </is>
      </c>
      <c r="C8" s="45" t="inlineStr">
        <is>
          <t>Refil Everest</t>
        </is>
      </c>
      <c r="D8" s="46" t="n">
        <v>140</v>
      </c>
      <c r="E8" s="45" t="inlineStr">
        <is>
          <t>Dinheiro</t>
        </is>
      </c>
      <c r="F8" s="47" t="n"/>
      <c r="G8" s="48" t="n"/>
      <c r="H8" s="49" t="n"/>
      <c r="I8" s="45" t="n"/>
      <c r="J8" t="inlineStr">
        <is>
          <t>CLI-0346</t>
        </is>
      </c>
      <c r="K8" s="78" t="inlineStr">
        <is>
          <t>Impostos e Taxas</t>
        </is>
      </c>
      <c r="L8" s="80">
        <f>SUMIF(H5:H254,K8,G5:G254)</f>
        <v/>
      </c>
      <c r="N8" s="250">
        <f>L17</f>
        <v/>
      </c>
      <c r="P8" s="215">
        <f>'Ponto de Equilíbrio'!$B$10</f>
        <v/>
      </c>
      <c r="R8" s="205">
        <f>ABS('Ponto de Equilíbrio'!$B$10-L17)</f>
        <v/>
      </c>
      <c r="T8" s="236">
        <f>R5-L17</f>
        <v/>
      </c>
    </row>
    <row r="9">
      <c r="A9" s="17" t="n">
        <v>46300</v>
      </c>
      <c r="B9" s="18" t="inlineStr">
        <is>
          <t>Aneilde Rios de Oliveira</t>
        </is>
      </c>
      <c r="C9" s="18" t="inlineStr">
        <is>
          <t>Refil Everest</t>
        </is>
      </c>
      <c r="D9" s="27" t="n">
        <v>135</v>
      </c>
      <c r="E9" s="18" t="inlineStr">
        <is>
          <t>Pix</t>
        </is>
      </c>
      <c r="F9" s="19" t="n"/>
      <c r="G9" s="19" t="n"/>
      <c r="H9" s="21" t="n"/>
      <c r="I9" s="18" t="inlineStr">
        <is>
          <t>Venda de 01/10/2026 (troca na casa, Loteamento Morada Real, Caeira) — pagamento recebido via Pix em 05/10/2026. Pix único de R$ 270,00 da Aneilde em 05/10/2026 pagando as duas trocas (casa + Vivencie Turismo), com R$ 10,00 de desconto dividido entre as duas (R$ 135,00 cada).</t>
        </is>
      </c>
      <c r="J9" s="18" t="inlineStr">
        <is>
          <t>CLI-0040</t>
        </is>
      </c>
      <c r="K9" s="78" t="inlineStr">
        <is>
          <t>Tarifas Bancárias e Cartão</t>
        </is>
      </c>
      <c r="L9" s="80">
        <f>SUMIF(H5:H254,K9,G5:G254)</f>
        <v/>
      </c>
    </row>
    <row r="10">
      <c r="A10" s="44" t="n">
        <v>46296</v>
      </c>
      <c r="B10" s="45" t="inlineStr">
        <is>
          <t>Combustível</t>
        </is>
      </c>
      <c r="C10" s="45" t="n"/>
      <c r="D10" s="46" t="n"/>
      <c r="E10" s="45" t="n"/>
      <c r="F10" s="47" t="n"/>
      <c r="G10" s="48" t="n">
        <v>20</v>
      </c>
      <c r="H10" s="49" t="inlineStr">
        <is>
          <t>Transporte e Entregas</t>
        </is>
      </c>
      <c r="I10" s="45" t="inlineStr">
        <is>
          <t>Etanol 4,51 L — Posto de Combustíveis Modelo, NFC-e nº 000431786 de 01/10/2026 10:56 (nota de R$ 20,07). Pago R$ 20,00 em dinheiro (uma nota de R$ 20).</t>
        </is>
      </c>
      <c r="K10" s="78" t="inlineStr">
        <is>
          <t>Transporte e Entregas</t>
        </is>
      </c>
      <c r="L10" s="80">
        <f>SUMIF(H5:H254,K10,G5:G254)</f>
        <v/>
      </c>
    </row>
    <row r="11">
      <c r="A11" s="17" t="n">
        <v>46296</v>
      </c>
      <c r="B11" s="18" t="inlineStr">
        <is>
          <t>Acerto de Armando</t>
        </is>
      </c>
      <c r="C11" s="18" t="n"/>
      <c r="D11" s="27" t="n">
        <v>1500</v>
      </c>
      <c r="E11" s="18" t="inlineStr">
        <is>
          <t>Pix</t>
        </is>
      </c>
      <c r="F11" s="19" t="n"/>
      <c r="G11" s="19" t="n"/>
      <c r="H11" s="21" t="n"/>
      <c r="I11" s="18" t="n"/>
      <c r="J11" s="18" t="n"/>
      <c r="K11" s="78" t="inlineStr">
        <is>
          <t>Salários, Comissões e Encargos</t>
        </is>
      </c>
      <c r="L11" s="80">
        <f>SUMIF(H5:H254,K11,G5:G254)</f>
        <v/>
      </c>
    </row>
    <row r="12">
      <c r="A12" s="44" t="n">
        <v>46300</v>
      </c>
      <c r="B12" s="45" t="inlineStr">
        <is>
          <t>Centro Medico da Chapada Diamantina LTDA</t>
        </is>
      </c>
      <c r="C12" s="45" t="inlineStr">
        <is>
          <t>Refil Pro Life + 2x Botão Completo</t>
        </is>
      </c>
      <c r="D12" s="46" t="n">
        <v>200</v>
      </c>
      <c r="E12" s="45" t="inlineStr">
        <is>
          <t>Crédito Parcelado</t>
        </is>
      </c>
      <c r="F12" s="47" t="n">
        <v>16.76</v>
      </c>
      <c r="G12" s="48" t="n"/>
      <c r="H12" s="49" t="n"/>
      <c r="I12" s="45" t="inlineStr">
        <is>
          <t>Venda de 01/10/2026 — pagamento recebido em 05/10/2026 no crédito em 3x. Subsolo — troca do refil (R$ 140,00) + troca dos 2 botões do purificador (R$ 30,00 cada). Pagamento único de R$ 400,00 (subsolo + 1º andar), taxa total R$ 33,52 dividida entre as duas linhas.</t>
        </is>
      </c>
      <c r="J12" t="inlineStr">
        <is>
          <t>EMP-0062</t>
        </is>
      </c>
      <c r="K12" s="78" t="inlineStr">
        <is>
          <t>Contabilidade</t>
        </is>
      </c>
      <c r="L12" s="80">
        <f>SUMIF(H5:H254,K12,G5:G254)</f>
        <v/>
      </c>
    </row>
    <row r="13">
      <c r="A13" s="17" t="n">
        <v>46296</v>
      </c>
      <c r="B13" s="18" t="inlineStr">
        <is>
          <t>Cliente de Armando</t>
        </is>
      </c>
      <c r="C13" s="18" t="n"/>
      <c r="D13" s="27" t="n">
        <v>1486</v>
      </c>
      <c r="E13" s="18" t="inlineStr">
        <is>
          <t>Crédito Parcelado</t>
        </is>
      </c>
      <c r="F13" s="19" t="n">
        <v>207.89</v>
      </c>
      <c r="G13" s="19" t="n"/>
      <c r="H13" s="21" t="n"/>
      <c r="I13" s="18" t="inlineStr">
        <is>
          <t>Crédito em 10x</t>
        </is>
      </c>
      <c r="J13" s="18" t="n"/>
      <c r="K13" s="78" t="inlineStr">
        <is>
          <t>Manutenção e Reparos</t>
        </is>
      </c>
      <c r="L13" s="80">
        <f>SUMIF(H5:H254,K13,G5:G254)</f>
        <v/>
      </c>
    </row>
    <row r="14">
      <c r="A14" s="44" t="n">
        <v>46296</v>
      </c>
      <c r="B14" s="45" t="inlineStr">
        <is>
          <t>Consumidor Final</t>
        </is>
      </c>
      <c r="C14" s="45" t="inlineStr">
        <is>
          <t>6x Torneira Acquazurra</t>
        </is>
      </c>
      <c r="D14" s="46" t="n">
        <v>60</v>
      </c>
      <c r="E14" s="45" t="inlineStr">
        <is>
          <t>Dinheiro</t>
        </is>
      </c>
      <c r="F14" s="47" t="n"/>
      <c r="G14" s="48" t="n"/>
      <c r="H14" s="49" t="n"/>
      <c r="I14" s="45" t="n"/>
      <c r="K14" s="78" t="inlineStr">
        <is>
          <t>Material de Limpeza e Escritório</t>
        </is>
      </c>
      <c r="L14" s="80">
        <f>SUMIF(H5:H254,K14,G5:G254)</f>
        <v/>
      </c>
    </row>
    <row r="15">
      <c r="A15" s="17" t="n">
        <v>46296</v>
      </c>
      <c r="B15" s="18" t="inlineStr">
        <is>
          <t>Consumidor Final</t>
        </is>
      </c>
      <c r="C15" s="18" t="inlineStr">
        <is>
          <t>Refil Top Color Fast</t>
        </is>
      </c>
      <c r="D15" s="27" t="n">
        <v>65</v>
      </c>
      <c r="E15" s="18" t="inlineStr">
        <is>
          <t>Dinheiro</t>
        </is>
      </c>
      <c r="F15" s="19" t="n"/>
      <c r="G15" s="19" t="n"/>
      <c r="H15" s="21" t="n"/>
      <c r="I15" s="18" t="n"/>
      <c r="J15" s="18" t="n"/>
      <c r="K15" s="78" t="inlineStr">
        <is>
          <t>Estornos de Vendas (Cancelamentos)</t>
        </is>
      </c>
      <c r="L15" s="80">
        <f>SUMIF(H5:H254,K15,G5:G254)</f>
        <v/>
      </c>
    </row>
    <row r="16">
      <c r="A16" s="44" t="n">
        <v>46296</v>
      </c>
      <c r="B16" s="45" t="inlineStr">
        <is>
          <t>Patrus Transportes</t>
        </is>
      </c>
      <c r="C16" s="45" t="n"/>
      <c r="D16" s="46" t="n"/>
      <c r="E16" s="45" t="n"/>
      <c r="F16" s="47" t="n"/>
      <c r="G16" s="48" t="n">
        <v>323.45</v>
      </c>
      <c r="H16" s="49" t="inlineStr">
        <is>
          <t>Transporte e Entregas</t>
        </is>
      </c>
      <c r="I16" s="45" t="inlineStr">
        <is>
          <t>Frete da fatura 26-09-904996 (CT-e 2123999, remetente Everest, NF 386188) — venc. 02/10/2026. Pago em 01/10/2026.</t>
        </is>
      </c>
      <c r="K16" s="78" t="inlineStr">
        <is>
          <t>Outras Despesas</t>
        </is>
      </c>
      <c r="L16" s="80">
        <f>SUMIF(H5:H254,K16,G5:G254)</f>
        <v/>
      </c>
    </row>
    <row r="17">
      <c r="A17" s="17" t="n">
        <v>46296</v>
      </c>
      <c r="B17" s="18" t="inlineStr">
        <is>
          <t>Salário Wiliam</t>
        </is>
      </c>
      <c r="C17" s="18" t="n"/>
      <c r="D17" s="27" t="n"/>
      <c r="E17" s="18" t="n"/>
      <c r="F17" s="19" t="n"/>
      <c r="G17" s="19" t="n">
        <v>1571.32</v>
      </c>
      <c r="H17" s="21" t="inlineStr">
        <is>
          <t>Salários, Comissões e Encargos</t>
        </is>
      </c>
      <c r="I17" s="18" t="inlineStr">
        <is>
          <t>Salário mensal — competência setembro/2026. Pago em 01/10/2026.</t>
        </is>
      </c>
      <c r="J17" s="18" t="n"/>
      <c r="K17" s="84" t="inlineStr">
        <is>
          <t>Pro Labore Edilânia</t>
        </is>
      </c>
      <c r="L17" s="85">
        <f>SUMIF(H5:H254,K17,G5:G254)</f>
        <v/>
      </c>
    </row>
    <row r="18">
      <c r="A18" s="44" t="n">
        <v>46296</v>
      </c>
      <c r="B18" s="45" t="inlineStr">
        <is>
          <t>Conta de Água Adriano</t>
        </is>
      </c>
      <c r="C18" s="45" t="n"/>
      <c r="D18" s="46" t="n"/>
      <c r="E18" s="45" t="n"/>
      <c r="F18" s="47" t="n"/>
      <c r="G18" s="48" t="n">
        <v>91</v>
      </c>
      <c r="H18" s="49" t="inlineStr">
        <is>
          <t>Pro Labore Edilânia</t>
        </is>
      </c>
      <c r="I18" s="45" t="inlineStr">
        <is>
          <t>Embasa — conta pessoal do Adriano (não é da loja), ref. 10/2026, matrícula 0531718-70. Pago em 01/10/2026.</t>
        </is>
      </c>
      <c r="K18" s="86" t="inlineStr">
        <is>
          <t>Total</t>
        </is>
      </c>
      <c r="L18" s="87">
        <f>SUM(L5:L16)</f>
        <v/>
      </c>
    </row>
    <row r="19">
      <c r="A19" s="17" t="n">
        <v>46297</v>
      </c>
      <c r="B19" s="18" t="inlineStr">
        <is>
          <t>Armazém Paraíba</t>
        </is>
      </c>
      <c r="C19" s="18" t="inlineStr">
        <is>
          <t>Refil Carbon Tech 5"</t>
        </is>
      </c>
      <c r="D19" s="27" t="n">
        <v>60</v>
      </c>
      <c r="E19" s="18" t="inlineStr">
        <is>
          <t>Dinheiro</t>
        </is>
      </c>
      <c r="F19" s="19" t="n"/>
      <c r="G19" s="19" t="n"/>
      <c r="H19" s="21" t="n"/>
      <c r="I19" s="18" t="n"/>
      <c r="J19" s="18" t="inlineStr">
        <is>
          <t>EMP-0317</t>
        </is>
      </c>
      <c r="K19" s="88" t="inlineStr">
        <is>
          <t>Capital de Giro (BB) — ainda a devolver</t>
        </is>
      </c>
      <c r="L19" s="89">
        <f>SUMIFS('Capital de Giro (BB)'!D9:D200,'Capital de Giro (BB)'!A9:A200,"&gt;="&amp;DATE(2026,10,1),'Capital de Giro (BB)'!A9:A200,"&lt;="&amp;DATE(2026,10,31),'Capital de Giro (BB)'!E9:E200,"A Devolver")</f>
        <v/>
      </c>
    </row>
    <row r="20">
      <c r="A20" s="44" t="n">
        <v>46297</v>
      </c>
      <c r="B20" s="45" t="inlineStr">
        <is>
          <t>Consumidor Final</t>
        </is>
      </c>
      <c r="C20" s="45" t="inlineStr">
        <is>
          <t>Refil C+3</t>
        </is>
      </c>
      <c r="D20" s="46" t="n">
        <v>100</v>
      </c>
      <c r="E20" s="45" t="inlineStr">
        <is>
          <t>Dinheiro</t>
        </is>
      </c>
      <c r="F20" s="47" t="n"/>
      <c r="G20" s="48" t="n"/>
      <c r="H20" s="49" t="n"/>
      <c r="I20" s="45" t="n"/>
    </row>
    <row r="21">
      <c r="A21" s="17" t="n">
        <v>46297</v>
      </c>
      <c r="B21" s="18" t="inlineStr">
        <is>
          <t>Joselita Pereira de Almeida</t>
        </is>
      </c>
      <c r="C21" s="18" t="inlineStr">
        <is>
          <t>Refil Pro Life + Pré Filtro</t>
        </is>
      </c>
      <c r="D21" s="27" t="n">
        <v>200</v>
      </c>
      <c r="E21" s="18" t="inlineStr">
        <is>
          <t>Dinheiro</t>
        </is>
      </c>
      <c r="F21" s="19" t="n"/>
      <c r="G21" s="19" t="n"/>
      <c r="H21" s="21" t="n"/>
      <c r="I21" s="18" t="n"/>
      <c r="J21" s="18" t="inlineStr">
        <is>
          <t>CLI-0019</t>
        </is>
      </c>
    </row>
    <row r="22">
      <c r="A22" s="44" t="n">
        <v>46297</v>
      </c>
      <c r="B22" s="45" t="inlineStr">
        <is>
          <t>Adryelle Lima Coelho - Nelia Marques</t>
        </is>
      </c>
      <c r="C22" s="45" t="inlineStr">
        <is>
          <t>Refil Pro Life</t>
        </is>
      </c>
      <c r="D22" s="46" t="n">
        <v>140</v>
      </c>
      <c r="E22" s="45" t="inlineStr">
        <is>
          <t>Crédito Parcelado</t>
        </is>
      </c>
      <c r="F22" s="47" t="n">
        <v>9.789999999999999</v>
      </c>
      <c r="G22" s="48" t="n"/>
      <c r="H22" s="49" t="n"/>
      <c r="I22" s="45" t="inlineStr">
        <is>
          <t>Crédito em 2x</t>
        </is>
      </c>
      <c r="J22" t="inlineStr">
        <is>
          <t>CLI-0290</t>
        </is>
      </c>
    </row>
    <row r="23">
      <c r="A23" s="17" t="n">
        <v>46297</v>
      </c>
      <c r="B23" s="18" t="inlineStr">
        <is>
          <t>Ana Paula Barbosa Rodrigues</t>
        </is>
      </c>
      <c r="C23" s="18" t="inlineStr">
        <is>
          <t>Refil Everest + Mangueira + Reinstalação</t>
        </is>
      </c>
      <c r="D23" s="27" t="n">
        <v>180</v>
      </c>
      <c r="E23" s="18" t="inlineStr">
        <is>
          <t>Débito</t>
        </is>
      </c>
      <c r="F23" s="19" t="n">
        <v>4.75</v>
      </c>
      <c r="G23" s="19" t="n"/>
      <c r="H23" s="21" t="n"/>
      <c r="I23" s="18" t="n"/>
      <c r="J23" s="18" t="inlineStr">
        <is>
          <t>CLI-0900</t>
        </is>
      </c>
    </row>
    <row r="24">
      <c r="A24" s="44" t="n">
        <v>46297</v>
      </c>
      <c r="B24" s="45" t="inlineStr">
        <is>
          <t>Consumidor Final</t>
        </is>
      </c>
      <c r="C24" s="45" t="inlineStr">
        <is>
          <t>Refil Everest + Mangueira</t>
        </is>
      </c>
      <c r="D24" s="46" t="n">
        <v>150</v>
      </c>
      <c r="E24" s="45" t="inlineStr">
        <is>
          <t>Débito</t>
        </is>
      </c>
      <c r="F24" s="47" t="n">
        <v>2.18</v>
      </c>
      <c r="G24" s="48" t="n"/>
      <c r="H24" s="49" t="n"/>
      <c r="I24" s="45" t="n"/>
    </row>
    <row r="25">
      <c r="A25" s="17" t="n">
        <v>46297</v>
      </c>
      <c r="B25" s="18" t="inlineStr">
        <is>
          <t>Juscelia Valeriana (Studio)</t>
        </is>
      </c>
      <c r="C25" s="18" t="inlineStr">
        <is>
          <t>Refil Pro Life</t>
        </is>
      </c>
      <c r="D25" s="27" t="n">
        <v>140</v>
      </c>
      <c r="E25" s="18" t="inlineStr">
        <is>
          <t>Pix</t>
        </is>
      </c>
      <c r="F25" s="19" t="n"/>
      <c r="G25" s="19" t="n"/>
      <c r="H25" s="21" t="n"/>
      <c r="I25" s="18" t="n"/>
      <c r="J25" s="18" t="inlineStr">
        <is>
          <t>EMP-0318</t>
        </is>
      </c>
    </row>
    <row r="26">
      <c r="A26" s="44" t="n">
        <v>46300</v>
      </c>
      <c r="B26" s="45" t="inlineStr">
        <is>
          <t>Centro Medico da Chapada Diamantina LTDA</t>
        </is>
      </c>
      <c r="C26" s="45" t="inlineStr">
        <is>
          <t>Refil Pro Life + 2x Botão Completo</t>
        </is>
      </c>
      <c r="D26" s="46" t="n">
        <v>200</v>
      </c>
      <c r="E26" s="45" t="inlineStr">
        <is>
          <t>Crédito Parcelado</t>
        </is>
      </c>
      <c r="F26" s="47" t="n">
        <v>16.76</v>
      </c>
      <c r="G26" s="48" t="n"/>
      <c r="H26" s="49" t="n"/>
      <c r="I26" s="45" t="inlineStr">
        <is>
          <t>Venda de 02/10/2026 — pagamento recebido em 05/10/2026 no crédito em 3x. 1º Andar — troca do refil (R$ 140,00) + troca dos 2 botões do purificador (R$ 30,00 cada). Pagamento único de R$ 400,00 (subsolo + 1º andar), taxa total R$ 33,52 dividida entre as duas linhas.</t>
        </is>
      </c>
      <c r="J26" t="inlineStr">
        <is>
          <t>EMP-0062</t>
        </is>
      </c>
    </row>
    <row r="27">
      <c r="A27" s="17" t="n">
        <v>46297</v>
      </c>
      <c r="B27" s="18" t="inlineStr">
        <is>
          <t>Combustível</t>
        </is>
      </c>
      <c r="C27" s="18" t="n"/>
      <c r="D27" s="27" t="n"/>
      <c r="E27" s="18" t="n"/>
      <c r="F27" s="19" t="n"/>
      <c r="G27" s="19" t="n">
        <v>20</v>
      </c>
      <c r="H27" s="21" t="inlineStr">
        <is>
          <t>Transporte e Entregas</t>
        </is>
      </c>
      <c r="I27" s="18" t="inlineStr">
        <is>
          <t>Etanol 4,39 L — Tropical Combustíveis e Lubrificantes, NFC-e nº 000004328 de 02/10/2026 14:41 (nota de R$ 19,97 + R$ 0,03 de acréscimo). Pago R$ 20,00 em dinheiro.</t>
        </is>
      </c>
      <c r="J27" s="18" t="n"/>
    </row>
    <row r="28">
      <c r="A28" s="44" t="n">
        <v>46297</v>
      </c>
      <c r="B28" s="45" t="inlineStr">
        <is>
          <t>Combustível</t>
        </is>
      </c>
      <c r="C28" s="45" t="n"/>
      <c r="D28" s="46" t="n"/>
      <c r="E28" s="45" t="n"/>
      <c r="F28" s="47" t="n"/>
      <c r="G28" s="48" t="n">
        <v>10</v>
      </c>
      <c r="H28" s="49" t="inlineStr">
        <is>
          <t>Transporte e Entregas</t>
        </is>
      </c>
      <c r="I28" s="45" t="inlineStr">
        <is>
          <t>Etanol 2,181 L a R$ 4,59/L — Posto da Praça (Lubrinessa XVI Comércio de Petróleo LTDA, CNPJ 29.922.765/0002-41, Praça 2 de Julho, 70, Centro, Jacobina), NFC-e nº 000385581 de 02/10/2026 12:10 (nota de R$ 10,01). Pago R$ 10,00 em dinheiro.</t>
        </is>
      </c>
    </row>
    <row r="29">
      <c r="A29" s="17" t="n">
        <v>46298</v>
      </c>
      <c r="B29" s="18" t="inlineStr">
        <is>
          <t>Comissão Wiliam</t>
        </is>
      </c>
      <c r="C29" s="18" t="n"/>
      <c r="D29" s="27" t="n"/>
      <c r="E29" s="18" t="n"/>
      <c r="F29" s="19" t="n"/>
      <c r="G29" s="19" t="n">
        <v>465</v>
      </c>
      <c r="H29" s="21" t="inlineStr">
        <is>
          <t>Salários, Comissões e Encargos</t>
        </is>
      </c>
      <c r="I29" s="18" t="inlineStr">
        <is>
          <t>Pagamento de comissão em 03/10/2026.</t>
        </is>
      </c>
      <c r="J29" s="18" t="n"/>
    </row>
    <row r="30">
      <c r="A30" s="44" t="n">
        <v>46300</v>
      </c>
      <c r="B30" s="45" t="inlineStr">
        <is>
          <t>Tarcisio Cardoso da Silva</t>
        </is>
      </c>
      <c r="C30" s="45" t="inlineStr">
        <is>
          <t>Refil Everest + Refil Multifilter + Refil Plissado + Carcaça 9"</t>
        </is>
      </c>
      <c r="D30" s="46" t="n">
        <v>430</v>
      </c>
      <c r="E30" s="45" t="inlineStr">
        <is>
          <t>Crédito Parcelado</t>
        </is>
      </c>
      <c r="F30" s="47" t="n">
        <v>30.06</v>
      </c>
      <c r="G30" s="48" t="n"/>
      <c r="H30" s="49" t="n"/>
      <c r="I30" s="45" t="inlineStr">
        <is>
          <t>Crédito em 3x</t>
        </is>
      </c>
      <c r="J30" t="inlineStr">
        <is>
          <t>CLI-0901</t>
        </is>
      </c>
    </row>
    <row r="31">
      <c r="A31" s="17" t="n">
        <v>46300</v>
      </c>
      <c r="B31" s="18" t="inlineStr">
        <is>
          <t>Consumidor Final</t>
        </is>
      </c>
      <c r="C31" s="18" t="inlineStr">
        <is>
          <t>Refil FP4</t>
        </is>
      </c>
      <c r="D31" s="27" t="n">
        <v>90</v>
      </c>
      <c r="E31" s="18" t="inlineStr">
        <is>
          <t>Crédito Parcelado</t>
        </is>
      </c>
      <c r="F31" s="19" t="n">
        <v>6.29</v>
      </c>
      <c r="G31" s="19" t="n"/>
      <c r="H31" s="21" t="n"/>
      <c r="I31" s="18" t="inlineStr">
        <is>
          <t>Crédito em 2x</t>
        </is>
      </c>
      <c r="J31" s="18" t="n"/>
    </row>
    <row r="32">
      <c r="A32" s="44" t="n">
        <v>46300</v>
      </c>
      <c r="B32" s="45" t="inlineStr">
        <is>
          <t>Consumidor Final</t>
        </is>
      </c>
      <c r="C32" s="45" t="inlineStr">
        <is>
          <t>Carcaça 9" + Refil Carbon Tech 9"</t>
        </is>
      </c>
      <c r="D32" s="46" t="n">
        <v>200</v>
      </c>
      <c r="E32" s="45" t="inlineStr">
        <is>
          <t>Pix</t>
        </is>
      </c>
      <c r="F32" s="47" t="n"/>
      <c r="G32" s="48" t="n"/>
      <c r="H32" s="49" t="n"/>
      <c r="I32" s="45" t="n"/>
    </row>
    <row r="33">
      <c r="A33" s="17" t="n">
        <v>46300</v>
      </c>
      <c r="B33" s="18" t="inlineStr">
        <is>
          <t>Vivencie Turismo Agencia de Viagens - Aneildes Rios</t>
        </is>
      </c>
      <c r="C33" s="18" t="inlineStr">
        <is>
          <t>Refil Everest</t>
        </is>
      </c>
      <c r="D33" s="27" t="n">
        <v>135</v>
      </c>
      <c r="E33" s="18" t="inlineStr">
        <is>
          <t>Pix</t>
        </is>
      </c>
      <c r="F33" s="19" t="n"/>
      <c r="G33" s="19" t="n"/>
      <c r="H33" s="21" t="n"/>
      <c r="I33" s="18" t="inlineStr">
        <is>
          <t>Venda de 29/09/2026 (troca na Vivencie Turismo, antes em Set 2026) — pagamento recebido via Pix em 05/10/2026. Pix único de R$ 270,00 da Aneilde em 05/10/2026 pagando as duas trocas (casa + Vivencie Turismo), com R$ 10,00 de desconto dividido entre as duas (R$ 135,00 cada).</t>
        </is>
      </c>
      <c r="J33" s="18" t="inlineStr">
        <is>
          <t>EMP-0032</t>
        </is>
      </c>
    </row>
    <row r="34">
      <c r="A34" s="44" t="n">
        <v>46300</v>
      </c>
      <c r="B34" s="45" t="inlineStr">
        <is>
          <t>Carneiro Ultra Drogaria LTDA - Filial 01</t>
        </is>
      </c>
      <c r="C34" s="45" t="inlineStr">
        <is>
          <t>Refil Everest + Pré Filtro + Botão Everest</t>
        </is>
      </c>
      <c r="D34" s="46" t="n">
        <v>230</v>
      </c>
      <c r="E34" s="45" t="inlineStr">
        <is>
          <t>Dinheiro</t>
        </is>
      </c>
      <c r="F34" s="47" t="n"/>
      <c r="G34" s="48" t="n"/>
      <c r="H34" s="49" t="n"/>
      <c r="I34" s="45" t="n"/>
      <c r="J34" t="inlineStr">
        <is>
          <t>EMP-0043</t>
        </is>
      </c>
    </row>
    <row r="35">
      <c r="A35" s="17" t="n">
        <v>46300</v>
      </c>
      <c r="B35" s="18" t="inlineStr">
        <is>
          <t>Consumidor Final</t>
        </is>
      </c>
      <c r="C35" s="18" t="inlineStr">
        <is>
          <t>Refil PA 200 FIT</t>
        </is>
      </c>
      <c r="D35" s="27" t="n">
        <v>60</v>
      </c>
      <c r="E35" s="18" t="inlineStr">
        <is>
          <t>Dinheiro</t>
        </is>
      </c>
      <c r="F35" s="19" t="n"/>
      <c r="G35" s="19" t="n"/>
      <c r="H35" s="21" t="n"/>
      <c r="I35" s="18" t="n"/>
      <c r="J35" s="18" t="n"/>
    </row>
    <row r="36">
      <c r="A36" s="44" t="n">
        <v>46300</v>
      </c>
      <c r="B36" s="45" t="inlineStr">
        <is>
          <t>Luiza Exdra Carneiro</t>
        </is>
      </c>
      <c r="C36" s="45" t="inlineStr">
        <is>
          <t>Refil Everest</t>
        </is>
      </c>
      <c r="D36" s="46" t="n">
        <v>140</v>
      </c>
      <c r="E36" s="45" t="inlineStr">
        <is>
          <t>Crédito à Vista</t>
        </is>
      </c>
      <c r="F36" s="47" t="n">
        <v>4.91</v>
      </c>
      <c r="G36" s="48" t="n"/>
      <c r="H36" s="49" t="n"/>
      <c r="I36" s="45" t="n"/>
      <c r="J36" t="inlineStr">
        <is>
          <t>CLI-0056</t>
        </is>
      </c>
    </row>
    <row r="37">
      <c r="A37" s="17" t="n">
        <v>46300</v>
      </c>
      <c r="B37" s="18" t="inlineStr">
        <is>
          <t>Igreja Messianica Mundial do Brasil</t>
        </is>
      </c>
      <c r="C37" s="18" t="inlineStr">
        <is>
          <t>Refil Everest</t>
        </is>
      </c>
      <c r="D37" s="27" t="n">
        <v>140</v>
      </c>
      <c r="E37" s="18" t="inlineStr">
        <is>
          <t>Aguardando Pagamento</t>
        </is>
      </c>
      <c r="F37" s="19" t="n"/>
      <c r="G37" s="19" t="n"/>
      <c r="H37" s="21" t="n"/>
      <c r="I37" s="18" t="n"/>
      <c r="J37" s="18" t="inlineStr">
        <is>
          <t>EMP-0177</t>
        </is>
      </c>
    </row>
    <row r="38">
      <c r="A38" s="44" t="n">
        <v>46300</v>
      </c>
      <c r="B38" s="45" t="inlineStr">
        <is>
          <t>Eversoft</t>
        </is>
      </c>
      <c r="C38" s="45" t="n"/>
      <c r="D38" s="46" t="n"/>
      <c r="E38" s="45" t="n"/>
      <c r="F38" s="47" t="n"/>
      <c r="G38" s="48" t="n">
        <v>980.8099999999999</v>
      </c>
      <c r="H38" s="49" t="inlineStr">
        <is>
          <t>Fornecedores / Mercadoria</t>
        </is>
      </c>
      <c r="I38" s="45" t="inlineStr">
        <is>
          <t>Boleto Itaú — NF-e 72869 (emissão 07/05/2026), parcela 5/5 (última), vencimento 04/10/2026 (domingo), pago em 05/10/2026.</t>
        </is>
      </c>
    </row>
    <row r="39">
      <c r="A39" s="17" t="n">
        <v>46300</v>
      </c>
      <c r="B39" s="18" t="inlineStr">
        <is>
          <t>Topvel Tropical Veiculos e Pecas</t>
        </is>
      </c>
      <c r="C39" s="18" t="inlineStr">
        <is>
          <t>2x Refil Everest + 2x Pré Filtro</t>
        </is>
      </c>
      <c r="D39" s="27" t="n">
        <v>370</v>
      </c>
      <c r="E39" s="18" t="inlineStr">
        <is>
          <t>Pix</t>
        </is>
      </c>
      <c r="F39" s="19" t="n"/>
      <c r="G39" s="19" t="n"/>
      <c r="H39" s="21" t="n"/>
      <c r="I39" s="18" t="inlineStr">
        <is>
          <t>Venda de 11/09/2026 (troca nos dois purificadores) — pagamento recebido via TED no BNB em 05/10/2026 (DOC 7793462). Antes em Set 2026.</t>
        </is>
      </c>
      <c r="J39" s="18" t="inlineStr">
        <is>
          <t>EMP-0291</t>
        </is>
      </c>
    </row>
    <row r="40">
      <c r="A40" s="44" t="n">
        <v>46300</v>
      </c>
      <c r="B40" s="45" t="inlineStr">
        <is>
          <t>Piantare Soluções Ambientais</t>
        </is>
      </c>
      <c r="C40" s="45" t="inlineStr">
        <is>
          <t>Bebedouro Industrial 100L</t>
        </is>
      </c>
      <c r="D40" s="46" t="n">
        <v>2840</v>
      </c>
      <c r="E40" s="45" t="inlineStr">
        <is>
          <t>Pix</t>
        </is>
      </c>
      <c r="F40" s="47" t="n"/>
      <c r="G40" s="48" t="n"/>
      <c r="H40" s="49" t="n"/>
      <c r="I40" s="45" t="inlineStr">
        <is>
          <t>Pagamento recebido via Pix no BNB em 05/10/2026 (DOC 7758853).</t>
        </is>
      </c>
    </row>
    <row r="41">
      <c r="A41" s="17" t="n">
        <v>46300</v>
      </c>
      <c r="B41" s="18" t="inlineStr">
        <is>
          <t>Tarifa Pix (Cobrança QR Code)</t>
        </is>
      </c>
      <c r="C41" s="18" t="n"/>
      <c r="D41" s="27" t="n"/>
      <c r="E41" s="18" t="n"/>
      <c r="F41" s="19" t="n"/>
      <c r="G41" s="19" t="n">
        <v>1.39</v>
      </c>
      <c r="H41" s="21" t="inlineStr">
        <is>
          <t>Tarifas Bancárias e Cartão</t>
        </is>
      </c>
      <c r="I41" s="18" t="inlineStr">
        <is>
          <t>Extrato BNB — TAR PIX COBR QR COD LIQUI, DOC 7417524</t>
        </is>
      </c>
      <c r="J41" s="18" t="n"/>
    </row>
    <row r="42">
      <c r="A42" s="44" t="n">
        <v>46300</v>
      </c>
      <c r="B42" s="45" t="inlineStr">
        <is>
          <t>Pro Labore Edilânia</t>
        </is>
      </c>
      <c r="C42" s="45" t="n"/>
      <c r="D42" s="46" t="n"/>
      <c r="E42" s="45" t="n"/>
      <c r="F42" s="47" t="n"/>
      <c r="G42" s="48" t="n">
        <v>1000</v>
      </c>
      <c r="H42" s="49" t="inlineStr">
        <is>
          <t>Pro Labore Edilânia</t>
        </is>
      </c>
      <c r="I42" s="45" t="inlineStr">
        <is>
          <t>Pix da conta Ton/Stone para Edilânia em 05/10/2026 — pró-labore (informado pela Edilânia).</t>
        </is>
      </c>
    </row>
    <row r="43">
      <c r="A43" s="17" t="n">
        <v>46300</v>
      </c>
      <c r="B43" s="18" t="inlineStr">
        <is>
          <t>Piso vinílico</t>
        </is>
      </c>
      <c r="C43" s="18" t="n"/>
      <c r="D43" s="27" t="n"/>
      <c r="E43" s="18" t="n"/>
      <c r="F43" s="19" t="n"/>
      <c r="G43" s="19" t="n">
        <v>124.72</v>
      </c>
      <c r="H43" s="21" t="inlineStr">
        <is>
          <t>Manutenção e Reparos</t>
        </is>
      </c>
      <c r="I43" s="18" t="inlineStr">
        <is>
          <t>Despesa da loja (informada pela Edilânia em 05/10/2026).</t>
        </is>
      </c>
      <c r="J43" s="18" t="n"/>
    </row>
    <row r="44">
      <c r="A44" s="44" t="n">
        <v>46298</v>
      </c>
      <c r="B44" s="45" t="inlineStr">
        <is>
          <t>Marcos Pereira Cirqueira</t>
        </is>
      </c>
      <c r="C44" s="45" t="n"/>
      <c r="D44" s="46" t="n"/>
      <c r="E44" s="45" t="n"/>
      <c r="F44" s="47" t="n"/>
      <c r="G44" s="48" t="n">
        <v>35</v>
      </c>
      <c r="H44" s="49" t="inlineStr">
        <is>
          <t>Pro Labore Edilânia</t>
        </is>
      </c>
      <c r="I44" s="45" t="inlineStr">
        <is>
          <t>Pix da conta Ton/Stone em 03/10/2026 — gasto pessoal da Edilânia.</t>
        </is>
      </c>
    </row>
    <row r="45">
      <c r="A45" s="17" t="n">
        <v>46301</v>
      </c>
      <c r="B45" s="18" t="inlineStr">
        <is>
          <t>Fiolaser Spa (Spa Requião Marques Ltda)</t>
        </is>
      </c>
      <c r="C45" s="18" t="inlineStr">
        <is>
          <t>Conexão Reta Rosca + Mangueira + Serviço</t>
        </is>
      </c>
      <c r="D45" s="27" t="n">
        <v>55</v>
      </c>
      <c r="E45" s="18" t="inlineStr">
        <is>
          <t>Dinheiro</t>
        </is>
      </c>
      <c r="F45" s="19" t="n"/>
      <c r="G45" s="19" t="n"/>
      <c r="H45" s="21" t="n"/>
      <c r="I45" s="18" t="inlineStr">
        <is>
          <t>Conexão reta rosca R$ 25,00 + mangueira R$ 10,00 + serviço R$ 20,00. Cliente também instalou Refil E3.</t>
        </is>
      </c>
      <c r="J45" s="18" t="inlineStr">
        <is>
          <t>EMP-0319</t>
        </is>
      </c>
    </row>
    <row r="46">
      <c r="A46" s="44" t="n">
        <v>46301</v>
      </c>
      <c r="B46" s="45" t="inlineStr">
        <is>
          <t>Conta de Energia Adriano</t>
        </is>
      </c>
      <c r="C46" s="45" t="n"/>
      <c r="D46" s="46" t="n"/>
      <c r="E46" s="45" t="n"/>
      <c r="F46" s="47" t="n"/>
      <c r="G46" s="48" t="n">
        <v>435.34</v>
      </c>
      <c r="H46" s="49" t="inlineStr">
        <is>
          <t>Pro Labore Edilânia</t>
        </is>
      </c>
      <c r="I46" s="45" t="inlineStr">
        <is>
          <t>Neoenergia Coelba — conta pessoal do Adriano (não é da loja), ref. 09/2026, UC 5.158.506.028-83, NF 996180107. Inclui multas/juros de faturas anteriores. Venc. 06/10/2026, pago em 06/10/2026.</t>
        </is>
      </c>
    </row>
    <row r="47">
      <c r="A47" s="17" t="n">
        <v>46301</v>
      </c>
      <c r="B47" s="18" t="inlineStr">
        <is>
          <t>Filtros Planeta Água</t>
        </is>
      </c>
      <c r="C47" s="18" t="n"/>
      <c r="D47" s="27" t="n"/>
      <c r="E47" s="18" t="n"/>
      <c r="F47" s="19" t="n"/>
      <c r="G47" s="19" t="n">
        <v>537.9299999999999</v>
      </c>
      <c r="H47" s="21" t="inlineStr">
        <is>
          <t>Fornecedores / Mercadoria</t>
        </is>
      </c>
      <c r="I47" s="18" t="inlineStr">
        <is>
          <t>NF 133138 parcela 3/4 — boleto Itaú nosso número 109/00257851-4. Venc. 07/10/2026, pago antecipado em 06/10/2026.</t>
        </is>
      </c>
      <c r="J47" s="18" t="n"/>
    </row>
    <row r="48">
      <c r="A48" s="44" t="n">
        <v>46296</v>
      </c>
      <c r="B48" s="45" t="inlineStr">
        <is>
          <t>PC Jacobina Administradora de Cartões LTDA - Cartão de Todos</t>
        </is>
      </c>
      <c r="C48" s="45" t="inlineStr">
        <is>
          <t>Refil Everest</t>
        </is>
      </c>
      <c r="D48" s="46" t="n">
        <v>140</v>
      </c>
      <c r="E48" s="45" t="inlineStr">
        <is>
          <t>Pix</t>
        </is>
      </c>
      <c r="F48" s="47" t="n"/>
      <c r="G48" s="48" t="n"/>
      <c r="H48" s="49" t="n"/>
      <c r="I48" s="45" t="inlineStr">
        <is>
          <t>Venda de 30/09/2026 (troca na PC Jacobina / Cartão de Todos, antes em Set 2026) — pagamento recebido via Pix em 01/10/2026 (comprovante enviado em 06/10/2026).</t>
        </is>
      </c>
      <c r="J48" t="inlineStr">
        <is>
          <t>EMP-0244</t>
        </is>
      </c>
    </row>
    <row r="49">
      <c r="A49" s="17" t="n">
        <v>46301</v>
      </c>
      <c r="B49" s="18" t="inlineStr">
        <is>
          <t>Velas Tripla Ação</t>
        </is>
      </c>
      <c r="C49" s="18" t="n"/>
      <c r="D49" s="27" t="n"/>
      <c r="E49" s="18" t="n"/>
      <c r="F49" s="19" t="n"/>
      <c r="G49" s="19" t="n">
        <v>121.05</v>
      </c>
      <c r="H49" s="21" t="inlineStr">
        <is>
          <t>Fornecedores / Mercadoria</t>
        </is>
      </c>
      <c r="I49" s="18" t="inlineStr">
        <is>
          <t>Compra de velas tripla ação (vela filtro 3 ações). Boleto pago em 06/10/2026 — beneficiário Maree Instituição de Pagamento Ltda (CNPJ 38.372.267/0001-82), descrição "VELAS 3 ACAO". Pagadora: Edilânia.</t>
        </is>
      </c>
      <c r="J49" s="18" t="n"/>
    </row>
    <row r="50">
      <c r="A50" s="44" t="n">
        <v>46302</v>
      </c>
      <c r="B50" s="45" t="inlineStr">
        <is>
          <t>Consumidor Final</t>
        </is>
      </c>
      <c r="C50" s="45" t="inlineStr">
        <is>
          <t>Refil E3</t>
        </is>
      </c>
      <c r="D50" s="46" t="n">
        <v>90</v>
      </c>
      <c r="E50" s="45" t="inlineStr">
        <is>
          <t>Crédito à Vista</t>
        </is>
      </c>
      <c r="F50" s="47" t="n">
        <v>3.16</v>
      </c>
      <c r="G50" s="48" t="n"/>
      <c r="H50" s="49" t="n"/>
      <c r="I50" s="45" t="n"/>
    </row>
    <row r="51">
      <c r="A51" s="17" t="n">
        <v>46302</v>
      </c>
      <c r="B51" s="18" t="inlineStr">
        <is>
          <t>Leonardo de Carvalho Cruz</t>
        </is>
      </c>
      <c r="C51" s="18" t="inlineStr">
        <is>
          <t>Instalação de Purificador + Refil E3</t>
        </is>
      </c>
      <c r="D51" s="27" t="n">
        <v>130</v>
      </c>
      <c r="E51" s="18" t="inlineStr">
        <is>
          <t>Pix</t>
        </is>
      </c>
      <c r="F51" s="19" t="n"/>
      <c r="G51" s="19" t="n"/>
      <c r="H51" s="21" t="n"/>
      <c r="I51" s="18" t="inlineStr">
        <is>
          <t>Instalação R$ 40,00 + Refil E3 R$ 90,00.</t>
        </is>
      </c>
      <c r="J51" s="18" t="inlineStr">
        <is>
          <t>CLI-0902</t>
        </is>
      </c>
    </row>
    <row r="52">
      <c r="A52" s="44" t="n">
        <v>46302</v>
      </c>
      <c r="B52" s="45" t="inlineStr">
        <is>
          <t>Eliene</t>
        </is>
      </c>
      <c r="C52" s="45" t="inlineStr">
        <is>
          <t>Purificador Everest Baby Branco</t>
        </is>
      </c>
      <c r="D52" s="46" t="n">
        <v>420</v>
      </c>
      <c r="E52" s="45" t="inlineStr">
        <is>
          <t>Crédito Parcelado</t>
        </is>
      </c>
      <c r="F52" s="47" t="n">
        <v>33.52</v>
      </c>
      <c r="G52" s="48" t="n"/>
      <c r="H52" s="49" t="n"/>
      <c r="I52" s="45" t="inlineStr">
        <is>
          <t>Parcelado em 6x.</t>
        </is>
      </c>
      <c r="J52" t="inlineStr">
        <is>
          <t>CLI-0903</t>
        </is>
      </c>
    </row>
    <row r="53">
      <c r="A53" s="17" t="n">
        <v>46303</v>
      </c>
      <c r="B53" s="18" t="inlineStr">
        <is>
          <t>Guiomar Macedo Freire - Antonio vila</t>
        </is>
      </c>
      <c r="C53" s="18" t="inlineStr">
        <is>
          <t>Refil Everest</t>
        </is>
      </c>
      <c r="D53" s="27" t="n">
        <v>140</v>
      </c>
      <c r="E53" s="18" t="inlineStr">
        <is>
          <t>Crédito Parcelado</t>
        </is>
      </c>
      <c r="F53" s="19" t="n">
        <v>9.789999999999999</v>
      </c>
      <c r="G53" s="19" t="n"/>
      <c r="H53" s="21" t="n"/>
      <c r="I53" s="18" t="inlineStr">
        <is>
          <t>Parcelado em 2x.</t>
        </is>
      </c>
      <c r="J53" s="18" t="inlineStr">
        <is>
          <t>CLI-0041</t>
        </is>
      </c>
    </row>
    <row r="54">
      <c r="A54" s="44" t="n">
        <v>46303</v>
      </c>
      <c r="B54" s="45" t="inlineStr">
        <is>
          <t>Geisa Cunha Novais - Marcos</t>
        </is>
      </c>
      <c r="C54" s="45" t="inlineStr">
        <is>
          <t>Refil Everest + Mangueira</t>
        </is>
      </c>
      <c r="D54" s="46" t="n">
        <v>150</v>
      </c>
      <c r="E54" s="45" t="inlineStr">
        <is>
          <t>Pix</t>
        </is>
      </c>
      <c r="F54" s="47" t="n"/>
      <c r="G54" s="48" t="n"/>
      <c r="H54" s="49" t="n"/>
      <c r="I54" s="45" t="n"/>
      <c r="J54" t="inlineStr">
        <is>
          <t>CLI-0270</t>
        </is>
      </c>
    </row>
    <row r="55">
      <c r="A55" s="17" t="n">
        <v>46303</v>
      </c>
      <c r="B55" s="18" t="inlineStr">
        <is>
          <t>Chapada Brindes</t>
        </is>
      </c>
      <c r="C55" s="18" t="inlineStr">
        <is>
          <t>Purificador Everest Star Branco</t>
        </is>
      </c>
      <c r="D55" s="27" t="n">
        <v>1379</v>
      </c>
      <c r="E55" s="18" t="inlineStr">
        <is>
          <t>Pix</t>
        </is>
      </c>
      <c r="F55" s="19" t="n"/>
      <c r="G55" s="19" t="n"/>
      <c r="H55" s="21" t="n"/>
      <c r="I55" s="18" t="inlineStr">
        <is>
          <t>Valor da viagem incluso.</t>
        </is>
      </c>
      <c r="J55" s="18" t="inlineStr">
        <is>
          <t>OUT-0102</t>
        </is>
      </c>
    </row>
    <row r="56">
      <c r="A56" s="44" t="n">
        <v>46303</v>
      </c>
      <c r="B56" s="45" t="inlineStr">
        <is>
          <t>Gabriela Araujo</t>
        </is>
      </c>
      <c r="C56" s="45" t="inlineStr">
        <is>
          <t>Purificador Everest Fit Prata</t>
        </is>
      </c>
      <c r="D56" s="46" t="n">
        <v>1486</v>
      </c>
      <c r="E56" s="45" t="inlineStr">
        <is>
          <t>Crédito Parcelado</t>
        </is>
      </c>
      <c r="F56" s="47" t="n">
        <v>207.89</v>
      </c>
      <c r="G56" s="48" t="n"/>
      <c r="H56" s="49" t="n"/>
      <c r="I56" s="45" t="inlineStr">
        <is>
          <t>Parcelado em 10x. Instalação na residência (Rua Miguel Guerrera, 92) em 10/10/2026.</t>
        </is>
      </c>
      <c r="J56" t="inlineStr">
        <is>
          <t>CLI-0038</t>
        </is>
      </c>
    </row>
    <row r="57">
      <c r="A57" s="17" t="n">
        <v>46303</v>
      </c>
      <c r="B57" s="18" t="inlineStr">
        <is>
          <t>Faça Feira Supermercado</t>
        </is>
      </c>
      <c r="C57" s="18" t="n"/>
      <c r="D57" s="27" t="n"/>
      <c r="E57" s="18" t="n"/>
      <c r="F57" s="19" t="n"/>
      <c r="G57" s="19" t="n">
        <v>7.38</v>
      </c>
      <c r="H57" s="21" t="inlineStr">
        <is>
          <t>Material de Limpeza e Escritório</t>
        </is>
      </c>
      <c r="I57" s="18" t="inlineStr">
        <is>
          <t>Copo descartável (Copo Bom) — pago em dinheiro. DAV 790260205.</t>
        </is>
      </c>
      <c r="J57" s="18" t="n"/>
    </row>
    <row r="58">
      <c r="A58" s="44" t="n">
        <v>46303</v>
      </c>
      <c r="B58" s="45" t="inlineStr">
        <is>
          <t>Conta de Energia Loja</t>
        </is>
      </c>
      <c r="C58" s="45" t="n"/>
      <c r="D58" s="46" t="n"/>
      <c r="E58" s="45" t="n"/>
      <c r="F58" s="47" t="n"/>
      <c r="G58" s="48" t="n">
        <v>168.56</v>
      </c>
      <c r="H58" s="49" t="inlineStr">
        <is>
          <t>Água, Energia e Internet</t>
        </is>
      </c>
      <c r="I58" s="45" t="inlineStr">
        <is>
          <t>Neoenergia Coelba — ref. 09/2026, venc. 07/10/2026, pago em 08/10/2026.</t>
        </is>
      </c>
    </row>
    <row r="59">
      <c r="A59" s="17" t="n">
        <v>46303</v>
      </c>
      <c r="B59" s="18" t="inlineStr">
        <is>
          <t>Eversoft</t>
        </is>
      </c>
      <c r="C59" s="18" t="n"/>
      <c r="D59" s="27" t="n"/>
      <c r="E59" s="18" t="n"/>
      <c r="F59" s="19" t="n"/>
      <c r="G59" s="19" t="n">
        <v>878.92</v>
      </c>
      <c r="H59" s="21" t="inlineStr">
        <is>
          <t>Fornecedores / Mercadoria</t>
        </is>
      </c>
      <c r="I59" s="18" t="inlineStr">
        <is>
          <t>Boleto Itaú — NF-e 73636 (emissão 10/06/2026), parcela 4/5, vencimento 08/10/2026, pago em 08/10/2026.</t>
        </is>
      </c>
      <c r="J59" s="18" t="n"/>
    </row>
    <row r="60">
      <c r="A60" s="44" t="n">
        <v>46303</v>
      </c>
      <c r="B60" s="45" t="inlineStr">
        <is>
          <t>Filtros Planeta Água</t>
        </is>
      </c>
      <c r="C60" s="45" t="n"/>
      <c r="D60" s="46" t="n"/>
      <c r="E60" s="45" t="n"/>
      <c r="F60" s="47" t="n"/>
      <c r="G60" s="48" t="n">
        <v>500.81</v>
      </c>
      <c r="H60" s="49" t="inlineStr">
        <is>
          <t>Fornecedores / Mercadoria</t>
        </is>
      </c>
      <c r="I60" s="45" t="inlineStr">
        <is>
          <t>NF 133812 parcela 2 — boleto Itaú. Venc. 09/10/2026, pago antecipado em 08/10/2026.</t>
        </is>
      </c>
    </row>
    <row r="61">
      <c r="A61" s="17" t="n">
        <v>46303</v>
      </c>
      <c r="B61" s="18" t="inlineStr">
        <is>
          <t>Crédito Celular da Loja</t>
        </is>
      </c>
      <c r="C61" s="18" t="n"/>
      <c r="D61" s="27" t="n"/>
      <c r="E61" s="18" t="n"/>
      <c r="F61" s="19" t="n"/>
      <c r="G61" s="19" t="n">
        <v>25</v>
      </c>
      <c r="H61" s="21" t="inlineStr">
        <is>
          <t>Outras Despesas</t>
        </is>
      </c>
      <c r="I61" s="18" t="inlineStr">
        <is>
          <t>Recarga Claro (74) 98858-2298 via RecargaPay na Drogaria Mais Farma — ID 000074730.</t>
        </is>
      </c>
      <c r="J61" s="18" t="n"/>
    </row>
    <row r="62">
      <c r="A62" s="44" t="n">
        <v>46304</v>
      </c>
      <c r="B62" s="45" t="inlineStr">
        <is>
          <t>Rafael Landin Ribeiro</t>
        </is>
      </c>
      <c r="C62" s="45" t="inlineStr">
        <is>
          <t>Refil Everest</t>
        </is>
      </c>
      <c r="D62" s="46" t="n">
        <v>140</v>
      </c>
      <c r="E62" s="45" t="inlineStr">
        <is>
          <t>Pix</t>
        </is>
      </c>
      <c r="F62" s="47" t="n"/>
      <c r="G62" s="48" t="n"/>
      <c r="H62" s="49" t="n"/>
      <c r="I62" s="45" t="inlineStr">
        <is>
          <t>Troca do dia 09/10/2026 — pagamento recebido via Pix em 09/10/2026.</t>
        </is>
      </c>
      <c r="J62" t="inlineStr">
        <is>
          <t>CLI-0530</t>
        </is>
      </c>
    </row>
    <row r="63">
      <c r="A63" s="17" t="n">
        <v>46304</v>
      </c>
      <c r="B63" s="18" t="inlineStr">
        <is>
          <t>Restaurante Bonzão Bode - Aloisio Queiroz</t>
        </is>
      </c>
      <c r="C63" s="18" t="inlineStr">
        <is>
          <t>Refil Pro Life + Refil Universal</t>
        </is>
      </c>
      <c r="D63" s="27" t="n">
        <v>85</v>
      </c>
      <c r="E63" s="18" t="inlineStr">
        <is>
          <t>Débito</t>
        </is>
      </c>
      <c r="F63" s="19" t="n">
        <v>1.23</v>
      </c>
      <c r="G63" s="19" t="n"/>
      <c r="H63" s="21" t="n"/>
      <c r="I63" s="18" t="inlineStr">
        <is>
          <t>Venda total R$ 170,00 (Refil Pro Life R$ 140,00 + Refil Universal R$ 30,00) — pagamento dividido: R$ 85,00 no débito em 09/10/2026 + R$ 85,00 via Pix (linha abaixo).</t>
        </is>
      </c>
      <c r="J63" s="18" t="inlineStr">
        <is>
          <t>EMP-0258</t>
        </is>
      </c>
    </row>
    <row r="64">
      <c r="A64" s="44" t="n">
        <v>46304</v>
      </c>
      <c r="B64" s="45" t="inlineStr">
        <is>
          <t>Restaurante Bonzão Bode - Aloisio Queiroz</t>
        </is>
      </c>
      <c r="C64" s="45" t="inlineStr">
        <is>
          <t>(Mesma venda acima — 2ª forma de pagamento, sem produtos novos)</t>
        </is>
      </c>
      <c r="D64" s="46" t="n">
        <v>85</v>
      </c>
      <c r="E64" s="45" t="inlineStr">
        <is>
          <t>Aguardando Pagamento</t>
        </is>
      </c>
      <c r="F64" s="47" t="n"/>
      <c r="G64" s="48" t="n"/>
      <c r="H64" s="49" t="n"/>
      <c r="I64" s="45" t="inlineStr">
        <is>
          <t>Restante da venda de R$ 170,00 — Pix previsto para sexta 16/10/2026.</t>
        </is>
      </c>
      <c r="J64" t="inlineStr">
        <is>
          <t>EMP-0258</t>
        </is>
      </c>
    </row>
    <row r="65">
      <c r="A65" s="17" t="n">
        <v>46304</v>
      </c>
      <c r="B65" s="18" t="inlineStr">
        <is>
          <t>Tropical Motos LTDA</t>
        </is>
      </c>
      <c r="C65" s="18" t="inlineStr">
        <is>
          <t>Refil Pro Life</t>
        </is>
      </c>
      <c r="D65" s="27" t="n">
        <v>140</v>
      </c>
      <c r="E65" s="18" t="inlineStr">
        <is>
          <t>Aguardando Pagamento</t>
        </is>
      </c>
      <c r="F65" s="19" t="n"/>
      <c r="G65" s="19" t="n"/>
      <c r="H65" s="21" t="n"/>
      <c r="I65" s="18" t="inlineStr">
        <is>
          <t>Troca do dia 09/10/2026 — purificador do andar de cima (Pro Life, sem pré-filtro).</t>
        </is>
      </c>
      <c r="J65" s="18" t="inlineStr">
        <is>
          <t>EMP-0296</t>
        </is>
      </c>
    </row>
    <row r="66">
      <c r="A66" s="44" t="n">
        <v>46304</v>
      </c>
      <c r="B66" s="45" t="inlineStr">
        <is>
          <t>Estacionamento (Zona Azul)</t>
        </is>
      </c>
      <c r="C66" s="45" t="n"/>
      <c r="D66" s="46" t="n"/>
      <c r="E66" s="45" t="n"/>
      <c r="F66" s="47" t="n"/>
      <c r="G66" s="48" t="n">
        <v>2.4</v>
      </c>
      <c r="H66" s="49" t="inlineStr">
        <is>
          <t>Transporte e Entregas</t>
        </is>
      </c>
      <c r="I66" s="45" t="inlineStr">
        <is>
          <t>Mob Parking — Zona Azul Digital Jacobina, ticket 210571, 09/10/2026 12:00–13:00, placa PLR9I12. Se aparecer Pix de R$ 2,40 para Pagar.me no extrato deste dia, é este mesmo — não lançar de novo.</t>
        </is>
      </c>
    </row>
    <row r="67">
      <c r="A67" s="17" t="n">
        <v>46305</v>
      </c>
      <c r="B67" s="18" t="inlineStr">
        <is>
          <t>Colegio Oasis de Jacobina - Unopar</t>
        </is>
      </c>
      <c r="C67" s="18" t="inlineStr">
        <is>
          <t>2x Refil Plissado + 2x Carcaça 9"</t>
        </is>
      </c>
      <c r="D67" s="27" t="n">
        <v>400</v>
      </c>
      <c r="E67" s="18" t="inlineStr">
        <is>
          <t>Aguardando Pagamento</t>
        </is>
      </c>
      <c r="F67" s="19" t="n"/>
      <c r="G67" s="19" t="n"/>
      <c r="H67" s="21" t="n"/>
      <c r="I67" s="18" t="inlineStr">
        <is>
          <t>2x Refil Plissado R$ 80,00 cada + 2x Carcaça 9" R$ 120,00 cada. Cláudio assinou para pagar depois. Falta enviar a NF.</t>
        </is>
      </c>
      <c r="J67" s="18" t="inlineStr">
        <is>
          <t>ESC-0009</t>
        </is>
      </c>
    </row>
    <row r="68">
      <c r="A68" s="44" t="n">
        <v>46305</v>
      </c>
      <c r="B68" s="45" t="inlineStr">
        <is>
          <t>Josélia Nascimento da Silva Gomes</t>
        </is>
      </c>
      <c r="C68" s="45" t="inlineStr">
        <is>
          <t>Refil Everest</t>
        </is>
      </c>
      <c r="D68" s="46" t="n">
        <v>140</v>
      </c>
      <c r="E68" s="45" t="inlineStr">
        <is>
          <t>Crédito à Vista</t>
        </is>
      </c>
      <c r="F68" s="47" t="n">
        <v>4.91</v>
      </c>
      <c r="G68" s="48" t="n"/>
      <c r="H68" s="49" t="n"/>
      <c r="I68" s="45" t="n"/>
      <c r="J68" t="inlineStr">
        <is>
          <t>CLI-0313</t>
        </is>
      </c>
    </row>
    <row r="69">
      <c r="A69" s="17" t="n">
        <v>46305</v>
      </c>
      <c r="B69" s="18" t="inlineStr">
        <is>
          <t>Gabriela Araujo</t>
        </is>
      </c>
      <c r="C69" s="18" t="inlineStr">
        <is>
          <t>Conexão T Everest</t>
        </is>
      </c>
      <c r="D69" s="27" t="n">
        <v>30</v>
      </c>
      <c r="E69" s="18" t="inlineStr">
        <is>
          <t>Pix</t>
        </is>
      </c>
      <c r="F69" s="19" t="n"/>
      <c r="G69" s="19" t="n"/>
      <c r="H69" s="21" t="n"/>
      <c r="I69" s="18" t="inlineStr">
        <is>
          <t>Peça usada na instalação do Purificador Everest Fit Prata (comprado em 08/10/2026).</t>
        </is>
      </c>
      <c r="J69" s="18" t="inlineStr">
        <is>
          <t>CLI-0038</t>
        </is>
      </c>
    </row>
    <row r="70">
      <c r="A70" s="44" t="n">
        <v>46305</v>
      </c>
      <c r="B70" s="45" t="inlineStr">
        <is>
          <t>Michelle Santos de Almeida Rocha</t>
        </is>
      </c>
      <c r="C70" s="45" t="inlineStr">
        <is>
          <t>Purificador Everest Foz Grafite</t>
        </is>
      </c>
      <c r="D70" s="46" t="n">
        <v>1689</v>
      </c>
      <c r="E70" s="45" t="inlineStr">
        <is>
          <t>Crédito Parcelado</t>
        </is>
      </c>
      <c r="F70" s="47" t="n">
        <v>236.29</v>
      </c>
      <c r="G70" s="48" t="n"/>
      <c r="H70" s="49" t="n"/>
      <c r="I70" s="45" t="inlineStr">
        <is>
          <t>Crédito em 10x. Instalação feita em 10/10/2026.</t>
        </is>
      </c>
      <c r="J70" t="inlineStr">
        <is>
          <t>CLI-0904</t>
        </is>
      </c>
    </row>
    <row r="71">
      <c r="A71" s="17" t="n">
        <v>46305</v>
      </c>
      <c r="B71" s="18" t="inlineStr">
        <is>
          <t>Michelle Santos de Almeida Rocha</t>
        </is>
      </c>
      <c r="C71" s="18" t="inlineStr">
        <is>
          <t>Pré Filtro</t>
        </is>
      </c>
      <c r="D71" s="27" t="n">
        <v>60</v>
      </c>
      <c r="E71" s="18" t="inlineStr">
        <is>
          <t>Pix</t>
        </is>
      </c>
      <c r="F71" s="19" t="n"/>
      <c r="G71" s="19" t="n"/>
      <c r="H71" s="21" t="n"/>
      <c r="I71" s="18" t="inlineStr">
        <is>
          <t>Oferecido e vendido na hora da instalação do purificador.</t>
        </is>
      </c>
      <c r="J71" s="18" t="inlineStr">
        <is>
          <t>CLI-0904</t>
        </is>
      </c>
    </row>
    <row r="72">
      <c r="A72" s="44" t="n">
        <v>46305</v>
      </c>
      <c r="B72" s="45" t="inlineStr">
        <is>
          <t>Consumidor Final</t>
        </is>
      </c>
      <c r="C72" s="45" t="inlineStr">
        <is>
          <t>Refil Universal</t>
        </is>
      </c>
      <c r="D72" s="46" t="n">
        <v>30</v>
      </c>
      <c r="E72" s="45" t="inlineStr">
        <is>
          <t>Dinheiro</t>
        </is>
      </c>
      <c r="F72" s="47" t="n"/>
      <c r="G72" s="48" t="n"/>
      <c r="H72" s="49" t="n"/>
      <c r="I72" s="45" t="n"/>
    </row>
    <row r="73">
      <c r="A73" s="17" t="n">
        <v>46308</v>
      </c>
      <c r="B73" s="18" t="inlineStr">
        <is>
          <t>Leonardo Silva de Brito</t>
        </is>
      </c>
      <c r="C73" s="18" t="inlineStr">
        <is>
          <t>Refil Everest + Mangueira + Limpeza do Purificador</t>
        </is>
      </c>
      <c r="D73" s="27" t="n">
        <v>170</v>
      </c>
      <c r="E73" s="18" t="inlineStr">
        <is>
          <t>Pix</t>
        </is>
      </c>
      <c r="F73" s="19" t="n"/>
      <c r="G73" s="19" t="n"/>
      <c r="H73" s="21" t="n"/>
      <c r="I73" s="18" t="n"/>
      <c r="J73" s="18" t="inlineStr">
        <is>
          <t>OUT-0103</t>
        </is>
      </c>
    </row>
    <row r="74">
      <c r="A74" s="44" t="n">
        <v>46308</v>
      </c>
      <c r="B74" s="45" t="inlineStr">
        <is>
          <t>Lorena Coelho</t>
        </is>
      </c>
      <c r="C74" s="45" t="inlineStr">
        <is>
          <t>Refil Everest + Pré Filtro</t>
        </is>
      </c>
      <c r="D74" s="46" t="n">
        <v>200</v>
      </c>
      <c r="E74" s="45" t="inlineStr">
        <is>
          <t>Débito</t>
        </is>
      </c>
      <c r="F74" s="47" t="n">
        <v>5.28</v>
      </c>
      <c r="G74" s="48" t="n"/>
      <c r="H74" s="49" t="n"/>
      <c r="I74" s="45" t="n"/>
      <c r="J74" t="inlineStr">
        <is>
          <t>CLI-0905</t>
        </is>
      </c>
    </row>
    <row r="75">
      <c r="A75" s="17" t="n">
        <v>46296</v>
      </c>
      <c r="B75" s="18" t="inlineStr">
        <is>
          <t>Estacionamento (Pagar.me)</t>
        </is>
      </c>
      <c r="C75" s="18" t="n"/>
      <c r="D75" s="27" t="n"/>
      <c r="E75" s="18" t="n"/>
      <c r="F75" s="19" t="n"/>
      <c r="G75" s="19" t="n">
        <v>2.4</v>
      </c>
      <c r="H75" s="21" t="inlineStr">
        <is>
          <t>Transporte e Entregas</t>
        </is>
      </c>
      <c r="I75" s="18" t="inlineStr">
        <is>
          <t>Extrato Stone — Pix de 01/10/2026 para Pagar.me Instituição de Pagamento (estacionamento).</t>
        </is>
      </c>
      <c r="J75" s="18" t="n"/>
    </row>
    <row r="76">
      <c r="A76" s="44" t="n">
        <v>46296</v>
      </c>
      <c r="B76" s="45" t="inlineStr">
        <is>
          <t>Thiago de Jesus Nascimento</t>
        </is>
      </c>
      <c r="C76" s="45" t="n"/>
      <c r="D76" s="46" t="n"/>
      <c r="E76" s="45" t="n"/>
      <c r="F76" s="47" t="n"/>
      <c r="G76" s="48" t="n">
        <v>35</v>
      </c>
      <c r="H76" s="49" t="inlineStr">
        <is>
          <t>Pro Labore Edilânia</t>
        </is>
      </c>
      <c r="I76" s="45" t="inlineStr">
        <is>
          <t>Extrato Stone — saída de 01/10/2026.</t>
        </is>
      </c>
    </row>
    <row r="77">
      <c r="A77" s="17" t="n">
        <v>46297</v>
      </c>
      <c r="B77" s="18" t="inlineStr">
        <is>
          <t>Maria Eva dos Santos</t>
        </is>
      </c>
      <c r="C77" s="18" t="n"/>
      <c r="D77" s="27" t="n"/>
      <c r="E77" s="18" t="n"/>
      <c r="F77" s="19" t="n"/>
      <c r="G77" s="19" t="n">
        <v>380</v>
      </c>
      <c r="H77" s="21" t="inlineStr">
        <is>
          <t>Pro Labore Edilânia</t>
        </is>
      </c>
      <c r="I77" s="18" t="inlineStr">
        <is>
          <t>Extrato Stone — saída de 02/10/2026.</t>
        </is>
      </c>
      <c r="J77" s="18" t="n"/>
    </row>
    <row r="78">
      <c r="A78" s="44" t="n">
        <v>46297</v>
      </c>
      <c r="B78" s="45" t="inlineStr">
        <is>
          <t>Cezar Silva Atacado e Varejo (Iene Quedila Nunes Dourado)</t>
        </is>
      </c>
      <c r="C78" s="45" t="n"/>
      <c r="D78" s="46" t="n"/>
      <c r="E78" s="45" t="n"/>
      <c r="F78" s="47" t="n"/>
      <c r="G78" s="48" t="n">
        <v>31.6</v>
      </c>
      <c r="H78" s="49" t="inlineStr">
        <is>
          <t>Pro Labore Edilânia</t>
        </is>
      </c>
      <c r="I78" s="45" t="inlineStr">
        <is>
          <t>Extrato Stone — saída de 02/10/2026.</t>
        </is>
      </c>
    </row>
    <row r="79">
      <c r="A79" s="17" t="n">
        <v>46297</v>
      </c>
      <c r="B79" s="18" t="inlineStr">
        <is>
          <t>Estacionamento (Pagar.me)</t>
        </is>
      </c>
      <c r="C79" s="18" t="n"/>
      <c r="D79" s="27" t="n"/>
      <c r="E79" s="18" t="n"/>
      <c r="F79" s="19" t="n"/>
      <c r="G79" s="19" t="n">
        <v>1.2</v>
      </c>
      <c r="H79" s="21" t="inlineStr">
        <is>
          <t>Transporte e Entregas</t>
        </is>
      </c>
      <c r="I79" s="18" t="inlineStr">
        <is>
          <t>Extrato Stone — Pix de 02/10/2026 para Pagar.me Instituição de Pagamento (estacionamento).</t>
        </is>
      </c>
      <c r="J79" s="18" t="n"/>
    </row>
    <row r="80">
      <c r="A80" s="44" t="n">
        <v>46302</v>
      </c>
      <c r="B80" s="45" t="inlineStr">
        <is>
          <t>Japedido Software</t>
        </is>
      </c>
      <c r="C80" s="45" t="n"/>
      <c r="D80" s="46" t="n"/>
      <c r="E80" s="45" t="n"/>
      <c r="F80" s="47" t="n"/>
      <c r="G80" s="48" t="n">
        <v>48.49</v>
      </c>
      <c r="H80" s="49" t="inlineStr">
        <is>
          <t>Pro Labore Edilânia</t>
        </is>
      </c>
      <c r="I80" s="45" t="inlineStr">
        <is>
          <t>Extrato Stone — saída de 07/10/2026.</t>
        </is>
      </c>
    </row>
    <row r="81">
      <c r="A81" s="17" t="n">
        <v>46303</v>
      </c>
      <c r="B81" s="18" t="inlineStr">
        <is>
          <t>Thiago de Jesus Nascimento</t>
        </is>
      </c>
      <c r="C81" s="18" t="n"/>
      <c r="D81" s="27" t="n"/>
      <c r="E81" s="18" t="n"/>
      <c r="F81" s="19" t="n"/>
      <c r="G81" s="19" t="n">
        <v>28</v>
      </c>
      <c r="H81" s="21" t="inlineStr">
        <is>
          <t>Pro Labore Edilânia</t>
        </is>
      </c>
      <c r="I81" s="18" t="inlineStr">
        <is>
          <t>Extrato Stone — saída de 08/10/2026.</t>
        </is>
      </c>
      <c r="J81" s="18" t="n"/>
    </row>
    <row r="82">
      <c r="A82" s="44" t="n">
        <v>46303</v>
      </c>
      <c r="B82" s="45" t="inlineStr">
        <is>
          <t>Estacionamento (Pagar.me)</t>
        </is>
      </c>
      <c r="C82" s="45" t="n"/>
      <c r="D82" s="46" t="n"/>
      <c r="E82" s="45" t="n"/>
      <c r="F82" s="47" t="n"/>
      <c r="G82" s="48" t="n">
        <v>2.4</v>
      </c>
      <c r="H82" s="49" t="inlineStr">
        <is>
          <t>Transporte e Entregas</t>
        </is>
      </c>
      <c r="I82" s="45" t="inlineStr">
        <is>
          <t>Extrato Stone — Pix de 08/10/2026 para Pagar.me Instituição de Pagamento (estacionamento). Diferente do Zona Azul de 09/10.</t>
        </is>
      </c>
    </row>
    <row r="83">
      <c r="A83" s="17" t="n">
        <v>46304</v>
      </c>
      <c r="B83" s="18" t="inlineStr">
        <is>
          <t>Marcos Pereira Cirqueira</t>
        </is>
      </c>
      <c r="C83" s="18" t="n"/>
      <c r="D83" s="27" t="n"/>
      <c r="E83" s="18" t="n"/>
      <c r="F83" s="19" t="n"/>
      <c r="G83" s="19" t="n">
        <v>54</v>
      </c>
      <c r="H83" s="21" t="inlineStr">
        <is>
          <t>Pro Labore Edilânia</t>
        </is>
      </c>
      <c r="I83" s="18" t="inlineStr">
        <is>
          <t>Extrato Stone — saída de 09/10/2026.</t>
        </is>
      </c>
      <c r="J83" s="18" t="n"/>
    </row>
    <row r="84">
      <c r="A84" s="44" t="n">
        <v>46304</v>
      </c>
      <c r="B84" s="45" t="inlineStr">
        <is>
          <t>Ledson Batista da Silva</t>
        </is>
      </c>
      <c r="C84" s="45" t="n"/>
      <c r="D84" s="46" t="n"/>
      <c r="E84" s="45" t="n"/>
      <c r="F84" s="47" t="n"/>
      <c r="G84" s="48" t="n">
        <v>120</v>
      </c>
      <c r="H84" s="49" t="inlineStr">
        <is>
          <t>Pro Labore Edilânia</t>
        </is>
      </c>
      <c r="I84" s="45" t="inlineStr">
        <is>
          <t>Extrato Stone — saída de 09/10/2026.</t>
        </is>
      </c>
    </row>
    <row r="85">
      <c r="A85" s="17" t="n">
        <v>46305</v>
      </c>
      <c r="B85" s="18" t="inlineStr">
        <is>
          <t>App 99 — reembolso Wiliam</t>
        </is>
      </c>
      <c r="C85" s="18" t="n"/>
      <c r="D85" s="27" t="n"/>
      <c r="E85" s="18" t="n"/>
      <c r="F85" s="19" t="n"/>
      <c r="G85" s="19" t="n">
        <v>20</v>
      </c>
      <c r="H85" s="21" t="inlineStr">
        <is>
          <t>Transporte e Entregas</t>
        </is>
      </c>
      <c r="I85" s="18" t="inlineStr">
        <is>
          <t>Pix para Wiliam Pinto Bispo em 10/10/2026 — reembolso de corridas no 99 para fazer serviços (Extrato Stone).</t>
        </is>
      </c>
      <c r="J85" s="18" t="n"/>
    </row>
    <row r="86">
      <c r="A86" s="44" t="n">
        <v>46305</v>
      </c>
      <c r="B86" s="45" t="inlineStr">
        <is>
          <t>Dlocal Brasil Instituição de Pagamento</t>
        </is>
      </c>
      <c r="C86" s="45" t="n"/>
      <c r="D86" s="46" t="n"/>
      <c r="E86" s="45" t="n"/>
      <c r="F86" s="47" t="n"/>
      <c r="G86" s="48" t="n">
        <v>144.61</v>
      </c>
      <c r="H86" s="49" t="inlineStr">
        <is>
          <t>Pro Labore Edilânia</t>
        </is>
      </c>
      <c r="I86" s="45" t="inlineStr">
        <is>
          <t>Extrato Stone — saída de 10/10/2026.</t>
        </is>
      </c>
    </row>
    <row r="87">
      <c r="A87" s="17" t="n">
        <v>46305</v>
      </c>
      <c r="B87" s="18" t="inlineStr">
        <is>
          <t>Mercado Pago (Pix Marketplace)</t>
        </is>
      </c>
      <c r="C87" s="18" t="n"/>
      <c r="D87" s="27" t="n"/>
      <c r="E87" s="18" t="n"/>
      <c r="F87" s="19" t="n"/>
      <c r="G87" s="19" t="n">
        <v>69.03</v>
      </c>
      <c r="H87" s="21" t="inlineStr">
        <is>
          <t>Pro Labore Edilânia</t>
        </is>
      </c>
      <c r="I87" s="18" t="inlineStr">
        <is>
          <t>Extrato Stone — saída de 10/10/2026.</t>
        </is>
      </c>
      <c r="J87" s="18" t="n"/>
    </row>
    <row r="88">
      <c r="A88" s="44" t="n">
        <v>46305</v>
      </c>
      <c r="B88" s="45" t="inlineStr">
        <is>
          <t>Janaina dos Santos</t>
        </is>
      </c>
      <c r="C88" s="45" t="n"/>
      <c r="D88" s="46" t="n"/>
      <c r="E88" s="45" t="n"/>
      <c r="F88" s="47" t="n"/>
      <c r="G88" s="48" t="n">
        <v>61.89</v>
      </c>
      <c r="H88" s="49" t="inlineStr">
        <is>
          <t>Pro Labore Edilânia</t>
        </is>
      </c>
      <c r="I88" s="45" t="inlineStr">
        <is>
          <t>Extrato Stone — saída de 10/10/2026.</t>
        </is>
      </c>
    </row>
    <row r="89">
      <c r="A89" s="17" t="n">
        <v>46307</v>
      </c>
      <c r="B89" s="18" t="inlineStr">
        <is>
          <t>Maree Instituição de Pagamento</t>
        </is>
      </c>
      <c r="C89" s="18" t="n"/>
      <c r="D89" s="27" t="n"/>
      <c r="E89" s="18" t="n"/>
      <c r="F89" s="19" t="n"/>
      <c r="G89" s="19" t="n">
        <v>86.84999999999999</v>
      </c>
      <c r="H89" s="21" t="inlineStr">
        <is>
          <t>Pro Labore Edilânia</t>
        </is>
      </c>
      <c r="I89" s="18" t="inlineStr">
        <is>
          <t>Extrato Stone — saída de 12/10/2026.</t>
        </is>
      </c>
      <c r="J89" s="18" t="n"/>
    </row>
    <row r="90">
      <c r="A90" s="44" t="n">
        <v>46308</v>
      </c>
      <c r="B90" s="45" t="inlineStr">
        <is>
          <t>Estacionamento (Pagar.me)</t>
        </is>
      </c>
      <c r="C90" s="45" t="n"/>
      <c r="D90" s="46" t="n"/>
      <c r="E90" s="45" t="n"/>
      <c r="F90" s="47" t="n"/>
      <c r="G90" s="48" t="n">
        <v>2.4</v>
      </c>
      <c r="H90" s="49" t="inlineStr">
        <is>
          <t>Transporte e Entregas</t>
        </is>
      </c>
      <c r="I90" s="45" t="inlineStr">
        <is>
          <t>Extrato Stone — Pix de 13/10/2026 para Pagar.me Instituição de Pagamento (estacionamento).</t>
        </is>
      </c>
    </row>
    <row r="91">
      <c r="A91" s="17" t="n">
        <v>46308</v>
      </c>
      <c r="B91" s="18" t="inlineStr">
        <is>
          <t>N de Souza Oliveira Ltda</t>
        </is>
      </c>
      <c r="C91" s="18" t="n"/>
      <c r="D91" s="27" t="n"/>
      <c r="E91" s="18" t="n"/>
      <c r="F91" s="19" t="n"/>
      <c r="G91" s="19" t="n">
        <v>21</v>
      </c>
      <c r="H91" s="21" t="inlineStr">
        <is>
          <t>Pro Labore Edilânia</t>
        </is>
      </c>
      <c r="I91" s="18" t="inlineStr">
        <is>
          <t>Extrato Stone — saída de 13/10/2026.</t>
        </is>
      </c>
      <c r="J91" s="18" t="n"/>
    </row>
    <row r="92">
      <c r="A92" s="44" t="n">
        <v>46308</v>
      </c>
      <c r="B92" s="45" t="inlineStr">
        <is>
          <t>Japedido Software</t>
        </is>
      </c>
      <c r="C92" s="45" t="n"/>
      <c r="D92" s="46" t="n"/>
      <c r="E92" s="45" t="n"/>
      <c r="F92" s="47" t="n"/>
      <c r="G92" s="48" t="n">
        <v>44.99</v>
      </c>
      <c r="H92" s="49" t="inlineStr">
        <is>
          <t>Pro Labore Edilânia</t>
        </is>
      </c>
      <c r="I92" s="45" t="inlineStr">
        <is>
          <t>Extrato Stone — saída de 13/10/2026.</t>
        </is>
      </c>
    </row>
    <row r="93">
      <c r="A93" s="17" t="n">
        <v>46309</v>
      </c>
      <c r="B93" s="18" t="inlineStr">
        <is>
          <t>Olegario Oliveira da Silva</t>
        </is>
      </c>
      <c r="C93" s="18" t="inlineStr">
        <is>
          <t>Refil Everest + Mangueira</t>
        </is>
      </c>
      <c r="D93" s="27" t="n">
        <v>150</v>
      </c>
      <c r="E93" s="18" t="inlineStr">
        <is>
          <t>Dinheiro</t>
        </is>
      </c>
      <c r="F93" s="19" t="n"/>
      <c r="G93" s="19" t="n"/>
      <c r="H93" s="21" t="n"/>
      <c r="I93" s="18" t="n"/>
      <c r="J93" s="18" t="inlineStr">
        <is>
          <t>CLI-0523</t>
        </is>
      </c>
    </row>
    <row r="94">
      <c r="A94" s="44" t="n">
        <v>46309</v>
      </c>
      <c r="B94" s="45" t="inlineStr">
        <is>
          <t>Aldaci Freire de Araujo</t>
        </is>
      </c>
      <c r="C94" s="45" t="inlineStr">
        <is>
          <t>Refil Pro Life</t>
        </is>
      </c>
      <c r="D94" s="46" t="n">
        <v>130</v>
      </c>
      <c r="E94" s="45" t="inlineStr">
        <is>
          <t>Dinheiro</t>
        </is>
      </c>
      <c r="F94" s="47" t="n"/>
      <c r="G94" s="48" t="n"/>
      <c r="H94" s="49" t="n"/>
      <c r="I94" s="45" t="inlineStr">
        <is>
          <t>Cliente pediu desconto (Pro Life no lugar do Everest do cadastro). Troca do dia 14/10/2026. Com o suporte (linha abaixo), total R$ 150,00 em dinheiro.</t>
        </is>
      </c>
      <c r="J94" t="inlineStr">
        <is>
          <t>CLI-0529</t>
        </is>
      </c>
    </row>
    <row r="95">
      <c r="A95" s="17" t="n">
        <v>46309</v>
      </c>
      <c r="B95" s="18" t="inlineStr">
        <is>
          <t>Aldaci Freire de Araujo</t>
        </is>
      </c>
      <c r="C95" s="18" t="inlineStr">
        <is>
          <t>Suporte</t>
        </is>
      </c>
      <c r="D95" s="27" t="n">
        <v>20</v>
      </c>
      <c r="E95" s="18" t="inlineStr">
        <is>
          <t>Dinheiro</t>
        </is>
      </c>
      <c r="F95" s="19" t="n"/>
      <c r="G95" s="19" t="n"/>
      <c r="H95" s="21" t="n"/>
      <c r="I95" s="18" t="inlineStr">
        <is>
          <t>Suporte do aparelho estava ruim; trocado só um lado (kit suporte normal R$ 40,00).</t>
        </is>
      </c>
      <c r="J95" s="18" t="inlineStr">
        <is>
          <t>CLI-0529</t>
        </is>
      </c>
    </row>
    <row r="96">
      <c r="A96" s="44" t="n">
        <v>46309</v>
      </c>
      <c r="B96" s="45" t="inlineStr">
        <is>
          <t>Marilia Silva</t>
        </is>
      </c>
      <c r="C96" s="45" t="inlineStr">
        <is>
          <t>Refil Everest + Pré Filtro + Termostato</t>
        </is>
      </c>
      <c r="D96" s="46" t="n">
        <v>370</v>
      </c>
      <c r="E96" s="45" t="inlineStr">
        <is>
          <t>Crédito à Vista</t>
        </is>
      </c>
      <c r="F96" s="47" t="n">
        <v>12.99</v>
      </c>
      <c r="G96" s="48" t="n"/>
      <c r="H96" s="49" t="n"/>
      <c r="I96" s="45" t="inlineStr">
        <is>
          <t>Termostato trocado por defeito (não desligava). Ao entregar o aparelho consertado, adiantou a troca do refil (vencia no mês que vem). Crédito 1x.</t>
        </is>
      </c>
      <c r="J96" t="inlineStr">
        <is>
          <t>CLI-0590</t>
        </is>
      </c>
    </row>
    <row r="97">
      <c r="A97" s="17" t="n">
        <v>46309</v>
      </c>
      <c r="B97" s="18" t="inlineStr">
        <is>
          <t>Reginaldo Novaes de Oliveira - Barbara Novais</t>
        </is>
      </c>
      <c r="C97" s="18" t="inlineStr">
        <is>
          <t>Refil Everest</t>
        </is>
      </c>
      <c r="D97" s="27" t="n">
        <v>140</v>
      </c>
      <c r="E97" s="18" t="inlineStr">
        <is>
          <t>Débito</t>
        </is>
      </c>
      <c r="F97" s="19" t="n">
        <v>2.03</v>
      </c>
      <c r="G97" s="19" t="n"/>
      <c r="H97" s="21" t="n"/>
      <c r="I97" s="18" t="n"/>
      <c r="J97" s="18" t="inlineStr">
        <is>
          <t>CLI-0524</t>
        </is>
      </c>
    </row>
    <row r="98">
      <c r="A98" s="44" t="n">
        <v>46310</v>
      </c>
      <c r="B98" s="45" t="inlineStr">
        <is>
          <t>Consumidor Final</t>
        </is>
      </c>
      <c r="C98" s="45" t="inlineStr">
        <is>
          <t>Torneira para Purificador Latina</t>
        </is>
      </c>
      <c r="D98" s="46" t="n">
        <v>20</v>
      </c>
      <c r="E98" s="45" t="inlineStr">
        <is>
          <t>Pix</t>
        </is>
      </c>
      <c r="F98" s="47" t="n"/>
      <c r="G98" s="48" t="n"/>
      <c r="H98" s="49" t="n"/>
      <c r="I98" s="45" t="n"/>
    </row>
    <row r="99">
      <c r="A99" s="17" t="n">
        <v>46310</v>
      </c>
      <c r="B99" s="18" t="inlineStr">
        <is>
          <t>Combustível</t>
        </is>
      </c>
      <c r="C99" s="18" t="n"/>
      <c r="D99" s="27" t="n"/>
      <c r="E99" s="18" t="n"/>
      <c r="F99" s="19" t="n"/>
      <c r="G99" s="19" t="n">
        <v>10</v>
      </c>
      <c r="H99" s="21" t="inlineStr">
        <is>
          <t>Transporte e Entregas</t>
        </is>
      </c>
      <c r="I99" s="18" t="inlineStr">
        <is>
          <t>Gasolina comum 1,482 L a R$ 6,75/L — Posto Avenida Jacobina (Avenida Posto de Combustíveis LTDA, CNPJ 46.115.794/0001-30, Av. Orlando Oliveira Pires, 1430, Centro, Jacobina), NFC-e nº 000927128 série 002 de 15/10/2026 09:39. Pago R$ 10,00 em dinheiro.</t>
        </is>
      </c>
      <c r="J99" s="18" t="n"/>
    </row>
    <row r="100">
      <c r="A100" s="44" t="n">
        <v>46310</v>
      </c>
      <c r="B100" s="45" t="inlineStr">
        <is>
          <t>Combustível</t>
        </is>
      </c>
      <c r="C100" s="45" t="n"/>
      <c r="D100" s="46" t="n"/>
      <c r="E100" s="45" t="n"/>
      <c r="F100" s="47" t="n"/>
      <c r="G100" s="48" t="n">
        <v>40</v>
      </c>
      <c r="H100" s="49" t="inlineStr">
        <is>
          <t>Transporte e Entregas</t>
        </is>
      </c>
      <c r="I100" s="45" t="inlineStr">
        <is>
          <t>Gasolina aditivada (Ipimax) 5,806 L a R$ 6,89/L — Transvale Derivados de Petróleo LTDA (CNPJ 11.271.229/0002-68, Av. Orlando Oliveira Pires, 1164, Centro, Jacobina), NFC-e nº 000285556 série 001 de 15/10/2026 10:21. Pago R$ 40,00 em dinheiro.</t>
        </is>
      </c>
    </row>
    <row r="101">
      <c r="A101" s="17" t="n">
        <v>46310</v>
      </c>
      <c r="B101" s="18" t="inlineStr">
        <is>
          <t>Casa das Portas Comercio de Madeiras LTDA</t>
        </is>
      </c>
      <c r="C101" s="18" t="inlineStr">
        <is>
          <t>Refil Pro Life</t>
        </is>
      </c>
      <c r="D101" s="27" t="n">
        <v>130</v>
      </c>
      <c r="E101" s="18" t="inlineStr">
        <is>
          <t>Dinheiro</t>
        </is>
      </c>
      <c r="F101" s="19" t="n"/>
      <c r="G101" s="19" t="n"/>
      <c r="H101" s="21" t="n"/>
      <c r="I101" s="18" t="n"/>
      <c r="J101" s="18" t="inlineStr">
        <is>
          <t>EMP-0046</t>
        </is>
      </c>
    </row>
    <row r="102">
      <c r="A102" s="44" t="n">
        <v>46310</v>
      </c>
      <c r="B102" s="45" t="inlineStr">
        <is>
          <t>Casa do Construtor</t>
        </is>
      </c>
      <c r="C102" s="45" t="inlineStr">
        <is>
          <t>Refil Everest</t>
        </is>
      </c>
      <c r="D102" s="46" t="n">
        <v>140</v>
      </c>
      <c r="E102" s="45" t="inlineStr">
        <is>
          <t>Aguardando Pagamento</t>
        </is>
      </c>
      <c r="F102" s="47" t="n"/>
      <c r="G102" s="48" t="n"/>
      <c r="H102" s="49" t="n"/>
      <c r="I102" s="45" t="n"/>
      <c r="J102" t="inlineStr">
        <is>
          <t>EMP-0320</t>
        </is>
      </c>
    </row>
    <row r="103">
      <c r="A103" s="17" t="n">
        <v>46310</v>
      </c>
      <c r="B103" s="18" t="inlineStr">
        <is>
          <t>Lapec</t>
        </is>
      </c>
      <c r="C103" s="18" t="inlineStr">
        <is>
          <t>Refil E3 + Refil Everest</t>
        </is>
      </c>
      <c r="D103" s="27" t="n">
        <v>200</v>
      </c>
      <c r="E103" s="18" t="inlineStr">
        <is>
          <t>Aguardando Pagamento</t>
        </is>
      </c>
      <c r="F103" s="19" t="n"/>
      <c r="G103" s="19" t="n"/>
      <c r="H103" s="21" t="n"/>
      <c r="I103" s="18" t="inlineStr">
        <is>
          <t>Refil E3 R$ 80,00 + Refil Everest R$ 120,00.</t>
        </is>
      </c>
      <c r="J103" s="18" t="inlineStr">
        <is>
          <t>EMP-0199</t>
        </is>
      </c>
    </row>
    <row r="104">
      <c r="A104" s="44" t="n">
        <v>46310</v>
      </c>
      <c r="B104" s="45" t="inlineStr">
        <is>
          <t>Edinaldo Nunes - Marilene de Souza Oliveira</t>
        </is>
      </c>
      <c r="C104" s="45" t="inlineStr">
        <is>
          <t>Refil Everest + Pré Filtro</t>
        </is>
      </c>
      <c r="D104" s="46" t="n">
        <v>100</v>
      </c>
      <c r="E104" s="45" t="inlineStr">
        <is>
          <t>Dinheiro</t>
        </is>
      </c>
      <c r="F104" s="47" t="n"/>
      <c r="G104" s="48" t="n"/>
      <c r="H104" s="49" t="n"/>
      <c r="I104" s="45" t="inlineStr">
        <is>
          <t>Venda de R$ 190,00 com pagamento dividido: R$ 100,00 em dinheiro + R$ 90,00 no Pix.</t>
        </is>
      </c>
      <c r="J104" t="inlineStr">
        <is>
          <t>CLI-0499</t>
        </is>
      </c>
    </row>
    <row r="105">
      <c r="A105" s="17" t="n">
        <v>46311</v>
      </c>
      <c r="B105" s="18" t="inlineStr">
        <is>
          <t>Primeiro Tabelionato de Notas - Tatiana Miranda Siqueira</t>
        </is>
      </c>
      <c r="C105" s="18" t="inlineStr">
        <is>
          <t>Refil Everest</t>
        </is>
      </c>
      <c r="D105" s="27" t="n">
        <v>140</v>
      </c>
      <c r="E105" s="18" t="inlineStr">
        <is>
          <t>Pix</t>
        </is>
      </c>
      <c r="F105" s="19" t="n"/>
      <c r="G105" s="19" t="n"/>
      <c r="H105" s="21" t="n"/>
      <c r="I105" s="18" t="inlineStr">
        <is>
          <t>Venda de 15/10/2026 — pagamento recebido em 16/10/2026 via Pix.</t>
        </is>
      </c>
      <c r="J105" s="18" t="inlineStr">
        <is>
          <t>EMP-0253</t>
        </is>
      </c>
    </row>
    <row r="106">
      <c r="A106" s="44" t="n">
        <v>46310</v>
      </c>
      <c r="B106" s="45" t="inlineStr">
        <is>
          <t>Eversoft</t>
        </is>
      </c>
      <c r="C106" s="45" t="n"/>
      <c r="D106" s="46" t="n"/>
      <c r="E106" s="45" t="n"/>
      <c r="F106" s="47" t="n"/>
      <c r="G106" s="48" t="n">
        <v>980.83</v>
      </c>
      <c r="H106" s="49" t="inlineStr">
        <is>
          <t>Fornecedores / Mercadoria</t>
        </is>
      </c>
      <c r="I106" s="45" t="inlineStr">
        <is>
          <t>Boleto doc. 74454 (emissão 17/07/2026) · parcela 3/5 — venc. 15/10/2026. Pago em 15/10/2026.</t>
        </is>
      </c>
    </row>
    <row r="107">
      <c r="A107" s="17" t="n">
        <v>46310</v>
      </c>
      <c r="B107" s="18" t="inlineStr">
        <is>
          <t>Everest Refrigeração</t>
        </is>
      </c>
      <c r="C107" s="18" t="n"/>
      <c r="D107" s="27" t="n"/>
      <c r="E107" s="18" t="n"/>
      <c r="F107" s="19" t="n"/>
      <c r="G107" s="19" t="n">
        <v>892.3</v>
      </c>
      <c r="H107" s="21" t="inlineStr">
        <is>
          <t>Fornecedores / Mercadoria</t>
        </is>
      </c>
      <c r="I107" s="18" t="inlineStr">
        <is>
          <t>Boleto doc. 381554 (emissão 17/07/2026) · parcela 3/5 — venc. 15/10/2026. Pago em 15/10/2026.</t>
        </is>
      </c>
      <c r="J107" s="18" t="n"/>
    </row>
    <row r="108">
      <c r="A108" s="44" t="n">
        <v>46310</v>
      </c>
      <c r="B108" s="45" t="inlineStr">
        <is>
          <t>Everest Refrigeração</t>
        </is>
      </c>
      <c r="C108" s="45" t="n"/>
      <c r="D108" s="46" t="n"/>
      <c r="E108" s="45" t="n"/>
      <c r="F108" s="47" t="n"/>
      <c r="G108" s="48" t="n">
        <v>574.27</v>
      </c>
      <c r="H108" s="49" t="inlineStr">
        <is>
          <t>Fornecedores / Mercadoria</t>
        </is>
      </c>
      <c r="I108" s="45" t="inlineStr">
        <is>
          <t>Boleto doc. 386188 (emissão 15/09/2026) · parcela 1/5 — venc. 15/10/2026. Pago em 15/10/2026.</t>
        </is>
      </c>
    </row>
    <row r="109">
      <c r="A109" s="17" t="n">
        <v>46310</v>
      </c>
      <c r="B109" s="18" t="inlineStr">
        <is>
          <t>Tarcisio Oliveira Lima</t>
        </is>
      </c>
      <c r="C109" s="18" t="n"/>
      <c r="D109" s="27" t="n"/>
      <c r="E109" s="18" t="n"/>
      <c r="F109" s="19" t="n"/>
      <c r="G109" s="19" t="n">
        <v>486.32</v>
      </c>
      <c r="H109" s="21" t="inlineStr">
        <is>
          <t>Contabilidade</t>
        </is>
      </c>
      <c r="I109" s="18" t="inlineStr">
        <is>
          <t>Serviço contábil — boleto Banco do Brasil, venc. 15/10/2026. Pago em 15/10/2026.</t>
        </is>
      </c>
      <c r="J109" s="18" t="n"/>
    </row>
    <row r="110">
      <c r="A110" s="44" t="n">
        <v>46310</v>
      </c>
      <c r="B110" s="45" t="inlineStr">
        <is>
          <t>Proxxima Telecomunicações</t>
        </is>
      </c>
      <c r="C110" s="45" t="n"/>
      <c r="D110" s="46" t="n"/>
      <c r="E110" s="45" t="n"/>
      <c r="F110" s="47" t="n"/>
      <c r="G110" s="48" t="n">
        <v>69.98999999999999</v>
      </c>
      <c r="H110" s="49" t="inlineStr">
        <is>
          <t>Água, Energia e Internet</t>
        </is>
      </c>
      <c r="I110" s="45" t="inlineStr">
        <is>
          <t>Internet da loja — plano Turbinados 700 MB, contrato 578646. Fatura FAT26091809010676, venc. 15/10/2026. Pago em 15/10/2026.</t>
        </is>
      </c>
    </row>
    <row r="111">
      <c r="A111" s="17" t="n">
        <v>46310</v>
      </c>
      <c r="B111" s="18" t="inlineStr">
        <is>
          <t>Everest Refrigeração</t>
        </is>
      </c>
      <c r="C111" s="18" t="n"/>
      <c r="D111" s="27" t="n"/>
      <c r="E111" s="18" t="n"/>
      <c r="F111" s="19" t="n"/>
      <c r="G111" s="19" t="n">
        <v>856.34</v>
      </c>
      <c r="H111" s="21" t="inlineStr">
        <is>
          <t>Fornecedores / Mercadoria</t>
        </is>
      </c>
      <c r="I111" s="18" t="inlineStr">
        <is>
          <t>Boleto doc. 377739 (emissão 19/05/2026) · parcela 5/5 (última) — venc. 16/10/2026. Pago antecipado em 15/10/2026.</t>
        </is>
      </c>
      <c r="J111" s="18" t="n"/>
    </row>
    <row r="112">
      <c r="A112" s="44" t="n">
        <v>46310</v>
      </c>
      <c r="B112" s="45" t="inlineStr">
        <is>
          <t>Consumidor Final</t>
        </is>
      </c>
      <c r="C112" s="45" t="inlineStr">
        <is>
          <t>Refil Plissado</t>
        </is>
      </c>
      <c r="D112" s="46" t="n">
        <v>80</v>
      </c>
      <c r="E112" s="45" t="inlineStr">
        <is>
          <t>Crédito à Vista</t>
        </is>
      </c>
      <c r="F112" s="47" t="n">
        <v>3.76</v>
      </c>
      <c r="G112" s="48" t="n"/>
      <c r="H112" s="49" t="n"/>
      <c r="I112" s="45" t="n"/>
    </row>
    <row r="113">
      <c r="A113" s="17" t="n">
        <v>46311</v>
      </c>
      <c r="B113" s="18" t="inlineStr">
        <is>
          <t>Alcina Rocha Lima Azevedo</t>
        </is>
      </c>
      <c r="C113" s="18" t="inlineStr">
        <is>
          <t>Refil Everest</t>
        </is>
      </c>
      <c r="D113" s="27" t="n">
        <v>140</v>
      </c>
      <c r="E113" s="18" t="inlineStr">
        <is>
          <t>Crédito Parcelado</t>
        </is>
      </c>
      <c r="F113" s="19" t="n">
        <v>11.73</v>
      </c>
      <c r="G113" s="19" t="n"/>
      <c r="H113" s="21" t="n"/>
      <c r="I113" s="18" t="inlineStr">
        <is>
          <t>Crédito em 2x. Instalação à tarde.</t>
        </is>
      </c>
      <c r="J113" s="18" t="inlineStr">
        <is>
          <t>CLI-0033</t>
        </is>
      </c>
    </row>
    <row r="114">
      <c r="A114" s="44" t="n">
        <v>46311</v>
      </c>
      <c r="B114" s="45" t="inlineStr">
        <is>
          <t>Consumidor Final</t>
        </is>
      </c>
      <c r="C114" s="45" t="inlineStr">
        <is>
          <t>Refil E3</t>
        </is>
      </c>
      <c r="D114" s="46" t="n">
        <v>60</v>
      </c>
      <c r="E114" s="45" t="inlineStr">
        <is>
          <t>Dinheiro</t>
        </is>
      </c>
      <c r="F114" s="47" t="n"/>
      <c r="G114" s="48" t="n"/>
      <c r="H114" s="49" t="n"/>
      <c r="I114" s="45" t="n"/>
    </row>
    <row r="115">
      <c r="A115" s="17" t="n">
        <v>46311</v>
      </c>
      <c r="B115" s="18" t="inlineStr">
        <is>
          <t>DFLL Serviços Medicos Ltda - ImCardio - Instituto Materno Cardiologico</t>
        </is>
      </c>
      <c r="C115" s="18" t="inlineStr">
        <is>
          <t>Refil Everest + Pré Filtro</t>
        </is>
      </c>
      <c r="D115" s="27" t="n">
        <v>140</v>
      </c>
      <c r="E115" s="18" t="inlineStr">
        <is>
          <t>Dinheiro</t>
        </is>
      </c>
      <c r="F115" s="19" t="n"/>
      <c r="G115" s="19" t="n"/>
      <c r="H115" s="21" t="n"/>
      <c r="I115" s="18" t="inlineStr">
        <is>
          <t>Venda de R$ 200,00 com pagamento dividido: R$ 140,00 em dinheiro + R$ 60,00 a receber. Bebedouro da recepção.</t>
        </is>
      </c>
      <c r="J115" s="18" t="inlineStr">
        <is>
          <t>EMP-0116</t>
        </is>
      </c>
    </row>
    <row r="116">
      <c r="A116" s="44" t="n">
        <v>46311</v>
      </c>
      <c r="B116" s="45" t="inlineStr">
        <is>
          <t>DFLL Serviços Medicos Ltda - ImCardio - Instituto Materno Cardiologico</t>
        </is>
      </c>
      <c r="C116" s="45" t="inlineStr">
        <is>
          <t>(Mesma venda acima — 2ª forma de pagamento, sem produtos novos)</t>
        </is>
      </c>
      <c r="D116" s="46" t="n">
        <v>60</v>
      </c>
      <c r="E116" s="45" t="inlineStr">
        <is>
          <t>Aguardando Pagamento</t>
        </is>
      </c>
      <c r="F116" s="47" t="n"/>
      <c r="G116" s="48" t="n"/>
      <c r="H116" s="49" t="n"/>
      <c r="I116" s="45" t="inlineStr">
        <is>
          <t>Restante da venda de R$ 200,00 (R$ 140,00 pagos em dinheiro). Cliente vai pagar depois.</t>
        </is>
      </c>
      <c r="J116" t="inlineStr">
        <is>
          <t>EMP-0116</t>
        </is>
      </c>
    </row>
    <row r="117">
      <c r="A117" s="17" t="n">
        <v>46311</v>
      </c>
      <c r="B117" s="18" t="inlineStr">
        <is>
          <t>Contabilidade Abreu</t>
        </is>
      </c>
      <c r="C117" s="18" t="inlineStr">
        <is>
          <t>Termostato</t>
        </is>
      </c>
      <c r="D117" s="27" t="n">
        <v>170</v>
      </c>
      <c r="E117" s="18" t="inlineStr">
        <is>
          <t>Aguardando Pagamento</t>
        </is>
      </c>
      <c r="F117" s="19" t="n"/>
      <c r="G117" s="19" t="n"/>
      <c r="H117" s="21" t="n"/>
      <c r="I117" s="18" t="inlineStr">
        <is>
          <t>Troca de termostato.</t>
        </is>
      </c>
      <c r="J117" s="18" t="inlineStr">
        <is>
          <t>EMP-0105</t>
        </is>
      </c>
    </row>
    <row r="118">
      <c r="A118" s="44" t="n">
        <v>46310</v>
      </c>
      <c r="B118" s="45" t="inlineStr">
        <is>
          <t>Edinaldo Nunes - Marilene de Souza Oliveira</t>
        </is>
      </c>
      <c r="C118" s="45" t="inlineStr">
        <is>
          <t>(Mesma venda acima — 2ª forma de pagamento, sem produtos novos)</t>
        </is>
      </c>
      <c r="D118" s="46" t="n">
        <v>90</v>
      </c>
      <c r="E118" s="45" t="inlineStr">
        <is>
          <t>Pix</t>
        </is>
      </c>
      <c r="F118" s="47" t="n"/>
      <c r="G118" s="48" t="n"/>
      <c r="H118" s="49" t="n"/>
      <c r="I118" s="45" t="inlineStr">
        <is>
          <t>Restante da venda de R$ 190,00 de 15/10 (R$ 100,00 em dinheiro + R$ 90,00 no Pix).</t>
        </is>
      </c>
      <c r="J118" t="inlineStr">
        <is>
          <t>CLI-0499</t>
        </is>
      </c>
    </row>
    <row r="119">
      <c r="A119" s="17" t="n">
        <v>46311</v>
      </c>
      <c r="B119" s="18" t="inlineStr">
        <is>
          <t>Eduardo Santos da Silva</t>
        </is>
      </c>
      <c r="C119" s="18" t="inlineStr">
        <is>
          <t>Refil Pro Life</t>
        </is>
      </c>
      <c r="D119" s="27" t="n">
        <v>140</v>
      </c>
      <c r="E119" s="18" t="inlineStr">
        <is>
          <t>Pix</t>
        </is>
      </c>
      <c r="F119" s="19" t="n"/>
      <c r="G119" s="19" t="n"/>
      <c r="H119" s="21" t="n"/>
      <c r="I119" s="18" t="n"/>
      <c r="J119" s="18" t="inlineStr">
        <is>
          <t>CLI-0408</t>
        </is>
      </c>
    </row>
    <row r="120">
      <c r="A120" s="44" t="n">
        <v>46311</v>
      </c>
      <c r="B120" s="45" t="inlineStr">
        <is>
          <t>Cezar Silva Atacado e Varejo - A Lojinha Utilidades (Iene Quedila Nunes Dourado)</t>
        </is>
      </c>
      <c r="C120" s="45" t="n"/>
      <c r="D120" s="46" t="n"/>
      <c r="E120" s="45" t="n"/>
      <c r="F120" s="47" t="n"/>
      <c r="G120" s="48" t="n">
        <v>170</v>
      </c>
      <c r="H120" s="49" t="inlineStr">
        <is>
          <t>Manutenção e Reparos</t>
        </is>
      </c>
      <c r="I120" s="45" t="inlineStr">
        <is>
          <t>Escada média (ferramenta para as instalações). Recibo de 16/10/2026. CNPJ 47.415.949/0002-05 — Rua Manoel Novais, 232, Jacobina-BA.</t>
        </is>
      </c>
    </row>
    <row r="121">
      <c r="A121" s="17" t="n">
        <v>46311</v>
      </c>
      <c r="B121" s="18" t="inlineStr">
        <is>
          <t>Everest Refrigeração</t>
        </is>
      </c>
      <c r="C121" s="18" t="n"/>
      <c r="D121" s="27" t="n"/>
      <c r="E121" s="18" t="n"/>
      <c r="F121" s="19" t="n"/>
      <c r="G121" s="19" t="n">
        <v>139.32</v>
      </c>
      <c r="H121" s="21" t="inlineStr">
        <is>
          <t>Fornecedores / Mercadoria</t>
        </is>
      </c>
      <c r="I121" s="18" t="inlineStr">
        <is>
          <t>Boleto doc. 377737 (emissão 19/05/2026) · parcela 5/5 (última) — venc. 16/10/2026. Pago em 16/10/2026.</t>
        </is>
      </c>
      <c r="J121" s="18" t="n"/>
    </row>
    <row r="122">
      <c r="A122" s="44" t="n">
        <v>46311</v>
      </c>
      <c r="B122" s="45" t="inlineStr">
        <is>
          <t>Everest Refrigeração</t>
        </is>
      </c>
      <c r="C122" s="45" t="n"/>
      <c r="D122" s="46" t="n"/>
      <c r="E122" s="45" t="n"/>
      <c r="F122" s="47" t="n"/>
      <c r="G122" s="48" t="n">
        <v>865.52</v>
      </c>
      <c r="H122" s="49" t="inlineStr">
        <is>
          <t>Fornecedores / Mercadoria</t>
        </is>
      </c>
      <c r="I122" s="45" t="inlineStr">
        <is>
          <t>Boleto doc. 377738 (emissão 19/05/2026) · parcela 5/5 (última) — venc. 16/10/2026. Pago em 16/10/2026.</t>
        </is>
      </c>
    </row>
    <row r="123">
      <c r="A123" s="17" t="n">
        <v>46311</v>
      </c>
      <c r="B123" s="18" t="inlineStr">
        <is>
          <t>Patrus Transportes</t>
        </is>
      </c>
      <c r="C123" s="18" t="n"/>
      <c r="D123" s="27" t="n"/>
      <c r="E123" s="18" t="n"/>
      <c r="F123" s="19" t="n"/>
      <c r="G123" s="19" t="n">
        <v>277.48</v>
      </c>
      <c r="H123" s="21" t="inlineStr">
        <is>
          <t>Transporte e Entregas</t>
        </is>
      </c>
      <c r="I123" s="18" t="inlineStr">
        <is>
          <t>Frete — boleto Bradesco, venc. 16/10/2026. Pago em 16/10/2026.</t>
        </is>
      </c>
      <c r="J123" s="18" t="n"/>
    </row>
    <row r="124">
      <c r="A124" s="44" t="n">
        <v>46312</v>
      </c>
      <c r="B124" s="45" t="inlineStr">
        <is>
          <t>Cloro e Cia (Mello e Castiglioni Ltda)</t>
        </is>
      </c>
      <c r="C124" s="45" t="n"/>
      <c r="D124" s="46" t="n"/>
      <c r="E124" s="45" t="n"/>
      <c r="F124" s="47" t="n"/>
      <c r="G124" s="48" t="n">
        <v>36</v>
      </c>
      <c r="H124" s="49" t="inlineStr">
        <is>
          <t>Material de Limpeza e Escritório</t>
        </is>
      </c>
      <c r="I124" s="45" t="inlineStr">
        <is>
          <t>DAV 000398 de 17/10/2026 — papel toalha interfolhado, álcool gel 1 L e sabonete líquido 1 L (R$ 37,50 com R$ 1,50 de desconto). Pago em dinheiro.</t>
        </is>
      </c>
    </row>
    <row r="125">
      <c r="A125" s="17" t="n">
        <v>46312</v>
      </c>
      <c r="B125" s="18" t="inlineStr">
        <is>
          <t>Diarista Eva</t>
        </is>
      </c>
      <c r="C125" s="18" t="n"/>
      <c r="D125" s="27" t="n"/>
      <c r="E125" s="18" t="n"/>
      <c r="F125" s="19" t="n"/>
      <c r="G125" s="19" t="n">
        <v>400</v>
      </c>
      <c r="H125" s="21" t="inlineStr">
        <is>
          <t>Pro Labore Edilânia</t>
        </is>
      </c>
      <c r="I125" s="18" t="inlineStr">
        <is>
          <t>Pedido da Edilânia em 17/10/2026 — despesa pessoal.</t>
        </is>
      </c>
      <c r="J125" s="18" t="n"/>
    </row>
    <row r="126">
      <c r="A126" s="44" t="n">
        <v>46312</v>
      </c>
      <c r="B126" s="45" t="inlineStr">
        <is>
          <t>Compras para casa</t>
        </is>
      </c>
      <c r="C126" s="45" t="n"/>
      <c r="D126" s="46" t="n"/>
      <c r="E126" s="45" t="n"/>
      <c r="F126" s="47" t="n"/>
      <c r="G126" s="48" t="n">
        <v>200</v>
      </c>
      <c r="H126" s="49" t="inlineStr">
        <is>
          <t>Pro Labore Edilânia</t>
        </is>
      </c>
      <c r="I126" s="45" t="inlineStr">
        <is>
          <t>Pedido da Edilânia em 17/10/2026 — despesa pessoal.</t>
        </is>
      </c>
    </row>
    <row r="127">
      <c r="A127" s="17" t="n">
        <v>46312</v>
      </c>
      <c r="B127" s="18" t="inlineStr">
        <is>
          <t>Comissão Wiliam</t>
        </is>
      </c>
      <c r="C127" s="18" t="n"/>
      <c r="D127" s="27" t="n"/>
      <c r="E127" s="18" t="n"/>
      <c r="F127" s="19" t="n"/>
      <c r="G127" s="19" t="n">
        <v>610</v>
      </c>
      <c r="H127" s="21" t="inlineStr">
        <is>
          <t>Salários, Comissões e Encargos</t>
        </is>
      </c>
      <c r="I127" s="18" t="inlineStr">
        <is>
          <t>Comissões da quinzena de 05/10 a 16/10/2026 — R$ 610,00 de R$ 615,00; os R$ 5,00 restantes (venda de pré-filtro de 10/10) ficam para a próxima semana, por falta de troco no caixa.</t>
        </is>
      </c>
      <c r="J127" s="18" t="n"/>
    </row>
    <row r="128">
      <c r="A128" s="44" t="n">
        <v>46314</v>
      </c>
      <c r="B128" s="45" t="inlineStr">
        <is>
          <t>Carneiro Ultra Drogaria LTDA - Filial 02</t>
        </is>
      </c>
      <c r="C128" s="45" t="inlineStr">
        <is>
          <t>Refil Everest</t>
        </is>
      </c>
      <c r="D128" s="46" t="n">
        <v>140</v>
      </c>
      <c r="E128" s="45" t="inlineStr">
        <is>
          <t>Dinheiro</t>
        </is>
      </c>
      <c r="F128" s="47" t="n"/>
      <c r="G128" s="48" t="n"/>
      <c r="H128" s="49" t="n"/>
      <c r="I128" s="45" t="n"/>
      <c r="J128" t="inlineStr">
        <is>
          <t>EMP-0043</t>
        </is>
      </c>
    </row>
    <row r="129">
      <c r="A129" s="17" t="n">
        <v>46314</v>
      </c>
      <c r="B129" s="18" t="inlineStr">
        <is>
          <t>Otica Imagem - José Luciano Viera Costa</t>
        </is>
      </c>
      <c r="C129" s="18" t="inlineStr">
        <is>
          <t>Refil Everest</t>
        </is>
      </c>
      <c r="D129" s="27" t="n">
        <v>140</v>
      </c>
      <c r="E129" s="18" t="inlineStr">
        <is>
          <t>Dinheiro</t>
        </is>
      </c>
      <c r="F129" s="19" t="n"/>
      <c r="G129" s="19" t="n"/>
      <c r="H129" s="21" t="n"/>
      <c r="I129" s="18" t="inlineStr">
        <is>
          <t>Ótica pagou R$ 280,00 pelas duas trocas (térreo e 1º andar).</t>
        </is>
      </c>
      <c r="J129" s="18" t="inlineStr">
        <is>
          <t>EMP-0238</t>
        </is>
      </c>
    </row>
    <row r="130">
      <c r="A130" s="44" t="n">
        <v>46314</v>
      </c>
      <c r="B130" s="45" t="inlineStr">
        <is>
          <t>Otica Imagem - José Luciano Viera Costa 1 Andar</t>
        </is>
      </c>
      <c r="C130" s="45" t="inlineStr">
        <is>
          <t>Refil Everest</t>
        </is>
      </c>
      <c r="D130" s="46" t="n">
        <v>140</v>
      </c>
      <c r="E130" s="45" t="inlineStr">
        <is>
          <t>Dinheiro</t>
        </is>
      </c>
      <c r="F130" s="47" t="n"/>
      <c r="G130" s="48" t="n"/>
      <c r="H130" s="49" t="n"/>
      <c r="I130" s="45" t="inlineStr">
        <is>
          <t>Ótica pagou R$ 280,00 pelas duas trocas (térreo e 1º andar).</t>
        </is>
      </c>
      <c r="J130" t="inlineStr">
        <is>
          <t>EMP-0238</t>
        </is>
      </c>
    </row>
    <row r="131">
      <c r="A131" s="17" t="n">
        <v>46314</v>
      </c>
      <c r="B131" s="18" t="inlineStr">
        <is>
          <t>Pedras e Pisos - Loja</t>
        </is>
      </c>
      <c r="C131" s="18" t="inlineStr">
        <is>
          <t>Refil Everest</t>
        </is>
      </c>
      <c r="D131" s="27" t="n">
        <v>140</v>
      </c>
      <c r="E131" s="18" t="inlineStr">
        <is>
          <t>Dinheiro</t>
        </is>
      </c>
      <c r="F131" s="19" t="n"/>
      <c r="G131" s="19" t="n"/>
      <c r="H131" s="21" t="n"/>
      <c r="I131" s="18" t="n"/>
      <c r="J131" s="18" t="inlineStr">
        <is>
          <t>EMP-0245</t>
        </is>
      </c>
    </row>
    <row r="132">
      <c r="A132" s="44" t="n">
        <v>46314</v>
      </c>
      <c r="B132" s="45" t="inlineStr">
        <is>
          <t>Marsilia Marmores e Granitos Erelli</t>
        </is>
      </c>
      <c r="C132" s="45" t="inlineStr">
        <is>
          <t>Refil Everest</t>
        </is>
      </c>
      <c r="D132" s="46" t="n">
        <v>140</v>
      </c>
      <c r="E132" s="45" t="inlineStr">
        <is>
          <t>Aguardando Pagamento</t>
        </is>
      </c>
      <c r="F132" s="47" t="n"/>
      <c r="G132" s="48" t="n"/>
      <c r="H132" s="49" t="n"/>
      <c r="I132" s="45" t="n"/>
      <c r="J132" t="inlineStr">
        <is>
          <t>EMP-0216</t>
        </is>
      </c>
    </row>
    <row r="133">
      <c r="A133" s="17" t="n">
        <v>46314</v>
      </c>
      <c r="B133" s="18" t="inlineStr">
        <is>
          <t>Gilberto de Aguiar</t>
        </is>
      </c>
      <c r="C133" s="18" t="inlineStr">
        <is>
          <t>Refil Everest</t>
        </is>
      </c>
      <c r="D133" s="27" t="n">
        <v>140</v>
      </c>
      <c r="E133" s="18" t="inlineStr">
        <is>
          <t>Dinheiro</t>
        </is>
      </c>
      <c r="F133" s="19" t="n"/>
      <c r="G133" s="19" t="n"/>
      <c r="H133" s="21" t="n"/>
      <c r="I133" s="18" t="n"/>
      <c r="J133" s="18" t="inlineStr">
        <is>
          <t>CLI-0629</t>
        </is>
      </c>
    </row>
    <row r="134">
      <c r="A134" s="44" t="n">
        <v>46314</v>
      </c>
      <c r="B134" s="45" t="inlineStr">
        <is>
          <t>A. S. Supermercado</t>
        </is>
      </c>
      <c r="C134" s="45" t="inlineStr">
        <is>
          <t>Refil Pro Life + Pré Filtro</t>
        </is>
      </c>
      <c r="D134" s="46" t="n">
        <v>190</v>
      </c>
      <c r="E134" s="45" t="inlineStr">
        <is>
          <t>Dinheiro</t>
        </is>
      </c>
      <c r="F134" s="47" t="n"/>
      <c r="G134" s="48" t="n"/>
      <c r="H134" s="49" t="n"/>
      <c r="I134" s="45" t="n"/>
      <c r="J134" t="inlineStr">
        <is>
          <t>EMP-0321</t>
        </is>
      </c>
    </row>
    <row r="135">
      <c r="A135" s="17" t="n">
        <v>46314</v>
      </c>
      <c r="B135" s="18" t="inlineStr">
        <is>
          <t>Raulino Gonçalves dos Santos</t>
        </is>
      </c>
      <c r="C135" s="18" t="inlineStr">
        <is>
          <t>Purificador Everest Foz Branco</t>
        </is>
      </c>
      <c r="D135" s="27" t="n">
        <v>1500</v>
      </c>
      <c r="E135" s="18" t="inlineStr">
        <is>
          <t>Crédito Parcelado</t>
        </is>
      </c>
      <c r="F135" s="19" t="n">
        <v>119.85</v>
      </c>
      <c r="G135" s="19" t="n"/>
      <c r="H135" s="21" t="n"/>
      <c r="I135" s="18" t="inlineStr">
        <is>
          <t>Parcelado em 4x. Instalado em 19/10/2026.</t>
        </is>
      </c>
      <c r="J135" s="18" t="inlineStr">
        <is>
          <t>CLI-0906</t>
        </is>
      </c>
    </row>
    <row r="136">
      <c r="A136" s="44" t="n">
        <v>46314</v>
      </c>
      <c r="B136" s="45" t="inlineStr">
        <is>
          <t>Larissa Sena</t>
        </is>
      </c>
      <c r="C136" s="45" t="inlineStr">
        <is>
          <t>Refil FPA14</t>
        </is>
      </c>
      <c r="D136" s="46" t="n">
        <v>110</v>
      </c>
      <c r="E136" s="45" t="inlineStr">
        <is>
          <t>Pix</t>
        </is>
      </c>
      <c r="F136" s="47" t="n"/>
      <c r="G136" s="48" t="n"/>
      <c r="H136" s="49" t="n"/>
      <c r="I136" s="45" t="inlineStr">
        <is>
          <t>Pix de R$ 250,00 junto com o refil da Int Odontologia (R$ 140,00).</t>
        </is>
      </c>
      <c r="J136" t="inlineStr">
        <is>
          <t>CLI-0907</t>
        </is>
      </c>
    </row>
    <row r="137">
      <c r="A137" s="17" t="n">
        <v>46314</v>
      </c>
      <c r="B137" s="18" t="inlineStr">
        <is>
          <t>Int Odontologia - Larissa Sena</t>
        </is>
      </c>
      <c r="C137" s="18" t="inlineStr">
        <is>
          <t>Refil Everest</t>
        </is>
      </c>
      <c r="D137" s="27" t="n">
        <v>140</v>
      </c>
      <c r="E137" s="18" t="inlineStr">
        <is>
          <t>Pix</t>
        </is>
      </c>
      <c r="F137" s="19" t="n"/>
      <c r="G137" s="19" t="n"/>
      <c r="H137" s="21" t="n"/>
      <c r="I137" s="18" t="inlineStr">
        <is>
          <t>Pago adiantado em 19/10/2026 no mesmo Pix de R$ 250,00 da Larissa Sena; troca prevista para 20/10/2026.</t>
        </is>
      </c>
      <c r="J137" s="18" t="inlineStr">
        <is>
          <t>EMP-0184</t>
        </is>
      </c>
    </row>
    <row r="138">
      <c r="A138" s="44" t="n">
        <v>46314</v>
      </c>
      <c r="B138" s="45" t="inlineStr">
        <is>
          <t>Combustível</t>
        </is>
      </c>
      <c r="C138" s="45" t="n"/>
      <c r="D138" s="46" t="n"/>
      <c r="E138" s="45" t="n"/>
      <c r="F138" s="47" t="n"/>
      <c r="G138" s="48" t="n">
        <v>30</v>
      </c>
      <c r="H138" s="49" t="inlineStr">
        <is>
          <t>Transporte e Entregas</t>
        </is>
      </c>
      <c r="I138" s="45" t="inlineStr">
        <is>
          <t>Etanol aditivado V-Power 6,186 L a R$ 4,85/L — Posto Avenida Jacobina (Avenida Posto de Combustíveis LTDA, CNPJ 46.115.794/0001-30, Av. Orlando Oliveira Pires, 1430, Centro, Jacobina), NFC-e nº 000930413 série 002 de 19/10/2026 16:34. Pago R$ 30,00 em dinheiro.</t>
        </is>
      </c>
    </row>
    <row r="139">
      <c r="A139" s="17" t="n">
        <v>46314</v>
      </c>
      <c r="B139" s="18" t="inlineStr">
        <is>
          <t>Vale Edilânia</t>
        </is>
      </c>
      <c r="C139" s="18" t="n"/>
      <c r="D139" s="27" t="n"/>
      <c r="E139" s="18" t="n"/>
      <c r="F139" s="19" t="n"/>
      <c r="G139" s="19" t="n">
        <v>20</v>
      </c>
      <c r="H139" s="21" t="inlineStr">
        <is>
          <t>Pro Labore Edilânia</t>
        </is>
      </c>
      <c r="I139" s="18" t="inlineStr">
        <is>
          <t>Vale de R$ 20,00 retirado do caixa em 19/10/2026.</t>
        </is>
      </c>
      <c r="J139" s="18" t="n"/>
    </row>
    <row r="140">
      <c r="A140" s="44" t="n">
        <v>46315</v>
      </c>
      <c r="B140" s="45" t="inlineStr">
        <is>
          <t>Banco do Nordeste do Brasil</t>
        </is>
      </c>
      <c r="C140" s="45" t="inlineStr">
        <is>
          <t>Refil Everest + Pré Filtro</t>
        </is>
      </c>
      <c r="D140" s="46" t="n">
        <v>200</v>
      </c>
      <c r="E140" s="45" t="inlineStr">
        <is>
          <t>Aguardando Pagamento</t>
        </is>
      </c>
      <c r="F140" s="47" t="n"/>
      <c r="G140" s="48" t="n"/>
      <c r="H140" s="49" t="n"/>
      <c r="I140" s="45" t="n"/>
      <c r="J140" t="inlineStr">
        <is>
          <t>EMP-0220</t>
        </is>
      </c>
    </row>
    <row r="141">
      <c r="A141" s="17" t="n">
        <v>46315</v>
      </c>
      <c r="B141" s="18" t="inlineStr">
        <is>
          <t>Receita Federal — Simples Nacional (DAS)</t>
        </is>
      </c>
      <c r="C141" s="18" t="n"/>
      <c r="D141" s="27" t="n"/>
      <c r="E141" s="18" t="n"/>
      <c r="F141" s="19" t="n"/>
      <c r="G141" s="19" t="n">
        <v>1430.03</v>
      </c>
      <c r="H141" s="21" t="inlineStr">
        <is>
          <t>Impostos e Taxas</t>
        </is>
      </c>
      <c r="I141" s="18" t="inlineStr">
        <is>
          <t>DAS competência setembro/2026 (doc. 07.20.26292.9598304-7) — venc. 20/10/2026. Detalhe: IRPJ R$ 78,65 · CSLL R$ 50,05 · COFINS R$ 182,19 · PIS R$ 39,47 · INSS R$ 593,46 · ICMS (BA) R$ 486,21. Pago em 20/10/2026 pelo Banco do Nordeste.</t>
        </is>
      </c>
      <c r="J141" s="18" t="n"/>
    </row>
    <row r="142">
      <c r="A142" s="44" t="n">
        <v>46315</v>
      </c>
      <c r="B142" s="45" t="inlineStr">
        <is>
          <t>Sindicato dos Trabalhadores Rurais</t>
        </is>
      </c>
      <c r="C142" s="45" t="inlineStr">
        <is>
          <t>Refil Everest</t>
        </is>
      </c>
      <c r="D142" s="46" t="n">
        <v>140</v>
      </c>
      <c r="E142" s="45" t="inlineStr">
        <is>
          <t>Dinheiro</t>
        </is>
      </c>
      <c r="F142" s="47" t="n"/>
      <c r="G142" s="48" t="n"/>
      <c r="H142" s="49" t="n"/>
      <c r="I142" s="45" t="inlineStr">
        <is>
          <t>Comprou na loja.</t>
        </is>
      </c>
      <c r="J142" t="inlineStr">
        <is>
          <t>OUT-0087</t>
        </is>
      </c>
    </row>
    <row r="143">
      <c r="A143" s="17" t="n">
        <v>46315</v>
      </c>
      <c r="B143" s="18" t="inlineStr">
        <is>
          <t>Magna dos Santos Carneiro Goncalves - Mirna</t>
        </is>
      </c>
      <c r="C143" s="18" t="inlineStr">
        <is>
          <t>Refil Everest</t>
        </is>
      </c>
      <c r="D143" s="27" t="n">
        <v>140</v>
      </c>
      <c r="E143" s="18" t="inlineStr">
        <is>
          <t>Aguardando Pagamento</t>
        </is>
      </c>
      <c r="F143" s="19" t="n"/>
      <c r="G143" s="19" t="n"/>
      <c r="H143" s="21" t="n"/>
      <c r="I143" s="18" t="n"/>
      <c r="J143" s="18" t="inlineStr">
        <is>
          <t>CLI-0488</t>
        </is>
      </c>
    </row>
    <row r="144">
      <c r="A144" s="44" t="n">
        <v>46315</v>
      </c>
      <c r="B144" s="45" t="inlineStr">
        <is>
          <t>Real Calçados Loja 1</t>
        </is>
      </c>
      <c r="C144" s="45" t="inlineStr">
        <is>
          <t>2x Refil Everest + Refil Pro Life + 2x Pré Filtro</t>
        </is>
      </c>
      <c r="D144" s="46" t="n">
        <v>515</v>
      </c>
      <c r="E144" s="45" t="inlineStr">
        <is>
          <t>Dinheiro</t>
        </is>
      </c>
      <c r="F144" s="47" t="n"/>
      <c r="G144" s="48" t="n"/>
      <c r="H144" s="49" t="n"/>
      <c r="I144" s="45" t="inlineStr">
        <is>
          <t>Loja 1 — térreo: Refil Everest + Pré Filtro · 1º andar: Refil Everest · 2º andar: Refil Pro Life + Pré Filtro. Total R$ 540,00 com desconto de R$ 25,00.</t>
        </is>
      </c>
      <c r="J144" t="inlineStr">
        <is>
          <t>EMP-0255</t>
        </is>
      </c>
    </row>
    <row r="145">
      <c r="A145" s="17" t="n">
        <v>46315</v>
      </c>
      <c r="B145" s="18" t="inlineStr">
        <is>
          <t>Everest Refrigeração</t>
        </is>
      </c>
      <c r="C145" s="18" t="n"/>
      <c r="D145" s="27" t="n"/>
      <c r="E145" s="18" t="n"/>
      <c r="F145" s="19" t="n"/>
      <c r="G145" s="19" t="n">
        <v>874.6799999999999</v>
      </c>
      <c r="H145" s="21" t="inlineStr">
        <is>
          <t>Fornecedores / Mercadoria</t>
        </is>
      </c>
      <c r="I145" s="18" t="inlineStr">
        <is>
          <t>Boleto doc. 379826 (emissão 22/06/2026) · parcela 4/5 — venc. 20/10/2026. Pago em 20/10/2026.</t>
        </is>
      </c>
      <c r="J145" s="18" t="n"/>
    </row>
    <row r="146">
      <c r="A146" s="44" t="n">
        <v>46315</v>
      </c>
      <c r="B146" s="45" t="inlineStr">
        <is>
          <t>FGTS Digital (GFD)</t>
        </is>
      </c>
      <c r="C146" s="45" t="n"/>
      <c r="D146" s="46" t="n"/>
      <c r="E146" s="45" t="n"/>
      <c r="F146" s="47" t="n"/>
      <c r="G146" s="48" t="n">
        <v>136</v>
      </c>
      <c r="H146" s="49" t="inlineStr">
        <is>
          <t>Impostos e Taxas</t>
        </is>
      </c>
      <c r="I146" s="45" t="inlineStr">
        <is>
          <t>FGTS mensal — competência 09/2026. Venc. 20/10/2026, pago em 20/10/2026.</t>
        </is>
      </c>
    </row>
    <row r="147">
      <c r="A147" s="17" t="n">
        <v>46315</v>
      </c>
      <c r="B147" s="18" t="inlineStr">
        <is>
          <t>Receita Federal — DARF / INSS</t>
        </is>
      </c>
      <c r="C147" s="18" t="n"/>
      <c r="D147" s="27" t="n"/>
      <c r="E147" s="18" t="n"/>
      <c r="F147" s="19" t="n"/>
      <c r="G147" s="19" t="n">
        <v>306.99</v>
      </c>
      <c r="H147" s="21" t="inlineStr">
        <is>
          <t>Impostos e Taxas</t>
        </is>
      </c>
      <c r="I147" s="18" t="inlineStr">
        <is>
          <t>DARF / INSS — período de apuração setembro/2026. Venc. 20/10/2026, pago em 20/10/2026.</t>
        </is>
      </c>
      <c r="J147" s="18" t="n"/>
    </row>
    <row r="148">
      <c r="A148" s="44" t="n">
        <v>46315</v>
      </c>
      <c r="B148" s="45" t="inlineStr">
        <is>
          <t>Loja da Claro</t>
        </is>
      </c>
      <c r="C148" s="45" t="inlineStr">
        <is>
          <t>Refil Lacqua</t>
        </is>
      </c>
      <c r="D148" s="46" t="n">
        <v>80</v>
      </c>
      <c r="E148" s="45" t="inlineStr">
        <is>
          <t>Aguardando Pagamento</t>
        </is>
      </c>
      <c r="F148" s="47" t="n"/>
      <c r="G148" s="48" t="n"/>
      <c r="H148" s="49" t="n"/>
      <c r="I148" s="45" t="inlineStr">
        <is>
          <t>Cliente ainda não cadastrado na Planilha de Clientes.</t>
        </is>
      </c>
    </row>
    <row r="149">
      <c r="A149" s="17" t="n"/>
      <c r="B149" s="18" t="n"/>
      <c r="C149" s="18" t="n"/>
      <c r="D149" s="27" t="n"/>
      <c r="E149" s="18" t="n"/>
      <c r="F149" s="19" t="n"/>
      <c r="G149" s="19" t="n"/>
      <c r="H149" s="21" t="n"/>
      <c r="I149" s="18" t="n"/>
      <c r="J149" s="18" t="n"/>
    </row>
    <row r="150">
      <c r="A150" s="44" t="n"/>
      <c r="B150" s="45" t="n"/>
      <c r="C150" s="45" t="n"/>
      <c r="D150" s="46" t="n"/>
      <c r="E150" s="45" t="n"/>
      <c r="F150" s="47" t="n"/>
      <c r="G150" s="48" t="n"/>
      <c r="H150" s="49" t="n"/>
      <c r="I150" s="45" t="n"/>
    </row>
    <row r="151">
      <c r="A151" s="17" t="n"/>
      <c r="B151" s="18" t="n"/>
      <c r="C151" s="18" t="n"/>
      <c r="D151" s="27" t="n"/>
      <c r="E151" s="18" t="n"/>
      <c r="F151" s="19" t="n"/>
      <c r="G151" s="19" t="n"/>
      <c r="H151" s="21" t="n"/>
      <c r="I151" s="18" t="n"/>
      <c r="J151" s="18" t="n"/>
    </row>
    <row r="152">
      <c r="A152" s="44" t="n"/>
      <c r="B152" s="45" t="n"/>
      <c r="C152" s="45" t="n"/>
      <c r="D152" s="46" t="n"/>
      <c r="E152" s="45" t="n"/>
      <c r="F152" s="47" t="n"/>
      <c r="G152" s="48" t="n"/>
      <c r="H152" s="49" t="n"/>
      <c r="I152" s="45" t="n"/>
    </row>
    <row r="153">
      <c r="A153" s="17" t="n"/>
      <c r="B153" s="18" t="n"/>
      <c r="C153" s="18" t="n"/>
      <c r="D153" s="27" t="n"/>
      <c r="E153" s="18" t="n"/>
      <c r="F153" s="19" t="n"/>
      <c r="G153" s="19" t="n"/>
      <c r="H153" s="21" t="n"/>
      <c r="I153" s="18" t="n"/>
      <c r="J153" s="18" t="n"/>
    </row>
    <row r="154">
      <c r="A154" s="44" t="n"/>
      <c r="B154" s="45" t="n"/>
      <c r="C154" s="45" t="n"/>
      <c r="D154" s="46" t="n"/>
      <c r="E154" s="45" t="n"/>
      <c r="F154" s="47" t="n"/>
      <c r="G154" s="48" t="n"/>
      <c r="H154" s="49" t="n"/>
      <c r="I154" s="45" t="n"/>
    </row>
    <row r="155">
      <c r="A155" s="17" t="n"/>
      <c r="B155" s="18" t="n"/>
      <c r="C155" s="18" t="n"/>
      <c r="D155" s="27" t="n"/>
      <c r="E155" s="18" t="n"/>
      <c r="F155" s="19" t="n"/>
      <c r="G155" s="19" t="n"/>
      <c r="H155" s="21" t="n"/>
      <c r="I155" s="18" t="n"/>
      <c r="J155" s="18" t="n"/>
    </row>
    <row r="156">
      <c r="A156" s="44" t="n"/>
      <c r="B156" s="45" t="n"/>
      <c r="C156" s="45" t="n"/>
      <c r="D156" s="46" t="n"/>
      <c r="E156" s="45" t="n"/>
      <c r="F156" s="47" t="n"/>
      <c r="G156" s="48" t="n"/>
      <c r="H156" s="49" t="n"/>
      <c r="I156" s="45" t="n"/>
    </row>
    <row r="157">
      <c r="A157" s="17" t="n"/>
      <c r="B157" s="18" t="n"/>
      <c r="C157" s="18" t="n"/>
      <c r="D157" s="27" t="n"/>
      <c r="E157" s="18" t="n"/>
      <c r="F157" s="19" t="n"/>
      <c r="G157" s="19" t="n"/>
      <c r="H157" s="21" t="n"/>
      <c r="I157" s="18" t="n"/>
      <c r="J157" s="18" t="n"/>
    </row>
    <row r="158">
      <c r="A158" s="44" t="n"/>
      <c r="B158" s="45" t="n"/>
      <c r="C158" s="45" t="n"/>
      <c r="D158" s="46" t="n"/>
      <c r="E158" s="45" t="n"/>
      <c r="F158" s="47" t="n"/>
      <c r="G158" s="48" t="n"/>
      <c r="H158" s="49" t="n"/>
      <c r="I158" s="45" t="n"/>
    </row>
    <row r="159">
      <c r="A159" s="17" t="n"/>
      <c r="B159" s="18" t="n"/>
      <c r="C159" s="18" t="n"/>
      <c r="D159" s="27" t="n"/>
      <c r="E159" s="18" t="n"/>
      <c r="F159" s="19" t="n"/>
      <c r="G159" s="19" t="n"/>
      <c r="H159" s="21" t="n"/>
      <c r="I159" s="18" t="n"/>
      <c r="J159" s="18" t="n"/>
    </row>
    <row r="160">
      <c r="A160" s="44" t="n"/>
      <c r="B160" s="45" t="n"/>
      <c r="C160" s="45" t="n"/>
      <c r="D160" s="46" t="n"/>
      <c r="E160" s="45" t="n"/>
      <c r="F160" s="47" t="n"/>
      <c r="G160" s="48" t="n"/>
      <c r="H160" s="49" t="n"/>
      <c r="I160" s="45" t="n"/>
    </row>
    <row r="161">
      <c r="A161" s="17" t="n"/>
      <c r="B161" s="18" t="n"/>
      <c r="C161" s="18" t="n"/>
      <c r="D161" s="27" t="n"/>
      <c r="E161" s="18" t="n"/>
      <c r="F161" s="19" t="n"/>
      <c r="G161" s="19" t="n"/>
      <c r="H161" s="21" t="n"/>
      <c r="I161" s="18" t="n"/>
      <c r="J161" s="18" t="n"/>
    </row>
    <row r="162">
      <c r="A162" s="44" t="n"/>
      <c r="B162" s="45" t="n"/>
      <c r="C162" s="45" t="n"/>
      <c r="D162" s="46" t="n"/>
      <c r="E162" s="45" t="n"/>
      <c r="F162" s="47" t="n"/>
      <c r="G162" s="48" t="n"/>
      <c r="H162" s="49" t="n"/>
      <c r="I162" s="45" t="n"/>
    </row>
    <row r="163">
      <c r="A163" s="17" t="n"/>
      <c r="B163" s="18" t="n"/>
      <c r="C163" s="18" t="n"/>
      <c r="D163" s="27" t="n"/>
      <c r="E163" s="18" t="n"/>
      <c r="F163" s="19" t="n"/>
      <c r="G163" s="19" t="n"/>
      <c r="H163" s="21" t="n"/>
      <c r="I163" s="18" t="n"/>
      <c r="J163" s="18" t="n"/>
    </row>
    <row r="164">
      <c r="A164" s="44" t="n"/>
      <c r="B164" s="45" t="n"/>
      <c r="C164" s="45" t="n"/>
      <c r="D164" s="46" t="n"/>
      <c r="E164" s="45" t="n"/>
      <c r="F164" s="47" t="n"/>
      <c r="G164" s="48" t="n"/>
      <c r="H164" s="49" t="n"/>
      <c r="I164" s="45" t="n"/>
    </row>
    <row r="165">
      <c r="A165" s="17" t="n"/>
      <c r="B165" s="18" t="n"/>
      <c r="C165" s="18" t="n"/>
      <c r="D165" s="27" t="n"/>
      <c r="E165" s="18" t="n"/>
      <c r="F165" s="19" t="n"/>
      <c r="G165" s="19" t="n"/>
      <c r="H165" s="21" t="n"/>
      <c r="I165" s="18" t="n"/>
      <c r="J165" s="18" t="n"/>
    </row>
    <row r="166">
      <c r="A166" s="44" t="n"/>
      <c r="B166" s="45" t="n"/>
      <c r="C166" s="45" t="n"/>
      <c r="D166" s="46" t="n"/>
      <c r="E166" s="45" t="n"/>
      <c r="F166" s="47" t="n"/>
      <c r="G166" s="48" t="n"/>
      <c r="H166" s="49" t="n"/>
      <c r="I166" s="45" t="n"/>
    </row>
    <row r="167">
      <c r="A167" s="17" t="n"/>
      <c r="B167" s="18" t="n"/>
      <c r="C167" s="18" t="n"/>
      <c r="D167" s="27" t="n"/>
      <c r="E167" s="18" t="n"/>
      <c r="F167" s="19" t="n"/>
      <c r="G167" s="19" t="n"/>
      <c r="H167" s="21" t="n"/>
      <c r="I167" s="18" t="n"/>
      <c r="J167" s="18" t="n"/>
    </row>
    <row r="168">
      <c r="A168" s="44" t="n"/>
      <c r="B168" s="45" t="n"/>
      <c r="C168" s="45" t="n"/>
      <c r="D168" s="46" t="n"/>
      <c r="E168" s="45" t="n"/>
      <c r="F168" s="47" t="n"/>
      <c r="G168" s="48" t="n"/>
      <c r="H168" s="49" t="n"/>
      <c r="I168" s="45" t="n"/>
    </row>
    <row r="169">
      <c r="A169" s="17" t="n"/>
      <c r="B169" s="18" t="n"/>
      <c r="C169" s="18" t="n"/>
      <c r="D169" s="27" t="n"/>
      <c r="E169" s="18" t="n"/>
      <c r="F169" s="19" t="n"/>
      <c r="G169" s="19" t="n"/>
      <c r="H169" s="21" t="n"/>
      <c r="I169" s="18" t="n"/>
      <c r="J169" s="18" t="n"/>
    </row>
    <row r="170">
      <c r="A170" s="44" t="n"/>
      <c r="B170" s="45" t="n"/>
      <c r="C170" s="45" t="n"/>
      <c r="D170" s="46" t="n"/>
      <c r="E170" s="45" t="n"/>
      <c r="F170" s="47" t="n"/>
      <c r="G170" s="48" t="n"/>
      <c r="H170" s="49" t="n"/>
      <c r="I170" s="45" t="n"/>
    </row>
    <row r="171">
      <c r="A171" s="17" t="n"/>
      <c r="B171" s="18" t="n"/>
      <c r="C171" s="18" t="n"/>
      <c r="D171" s="27" t="n"/>
      <c r="E171" s="18" t="n"/>
      <c r="F171" s="19" t="n"/>
      <c r="G171" s="19" t="n"/>
      <c r="H171" s="21" t="n"/>
      <c r="I171" s="18" t="n"/>
      <c r="J171" s="18" t="n"/>
    </row>
    <row r="172">
      <c r="A172" s="44" t="n"/>
      <c r="B172" s="45" t="n"/>
      <c r="C172" s="45" t="n"/>
      <c r="D172" s="46" t="n"/>
      <c r="E172" s="45" t="n"/>
      <c r="F172" s="47" t="n"/>
      <c r="G172" s="48" t="n"/>
      <c r="H172" s="49" t="n"/>
      <c r="I172" s="45" t="n"/>
    </row>
    <row r="173">
      <c r="A173" s="17" t="n"/>
      <c r="B173" s="18" t="n"/>
      <c r="C173" s="18" t="n"/>
      <c r="D173" s="27" t="n"/>
      <c r="E173" s="18" t="n"/>
      <c r="F173" s="19" t="n"/>
      <c r="G173" s="19" t="n"/>
      <c r="H173" s="21" t="n"/>
      <c r="I173" s="18" t="n"/>
      <c r="J173" s="18" t="n"/>
    </row>
    <row r="174">
      <c r="A174" s="44" t="n"/>
      <c r="B174" s="45" t="n"/>
      <c r="C174" s="45" t="n"/>
      <c r="D174" s="46" t="n"/>
      <c r="E174" s="45" t="n"/>
      <c r="F174" s="47" t="n"/>
      <c r="G174" s="48" t="n"/>
      <c r="H174" s="49" t="n"/>
      <c r="I174" s="45" t="n"/>
    </row>
    <row r="175">
      <c r="A175" s="17" t="n"/>
      <c r="B175" s="18" t="n"/>
      <c r="C175" s="18" t="n"/>
      <c r="D175" s="27" t="n"/>
      <c r="E175" s="18" t="n"/>
      <c r="F175" s="19" t="n"/>
      <c r="G175" s="19" t="n"/>
      <c r="H175" s="21" t="n"/>
      <c r="I175" s="18" t="n"/>
      <c r="J175" s="18" t="n"/>
    </row>
    <row r="176">
      <c r="A176" s="44" t="n"/>
      <c r="B176" s="45" t="n"/>
      <c r="C176" s="45" t="n"/>
      <c r="D176" s="46" t="n"/>
      <c r="E176" s="45" t="n"/>
      <c r="F176" s="47" t="n"/>
      <c r="G176" s="48" t="n"/>
      <c r="H176" s="49" t="n"/>
      <c r="I176" s="45" t="n"/>
    </row>
    <row r="177">
      <c r="A177" s="17" t="n"/>
      <c r="B177" s="18" t="n"/>
      <c r="C177" s="18" t="n"/>
      <c r="D177" s="27" t="n"/>
      <c r="E177" s="18" t="n"/>
      <c r="F177" s="19" t="n"/>
      <c r="G177" s="19" t="n"/>
      <c r="H177" s="21" t="n"/>
      <c r="I177" s="18" t="n"/>
      <c r="J177" s="18" t="n"/>
    </row>
    <row r="178">
      <c r="A178" s="44" t="n"/>
      <c r="B178" s="45" t="n"/>
      <c r="C178" s="45" t="n"/>
      <c r="D178" s="46" t="n"/>
      <c r="E178" s="45" t="n"/>
      <c r="F178" s="47" t="n"/>
      <c r="G178" s="48" t="n"/>
      <c r="H178" s="49" t="n"/>
      <c r="I178" s="45" t="n"/>
    </row>
    <row r="179">
      <c r="A179" s="17" t="n"/>
      <c r="B179" s="18" t="n"/>
      <c r="C179" s="18" t="n"/>
      <c r="D179" s="27" t="n"/>
      <c r="E179" s="18" t="n"/>
      <c r="F179" s="19" t="n"/>
      <c r="G179" s="19" t="n"/>
      <c r="H179" s="21" t="n"/>
      <c r="I179" s="18" t="n"/>
      <c r="J179" s="18" t="n"/>
    </row>
    <row r="180">
      <c r="A180" s="44" t="n"/>
      <c r="B180" s="45" t="n"/>
      <c r="C180" s="45" t="n"/>
      <c r="D180" s="46" t="n"/>
      <c r="E180" s="45" t="n"/>
      <c r="F180" s="47" t="n"/>
      <c r="G180" s="48" t="n"/>
      <c r="H180" s="49" t="n"/>
      <c r="I180" s="45" t="n"/>
    </row>
    <row r="181">
      <c r="A181" s="17" t="n"/>
      <c r="B181" s="18" t="n"/>
      <c r="C181" s="18" t="n"/>
      <c r="D181" s="27" t="n"/>
      <c r="E181" s="18" t="n"/>
      <c r="F181" s="19" t="n"/>
      <c r="G181" s="19" t="n"/>
      <c r="H181" s="21" t="n"/>
      <c r="I181" s="18" t="n"/>
      <c r="J181" s="18" t="n"/>
    </row>
    <row r="182">
      <c r="A182" s="44" t="n"/>
      <c r="B182" s="45" t="n"/>
      <c r="C182" s="45" t="n"/>
      <c r="D182" s="46" t="n"/>
      <c r="E182" s="45" t="n"/>
      <c r="F182" s="47" t="n"/>
      <c r="G182" s="48" t="n"/>
      <c r="H182" s="49" t="n"/>
      <c r="I182" s="45" t="n"/>
    </row>
    <row r="183">
      <c r="A183" s="17" t="n"/>
      <c r="B183" s="18" t="n"/>
      <c r="C183" s="18" t="n"/>
      <c r="D183" s="27" t="n"/>
      <c r="E183" s="18" t="n"/>
      <c r="F183" s="19" t="n"/>
      <c r="G183" s="19" t="n"/>
      <c r="H183" s="21" t="n"/>
      <c r="I183" s="18" t="n"/>
      <c r="J183" s="18" t="n"/>
    </row>
    <row r="184">
      <c r="A184" s="44" t="n"/>
      <c r="B184" s="45" t="n"/>
      <c r="C184" s="45" t="n"/>
      <c r="D184" s="46" t="n"/>
      <c r="E184" s="45" t="n"/>
      <c r="F184" s="47" t="n"/>
      <c r="G184" s="48" t="n"/>
      <c r="H184" s="49" t="n"/>
      <c r="I184" s="45" t="n"/>
    </row>
    <row r="185">
      <c r="A185" s="17" t="n"/>
      <c r="B185" s="18" t="n"/>
      <c r="C185" s="18" t="n"/>
      <c r="D185" s="27" t="n"/>
      <c r="E185" s="18" t="n"/>
      <c r="F185" s="19" t="n"/>
      <c r="G185" s="19" t="n"/>
      <c r="H185" s="21" t="n"/>
      <c r="I185" s="18" t="n"/>
      <c r="J185" s="18" t="n"/>
    </row>
    <row r="186">
      <c r="A186" s="44" t="n"/>
      <c r="B186" s="45" t="n"/>
      <c r="C186" s="45" t="n"/>
      <c r="D186" s="46" t="n"/>
      <c r="E186" s="45" t="n"/>
      <c r="F186" s="47" t="n"/>
      <c r="G186" s="48" t="n"/>
      <c r="H186" s="49" t="n"/>
      <c r="I186" s="45" t="n"/>
    </row>
    <row r="187">
      <c r="A187" s="17" t="n"/>
      <c r="B187" s="18" t="n"/>
      <c r="C187" s="18" t="n"/>
      <c r="D187" s="27" t="n"/>
      <c r="E187" s="18" t="n"/>
      <c r="F187" s="19" t="n"/>
      <c r="G187" s="19" t="n"/>
      <c r="H187" s="21" t="n"/>
      <c r="I187" s="18" t="n"/>
      <c r="J187" s="18" t="n"/>
    </row>
    <row r="188">
      <c r="A188" s="44" t="n"/>
      <c r="B188" s="45" t="n"/>
      <c r="C188" s="45" t="n"/>
      <c r="D188" s="46" t="n"/>
      <c r="E188" s="45" t="n"/>
      <c r="F188" s="47" t="n"/>
      <c r="G188" s="48" t="n"/>
      <c r="H188" s="49" t="n"/>
      <c r="I188" s="45" t="n"/>
    </row>
    <row r="189">
      <c r="A189" s="17" t="n"/>
      <c r="B189" s="18" t="n"/>
      <c r="C189" s="18" t="n"/>
      <c r="D189" s="27" t="n"/>
      <c r="E189" s="18" t="n"/>
      <c r="F189" s="19" t="n"/>
      <c r="G189" s="19" t="n"/>
      <c r="H189" s="21" t="n"/>
      <c r="I189" s="18" t="n"/>
      <c r="J189" s="18" t="n"/>
    </row>
    <row r="190">
      <c r="A190" s="44" t="n"/>
      <c r="B190" s="45" t="n"/>
      <c r="C190" s="45" t="n"/>
      <c r="D190" s="46" t="n"/>
      <c r="E190" s="45" t="n"/>
      <c r="F190" s="47" t="n"/>
      <c r="G190" s="48" t="n"/>
      <c r="H190" s="49" t="n"/>
      <c r="I190" s="45" t="n"/>
    </row>
    <row r="191">
      <c r="A191" s="17" t="n"/>
      <c r="B191" s="18" t="n"/>
      <c r="C191" s="18" t="n"/>
      <c r="D191" s="27" t="n"/>
      <c r="E191" s="18" t="n"/>
      <c r="F191" s="19" t="n"/>
      <c r="G191" s="19" t="n"/>
      <c r="H191" s="21" t="n"/>
      <c r="I191" s="18" t="n"/>
      <c r="J191" s="18" t="n"/>
    </row>
    <row r="192">
      <c r="A192" s="44" t="n"/>
      <c r="B192" s="45" t="n"/>
      <c r="C192" s="45" t="n"/>
      <c r="D192" s="46" t="n"/>
      <c r="E192" s="45" t="n"/>
      <c r="F192" s="47" t="n"/>
      <c r="G192" s="48" t="n"/>
      <c r="H192" s="49" t="n"/>
      <c r="I192" s="45" t="n"/>
    </row>
    <row r="193">
      <c r="A193" s="17" t="n"/>
      <c r="B193" s="18" t="n"/>
      <c r="C193" s="18" t="n"/>
      <c r="D193" s="27" t="n"/>
      <c r="E193" s="18" t="n"/>
      <c r="F193" s="19" t="n"/>
      <c r="G193" s="19" t="n"/>
      <c r="H193" s="21" t="n"/>
      <c r="I193" s="18" t="n"/>
      <c r="J193" s="18" t="n"/>
    </row>
    <row r="194">
      <c r="A194" s="44" t="n"/>
      <c r="B194" s="45" t="n"/>
      <c r="C194" s="45" t="n"/>
      <c r="D194" s="46" t="n"/>
      <c r="E194" s="45" t="n"/>
      <c r="F194" s="47" t="n"/>
      <c r="G194" s="48" t="n"/>
      <c r="H194" s="49" t="n"/>
      <c r="I194" s="45" t="n"/>
    </row>
    <row r="195">
      <c r="A195" s="17" t="n"/>
      <c r="B195" s="18" t="n"/>
      <c r="C195" s="18" t="n"/>
      <c r="D195" s="27" t="n"/>
      <c r="E195" s="18" t="n"/>
      <c r="F195" s="19" t="n"/>
      <c r="G195" s="19" t="n"/>
      <c r="H195" s="21" t="n"/>
      <c r="I195" s="18" t="n"/>
      <c r="J195" s="18" t="n"/>
    </row>
    <row r="196">
      <c r="A196" s="44" t="n"/>
      <c r="B196" s="45" t="n"/>
      <c r="C196" s="45" t="n"/>
      <c r="D196" s="46" t="n"/>
      <c r="E196" s="45" t="n"/>
      <c r="F196" s="47" t="n"/>
      <c r="G196" s="48" t="n"/>
      <c r="H196" s="49" t="n"/>
      <c r="I196" s="45" t="n"/>
    </row>
    <row r="197">
      <c r="A197" s="17" t="n"/>
      <c r="B197" s="18" t="n"/>
      <c r="C197" s="18" t="n"/>
      <c r="D197" s="27" t="n"/>
      <c r="E197" s="18" t="n"/>
      <c r="F197" s="19" t="n"/>
      <c r="G197" s="19" t="n"/>
      <c r="H197" s="21" t="n"/>
      <c r="I197" s="18" t="n"/>
      <c r="J197" s="18" t="n"/>
    </row>
    <row r="198">
      <c r="A198" s="44" t="n"/>
      <c r="B198" s="45" t="n"/>
      <c r="C198" s="45" t="n"/>
      <c r="D198" s="46" t="n"/>
      <c r="E198" s="45" t="n"/>
      <c r="F198" s="47" t="n"/>
      <c r="G198" s="48" t="n"/>
      <c r="H198" s="49" t="n"/>
      <c r="I198" s="45" t="n"/>
    </row>
    <row r="199">
      <c r="A199" s="17" t="n"/>
      <c r="B199" s="18" t="n"/>
      <c r="C199" s="18" t="n"/>
      <c r="D199" s="27" t="n"/>
      <c r="E199" s="18" t="n"/>
      <c r="F199" s="19" t="n"/>
      <c r="G199" s="19" t="n"/>
      <c r="H199" s="21" t="n"/>
      <c r="I199" s="18" t="n"/>
      <c r="J199" s="18" t="n"/>
    </row>
    <row r="200">
      <c r="A200" s="44" t="n"/>
      <c r="B200" s="45" t="n"/>
      <c r="C200" s="45" t="n"/>
      <c r="D200" s="46" t="n"/>
      <c r="E200" s="45" t="n"/>
      <c r="F200" s="47" t="n"/>
      <c r="G200" s="48" t="n"/>
      <c r="H200" s="49" t="n"/>
      <c r="I200" s="45" t="n"/>
    </row>
    <row r="201">
      <c r="A201" s="17" t="n"/>
      <c r="B201" s="18" t="n"/>
      <c r="C201" s="18" t="n"/>
      <c r="D201" s="27" t="n"/>
      <c r="E201" s="18" t="n"/>
      <c r="F201" s="19" t="n"/>
      <c r="G201" s="19" t="n"/>
      <c r="H201" s="21" t="n"/>
      <c r="I201" s="18" t="n"/>
      <c r="J201" s="18" t="n"/>
    </row>
    <row r="202">
      <c r="A202" s="44" t="n"/>
      <c r="B202" s="45" t="n"/>
      <c r="C202" s="45" t="n"/>
      <c r="D202" s="46" t="n"/>
      <c r="E202" s="45" t="n"/>
      <c r="F202" s="47" t="n"/>
      <c r="G202" s="48" t="n"/>
      <c r="H202" s="49" t="n"/>
      <c r="I202" s="45" t="n"/>
    </row>
    <row r="203">
      <c r="A203" s="17" t="n"/>
      <c r="B203" s="18" t="n"/>
      <c r="C203" s="18" t="n"/>
      <c r="D203" s="27" t="n"/>
      <c r="E203" s="18" t="n"/>
      <c r="F203" s="19" t="n"/>
      <c r="G203" s="19" t="n"/>
      <c r="H203" s="21" t="n"/>
      <c r="I203" s="18" t="n"/>
      <c r="J203" s="18" t="n"/>
    </row>
    <row r="204">
      <c r="A204" s="44" t="n"/>
      <c r="B204" s="45" t="n"/>
      <c r="C204" s="45" t="n"/>
      <c r="D204" s="46" t="n"/>
      <c r="E204" s="45" t="n"/>
      <c r="F204" s="47" t="n"/>
      <c r="G204" s="48" t="n"/>
      <c r="H204" s="49" t="n"/>
      <c r="I204" s="45" t="n"/>
    </row>
    <row r="205">
      <c r="A205" s="17" t="n"/>
      <c r="B205" s="18" t="n"/>
      <c r="C205" s="18" t="n"/>
      <c r="D205" s="27" t="n"/>
      <c r="E205" s="18" t="n"/>
      <c r="F205" s="19" t="n"/>
      <c r="G205" s="19" t="n"/>
      <c r="H205" s="21" t="n"/>
      <c r="I205" s="18" t="n"/>
      <c r="J205" s="18" t="n"/>
    </row>
    <row r="206">
      <c r="A206" s="44" t="n"/>
      <c r="B206" s="45" t="n"/>
      <c r="C206" s="45" t="n"/>
      <c r="D206" s="46" t="n"/>
      <c r="E206" s="45" t="n"/>
      <c r="F206" s="47" t="n"/>
      <c r="G206" s="48" t="n"/>
      <c r="H206" s="49" t="n"/>
      <c r="I206" s="45" t="n"/>
    </row>
    <row r="207">
      <c r="A207" s="17" t="n"/>
      <c r="B207" s="18" t="n"/>
      <c r="C207" s="18" t="n"/>
      <c r="D207" s="27" t="n"/>
      <c r="E207" s="18" t="n"/>
      <c r="F207" s="19" t="n"/>
      <c r="G207" s="19" t="n"/>
      <c r="H207" s="21" t="n"/>
      <c r="I207" s="18" t="n"/>
      <c r="J207" s="18" t="n"/>
    </row>
    <row r="208">
      <c r="A208" s="44" t="n"/>
      <c r="B208" s="45" t="n"/>
      <c r="C208" s="45" t="n"/>
      <c r="D208" s="46" t="n"/>
      <c r="E208" s="45" t="n"/>
      <c r="F208" s="47" t="n"/>
      <c r="G208" s="48" t="n"/>
      <c r="H208" s="49" t="n"/>
      <c r="I208" s="45" t="n"/>
    </row>
    <row r="209">
      <c r="A209" s="17" t="n"/>
      <c r="B209" s="18" t="n"/>
      <c r="C209" s="18" t="n"/>
      <c r="D209" s="27" t="n"/>
      <c r="E209" s="18" t="n"/>
      <c r="F209" s="19" t="n"/>
      <c r="G209" s="19" t="n"/>
      <c r="H209" s="21" t="n"/>
      <c r="I209" s="18" t="n"/>
      <c r="J209" s="18" t="n"/>
    </row>
    <row r="210">
      <c r="A210" s="44" t="n"/>
      <c r="B210" s="45" t="n"/>
      <c r="C210" s="45" t="n"/>
      <c r="D210" s="46" t="n"/>
      <c r="E210" s="45" t="n"/>
      <c r="F210" s="47" t="n"/>
      <c r="G210" s="48" t="n"/>
      <c r="H210" s="49" t="n"/>
      <c r="I210" s="45" t="n"/>
    </row>
    <row r="211">
      <c r="A211" s="17" t="n"/>
      <c r="B211" s="18" t="n"/>
      <c r="C211" s="18" t="n"/>
      <c r="D211" s="27" t="n"/>
      <c r="E211" s="18" t="n"/>
      <c r="F211" s="19" t="n"/>
      <c r="G211" s="19" t="n"/>
      <c r="H211" s="21" t="n"/>
      <c r="I211" s="18" t="n"/>
      <c r="J211" s="18" t="n"/>
    </row>
    <row r="212">
      <c r="A212" s="44" t="n"/>
      <c r="B212" s="45" t="n"/>
      <c r="C212" s="45" t="n"/>
      <c r="D212" s="46" t="n"/>
      <c r="E212" s="45" t="n"/>
      <c r="F212" s="47" t="n"/>
      <c r="G212" s="48" t="n"/>
      <c r="H212" s="49" t="n"/>
      <c r="I212" s="45" t="n"/>
    </row>
    <row r="213">
      <c r="A213" s="17" t="n"/>
      <c r="B213" s="18" t="n"/>
      <c r="C213" s="18" t="n"/>
      <c r="D213" s="27" t="n"/>
      <c r="E213" s="18" t="n"/>
      <c r="F213" s="19" t="n"/>
      <c r="G213" s="19" t="n"/>
      <c r="H213" s="21" t="n"/>
      <c r="I213" s="18" t="n"/>
      <c r="J213" s="18" t="n"/>
    </row>
    <row r="214">
      <c r="A214" s="44" t="n"/>
      <c r="B214" s="45" t="n"/>
      <c r="C214" s="45" t="n"/>
      <c r="D214" s="46" t="n"/>
      <c r="E214" s="45" t="n"/>
      <c r="F214" s="47" t="n"/>
      <c r="G214" s="48" t="n"/>
      <c r="H214" s="49" t="n"/>
      <c r="I214" s="45" t="n"/>
    </row>
    <row r="215">
      <c r="A215" s="17" t="n"/>
      <c r="B215" s="18" t="n"/>
      <c r="C215" s="18" t="n"/>
      <c r="D215" s="27" t="n"/>
      <c r="E215" s="18" t="n"/>
      <c r="F215" s="19" t="n"/>
      <c r="G215" s="19" t="n"/>
      <c r="H215" s="21" t="n"/>
      <c r="I215" s="18" t="n"/>
      <c r="J215" s="18" t="n"/>
    </row>
    <row r="216">
      <c r="A216" s="44" t="n"/>
      <c r="B216" s="45" t="n"/>
      <c r="C216" s="45" t="n"/>
      <c r="D216" s="46" t="n"/>
      <c r="E216" s="45" t="n"/>
      <c r="F216" s="47" t="n"/>
      <c r="G216" s="48" t="n"/>
      <c r="H216" s="49" t="n"/>
      <c r="I216" s="45" t="n"/>
    </row>
    <row r="217">
      <c r="A217" s="17" t="n"/>
      <c r="B217" s="18" t="n"/>
      <c r="C217" s="18" t="n"/>
      <c r="D217" s="27" t="n"/>
      <c r="E217" s="18" t="n"/>
      <c r="F217" s="19" t="n"/>
      <c r="G217" s="19" t="n"/>
      <c r="H217" s="21" t="n"/>
      <c r="I217" s="18" t="n"/>
      <c r="J217" s="18" t="n"/>
    </row>
    <row r="218">
      <c r="A218" s="44" t="n"/>
      <c r="B218" s="45" t="n"/>
      <c r="C218" s="45" t="n"/>
      <c r="D218" s="46" t="n"/>
      <c r="E218" s="45" t="n"/>
      <c r="F218" s="47" t="n"/>
      <c r="G218" s="48" t="n"/>
      <c r="H218" s="49" t="n"/>
      <c r="I218" s="45" t="n"/>
    </row>
    <row r="219">
      <c r="A219" s="17" t="n"/>
      <c r="B219" s="18" t="n"/>
      <c r="C219" s="18" t="n"/>
      <c r="D219" s="27" t="n"/>
      <c r="E219" s="18" t="n"/>
      <c r="F219" s="19" t="n"/>
      <c r="G219" s="19" t="n"/>
      <c r="H219" s="21" t="n"/>
      <c r="I219" s="18" t="n"/>
      <c r="J219" s="18" t="n"/>
    </row>
    <row r="220">
      <c r="A220" s="44" t="n"/>
      <c r="B220" s="45" t="n"/>
      <c r="C220" s="45" t="n"/>
      <c r="D220" s="46" t="n"/>
      <c r="E220" s="45" t="n"/>
      <c r="F220" s="47" t="n"/>
      <c r="G220" s="48" t="n"/>
      <c r="H220" s="49" t="n"/>
      <c r="I220" s="45" t="n"/>
    </row>
    <row r="221">
      <c r="A221" s="17" t="n"/>
      <c r="B221" s="18" t="n"/>
      <c r="C221" s="18" t="n"/>
      <c r="D221" s="27" t="n"/>
      <c r="E221" s="18" t="n"/>
      <c r="F221" s="19" t="n"/>
      <c r="G221" s="19" t="n"/>
      <c r="H221" s="21" t="n"/>
      <c r="I221" s="18" t="n"/>
      <c r="J221" s="18" t="n"/>
    </row>
    <row r="222">
      <c r="A222" s="44" t="n"/>
      <c r="B222" s="45" t="n"/>
      <c r="C222" s="45" t="n"/>
      <c r="D222" s="46" t="n"/>
      <c r="E222" s="45" t="n"/>
      <c r="F222" s="47" t="n"/>
      <c r="G222" s="48" t="n"/>
      <c r="H222" s="49" t="n"/>
      <c r="I222" s="45" t="n"/>
    </row>
    <row r="223">
      <c r="A223" s="17" t="n"/>
      <c r="B223" s="18" t="n"/>
      <c r="C223" s="18" t="n"/>
      <c r="D223" s="27" t="n"/>
      <c r="E223" s="18" t="n"/>
      <c r="F223" s="19" t="n"/>
      <c r="G223" s="19" t="n"/>
      <c r="H223" s="21" t="n"/>
      <c r="I223" s="18" t="n"/>
      <c r="J223" s="18" t="n"/>
    </row>
    <row r="224">
      <c r="A224" s="44" t="n"/>
      <c r="B224" s="45" t="n"/>
      <c r="C224" s="45" t="n"/>
      <c r="D224" s="46" t="n"/>
      <c r="E224" s="45" t="n"/>
      <c r="F224" s="47" t="n"/>
      <c r="G224" s="48" t="n"/>
      <c r="H224" s="49" t="n"/>
      <c r="I224" s="45" t="n"/>
    </row>
    <row r="225">
      <c r="A225" s="17" t="n"/>
      <c r="B225" s="18" t="n"/>
      <c r="C225" s="18" t="n"/>
      <c r="D225" s="27" t="n"/>
      <c r="E225" s="18" t="n"/>
      <c r="F225" s="19" t="n"/>
      <c r="G225" s="19" t="n"/>
      <c r="H225" s="21" t="n"/>
      <c r="I225" s="18" t="n"/>
      <c r="J225" s="18" t="n"/>
    </row>
    <row r="226">
      <c r="A226" s="44" t="n"/>
      <c r="B226" s="45" t="n"/>
      <c r="C226" s="45" t="n"/>
      <c r="D226" s="46" t="n"/>
      <c r="E226" s="45" t="n"/>
      <c r="F226" s="47" t="n"/>
      <c r="G226" s="48" t="n"/>
      <c r="H226" s="49" t="n"/>
      <c r="I226" s="45" t="n"/>
    </row>
    <row r="227">
      <c r="A227" s="17" t="n"/>
      <c r="B227" s="18" t="n"/>
      <c r="C227" s="18" t="n"/>
      <c r="D227" s="27" t="n"/>
      <c r="E227" s="18" t="n"/>
      <c r="F227" s="19" t="n"/>
      <c r="G227" s="19" t="n"/>
      <c r="H227" s="21" t="n"/>
      <c r="I227" s="18" t="n"/>
      <c r="J227" s="18" t="n"/>
    </row>
    <row r="228">
      <c r="A228" s="44" t="n"/>
      <c r="B228" s="45" t="n"/>
      <c r="C228" s="45" t="n"/>
      <c r="D228" s="46" t="n"/>
      <c r="E228" s="45" t="n"/>
      <c r="F228" s="47" t="n"/>
      <c r="G228" s="48" t="n"/>
      <c r="H228" s="49" t="n"/>
      <c r="I228" s="45" t="n"/>
    </row>
    <row r="229">
      <c r="A229" s="17" t="n"/>
      <c r="B229" s="18" t="n"/>
      <c r="C229" s="18" t="n"/>
      <c r="D229" s="27" t="n"/>
      <c r="E229" s="18" t="n"/>
      <c r="F229" s="19" t="n"/>
      <c r="G229" s="19" t="n"/>
      <c r="H229" s="21" t="n"/>
      <c r="I229" s="18" t="n"/>
      <c r="J229" s="18" t="n"/>
    </row>
    <row r="230">
      <c r="A230" s="44" t="n"/>
      <c r="B230" s="45" t="n"/>
      <c r="C230" s="45" t="n"/>
      <c r="D230" s="46" t="n"/>
      <c r="E230" s="45" t="n"/>
      <c r="F230" s="47" t="n"/>
      <c r="G230" s="48" t="n"/>
      <c r="H230" s="49" t="n"/>
      <c r="I230" s="45" t="n"/>
    </row>
    <row r="231">
      <c r="A231" s="17" t="n"/>
      <c r="B231" s="18" t="n"/>
      <c r="C231" s="18" t="n"/>
      <c r="D231" s="27" t="n"/>
      <c r="E231" s="18" t="n"/>
      <c r="F231" s="19" t="n"/>
      <c r="G231" s="19" t="n"/>
      <c r="H231" s="21" t="n"/>
      <c r="I231" s="18" t="n"/>
      <c r="J231" s="18" t="n"/>
    </row>
    <row r="232">
      <c r="A232" s="44" t="n"/>
      <c r="B232" s="45" t="n"/>
      <c r="C232" s="45" t="n"/>
      <c r="D232" s="46" t="n"/>
      <c r="E232" s="45" t="n"/>
      <c r="F232" s="47" t="n"/>
      <c r="G232" s="48" t="n"/>
      <c r="H232" s="49" t="n"/>
      <c r="I232" s="45" t="n"/>
    </row>
    <row r="233">
      <c r="A233" s="17" t="n"/>
      <c r="B233" s="18" t="n"/>
      <c r="C233" s="18" t="n"/>
      <c r="D233" s="27" t="n"/>
      <c r="E233" s="18" t="n"/>
      <c r="F233" s="19" t="n"/>
      <c r="G233" s="19" t="n"/>
      <c r="H233" s="21" t="n"/>
      <c r="I233" s="18" t="n"/>
      <c r="J233" s="18" t="n"/>
    </row>
    <row r="234">
      <c r="A234" s="44" t="n"/>
      <c r="B234" s="45" t="n"/>
      <c r="C234" s="45" t="n"/>
      <c r="D234" s="46" t="n"/>
      <c r="E234" s="45" t="n"/>
      <c r="F234" s="47" t="n"/>
      <c r="G234" s="48" t="n"/>
      <c r="H234" s="49" t="n"/>
      <c r="I234" s="45" t="n"/>
    </row>
    <row r="235">
      <c r="A235" s="17" t="n"/>
      <c r="B235" s="18" t="n"/>
      <c r="C235" s="18" t="n"/>
      <c r="D235" s="27" t="n"/>
      <c r="E235" s="18" t="n"/>
      <c r="F235" s="19" t="n"/>
      <c r="G235" s="19" t="n"/>
      <c r="H235" s="21" t="n"/>
      <c r="I235" s="18" t="n"/>
      <c r="J235" s="18" t="n"/>
    </row>
    <row r="236">
      <c r="A236" s="44" t="n"/>
      <c r="B236" s="45" t="n"/>
      <c r="C236" s="45" t="n"/>
      <c r="D236" s="46" t="n"/>
      <c r="E236" s="45" t="n"/>
      <c r="F236" s="47" t="n"/>
      <c r="G236" s="48" t="n"/>
      <c r="H236" s="49" t="n"/>
      <c r="I236" s="45" t="n"/>
    </row>
    <row r="237">
      <c r="A237" s="17" t="n"/>
      <c r="B237" s="18" t="n"/>
      <c r="C237" s="18" t="n"/>
      <c r="D237" s="27" t="n"/>
      <c r="E237" s="18" t="n"/>
      <c r="F237" s="19" t="n"/>
      <c r="G237" s="19" t="n"/>
      <c r="H237" s="21" t="n"/>
      <c r="I237" s="18" t="n"/>
      <c r="J237" s="18" t="n"/>
    </row>
    <row r="238">
      <c r="A238" s="44" t="n"/>
      <c r="B238" s="45" t="n"/>
      <c r="C238" s="45" t="n"/>
      <c r="D238" s="46" t="n"/>
      <c r="E238" s="45" t="n"/>
      <c r="F238" s="47" t="n"/>
      <c r="G238" s="48" t="n"/>
      <c r="H238" s="49" t="n"/>
      <c r="I238" s="45" t="n"/>
    </row>
    <row r="239">
      <c r="A239" s="17" t="n"/>
      <c r="B239" s="18" t="n"/>
      <c r="C239" s="18" t="n"/>
      <c r="D239" s="27" t="n"/>
      <c r="E239" s="18" t="n"/>
      <c r="F239" s="19" t="n"/>
      <c r="G239" s="19" t="n"/>
      <c r="H239" s="21" t="n"/>
      <c r="I239" s="18" t="n"/>
      <c r="J239" s="18" t="n"/>
    </row>
    <row r="240">
      <c r="A240" s="44" t="n"/>
      <c r="B240" s="45" t="n"/>
      <c r="C240" s="45" t="n"/>
      <c r="D240" s="46" t="n"/>
      <c r="E240" s="45" t="n"/>
      <c r="F240" s="47" t="n"/>
      <c r="G240" s="48" t="n"/>
      <c r="H240" s="49" t="n"/>
      <c r="I240" s="45" t="n"/>
    </row>
    <row r="241">
      <c r="A241" s="17" t="n"/>
      <c r="B241" s="18" t="n"/>
      <c r="C241" s="18" t="n"/>
      <c r="D241" s="27" t="n"/>
      <c r="E241" s="18" t="n"/>
      <c r="F241" s="19" t="n"/>
      <c r="G241" s="19" t="n"/>
      <c r="H241" s="21" t="n"/>
      <c r="I241" s="18" t="n"/>
      <c r="J241" s="18" t="n"/>
    </row>
    <row r="242">
      <c r="A242" s="44" t="n"/>
      <c r="B242" s="45" t="n"/>
      <c r="C242" s="45" t="n"/>
      <c r="D242" s="46" t="n"/>
      <c r="E242" s="45" t="n"/>
      <c r="F242" s="47" t="n"/>
      <c r="G242" s="48" t="n"/>
      <c r="H242" s="49" t="n"/>
      <c r="I242" s="45" t="n"/>
    </row>
    <row r="243">
      <c r="A243" s="17" t="n"/>
      <c r="B243" s="18" t="n"/>
      <c r="C243" s="18" t="n"/>
      <c r="D243" s="27" t="n"/>
      <c r="E243" s="18" t="n"/>
      <c r="F243" s="19" t="n"/>
      <c r="G243" s="19" t="n"/>
      <c r="H243" s="21" t="n"/>
      <c r="I243" s="18" t="n"/>
      <c r="J243" s="18" t="n"/>
    </row>
    <row r="244">
      <c r="A244" s="44" t="n"/>
      <c r="B244" s="45" t="n"/>
      <c r="C244" s="45" t="n"/>
      <c r="D244" s="46" t="n"/>
      <c r="E244" s="45" t="n"/>
      <c r="F244" s="47" t="n"/>
      <c r="G244" s="48" t="n"/>
      <c r="H244" s="49" t="n"/>
      <c r="I244" s="45" t="n"/>
    </row>
    <row r="245">
      <c r="A245" s="17" t="n"/>
      <c r="B245" s="18" t="n"/>
      <c r="C245" s="18" t="n"/>
      <c r="D245" s="27" t="n"/>
      <c r="E245" s="18" t="n"/>
      <c r="F245" s="19" t="n"/>
      <c r="G245" s="19" t="n"/>
      <c r="H245" s="21" t="n"/>
      <c r="I245" s="18" t="n"/>
      <c r="J245" s="18" t="n"/>
    </row>
    <row r="246">
      <c r="A246" s="44" t="n"/>
      <c r="B246" s="45" t="n"/>
      <c r="C246" s="45" t="n"/>
      <c r="D246" s="46" t="n"/>
      <c r="E246" s="45" t="n"/>
      <c r="F246" s="47" t="n"/>
      <c r="G246" s="48" t="n"/>
      <c r="H246" s="49" t="n"/>
      <c r="I246" s="45" t="n"/>
    </row>
    <row r="247">
      <c r="A247" s="17" t="n"/>
      <c r="B247" s="18" t="n"/>
      <c r="C247" s="18" t="n"/>
      <c r="D247" s="27" t="n"/>
      <c r="E247" s="18" t="n"/>
      <c r="F247" s="19" t="n"/>
      <c r="G247" s="19" t="n"/>
      <c r="H247" s="21" t="n"/>
      <c r="I247" s="18" t="n"/>
      <c r="J247" s="18" t="n"/>
    </row>
    <row r="248">
      <c r="A248" s="44" t="n"/>
      <c r="B248" s="45" t="n"/>
      <c r="C248" s="45" t="n"/>
      <c r="D248" s="46" t="n"/>
      <c r="E248" s="45" t="n"/>
      <c r="F248" s="47" t="n"/>
      <c r="G248" s="48" t="n"/>
      <c r="H248" s="49" t="n"/>
      <c r="I248" s="45" t="n"/>
    </row>
    <row r="249">
      <c r="A249" s="17" t="n"/>
      <c r="B249" s="18" t="n"/>
      <c r="C249" s="18" t="n"/>
      <c r="D249" s="27" t="n"/>
      <c r="E249" s="18" t="n"/>
      <c r="F249" s="19" t="n"/>
      <c r="G249" s="19" t="n"/>
      <c r="H249" s="21" t="n"/>
      <c r="I249" s="18" t="n"/>
      <c r="J249" s="18" t="n"/>
    </row>
    <row r="250">
      <c r="A250" s="44" t="n"/>
      <c r="B250" s="45" t="n"/>
      <c r="C250" s="45" t="n"/>
      <c r="D250" s="46" t="n"/>
      <c r="E250" s="45" t="n"/>
      <c r="F250" s="47" t="n"/>
      <c r="G250" s="48" t="n"/>
      <c r="H250" s="49" t="n"/>
      <c r="I250" s="45" t="n"/>
    </row>
    <row r="251">
      <c r="A251" s="17" t="n"/>
      <c r="B251" s="18" t="n"/>
      <c r="C251" s="18" t="n"/>
      <c r="D251" s="27" t="n"/>
      <c r="E251" s="18" t="n"/>
      <c r="F251" s="19" t="n"/>
      <c r="G251" s="19" t="n"/>
      <c r="H251" s="21" t="n"/>
      <c r="I251" s="18" t="n"/>
      <c r="J251" s="18" t="n"/>
    </row>
    <row r="252">
      <c r="A252" s="44" t="n"/>
      <c r="B252" s="45" t="n"/>
      <c r="C252" s="45" t="n"/>
      <c r="D252" s="46" t="n"/>
      <c r="E252" s="45" t="n"/>
      <c r="F252" s="47" t="n"/>
      <c r="G252" s="48" t="n"/>
      <c r="H252" s="49" t="n"/>
      <c r="I252" s="45" t="n"/>
    </row>
    <row r="253">
      <c r="A253" s="17" t="n"/>
      <c r="B253" s="18" t="n"/>
      <c r="C253" s="18" t="n"/>
      <c r="D253" s="27" t="n"/>
      <c r="E253" s="18" t="n"/>
      <c r="F253" s="19" t="n"/>
      <c r="G253" s="19" t="n"/>
      <c r="H253" s="21" t="n"/>
      <c r="I253" s="18" t="n"/>
      <c r="J253" s="18" t="n"/>
    </row>
    <row r="254">
      <c r="A254" s="44" t="n"/>
      <c r="B254" s="45" t="n"/>
      <c r="C254" s="45" t="n"/>
      <c r="D254" s="46" t="n"/>
      <c r="E254" s="45" t="n"/>
      <c r="F254" s="47" t="n"/>
      <c r="G254" s="48" t="n"/>
      <c r="H254" s="49" t="n"/>
      <c r="I254" s="45" t="n"/>
    </row>
    <row r="255">
      <c r="A255" s="90" t="n"/>
      <c r="B255" s="90" t="inlineStr">
        <is>
          <t>TOTAL DO MÊS</t>
        </is>
      </c>
      <c r="C255" s="90" t="n"/>
      <c r="D255" s="91">
        <f>SUM(D5:D254)</f>
        <v/>
      </c>
      <c r="E255" s="90" t="n"/>
      <c r="F255" s="91">
        <f>SUM(F5:F254)</f>
        <v/>
      </c>
      <c r="G255" s="91">
        <f>SUM(G5:G254)</f>
        <v/>
      </c>
      <c r="H255" s="90" t="n"/>
      <c r="I255" s="90" t="n"/>
    </row>
    <row r="256">
      <c r="A256" s="92" t="n"/>
      <c r="B256" s="92" t="inlineStr">
        <is>
          <t>SALDO DO MÊS (Entradas líquidas − Despesas da loja)</t>
        </is>
      </c>
      <c r="C256" s="92" t="n"/>
      <c r="D256" s="93">
        <f>(D255-F255-T5)-(L18-L19)</f>
        <v/>
      </c>
      <c r="E256" s="92" t="n"/>
      <c r="F256" s="93" t="n"/>
      <c r="G256" s="93" t="n"/>
      <c r="H256" s="92" t="n"/>
      <c r="I256" s="92" t="n"/>
    </row>
  </sheetData>
  <mergeCells count="19">
    <mergeCell ref="P4:Q4"/>
    <mergeCell ref="P8:Q9"/>
    <mergeCell ref="T8:U9"/>
    <mergeCell ref="N7:O7"/>
    <mergeCell ref="R4:S4"/>
    <mergeCell ref="T4:U4"/>
    <mergeCell ref="A2:I2"/>
    <mergeCell ref="R7:S7"/>
    <mergeCell ref="P5:Q6"/>
    <mergeCell ref="R5:S6"/>
    <mergeCell ref="R8:S9"/>
    <mergeCell ref="P7:Q7"/>
    <mergeCell ref="T5:U6"/>
    <mergeCell ref="T7:U7"/>
    <mergeCell ref="A1:I1"/>
    <mergeCell ref="K4:L4"/>
    <mergeCell ref="N5:O6"/>
    <mergeCell ref="N4:O4"/>
    <mergeCell ref="N8:O9"/>
  </mergeCells>
  <conditionalFormatting sqref="R7:S7">
    <cfRule type="expression" priority="1" dxfId="1">
      <formula>LEFT($R$7,6)="PASSOU"</formula>
    </cfRule>
  </conditionalFormatting>
  <conditionalFormatting sqref="R8:S9">
    <cfRule type="expression" priority="2" dxfId="0">
      <formula>LEFT($R$7,6)="PASSOU"</formula>
    </cfRule>
  </conditionalFormatting>
  <conditionalFormatting sqref="T8:U9">
    <cfRule type="cellIs" priority="3" operator="lessThan" dxfId="0">
      <formula>0</formula>
    </cfRule>
  </conditionalFormatting>
  <conditionalFormatting sqref="R5:S6">
    <cfRule type="cellIs" priority="4" operator="lessThan" dxfId="0">
      <formula>0</formula>
    </cfRule>
  </conditionalFormatting>
  <dataValidations count="2">
    <dataValidation sqref="E5:E254" showDropDown="0" showInputMessage="0" showErrorMessage="0" allowBlank="1" type="list">
      <formula1>"Dinheiro,Pix,Débito,Crédito à Vista,Crédito Parcelado,Aguardando Pagamento"</formula1>
    </dataValidation>
    <dataValidation sqref="H5:H254" showDropDown="0" showInputMessage="0" showErrorMessage="0" allowBlank="1" type="list">
      <formula1>$K$5:$K$17</formula1>
    </dataValidation>
  </dataValidations>
  <hyperlinks>
    <hyperlink ref="A3" location="'Início'!A1" display="← Início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0F9D8B"/>
    <outlinePr summaryBelow="1" summaryRight="1"/>
    <pageSetUpPr/>
  </sheetPr>
  <dimension ref="A1:U256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style="157" min="1" max="1"/>
    <col width="42" customWidth="1" style="157" min="2" max="2"/>
    <col width="26" customWidth="1" style="157" min="3" max="3"/>
    <col width="14" customWidth="1" style="157" min="4" max="4"/>
    <col width="20" customWidth="1" style="157" min="5" max="5"/>
    <col width="16" customWidth="1" style="157" min="6" max="6"/>
    <col width="14" customWidth="1" style="157" min="7" max="7"/>
    <col width="26" customWidth="1" style="157" min="8" max="8"/>
    <col width="30" customWidth="1" style="157" min="9" max="9"/>
    <col width="11" customWidth="1" style="157" min="10" max="10"/>
    <col width="30" customWidth="1" style="157" min="11" max="11"/>
    <col width="14" customWidth="1" style="157" min="12" max="12"/>
    <col width="3" customWidth="1" style="157" min="13" max="13"/>
    <col width="13" customWidth="1" style="157" min="14" max="21"/>
  </cols>
  <sheetData>
    <row r="1" ht="21" customHeight="1" s="157">
      <c r="A1" s="234" t="inlineStr">
        <is>
          <t>RELATÓRIO FINANCEIRO — NOVEMBRO / 2026</t>
        </is>
      </c>
    </row>
    <row r="2">
      <c r="A2" s="195" t="inlineStr">
        <is>
          <t>Fluxo de caixa da loja — entradas e saídas detalhadas por lançamento (lançamento manual)</t>
        </is>
      </c>
    </row>
    <row r="3">
      <c r="A3" s="127" t="inlineStr">
        <is>
          <t>← Início</t>
        </is>
      </c>
    </row>
    <row r="4" ht="30" customHeight="1" s="157">
      <c r="A4" s="76" t="inlineStr">
        <is>
          <t>Data</t>
        </is>
      </c>
      <c r="B4" s="76" t="inlineStr">
        <is>
          <t>Descrição / Cliente</t>
        </is>
      </c>
      <c r="C4" s="76" t="inlineStr">
        <is>
          <t>Produto</t>
        </is>
      </c>
      <c r="D4" s="76" t="inlineStr">
        <is>
          <t>Entrada (R$)</t>
        </is>
      </c>
      <c r="E4" s="76" t="inlineStr">
        <is>
          <t>Forma de Pagamento</t>
        </is>
      </c>
      <c r="F4" s="76" t="inlineStr">
        <is>
          <t>Taxa da Máquina (R$)</t>
        </is>
      </c>
      <c r="G4" s="76" t="inlineStr">
        <is>
          <t>Saída (R$)</t>
        </is>
      </c>
      <c r="H4" s="76" t="inlineStr">
        <is>
          <t>Categoria da Saída</t>
        </is>
      </c>
      <c r="I4" s="76" t="inlineStr">
        <is>
          <t>Observações</t>
        </is>
      </c>
      <c r="J4" s="76" t="inlineStr">
        <is>
          <t>ID Cliente</t>
        </is>
      </c>
      <c r="K4" s="235" t="inlineStr">
        <is>
          <t>Saídas por Categoria</t>
        </is>
      </c>
      <c r="N4" s="237" t="inlineStr">
        <is>
          <t>FATURAMENTO</t>
        </is>
      </c>
      <c r="P4" s="198" t="inlineStr">
        <is>
          <t>DESPESAS</t>
        </is>
      </c>
      <c r="R4" s="199" t="inlineStr">
        <is>
          <t>SALDO ANTES DO PRÓ-LABORE</t>
        </is>
      </c>
      <c r="T4" s="206" t="inlineStr">
        <is>
          <t>A RECEBER</t>
        </is>
      </c>
    </row>
    <row r="5">
      <c r="A5" s="17" t="n"/>
      <c r="B5" s="18" t="n"/>
      <c r="C5" s="18" t="n"/>
      <c r="D5" s="27" t="n"/>
      <c r="E5" s="18" t="n"/>
      <c r="F5" s="19" t="n"/>
      <c r="G5" s="19" t="n"/>
      <c r="H5" s="21" t="n"/>
      <c r="I5" s="18" t="n"/>
      <c r="J5" s="18" t="n"/>
      <c r="K5" s="78" t="inlineStr">
        <is>
          <t>Fornecedores / Mercadoria</t>
        </is>
      </c>
      <c r="L5" s="80">
        <f>SUMIF(H5:H254,K5,G5:G254)</f>
        <v/>
      </c>
      <c r="N5" s="236">
        <f>D255-F255-T5</f>
        <v/>
      </c>
      <c r="P5" s="189">
        <f>L18-L19</f>
        <v/>
      </c>
      <c r="R5" s="205">
        <f>D256</f>
        <v/>
      </c>
      <c r="T5" s="204">
        <f>SUMIF(E5:E254,"Aguardando Pagamento",D5:D254)</f>
        <v/>
      </c>
    </row>
    <row r="6">
      <c r="A6" s="44" t="n"/>
      <c r="B6" s="45" t="n"/>
      <c r="C6" s="45" t="n"/>
      <c r="D6" s="46" t="n"/>
      <c r="E6" s="45" t="n"/>
      <c r="F6" s="47" t="n"/>
      <c r="G6" s="48" t="n"/>
      <c r="H6" s="49" t="n"/>
      <c r="I6" s="45" t="n"/>
      <c r="K6" s="78" t="inlineStr">
        <is>
          <t>Aluguel</t>
        </is>
      </c>
      <c r="L6" s="80">
        <f>SUMIF(H5:H254,K6,G5:G254)</f>
        <v/>
      </c>
    </row>
    <row r="7">
      <c r="A7" s="17" t="n"/>
      <c r="B7" s="18" t="n"/>
      <c r="C7" s="18" t="n"/>
      <c r="D7" s="27" t="n"/>
      <c r="E7" s="18" t="n"/>
      <c r="F7" s="19" t="n"/>
      <c r="G7" s="19" t="n"/>
      <c r="H7" s="21" t="n"/>
      <c r="I7" s="18" t="n"/>
      <c r="J7" s="18" t="n"/>
      <c r="K7" s="78" t="inlineStr">
        <is>
          <t>Água, Energia e Internet</t>
        </is>
      </c>
      <c r="L7" s="80">
        <f>SUMIF(H5:H254,K7,G5:G254)</f>
        <v/>
      </c>
      <c r="N7" s="251" t="inlineStr">
        <is>
          <t>PRÓ-LABORE EDILÂNIA</t>
        </is>
      </c>
      <c r="P7" s="252" t="inlineStr">
        <is>
          <t>COMBINADO NO MÊS</t>
        </is>
      </c>
      <c r="R7" s="199">
        <f>IF(L17&gt;'Ponto de Equilíbrio'!$B$10,"PASSOU DO COMBINADO",IF(TODAY()&gt;EOMONTH(DATE(2026,11,1),0),"ABAIXO DO COMBINADO","AINDA PODE GASTAR"))</f>
        <v/>
      </c>
      <c r="T7" s="237" t="inlineStr">
        <is>
          <t>SOBRA FINAL DO MÊS</t>
        </is>
      </c>
    </row>
    <row r="8">
      <c r="A8" s="44" t="n"/>
      <c r="B8" s="45" t="n"/>
      <c r="C8" s="45" t="n"/>
      <c r="D8" s="46" t="n"/>
      <c r="E8" s="45" t="n"/>
      <c r="F8" s="47" t="n"/>
      <c r="G8" s="48" t="n"/>
      <c r="H8" s="49" t="n"/>
      <c r="I8" s="45" t="n"/>
      <c r="K8" s="78" t="inlineStr">
        <is>
          <t>Impostos e Taxas</t>
        </is>
      </c>
      <c r="L8" s="80">
        <f>SUMIF(H5:H254,K8,G5:G254)</f>
        <v/>
      </c>
      <c r="N8" s="250">
        <f>L17</f>
        <v/>
      </c>
      <c r="P8" s="215">
        <f>'Ponto de Equilíbrio'!$B$10</f>
        <v/>
      </c>
      <c r="R8" s="205">
        <f>ABS('Ponto de Equilíbrio'!$B$10-L17)</f>
        <v/>
      </c>
      <c r="T8" s="236">
        <f>R5-L17</f>
        <v/>
      </c>
    </row>
    <row r="9">
      <c r="A9" s="17" t="n"/>
      <c r="B9" s="18" t="n"/>
      <c r="C9" s="18" t="n"/>
      <c r="D9" s="27" t="n"/>
      <c r="E9" s="18" t="n"/>
      <c r="F9" s="19" t="n"/>
      <c r="G9" s="19" t="n"/>
      <c r="H9" s="21" t="n"/>
      <c r="I9" s="18" t="n"/>
      <c r="J9" s="18" t="n"/>
      <c r="K9" s="78" t="inlineStr">
        <is>
          <t>Tarifas Bancárias e Cartão</t>
        </is>
      </c>
      <c r="L9" s="80">
        <f>SUMIF(H5:H254,K9,G5:G254)</f>
        <v/>
      </c>
    </row>
    <row r="10">
      <c r="A10" s="44" t="n"/>
      <c r="B10" s="45" t="n"/>
      <c r="C10" s="45" t="n"/>
      <c r="D10" s="46" t="n"/>
      <c r="E10" s="45" t="n"/>
      <c r="F10" s="47" t="n"/>
      <c r="G10" s="48" t="n"/>
      <c r="H10" s="49" t="n"/>
      <c r="I10" s="45" t="n"/>
      <c r="K10" s="78" t="inlineStr">
        <is>
          <t>Transporte e Entregas</t>
        </is>
      </c>
      <c r="L10" s="80">
        <f>SUMIF(H5:H254,K10,G5:G254)</f>
        <v/>
      </c>
    </row>
    <row r="11">
      <c r="A11" s="17" t="n"/>
      <c r="B11" s="18" t="n"/>
      <c r="C11" s="18" t="n"/>
      <c r="D11" s="27" t="n"/>
      <c r="E11" s="18" t="n"/>
      <c r="F11" s="19" t="n"/>
      <c r="G11" s="19" t="n"/>
      <c r="H11" s="21" t="n"/>
      <c r="I11" s="18" t="n"/>
      <c r="J11" s="18" t="n"/>
      <c r="K11" s="78" t="inlineStr">
        <is>
          <t>Salários, Comissões e Encargos</t>
        </is>
      </c>
      <c r="L11" s="80">
        <f>SUMIF(H5:H254,K11,G5:G254)</f>
        <v/>
      </c>
    </row>
    <row r="12">
      <c r="A12" s="44" t="n"/>
      <c r="B12" s="45" t="n"/>
      <c r="C12" s="45" t="n"/>
      <c r="D12" s="46" t="n"/>
      <c r="E12" s="45" t="n"/>
      <c r="F12" s="47" t="n"/>
      <c r="G12" s="48" t="n"/>
      <c r="H12" s="49" t="n"/>
      <c r="I12" s="45" t="n"/>
      <c r="K12" s="78" t="inlineStr">
        <is>
          <t>Contabilidade</t>
        </is>
      </c>
      <c r="L12" s="80">
        <f>SUMIF(H5:H254,K12,G5:G254)</f>
        <v/>
      </c>
    </row>
    <row r="13">
      <c r="A13" s="17" t="n"/>
      <c r="B13" s="18" t="n"/>
      <c r="C13" s="18" t="n"/>
      <c r="D13" s="27" t="n"/>
      <c r="E13" s="18" t="n"/>
      <c r="F13" s="19" t="n"/>
      <c r="G13" s="19" t="n"/>
      <c r="H13" s="21" t="n"/>
      <c r="I13" s="18" t="n"/>
      <c r="J13" s="18" t="n"/>
      <c r="K13" s="78" t="inlineStr">
        <is>
          <t>Manutenção e Reparos</t>
        </is>
      </c>
      <c r="L13" s="80">
        <f>SUMIF(H5:H254,K13,G5:G254)</f>
        <v/>
      </c>
    </row>
    <row r="14">
      <c r="A14" s="44" t="n"/>
      <c r="B14" s="45" t="n"/>
      <c r="C14" s="45" t="n"/>
      <c r="D14" s="46" t="n"/>
      <c r="E14" s="45" t="n"/>
      <c r="F14" s="47" t="n"/>
      <c r="G14" s="48" t="n"/>
      <c r="H14" s="49" t="n"/>
      <c r="I14" s="45" t="n"/>
      <c r="K14" s="78" t="inlineStr">
        <is>
          <t>Material de Limpeza e Escritório</t>
        </is>
      </c>
      <c r="L14" s="80">
        <f>SUMIF(H5:H254,K14,G5:G254)</f>
        <v/>
      </c>
    </row>
    <row r="15">
      <c r="A15" s="17" t="n"/>
      <c r="B15" s="18" t="n"/>
      <c r="C15" s="18" t="n"/>
      <c r="D15" s="27" t="n"/>
      <c r="E15" s="18" t="n"/>
      <c r="F15" s="19" t="n"/>
      <c r="G15" s="19" t="n"/>
      <c r="H15" s="21" t="n"/>
      <c r="I15" s="18" t="n"/>
      <c r="J15" s="18" t="n"/>
      <c r="K15" s="78" t="inlineStr">
        <is>
          <t>Estornos de Vendas (Cancelamentos)</t>
        </is>
      </c>
      <c r="L15" s="80">
        <f>SUMIF(H5:H254,K15,G5:G254)</f>
        <v/>
      </c>
    </row>
    <row r="16">
      <c r="A16" s="44" t="n"/>
      <c r="B16" s="45" t="n"/>
      <c r="C16" s="45" t="n"/>
      <c r="D16" s="46" t="n"/>
      <c r="E16" s="45" t="n"/>
      <c r="F16" s="47" t="n"/>
      <c r="G16" s="48" t="n"/>
      <c r="H16" s="49" t="n"/>
      <c r="I16" s="45" t="n"/>
      <c r="K16" s="78" t="inlineStr">
        <is>
          <t>Outras Despesas</t>
        </is>
      </c>
      <c r="L16" s="80">
        <f>SUMIF(H5:H254,K16,G5:G254)</f>
        <v/>
      </c>
    </row>
    <row r="17">
      <c r="A17" s="17" t="n"/>
      <c r="B17" s="18" t="n"/>
      <c r="C17" s="18" t="n"/>
      <c r="D17" s="27" t="n"/>
      <c r="E17" s="18" t="n"/>
      <c r="F17" s="19" t="n"/>
      <c r="G17" s="19" t="n"/>
      <c r="H17" s="21" t="n"/>
      <c r="I17" s="18" t="n"/>
      <c r="J17" s="18" t="n"/>
      <c r="K17" s="84" t="inlineStr">
        <is>
          <t>Pro Labore Edilânia</t>
        </is>
      </c>
      <c r="L17" s="85">
        <f>SUMIF(H5:H254,K17,G5:G254)</f>
        <v/>
      </c>
    </row>
    <row r="18">
      <c r="A18" s="44" t="n"/>
      <c r="B18" s="45" t="n"/>
      <c r="C18" s="45" t="n"/>
      <c r="D18" s="46" t="n"/>
      <c r="E18" s="45" t="n"/>
      <c r="F18" s="47" t="n"/>
      <c r="G18" s="48" t="n"/>
      <c r="H18" s="49" t="n"/>
      <c r="I18" s="45" t="n"/>
      <c r="K18" s="86" t="inlineStr">
        <is>
          <t>Total</t>
        </is>
      </c>
      <c r="L18" s="87">
        <f>SUM(L5:L16)</f>
        <v/>
      </c>
    </row>
    <row r="19">
      <c r="A19" s="17" t="n"/>
      <c r="B19" s="18" t="n"/>
      <c r="C19" s="18" t="n"/>
      <c r="D19" s="27" t="n"/>
      <c r="E19" s="18" t="n"/>
      <c r="F19" s="19" t="n"/>
      <c r="G19" s="19" t="n"/>
      <c r="H19" s="21" t="n"/>
      <c r="I19" s="18" t="n"/>
      <c r="J19" s="18" t="n"/>
      <c r="K19" s="88" t="inlineStr">
        <is>
          <t>Capital de Giro (BB) — ainda a devolver</t>
        </is>
      </c>
      <c r="L19" s="89">
        <f>SUMIFS('Capital de Giro (BB)'!D9:D200,'Capital de Giro (BB)'!A9:A200,"&gt;="&amp;DATE(2026,11,1),'Capital de Giro (BB)'!A9:A200,"&lt;="&amp;DATE(2026,11,30),'Capital de Giro (BB)'!E9:E200,"A Devolver")</f>
        <v/>
      </c>
    </row>
    <row r="20">
      <c r="A20" s="44" t="n"/>
      <c r="B20" s="45" t="n"/>
      <c r="C20" s="45" t="n"/>
      <c r="D20" s="46" t="n"/>
      <c r="E20" s="45" t="n"/>
      <c r="F20" s="47" t="n"/>
      <c r="G20" s="48" t="n"/>
      <c r="H20" s="49" t="n"/>
      <c r="I20" s="45" t="n"/>
    </row>
    <row r="21">
      <c r="A21" s="17" t="n"/>
      <c r="B21" s="18" t="n"/>
      <c r="C21" s="18" t="n"/>
      <c r="D21" s="27" t="n"/>
      <c r="E21" s="18" t="n"/>
      <c r="F21" s="19" t="n"/>
      <c r="G21" s="19" t="n"/>
      <c r="H21" s="21" t="n"/>
      <c r="I21" s="18" t="n"/>
      <c r="J21" s="18" t="n"/>
    </row>
    <row r="22">
      <c r="A22" s="44" t="n"/>
      <c r="B22" s="45" t="n"/>
      <c r="C22" s="45" t="n"/>
      <c r="D22" s="46" t="n"/>
      <c r="E22" s="45" t="n"/>
      <c r="F22" s="47" t="n"/>
      <c r="G22" s="48" t="n"/>
      <c r="H22" s="49" t="n"/>
      <c r="I22" s="45" t="n"/>
    </row>
    <row r="23">
      <c r="A23" s="17" t="n"/>
      <c r="B23" s="18" t="n"/>
      <c r="C23" s="18" t="n"/>
      <c r="D23" s="27" t="n"/>
      <c r="E23" s="18" t="n"/>
      <c r="F23" s="19" t="n"/>
      <c r="G23" s="19" t="n"/>
      <c r="H23" s="21" t="n"/>
      <c r="I23" s="18" t="n"/>
      <c r="J23" s="18" t="n"/>
    </row>
    <row r="24">
      <c r="A24" s="44" t="n"/>
      <c r="B24" s="45" t="n"/>
      <c r="C24" s="45" t="n"/>
      <c r="D24" s="46" t="n"/>
      <c r="E24" s="45" t="n"/>
      <c r="F24" s="47" t="n"/>
      <c r="G24" s="48" t="n"/>
      <c r="H24" s="49" t="n"/>
      <c r="I24" s="45" t="n"/>
    </row>
    <row r="25">
      <c r="A25" s="17" t="n"/>
      <c r="B25" s="18" t="n"/>
      <c r="C25" s="18" t="n"/>
      <c r="D25" s="27" t="n"/>
      <c r="E25" s="18" t="n"/>
      <c r="F25" s="19" t="n"/>
      <c r="G25" s="19" t="n"/>
      <c r="H25" s="21" t="n"/>
      <c r="I25" s="18" t="n"/>
      <c r="J25" s="18" t="n"/>
    </row>
    <row r="26">
      <c r="A26" s="44" t="n"/>
      <c r="B26" s="45" t="n"/>
      <c r="C26" s="45" t="n"/>
      <c r="D26" s="46" t="n"/>
      <c r="E26" s="45" t="n"/>
      <c r="F26" s="47" t="n"/>
      <c r="G26" s="48" t="n"/>
      <c r="H26" s="49" t="n"/>
      <c r="I26" s="45" t="n"/>
    </row>
    <row r="27">
      <c r="A27" s="17" t="n"/>
      <c r="B27" s="18" t="n"/>
      <c r="C27" s="18" t="n"/>
      <c r="D27" s="27" t="n"/>
      <c r="E27" s="18" t="n"/>
      <c r="F27" s="19" t="n"/>
      <c r="G27" s="19" t="n"/>
      <c r="H27" s="21" t="n"/>
      <c r="I27" s="18" t="n"/>
      <c r="J27" s="18" t="n"/>
    </row>
    <row r="28">
      <c r="A28" s="44" t="n"/>
      <c r="B28" s="45" t="n"/>
      <c r="C28" s="45" t="n"/>
      <c r="D28" s="46" t="n"/>
      <c r="E28" s="45" t="n"/>
      <c r="F28" s="47" t="n"/>
      <c r="G28" s="48" t="n"/>
      <c r="H28" s="49" t="n"/>
      <c r="I28" s="45" t="n"/>
    </row>
    <row r="29">
      <c r="A29" s="17" t="n"/>
      <c r="B29" s="18" t="n"/>
      <c r="C29" s="18" t="n"/>
      <c r="D29" s="27" t="n"/>
      <c r="E29" s="18" t="n"/>
      <c r="F29" s="19" t="n"/>
      <c r="G29" s="19" t="n"/>
      <c r="H29" s="21" t="n"/>
      <c r="I29" s="18" t="n"/>
      <c r="J29" s="18" t="n"/>
    </row>
    <row r="30">
      <c r="A30" s="44" t="n"/>
      <c r="B30" s="45" t="n"/>
      <c r="C30" s="45" t="n"/>
      <c r="D30" s="46" t="n"/>
      <c r="E30" s="45" t="n"/>
      <c r="F30" s="47" t="n"/>
      <c r="G30" s="48" t="n"/>
      <c r="H30" s="49" t="n"/>
      <c r="I30" s="45" t="n"/>
    </row>
    <row r="31">
      <c r="A31" s="17" t="n"/>
      <c r="B31" s="18" t="n"/>
      <c r="C31" s="18" t="n"/>
      <c r="D31" s="27" t="n"/>
      <c r="E31" s="18" t="n"/>
      <c r="F31" s="19" t="n"/>
      <c r="G31" s="19" t="n"/>
      <c r="H31" s="21" t="n"/>
      <c r="I31" s="18" t="n"/>
      <c r="J31" s="18" t="n"/>
    </row>
    <row r="32">
      <c r="A32" s="44" t="n"/>
      <c r="B32" s="45" t="n"/>
      <c r="C32" s="45" t="n"/>
      <c r="D32" s="46" t="n"/>
      <c r="E32" s="45" t="n"/>
      <c r="F32" s="47" t="n"/>
      <c r="G32" s="48" t="n"/>
      <c r="H32" s="49" t="n"/>
      <c r="I32" s="45" t="n"/>
    </row>
    <row r="33">
      <c r="A33" s="17" t="n"/>
      <c r="B33" s="18" t="n"/>
      <c r="C33" s="18" t="n"/>
      <c r="D33" s="27" t="n"/>
      <c r="E33" s="18" t="n"/>
      <c r="F33" s="19" t="n"/>
      <c r="G33" s="19" t="n"/>
      <c r="H33" s="21" t="n"/>
      <c r="I33" s="18" t="n"/>
      <c r="J33" s="18" t="n"/>
    </row>
    <row r="34">
      <c r="A34" s="44" t="n"/>
      <c r="B34" s="45" t="n"/>
      <c r="C34" s="45" t="n"/>
      <c r="D34" s="46" t="n"/>
      <c r="E34" s="45" t="n"/>
      <c r="F34" s="47" t="n"/>
      <c r="G34" s="48" t="n"/>
      <c r="H34" s="49" t="n"/>
      <c r="I34" s="45" t="n"/>
    </row>
    <row r="35">
      <c r="A35" s="17" t="n"/>
      <c r="B35" s="18" t="n"/>
      <c r="C35" s="18" t="n"/>
      <c r="D35" s="27" t="n"/>
      <c r="E35" s="18" t="n"/>
      <c r="F35" s="19" t="n"/>
      <c r="G35" s="19" t="n"/>
      <c r="H35" s="21" t="n"/>
      <c r="I35" s="18" t="n"/>
      <c r="J35" s="18" t="n"/>
    </row>
    <row r="36">
      <c r="A36" s="44" t="n"/>
      <c r="B36" s="45" t="n"/>
      <c r="C36" s="45" t="n"/>
      <c r="D36" s="46" t="n"/>
      <c r="E36" s="45" t="n"/>
      <c r="F36" s="47" t="n"/>
      <c r="G36" s="48" t="n"/>
      <c r="H36" s="49" t="n"/>
      <c r="I36" s="45" t="n"/>
    </row>
    <row r="37">
      <c r="A37" s="17" t="n"/>
      <c r="B37" s="18" t="n"/>
      <c r="C37" s="18" t="n"/>
      <c r="D37" s="27" t="n"/>
      <c r="E37" s="18" t="n"/>
      <c r="F37" s="19" t="n"/>
      <c r="G37" s="19" t="n"/>
      <c r="H37" s="21" t="n"/>
      <c r="I37" s="18" t="n"/>
      <c r="J37" s="18" t="n"/>
    </row>
    <row r="38">
      <c r="A38" s="44" t="n"/>
      <c r="B38" s="45" t="n"/>
      <c r="C38" s="45" t="n"/>
      <c r="D38" s="46" t="n"/>
      <c r="E38" s="45" t="n"/>
      <c r="F38" s="47" t="n"/>
      <c r="G38" s="48" t="n"/>
      <c r="H38" s="49" t="n"/>
      <c r="I38" s="45" t="n"/>
    </row>
    <row r="39">
      <c r="A39" s="17" t="n"/>
      <c r="B39" s="18" t="n"/>
      <c r="C39" s="18" t="n"/>
      <c r="D39" s="27" t="n"/>
      <c r="E39" s="18" t="n"/>
      <c r="F39" s="19" t="n"/>
      <c r="G39" s="19" t="n"/>
      <c r="H39" s="21" t="n"/>
      <c r="I39" s="18" t="n"/>
      <c r="J39" s="18" t="n"/>
    </row>
    <row r="40">
      <c r="A40" s="44" t="n"/>
      <c r="B40" s="45" t="n"/>
      <c r="C40" s="45" t="n"/>
      <c r="D40" s="46" t="n"/>
      <c r="E40" s="45" t="n"/>
      <c r="F40" s="47" t="n"/>
      <c r="G40" s="48" t="n"/>
      <c r="H40" s="49" t="n"/>
      <c r="I40" s="45" t="n"/>
    </row>
    <row r="41">
      <c r="A41" s="17" t="n"/>
      <c r="B41" s="18" t="n"/>
      <c r="C41" s="18" t="n"/>
      <c r="D41" s="27" t="n"/>
      <c r="E41" s="18" t="n"/>
      <c r="F41" s="19" t="n"/>
      <c r="G41" s="19" t="n"/>
      <c r="H41" s="21" t="n"/>
      <c r="I41" s="18" t="n"/>
      <c r="J41" s="18" t="n"/>
    </row>
    <row r="42">
      <c r="A42" s="44" t="n"/>
      <c r="B42" s="45" t="n"/>
      <c r="C42" s="45" t="n"/>
      <c r="D42" s="46" t="n"/>
      <c r="E42" s="45" t="n"/>
      <c r="F42" s="47" t="n"/>
      <c r="G42" s="48" t="n"/>
      <c r="H42" s="49" t="n"/>
      <c r="I42" s="45" t="n"/>
    </row>
    <row r="43">
      <c r="A43" s="17" t="n"/>
      <c r="B43" s="18" t="n"/>
      <c r="C43" s="18" t="n"/>
      <c r="D43" s="27" t="n"/>
      <c r="E43" s="18" t="n"/>
      <c r="F43" s="19" t="n"/>
      <c r="G43" s="19" t="n"/>
      <c r="H43" s="21" t="n"/>
      <c r="I43" s="18" t="n"/>
      <c r="J43" s="18" t="n"/>
    </row>
    <row r="44">
      <c r="A44" s="44" t="n"/>
      <c r="B44" s="45" t="n"/>
      <c r="C44" s="45" t="n"/>
      <c r="D44" s="46" t="n"/>
      <c r="E44" s="45" t="n"/>
      <c r="F44" s="47" t="n"/>
      <c r="G44" s="48" t="n"/>
      <c r="H44" s="49" t="n"/>
      <c r="I44" s="45" t="n"/>
    </row>
    <row r="45">
      <c r="A45" s="17" t="n"/>
      <c r="B45" s="18" t="n"/>
      <c r="C45" s="18" t="n"/>
      <c r="D45" s="27" t="n"/>
      <c r="E45" s="18" t="n"/>
      <c r="F45" s="19" t="n"/>
      <c r="G45" s="19" t="n"/>
      <c r="H45" s="21" t="n"/>
      <c r="I45" s="18" t="n"/>
      <c r="J45" s="18" t="n"/>
    </row>
    <row r="46">
      <c r="A46" s="44" t="n"/>
      <c r="B46" s="45" t="n"/>
      <c r="C46" s="45" t="n"/>
      <c r="D46" s="46" t="n"/>
      <c r="E46" s="45" t="n"/>
      <c r="F46" s="47" t="n"/>
      <c r="G46" s="48" t="n"/>
      <c r="H46" s="49" t="n"/>
      <c r="I46" s="45" t="n"/>
    </row>
    <row r="47">
      <c r="A47" s="17" t="n"/>
      <c r="B47" s="18" t="n"/>
      <c r="C47" s="18" t="n"/>
      <c r="D47" s="27" t="n"/>
      <c r="E47" s="18" t="n"/>
      <c r="F47" s="19" t="n"/>
      <c r="G47" s="19" t="n"/>
      <c r="H47" s="21" t="n"/>
      <c r="I47" s="18" t="n"/>
      <c r="J47" s="18" t="n"/>
    </row>
    <row r="48">
      <c r="A48" s="44" t="n"/>
      <c r="B48" s="45" t="n"/>
      <c r="C48" s="45" t="n"/>
      <c r="D48" s="46" t="n"/>
      <c r="E48" s="45" t="n"/>
      <c r="F48" s="47" t="n"/>
      <c r="G48" s="48" t="n"/>
      <c r="H48" s="49" t="n"/>
      <c r="I48" s="45" t="n"/>
    </row>
    <row r="49">
      <c r="A49" s="17" t="n"/>
      <c r="B49" s="18" t="n"/>
      <c r="C49" s="18" t="n"/>
      <c r="D49" s="27" t="n"/>
      <c r="E49" s="18" t="n"/>
      <c r="F49" s="19" t="n"/>
      <c r="G49" s="19" t="n"/>
      <c r="H49" s="21" t="n"/>
      <c r="I49" s="18" t="n"/>
      <c r="J49" s="18" t="n"/>
    </row>
    <row r="50">
      <c r="A50" s="44" t="n"/>
      <c r="B50" s="45" t="n"/>
      <c r="C50" s="45" t="n"/>
      <c r="D50" s="46" t="n"/>
      <c r="E50" s="45" t="n"/>
      <c r="F50" s="47" t="n"/>
      <c r="G50" s="48" t="n"/>
      <c r="H50" s="49" t="n"/>
      <c r="I50" s="45" t="n"/>
    </row>
    <row r="51">
      <c r="A51" s="17" t="n"/>
      <c r="B51" s="18" t="n"/>
      <c r="C51" s="18" t="n"/>
      <c r="D51" s="27" t="n"/>
      <c r="E51" s="18" t="n"/>
      <c r="F51" s="19" t="n"/>
      <c r="G51" s="19" t="n"/>
      <c r="H51" s="21" t="n"/>
      <c r="I51" s="18" t="n"/>
      <c r="J51" s="18" t="n"/>
    </row>
    <row r="52">
      <c r="A52" s="44" t="n"/>
      <c r="B52" s="45" t="n"/>
      <c r="C52" s="45" t="n"/>
      <c r="D52" s="46" t="n"/>
      <c r="E52" s="45" t="n"/>
      <c r="F52" s="47" t="n"/>
      <c r="G52" s="48" t="n"/>
      <c r="H52" s="49" t="n"/>
      <c r="I52" s="45" t="n"/>
    </row>
    <row r="53">
      <c r="A53" s="17" t="n"/>
      <c r="B53" s="18" t="n"/>
      <c r="C53" s="18" t="n"/>
      <c r="D53" s="27" t="n"/>
      <c r="E53" s="18" t="n"/>
      <c r="F53" s="19" t="n"/>
      <c r="G53" s="19" t="n"/>
      <c r="H53" s="21" t="n"/>
      <c r="I53" s="18" t="n"/>
      <c r="J53" s="18" t="n"/>
    </row>
    <row r="54">
      <c r="A54" s="44" t="n"/>
      <c r="B54" s="45" t="n"/>
      <c r="C54" s="45" t="n"/>
      <c r="D54" s="46" t="n"/>
      <c r="E54" s="45" t="n"/>
      <c r="F54" s="47" t="n"/>
      <c r="G54" s="48" t="n"/>
      <c r="H54" s="49" t="n"/>
      <c r="I54" s="45" t="n"/>
    </row>
    <row r="55">
      <c r="A55" s="17" t="n"/>
      <c r="B55" s="18" t="n"/>
      <c r="C55" s="18" t="n"/>
      <c r="D55" s="27" t="n"/>
      <c r="E55" s="18" t="n"/>
      <c r="F55" s="19" t="n"/>
      <c r="G55" s="19" t="n"/>
      <c r="H55" s="21" t="n"/>
      <c r="I55" s="18" t="n"/>
      <c r="J55" s="18" t="n"/>
    </row>
    <row r="56">
      <c r="A56" s="44" t="n"/>
      <c r="B56" s="45" t="n"/>
      <c r="C56" s="45" t="n"/>
      <c r="D56" s="46" t="n"/>
      <c r="E56" s="45" t="n"/>
      <c r="F56" s="47" t="n"/>
      <c r="G56" s="48" t="n"/>
      <c r="H56" s="49" t="n"/>
      <c r="I56" s="45" t="n"/>
    </row>
    <row r="57">
      <c r="A57" s="17" t="n"/>
      <c r="B57" s="18" t="n"/>
      <c r="C57" s="18" t="n"/>
      <c r="D57" s="27" t="n"/>
      <c r="E57" s="18" t="n"/>
      <c r="F57" s="19" t="n"/>
      <c r="G57" s="19" t="n"/>
      <c r="H57" s="21" t="n"/>
      <c r="I57" s="18" t="n"/>
      <c r="J57" s="18" t="n"/>
    </row>
    <row r="58">
      <c r="A58" s="44" t="n"/>
      <c r="B58" s="45" t="n"/>
      <c r="C58" s="45" t="n"/>
      <c r="D58" s="46" t="n"/>
      <c r="E58" s="45" t="n"/>
      <c r="F58" s="47" t="n"/>
      <c r="G58" s="48" t="n"/>
      <c r="H58" s="49" t="n"/>
      <c r="I58" s="45" t="n"/>
    </row>
    <row r="59">
      <c r="A59" s="17" t="n"/>
      <c r="B59" s="18" t="n"/>
      <c r="C59" s="18" t="n"/>
      <c r="D59" s="27" t="n"/>
      <c r="E59" s="18" t="n"/>
      <c r="F59" s="19" t="n"/>
      <c r="G59" s="19" t="n"/>
      <c r="H59" s="21" t="n"/>
      <c r="I59" s="18" t="n"/>
      <c r="J59" s="18" t="n"/>
    </row>
    <row r="60">
      <c r="A60" s="44" t="n"/>
      <c r="B60" s="45" t="n"/>
      <c r="C60" s="45" t="n"/>
      <c r="D60" s="46" t="n"/>
      <c r="E60" s="45" t="n"/>
      <c r="F60" s="47" t="n"/>
      <c r="G60" s="48" t="n"/>
      <c r="H60" s="49" t="n"/>
      <c r="I60" s="45" t="n"/>
    </row>
    <row r="61">
      <c r="A61" s="17" t="n"/>
      <c r="B61" s="18" t="n"/>
      <c r="C61" s="18" t="n"/>
      <c r="D61" s="27" t="n"/>
      <c r="E61" s="18" t="n"/>
      <c r="F61" s="19" t="n"/>
      <c r="G61" s="19" t="n"/>
      <c r="H61" s="21" t="n"/>
      <c r="I61" s="18" t="n"/>
      <c r="J61" s="18" t="n"/>
    </row>
    <row r="62">
      <c r="A62" s="44" t="n"/>
      <c r="B62" s="45" t="n"/>
      <c r="C62" s="45" t="n"/>
      <c r="D62" s="46" t="n"/>
      <c r="E62" s="45" t="n"/>
      <c r="F62" s="47" t="n"/>
      <c r="G62" s="48" t="n"/>
      <c r="H62" s="49" t="n"/>
      <c r="I62" s="45" t="n"/>
    </row>
    <row r="63">
      <c r="A63" s="17" t="n"/>
      <c r="B63" s="18" t="n"/>
      <c r="C63" s="18" t="n"/>
      <c r="D63" s="27" t="n"/>
      <c r="E63" s="18" t="n"/>
      <c r="F63" s="19" t="n"/>
      <c r="G63" s="19" t="n"/>
      <c r="H63" s="21" t="n"/>
      <c r="I63" s="18" t="n"/>
      <c r="J63" s="18" t="n"/>
    </row>
    <row r="64">
      <c r="A64" s="44" t="n"/>
      <c r="B64" s="45" t="n"/>
      <c r="C64" s="45" t="n"/>
      <c r="D64" s="46" t="n"/>
      <c r="E64" s="45" t="n"/>
      <c r="F64" s="47" t="n"/>
      <c r="G64" s="48" t="n"/>
      <c r="H64" s="49" t="n"/>
      <c r="I64" s="45" t="n"/>
    </row>
    <row r="65">
      <c r="A65" s="17" t="n"/>
      <c r="B65" s="18" t="n"/>
      <c r="C65" s="18" t="n"/>
      <c r="D65" s="27" t="n"/>
      <c r="E65" s="18" t="n"/>
      <c r="F65" s="19" t="n"/>
      <c r="G65" s="19" t="n"/>
      <c r="H65" s="21" t="n"/>
      <c r="I65" s="18" t="n"/>
      <c r="J65" s="18" t="n"/>
    </row>
    <row r="66">
      <c r="A66" s="44" t="n"/>
      <c r="B66" s="45" t="n"/>
      <c r="C66" s="45" t="n"/>
      <c r="D66" s="46" t="n"/>
      <c r="E66" s="45" t="n"/>
      <c r="F66" s="47" t="n"/>
      <c r="G66" s="48" t="n"/>
      <c r="H66" s="49" t="n"/>
      <c r="I66" s="45" t="n"/>
    </row>
    <row r="67">
      <c r="A67" s="17" t="n"/>
      <c r="B67" s="18" t="n"/>
      <c r="C67" s="18" t="n"/>
      <c r="D67" s="27" t="n"/>
      <c r="E67" s="18" t="n"/>
      <c r="F67" s="19" t="n"/>
      <c r="G67" s="19" t="n"/>
      <c r="H67" s="21" t="n"/>
      <c r="I67" s="18" t="n"/>
      <c r="J67" s="18" t="n"/>
    </row>
    <row r="68">
      <c r="A68" s="44" t="n"/>
      <c r="B68" s="45" t="n"/>
      <c r="C68" s="45" t="n"/>
      <c r="D68" s="46" t="n"/>
      <c r="E68" s="45" t="n"/>
      <c r="F68" s="47" t="n"/>
      <c r="G68" s="48" t="n"/>
      <c r="H68" s="49" t="n"/>
      <c r="I68" s="45" t="n"/>
    </row>
    <row r="69">
      <c r="A69" s="17" t="n"/>
      <c r="B69" s="18" t="n"/>
      <c r="C69" s="18" t="n"/>
      <c r="D69" s="27" t="n"/>
      <c r="E69" s="18" t="n"/>
      <c r="F69" s="19" t="n"/>
      <c r="G69" s="19" t="n"/>
      <c r="H69" s="21" t="n"/>
      <c r="I69" s="18" t="n"/>
      <c r="J69" s="18" t="n"/>
    </row>
    <row r="70">
      <c r="A70" s="44" t="n"/>
      <c r="B70" s="45" t="n"/>
      <c r="C70" s="45" t="n"/>
      <c r="D70" s="46" t="n"/>
      <c r="E70" s="45" t="n"/>
      <c r="F70" s="47" t="n"/>
      <c r="G70" s="48" t="n"/>
      <c r="H70" s="49" t="n"/>
      <c r="I70" s="45" t="n"/>
    </row>
    <row r="71">
      <c r="A71" s="17" t="n"/>
      <c r="B71" s="18" t="n"/>
      <c r="C71" s="18" t="n"/>
      <c r="D71" s="27" t="n"/>
      <c r="E71" s="18" t="n"/>
      <c r="F71" s="19" t="n"/>
      <c r="G71" s="19" t="n"/>
      <c r="H71" s="21" t="n"/>
      <c r="I71" s="18" t="n"/>
      <c r="J71" s="18" t="n"/>
    </row>
    <row r="72">
      <c r="A72" s="44" t="n"/>
      <c r="B72" s="45" t="n"/>
      <c r="C72" s="45" t="n"/>
      <c r="D72" s="46" t="n"/>
      <c r="E72" s="45" t="n"/>
      <c r="F72" s="47" t="n"/>
      <c r="G72" s="48" t="n"/>
      <c r="H72" s="49" t="n"/>
      <c r="I72" s="45" t="n"/>
    </row>
    <row r="73">
      <c r="A73" s="17" t="n"/>
      <c r="B73" s="18" t="n"/>
      <c r="C73" s="18" t="n"/>
      <c r="D73" s="27" t="n"/>
      <c r="E73" s="18" t="n"/>
      <c r="F73" s="19" t="n"/>
      <c r="G73" s="19" t="n"/>
      <c r="H73" s="21" t="n"/>
      <c r="I73" s="18" t="n"/>
      <c r="J73" s="18" t="n"/>
    </row>
    <row r="74">
      <c r="A74" s="44" t="n"/>
      <c r="B74" s="45" t="n"/>
      <c r="C74" s="45" t="n"/>
      <c r="D74" s="46" t="n"/>
      <c r="E74" s="45" t="n"/>
      <c r="F74" s="47" t="n"/>
      <c r="G74" s="48" t="n"/>
      <c r="H74" s="49" t="n"/>
      <c r="I74" s="45" t="n"/>
    </row>
    <row r="75">
      <c r="A75" s="17" t="n"/>
      <c r="B75" s="18" t="n"/>
      <c r="C75" s="18" t="n"/>
      <c r="D75" s="27" t="n"/>
      <c r="E75" s="18" t="n"/>
      <c r="F75" s="19" t="n"/>
      <c r="G75" s="19" t="n"/>
      <c r="H75" s="21" t="n"/>
      <c r="I75" s="18" t="n"/>
      <c r="J75" s="18" t="n"/>
    </row>
    <row r="76">
      <c r="A76" s="44" t="n"/>
      <c r="B76" s="45" t="n"/>
      <c r="C76" s="45" t="n"/>
      <c r="D76" s="46" t="n"/>
      <c r="E76" s="45" t="n"/>
      <c r="F76" s="47" t="n"/>
      <c r="G76" s="48" t="n"/>
      <c r="H76" s="49" t="n"/>
      <c r="I76" s="45" t="n"/>
    </row>
    <row r="77">
      <c r="A77" s="17" t="n"/>
      <c r="B77" s="18" t="n"/>
      <c r="C77" s="18" t="n"/>
      <c r="D77" s="27" t="n"/>
      <c r="E77" s="18" t="n"/>
      <c r="F77" s="19" t="n"/>
      <c r="G77" s="19" t="n"/>
      <c r="H77" s="21" t="n"/>
      <c r="I77" s="18" t="n"/>
      <c r="J77" s="18" t="n"/>
    </row>
    <row r="78">
      <c r="A78" s="44" t="n"/>
      <c r="B78" s="45" t="n"/>
      <c r="C78" s="45" t="n"/>
      <c r="D78" s="46" t="n"/>
      <c r="E78" s="45" t="n"/>
      <c r="F78" s="47" t="n"/>
      <c r="G78" s="48" t="n"/>
      <c r="H78" s="49" t="n"/>
      <c r="I78" s="45" t="n"/>
    </row>
    <row r="79">
      <c r="A79" s="17" t="n"/>
      <c r="B79" s="18" t="n"/>
      <c r="C79" s="18" t="n"/>
      <c r="D79" s="27" t="n"/>
      <c r="E79" s="18" t="n"/>
      <c r="F79" s="19" t="n"/>
      <c r="G79" s="19" t="n"/>
      <c r="H79" s="21" t="n"/>
      <c r="I79" s="18" t="n"/>
      <c r="J79" s="18" t="n"/>
    </row>
    <row r="80">
      <c r="A80" s="44" t="n"/>
      <c r="B80" s="45" t="n"/>
      <c r="C80" s="45" t="n"/>
      <c r="D80" s="46" t="n"/>
      <c r="E80" s="45" t="n"/>
      <c r="F80" s="47" t="n"/>
      <c r="G80" s="48" t="n"/>
      <c r="H80" s="49" t="n"/>
      <c r="I80" s="45" t="n"/>
    </row>
    <row r="81">
      <c r="A81" s="17" t="n"/>
      <c r="B81" s="18" t="n"/>
      <c r="C81" s="18" t="n"/>
      <c r="D81" s="27" t="n"/>
      <c r="E81" s="18" t="n"/>
      <c r="F81" s="19" t="n"/>
      <c r="G81" s="19" t="n"/>
      <c r="H81" s="21" t="n"/>
      <c r="I81" s="18" t="n"/>
      <c r="J81" s="18" t="n"/>
    </row>
    <row r="82">
      <c r="A82" s="44" t="n"/>
      <c r="B82" s="45" t="n"/>
      <c r="C82" s="45" t="n"/>
      <c r="D82" s="46" t="n"/>
      <c r="E82" s="45" t="n"/>
      <c r="F82" s="47" t="n"/>
      <c r="G82" s="48" t="n"/>
      <c r="H82" s="49" t="n"/>
      <c r="I82" s="45" t="n"/>
    </row>
    <row r="83">
      <c r="A83" s="17" t="n"/>
      <c r="B83" s="18" t="n"/>
      <c r="C83" s="18" t="n"/>
      <c r="D83" s="27" t="n"/>
      <c r="E83" s="18" t="n"/>
      <c r="F83" s="19" t="n"/>
      <c r="G83" s="19" t="n"/>
      <c r="H83" s="21" t="n"/>
      <c r="I83" s="18" t="n"/>
      <c r="J83" s="18" t="n"/>
    </row>
    <row r="84">
      <c r="A84" s="44" t="n"/>
      <c r="B84" s="45" t="n"/>
      <c r="C84" s="45" t="n"/>
      <c r="D84" s="46" t="n"/>
      <c r="E84" s="45" t="n"/>
      <c r="F84" s="47" t="n"/>
      <c r="G84" s="48" t="n"/>
      <c r="H84" s="49" t="n"/>
      <c r="I84" s="45" t="n"/>
    </row>
    <row r="85">
      <c r="A85" s="17" t="n"/>
      <c r="B85" s="18" t="n"/>
      <c r="C85" s="18" t="n"/>
      <c r="D85" s="27" t="n"/>
      <c r="E85" s="18" t="n"/>
      <c r="F85" s="19" t="n"/>
      <c r="G85" s="19" t="n"/>
      <c r="H85" s="21" t="n"/>
      <c r="I85" s="18" t="n"/>
      <c r="J85" s="18" t="n"/>
    </row>
    <row r="86">
      <c r="A86" s="44" t="n"/>
      <c r="B86" s="45" t="n"/>
      <c r="C86" s="45" t="n"/>
      <c r="D86" s="46" t="n"/>
      <c r="E86" s="45" t="n"/>
      <c r="F86" s="47" t="n"/>
      <c r="G86" s="48" t="n"/>
      <c r="H86" s="49" t="n"/>
      <c r="I86" s="45" t="n"/>
    </row>
    <row r="87">
      <c r="A87" s="17" t="n"/>
      <c r="B87" s="18" t="n"/>
      <c r="C87" s="18" t="n"/>
      <c r="D87" s="27" t="n"/>
      <c r="E87" s="18" t="n"/>
      <c r="F87" s="19" t="n"/>
      <c r="G87" s="19" t="n"/>
      <c r="H87" s="21" t="n"/>
      <c r="I87" s="18" t="n"/>
      <c r="J87" s="18" t="n"/>
    </row>
    <row r="88">
      <c r="A88" s="44" t="n"/>
      <c r="B88" s="45" t="n"/>
      <c r="C88" s="45" t="n"/>
      <c r="D88" s="46" t="n"/>
      <c r="E88" s="45" t="n"/>
      <c r="F88" s="47" t="n"/>
      <c r="G88" s="48" t="n"/>
      <c r="H88" s="49" t="n"/>
      <c r="I88" s="45" t="n"/>
    </row>
    <row r="89">
      <c r="A89" s="17" t="n"/>
      <c r="B89" s="18" t="n"/>
      <c r="C89" s="18" t="n"/>
      <c r="D89" s="27" t="n"/>
      <c r="E89" s="18" t="n"/>
      <c r="F89" s="19" t="n"/>
      <c r="G89" s="19" t="n"/>
      <c r="H89" s="21" t="n"/>
      <c r="I89" s="18" t="n"/>
      <c r="J89" s="18" t="n"/>
    </row>
    <row r="90">
      <c r="A90" s="44" t="n"/>
      <c r="B90" s="45" t="n"/>
      <c r="C90" s="45" t="n"/>
      <c r="D90" s="46" t="n"/>
      <c r="E90" s="45" t="n"/>
      <c r="F90" s="47" t="n"/>
      <c r="G90" s="48" t="n"/>
      <c r="H90" s="49" t="n"/>
      <c r="I90" s="45" t="n"/>
    </row>
    <row r="91">
      <c r="A91" s="17" t="n"/>
      <c r="B91" s="18" t="n"/>
      <c r="C91" s="18" t="n"/>
      <c r="D91" s="27" t="n"/>
      <c r="E91" s="18" t="n"/>
      <c r="F91" s="19" t="n"/>
      <c r="G91" s="19" t="n"/>
      <c r="H91" s="21" t="n"/>
      <c r="I91" s="18" t="n"/>
      <c r="J91" s="18" t="n"/>
    </row>
    <row r="92">
      <c r="A92" s="44" t="n"/>
      <c r="B92" s="45" t="n"/>
      <c r="C92" s="45" t="n"/>
      <c r="D92" s="46" t="n"/>
      <c r="E92" s="45" t="n"/>
      <c r="F92" s="47" t="n"/>
      <c r="G92" s="48" t="n"/>
      <c r="H92" s="49" t="n"/>
      <c r="I92" s="45" t="n"/>
    </row>
    <row r="93">
      <c r="A93" s="17" t="n"/>
      <c r="B93" s="18" t="n"/>
      <c r="C93" s="18" t="n"/>
      <c r="D93" s="27" t="n"/>
      <c r="E93" s="18" t="n"/>
      <c r="F93" s="19" t="n"/>
      <c r="G93" s="19" t="n"/>
      <c r="H93" s="21" t="n"/>
      <c r="I93" s="18" t="n"/>
      <c r="J93" s="18" t="n"/>
    </row>
    <row r="94">
      <c r="A94" s="44" t="n"/>
      <c r="B94" s="45" t="n"/>
      <c r="C94" s="45" t="n"/>
      <c r="D94" s="46" t="n"/>
      <c r="E94" s="45" t="n"/>
      <c r="F94" s="47" t="n"/>
      <c r="G94" s="48" t="n"/>
      <c r="H94" s="49" t="n"/>
      <c r="I94" s="45" t="n"/>
    </row>
    <row r="95">
      <c r="A95" s="17" t="n"/>
      <c r="B95" s="18" t="n"/>
      <c r="C95" s="18" t="n"/>
      <c r="D95" s="27" t="n"/>
      <c r="E95" s="18" t="n"/>
      <c r="F95" s="19" t="n"/>
      <c r="G95" s="19" t="n"/>
      <c r="H95" s="21" t="n"/>
      <c r="I95" s="18" t="n"/>
      <c r="J95" s="18" t="n"/>
    </row>
    <row r="96">
      <c r="A96" s="44" t="n"/>
      <c r="B96" s="45" t="n"/>
      <c r="C96" s="45" t="n"/>
      <c r="D96" s="46" t="n"/>
      <c r="E96" s="45" t="n"/>
      <c r="F96" s="47" t="n"/>
      <c r="G96" s="48" t="n"/>
      <c r="H96" s="49" t="n"/>
      <c r="I96" s="45" t="n"/>
    </row>
    <row r="97">
      <c r="A97" s="17" t="n"/>
      <c r="B97" s="18" t="n"/>
      <c r="C97" s="18" t="n"/>
      <c r="D97" s="27" t="n"/>
      <c r="E97" s="18" t="n"/>
      <c r="F97" s="19" t="n"/>
      <c r="G97" s="19" t="n"/>
      <c r="H97" s="21" t="n"/>
      <c r="I97" s="18" t="n"/>
      <c r="J97" s="18" t="n"/>
    </row>
    <row r="98">
      <c r="A98" s="44" t="n"/>
      <c r="B98" s="45" t="n"/>
      <c r="C98" s="45" t="n"/>
      <c r="D98" s="46" t="n"/>
      <c r="E98" s="45" t="n"/>
      <c r="F98" s="47" t="n"/>
      <c r="G98" s="48" t="n"/>
      <c r="H98" s="49" t="n"/>
      <c r="I98" s="45" t="n"/>
    </row>
    <row r="99">
      <c r="A99" s="17" t="n"/>
      <c r="B99" s="18" t="n"/>
      <c r="C99" s="18" t="n"/>
      <c r="D99" s="27" t="n"/>
      <c r="E99" s="18" t="n"/>
      <c r="F99" s="19" t="n"/>
      <c r="G99" s="19" t="n"/>
      <c r="H99" s="21" t="n"/>
      <c r="I99" s="18" t="n"/>
      <c r="J99" s="18" t="n"/>
    </row>
    <row r="100">
      <c r="A100" s="44" t="n"/>
      <c r="B100" s="45" t="n"/>
      <c r="C100" s="45" t="n"/>
      <c r="D100" s="46" t="n"/>
      <c r="E100" s="45" t="n"/>
      <c r="F100" s="47" t="n"/>
      <c r="G100" s="48" t="n"/>
      <c r="H100" s="49" t="n"/>
      <c r="I100" s="45" t="n"/>
    </row>
    <row r="101">
      <c r="A101" s="17" t="n"/>
      <c r="B101" s="18" t="n"/>
      <c r="C101" s="18" t="n"/>
      <c r="D101" s="27" t="n"/>
      <c r="E101" s="18" t="n"/>
      <c r="F101" s="19" t="n"/>
      <c r="G101" s="19" t="n"/>
      <c r="H101" s="21" t="n"/>
      <c r="I101" s="18" t="n"/>
      <c r="J101" s="18" t="n"/>
    </row>
    <row r="102">
      <c r="A102" s="44" t="n"/>
      <c r="B102" s="45" t="n"/>
      <c r="C102" s="45" t="n"/>
      <c r="D102" s="46" t="n"/>
      <c r="E102" s="45" t="n"/>
      <c r="F102" s="47" t="n"/>
      <c r="G102" s="48" t="n"/>
      <c r="H102" s="49" t="n"/>
      <c r="I102" s="45" t="n"/>
    </row>
    <row r="103">
      <c r="A103" s="17" t="n"/>
      <c r="B103" s="18" t="n"/>
      <c r="C103" s="18" t="n"/>
      <c r="D103" s="27" t="n"/>
      <c r="E103" s="18" t="n"/>
      <c r="F103" s="19" t="n"/>
      <c r="G103" s="19" t="n"/>
      <c r="H103" s="21" t="n"/>
      <c r="I103" s="18" t="n"/>
      <c r="J103" s="18" t="n"/>
    </row>
    <row r="104">
      <c r="A104" s="44" t="n"/>
      <c r="B104" s="45" t="n"/>
      <c r="C104" s="45" t="n"/>
      <c r="D104" s="46" t="n"/>
      <c r="E104" s="45" t="n"/>
      <c r="F104" s="47" t="n"/>
      <c r="G104" s="48" t="n"/>
      <c r="H104" s="49" t="n"/>
      <c r="I104" s="45" t="n"/>
    </row>
    <row r="105">
      <c r="A105" s="17" t="n"/>
      <c r="B105" s="18" t="n"/>
      <c r="C105" s="18" t="n"/>
      <c r="D105" s="27" t="n"/>
      <c r="E105" s="18" t="n"/>
      <c r="F105" s="19" t="n"/>
      <c r="G105" s="19" t="n"/>
      <c r="H105" s="21" t="n"/>
      <c r="I105" s="18" t="n"/>
      <c r="J105" s="18" t="n"/>
    </row>
    <row r="106">
      <c r="A106" s="44" t="n"/>
      <c r="B106" s="45" t="n"/>
      <c r="C106" s="45" t="n"/>
      <c r="D106" s="46" t="n"/>
      <c r="E106" s="45" t="n"/>
      <c r="F106" s="47" t="n"/>
      <c r="G106" s="48" t="n"/>
      <c r="H106" s="49" t="n"/>
      <c r="I106" s="45" t="n"/>
    </row>
    <row r="107">
      <c r="A107" s="17" t="n"/>
      <c r="B107" s="18" t="n"/>
      <c r="C107" s="18" t="n"/>
      <c r="D107" s="27" t="n"/>
      <c r="E107" s="18" t="n"/>
      <c r="F107" s="19" t="n"/>
      <c r="G107" s="19" t="n"/>
      <c r="H107" s="21" t="n"/>
      <c r="I107" s="18" t="n"/>
      <c r="J107" s="18" t="n"/>
    </row>
    <row r="108">
      <c r="A108" s="44" t="n"/>
      <c r="B108" s="45" t="n"/>
      <c r="C108" s="45" t="n"/>
      <c r="D108" s="46" t="n"/>
      <c r="E108" s="45" t="n"/>
      <c r="F108" s="47" t="n"/>
      <c r="G108" s="48" t="n"/>
      <c r="H108" s="49" t="n"/>
      <c r="I108" s="45" t="n"/>
    </row>
    <row r="109">
      <c r="A109" s="17" t="n"/>
      <c r="B109" s="18" t="n"/>
      <c r="C109" s="18" t="n"/>
      <c r="D109" s="27" t="n"/>
      <c r="E109" s="18" t="n"/>
      <c r="F109" s="19" t="n"/>
      <c r="G109" s="19" t="n"/>
      <c r="H109" s="21" t="n"/>
      <c r="I109" s="18" t="n"/>
      <c r="J109" s="18" t="n"/>
    </row>
    <row r="110">
      <c r="A110" s="44" t="n"/>
      <c r="B110" s="45" t="n"/>
      <c r="C110" s="45" t="n"/>
      <c r="D110" s="46" t="n"/>
      <c r="E110" s="45" t="n"/>
      <c r="F110" s="47" t="n"/>
      <c r="G110" s="48" t="n"/>
      <c r="H110" s="49" t="n"/>
      <c r="I110" s="45" t="n"/>
    </row>
    <row r="111">
      <c r="A111" s="17" t="n"/>
      <c r="B111" s="18" t="n"/>
      <c r="C111" s="18" t="n"/>
      <c r="D111" s="27" t="n"/>
      <c r="E111" s="18" t="n"/>
      <c r="F111" s="19" t="n"/>
      <c r="G111" s="19" t="n"/>
      <c r="H111" s="21" t="n"/>
      <c r="I111" s="18" t="n"/>
      <c r="J111" s="18" t="n"/>
    </row>
    <row r="112">
      <c r="A112" s="44" t="n"/>
      <c r="B112" s="45" t="n"/>
      <c r="C112" s="45" t="n"/>
      <c r="D112" s="46" t="n"/>
      <c r="E112" s="45" t="n"/>
      <c r="F112" s="47" t="n"/>
      <c r="G112" s="48" t="n"/>
      <c r="H112" s="49" t="n"/>
      <c r="I112" s="45" t="n"/>
    </row>
    <row r="113">
      <c r="A113" s="17" t="n"/>
      <c r="B113" s="18" t="n"/>
      <c r="C113" s="18" t="n"/>
      <c r="D113" s="27" t="n"/>
      <c r="E113" s="18" t="n"/>
      <c r="F113" s="19" t="n"/>
      <c r="G113" s="19" t="n"/>
      <c r="H113" s="21" t="n"/>
      <c r="I113" s="18" t="n"/>
      <c r="J113" s="18" t="n"/>
    </row>
    <row r="114">
      <c r="A114" s="44" t="n"/>
      <c r="B114" s="45" t="n"/>
      <c r="C114" s="45" t="n"/>
      <c r="D114" s="46" t="n"/>
      <c r="E114" s="45" t="n"/>
      <c r="F114" s="47" t="n"/>
      <c r="G114" s="48" t="n"/>
      <c r="H114" s="49" t="n"/>
      <c r="I114" s="45" t="n"/>
    </row>
    <row r="115">
      <c r="A115" s="17" t="n"/>
      <c r="B115" s="18" t="n"/>
      <c r="C115" s="18" t="n"/>
      <c r="D115" s="27" t="n"/>
      <c r="E115" s="18" t="n"/>
      <c r="F115" s="19" t="n"/>
      <c r="G115" s="19" t="n"/>
      <c r="H115" s="21" t="n"/>
      <c r="I115" s="18" t="n"/>
      <c r="J115" s="18" t="n"/>
    </row>
    <row r="116">
      <c r="A116" s="44" t="n"/>
      <c r="B116" s="45" t="n"/>
      <c r="C116" s="45" t="n"/>
      <c r="D116" s="46" t="n"/>
      <c r="E116" s="45" t="n"/>
      <c r="F116" s="47" t="n"/>
      <c r="G116" s="48" t="n"/>
      <c r="H116" s="49" t="n"/>
      <c r="I116" s="45" t="n"/>
    </row>
    <row r="117">
      <c r="A117" s="17" t="n"/>
      <c r="B117" s="18" t="n"/>
      <c r="C117" s="18" t="n"/>
      <c r="D117" s="27" t="n"/>
      <c r="E117" s="18" t="n"/>
      <c r="F117" s="19" t="n"/>
      <c r="G117" s="19" t="n"/>
      <c r="H117" s="21" t="n"/>
      <c r="I117" s="18" t="n"/>
      <c r="J117" s="18" t="n"/>
    </row>
    <row r="118">
      <c r="A118" s="44" t="n"/>
      <c r="B118" s="45" t="n"/>
      <c r="C118" s="45" t="n"/>
      <c r="D118" s="46" t="n"/>
      <c r="E118" s="45" t="n"/>
      <c r="F118" s="47" t="n"/>
      <c r="G118" s="48" t="n"/>
      <c r="H118" s="49" t="n"/>
      <c r="I118" s="45" t="n"/>
    </row>
    <row r="119">
      <c r="A119" s="17" t="n"/>
      <c r="B119" s="18" t="n"/>
      <c r="C119" s="18" t="n"/>
      <c r="D119" s="27" t="n"/>
      <c r="E119" s="18" t="n"/>
      <c r="F119" s="19" t="n"/>
      <c r="G119" s="19" t="n"/>
      <c r="H119" s="21" t="n"/>
      <c r="I119" s="18" t="n"/>
      <c r="J119" s="18" t="n"/>
    </row>
    <row r="120">
      <c r="A120" s="44" t="n"/>
      <c r="B120" s="45" t="n"/>
      <c r="C120" s="45" t="n"/>
      <c r="D120" s="46" t="n"/>
      <c r="E120" s="45" t="n"/>
      <c r="F120" s="47" t="n"/>
      <c r="G120" s="48" t="n"/>
      <c r="H120" s="49" t="n"/>
      <c r="I120" s="45" t="n"/>
    </row>
    <row r="121">
      <c r="A121" s="17" t="n"/>
      <c r="B121" s="18" t="n"/>
      <c r="C121" s="18" t="n"/>
      <c r="D121" s="27" t="n"/>
      <c r="E121" s="18" t="n"/>
      <c r="F121" s="19" t="n"/>
      <c r="G121" s="19" t="n"/>
      <c r="H121" s="21" t="n"/>
      <c r="I121" s="18" t="n"/>
      <c r="J121" s="18" t="n"/>
    </row>
    <row r="122">
      <c r="A122" s="44" t="n"/>
      <c r="B122" s="45" t="n"/>
      <c r="C122" s="45" t="n"/>
      <c r="D122" s="46" t="n"/>
      <c r="E122" s="45" t="n"/>
      <c r="F122" s="47" t="n"/>
      <c r="G122" s="48" t="n"/>
      <c r="H122" s="49" t="n"/>
      <c r="I122" s="45" t="n"/>
    </row>
    <row r="123">
      <c r="A123" s="17" t="n"/>
      <c r="B123" s="18" t="n"/>
      <c r="C123" s="18" t="n"/>
      <c r="D123" s="27" t="n"/>
      <c r="E123" s="18" t="n"/>
      <c r="F123" s="19" t="n"/>
      <c r="G123" s="19" t="n"/>
      <c r="H123" s="21" t="n"/>
      <c r="I123" s="18" t="n"/>
      <c r="J123" s="18" t="n"/>
    </row>
    <row r="124">
      <c r="A124" s="44" t="n"/>
      <c r="B124" s="45" t="n"/>
      <c r="C124" s="45" t="n"/>
      <c r="D124" s="46" t="n"/>
      <c r="E124" s="45" t="n"/>
      <c r="F124" s="47" t="n"/>
      <c r="G124" s="48" t="n"/>
      <c r="H124" s="49" t="n"/>
      <c r="I124" s="45" t="n"/>
    </row>
    <row r="125">
      <c r="A125" s="17" t="n"/>
      <c r="B125" s="18" t="n"/>
      <c r="C125" s="18" t="n"/>
      <c r="D125" s="27" t="n"/>
      <c r="E125" s="18" t="n"/>
      <c r="F125" s="19" t="n"/>
      <c r="G125" s="19" t="n"/>
      <c r="H125" s="21" t="n"/>
      <c r="I125" s="18" t="n"/>
      <c r="J125" s="18" t="n"/>
    </row>
    <row r="126">
      <c r="A126" s="44" t="n"/>
      <c r="B126" s="45" t="n"/>
      <c r="C126" s="45" t="n"/>
      <c r="D126" s="46" t="n"/>
      <c r="E126" s="45" t="n"/>
      <c r="F126" s="47" t="n"/>
      <c r="G126" s="48" t="n"/>
      <c r="H126" s="49" t="n"/>
      <c r="I126" s="45" t="n"/>
    </row>
    <row r="127">
      <c r="A127" s="17" t="n"/>
      <c r="B127" s="18" t="n"/>
      <c r="C127" s="18" t="n"/>
      <c r="D127" s="27" t="n"/>
      <c r="E127" s="18" t="n"/>
      <c r="F127" s="19" t="n"/>
      <c r="G127" s="19" t="n"/>
      <c r="H127" s="21" t="n"/>
      <c r="I127" s="18" t="n"/>
      <c r="J127" s="18" t="n"/>
    </row>
    <row r="128">
      <c r="A128" s="44" t="n"/>
      <c r="B128" s="45" t="n"/>
      <c r="C128" s="45" t="n"/>
      <c r="D128" s="46" t="n"/>
      <c r="E128" s="45" t="n"/>
      <c r="F128" s="47" t="n"/>
      <c r="G128" s="48" t="n"/>
      <c r="H128" s="49" t="n"/>
      <c r="I128" s="45" t="n"/>
    </row>
    <row r="129">
      <c r="A129" s="17" t="n"/>
      <c r="B129" s="18" t="n"/>
      <c r="C129" s="18" t="n"/>
      <c r="D129" s="27" t="n"/>
      <c r="E129" s="18" t="n"/>
      <c r="F129" s="19" t="n"/>
      <c r="G129" s="19" t="n"/>
      <c r="H129" s="21" t="n"/>
      <c r="I129" s="18" t="n"/>
      <c r="J129" s="18" t="n"/>
    </row>
    <row r="130">
      <c r="A130" s="44" t="n"/>
      <c r="B130" s="45" t="n"/>
      <c r="C130" s="45" t="n"/>
      <c r="D130" s="46" t="n"/>
      <c r="E130" s="45" t="n"/>
      <c r="F130" s="47" t="n"/>
      <c r="G130" s="48" t="n"/>
      <c r="H130" s="49" t="n"/>
      <c r="I130" s="45" t="n"/>
    </row>
    <row r="131">
      <c r="A131" s="17" t="n"/>
      <c r="B131" s="18" t="n"/>
      <c r="C131" s="18" t="n"/>
      <c r="D131" s="27" t="n"/>
      <c r="E131" s="18" t="n"/>
      <c r="F131" s="19" t="n"/>
      <c r="G131" s="19" t="n"/>
      <c r="H131" s="21" t="n"/>
      <c r="I131" s="18" t="n"/>
      <c r="J131" s="18" t="n"/>
    </row>
    <row r="132">
      <c r="A132" s="44" t="n"/>
      <c r="B132" s="45" t="n"/>
      <c r="C132" s="45" t="n"/>
      <c r="D132" s="46" t="n"/>
      <c r="E132" s="45" t="n"/>
      <c r="F132" s="47" t="n"/>
      <c r="G132" s="48" t="n"/>
      <c r="H132" s="49" t="n"/>
      <c r="I132" s="45" t="n"/>
    </row>
    <row r="133">
      <c r="A133" s="17" t="n"/>
      <c r="B133" s="18" t="n"/>
      <c r="C133" s="18" t="n"/>
      <c r="D133" s="27" t="n"/>
      <c r="E133" s="18" t="n"/>
      <c r="F133" s="19" t="n"/>
      <c r="G133" s="19" t="n"/>
      <c r="H133" s="21" t="n"/>
      <c r="I133" s="18" t="n"/>
      <c r="J133" s="18" t="n"/>
    </row>
    <row r="134">
      <c r="A134" s="44" t="n"/>
      <c r="B134" s="45" t="n"/>
      <c r="C134" s="45" t="n"/>
      <c r="D134" s="46" t="n"/>
      <c r="E134" s="45" t="n"/>
      <c r="F134" s="47" t="n"/>
      <c r="G134" s="48" t="n"/>
      <c r="H134" s="49" t="n"/>
      <c r="I134" s="45" t="n"/>
    </row>
    <row r="135">
      <c r="A135" s="17" t="n"/>
      <c r="B135" s="18" t="n"/>
      <c r="C135" s="18" t="n"/>
      <c r="D135" s="27" t="n"/>
      <c r="E135" s="18" t="n"/>
      <c r="F135" s="19" t="n"/>
      <c r="G135" s="19" t="n"/>
      <c r="H135" s="21" t="n"/>
      <c r="I135" s="18" t="n"/>
      <c r="J135" s="18" t="n"/>
    </row>
    <row r="136">
      <c r="A136" s="44" t="n"/>
      <c r="B136" s="45" t="n"/>
      <c r="C136" s="45" t="n"/>
      <c r="D136" s="46" t="n"/>
      <c r="E136" s="45" t="n"/>
      <c r="F136" s="47" t="n"/>
      <c r="G136" s="48" t="n"/>
      <c r="H136" s="49" t="n"/>
      <c r="I136" s="45" t="n"/>
    </row>
    <row r="137">
      <c r="A137" s="17" t="n"/>
      <c r="B137" s="18" t="n"/>
      <c r="C137" s="18" t="n"/>
      <c r="D137" s="27" t="n"/>
      <c r="E137" s="18" t="n"/>
      <c r="F137" s="19" t="n"/>
      <c r="G137" s="19" t="n"/>
      <c r="H137" s="21" t="n"/>
      <c r="I137" s="18" t="n"/>
      <c r="J137" s="18" t="n"/>
    </row>
    <row r="138">
      <c r="A138" s="44" t="n"/>
      <c r="B138" s="45" t="n"/>
      <c r="C138" s="45" t="n"/>
      <c r="D138" s="46" t="n"/>
      <c r="E138" s="45" t="n"/>
      <c r="F138" s="47" t="n"/>
      <c r="G138" s="48" t="n"/>
      <c r="H138" s="49" t="n"/>
      <c r="I138" s="45" t="n"/>
    </row>
    <row r="139">
      <c r="A139" s="17" t="n"/>
      <c r="B139" s="18" t="n"/>
      <c r="C139" s="18" t="n"/>
      <c r="D139" s="27" t="n"/>
      <c r="E139" s="18" t="n"/>
      <c r="F139" s="19" t="n"/>
      <c r="G139" s="19" t="n"/>
      <c r="H139" s="21" t="n"/>
      <c r="I139" s="18" t="n"/>
      <c r="J139" s="18" t="n"/>
    </row>
    <row r="140">
      <c r="A140" s="44" t="n"/>
      <c r="B140" s="45" t="n"/>
      <c r="C140" s="45" t="n"/>
      <c r="D140" s="46" t="n"/>
      <c r="E140" s="45" t="n"/>
      <c r="F140" s="47" t="n"/>
      <c r="G140" s="48" t="n"/>
      <c r="H140" s="49" t="n"/>
      <c r="I140" s="45" t="n"/>
    </row>
    <row r="141">
      <c r="A141" s="17" t="n"/>
      <c r="B141" s="18" t="n"/>
      <c r="C141" s="18" t="n"/>
      <c r="D141" s="27" t="n"/>
      <c r="E141" s="18" t="n"/>
      <c r="F141" s="19" t="n"/>
      <c r="G141" s="19" t="n"/>
      <c r="H141" s="21" t="n"/>
      <c r="I141" s="18" t="n"/>
      <c r="J141" s="18" t="n"/>
    </row>
    <row r="142">
      <c r="A142" s="44" t="n"/>
      <c r="B142" s="45" t="n"/>
      <c r="C142" s="45" t="n"/>
      <c r="D142" s="46" t="n"/>
      <c r="E142" s="45" t="n"/>
      <c r="F142" s="47" t="n"/>
      <c r="G142" s="48" t="n"/>
      <c r="H142" s="49" t="n"/>
      <c r="I142" s="45" t="n"/>
    </row>
    <row r="143">
      <c r="A143" s="17" t="n"/>
      <c r="B143" s="18" t="n"/>
      <c r="C143" s="18" t="n"/>
      <c r="D143" s="27" t="n"/>
      <c r="E143" s="18" t="n"/>
      <c r="F143" s="19" t="n"/>
      <c r="G143" s="19" t="n"/>
      <c r="H143" s="21" t="n"/>
      <c r="I143" s="18" t="n"/>
      <c r="J143" s="18" t="n"/>
    </row>
    <row r="144">
      <c r="A144" s="44" t="n"/>
      <c r="B144" s="45" t="n"/>
      <c r="C144" s="45" t="n"/>
      <c r="D144" s="46" t="n"/>
      <c r="E144" s="45" t="n"/>
      <c r="F144" s="47" t="n"/>
      <c r="G144" s="48" t="n"/>
      <c r="H144" s="49" t="n"/>
      <c r="I144" s="45" t="n"/>
    </row>
    <row r="145">
      <c r="A145" s="17" t="n"/>
      <c r="B145" s="18" t="n"/>
      <c r="C145" s="18" t="n"/>
      <c r="D145" s="27" t="n"/>
      <c r="E145" s="18" t="n"/>
      <c r="F145" s="19" t="n"/>
      <c r="G145" s="19" t="n"/>
      <c r="H145" s="21" t="n"/>
      <c r="I145" s="18" t="n"/>
      <c r="J145" s="18" t="n"/>
    </row>
    <row r="146">
      <c r="A146" s="44" t="n"/>
      <c r="B146" s="45" t="n"/>
      <c r="C146" s="45" t="n"/>
      <c r="D146" s="46" t="n"/>
      <c r="E146" s="45" t="n"/>
      <c r="F146" s="47" t="n"/>
      <c r="G146" s="48" t="n"/>
      <c r="H146" s="49" t="n"/>
      <c r="I146" s="45" t="n"/>
    </row>
    <row r="147">
      <c r="A147" s="17" t="n"/>
      <c r="B147" s="18" t="n"/>
      <c r="C147" s="18" t="n"/>
      <c r="D147" s="27" t="n"/>
      <c r="E147" s="18" t="n"/>
      <c r="F147" s="19" t="n"/>
      <c r="G147" s="19" t="n"/>
      <c r="H147" s="21" t="n"/>
      <c r="I147" s="18" t="n"/>
      <c r="J147" s="18" t="n"/>
    </row>
    <row r="148">
      <c r="A148" s="44" t="n"/>
      <c r="B148" s="45" t="n"/>
      <c r="C148" s="45" t="n"/>
      <c r="D148" s="46" t="n"/>
      <c r="E148" s="45" t="n"/>
      <c r="F148" s="47" t="n"/>
      <c r="G148" s="48" t="n"/>
      <c r="H148" s="49" t="n"/>
      <c r="I148" s="45" t="n"/>
    </row>
    <row r="149">
      <c r="A149" s="17" t="n"/>
      <c r="B149" s="18" t="n"/>
      <c r="C149" s="18" t="n"/>
      <c r="D149" s="27" t="n"/>
      <c r="E149" s="18" t="n"/>
      <c r="F149" s="19" t="n"/>
      <c r="G149" s="19" t="n"/>
      <c r="H149" s="21" t="n"/>
      <c r="I149" s="18" t="n"/>
      <c r="J149" s="18" t="n"/>
    </row>
    <row r="150">
      <c r="A150" s="44" t="n"/>
      <c r="B150" s="45" t="n"/>
      <c r="C150" s="45" t="n"/>
      <c r="D150" s="46" t="n"/>
      <c r="E150" s="45" t="n"/>
      <c r="F150" s="47" t="n"/>
      <c r="G150" s="48" t="n"/>
      <c r="H150" s="49" t="n"/>
      <c r="I150" s="45" t="n"/>
    </row>
    <row r="151">
      <c r="A151" s="17" t="n"/>
      <c r="B151" s="18" t="n"/>
      <c r="C151" s="18" t="n"/>
      <c r="D151" s="27" t="n"/>
      <c r="E151" s="18" t="n"/>
      <c r="F151" s="19" t="n"/>
      <c r="G151" s="19" t="n"/>
      <c r="H151" s="21" t="n"/>
      <c r="I151" s="18" t="n"/>
      <c r="J151" s="18" t="n"/>
    </row>
    <row r="152">
      <c r="A152" s="44" t="n"/>
      <c r="B152" s="45" t="n"/>
      <c r="C152" s="45" t="n"/>
      <c r="D152" s="46" t="n"/>
      <c r="E152" s="45" t="n"/>
      <c r="F152" s="47" t="n"/>
      <c r="G152" s="48" t="n"/>
      <c r="H152" s="49" t="n"/>
      <c r="I152" s="45" t="n"/>
    </row>
    <row r="153">
      <c r="A153" s="17" t="n"/>
      <c r="B153" s="18" t="n"/>
      <c r="C153" s="18" t="n"/>
      <c r="D153" s="27" t="n"/>
      <c r="E153" s="18" t="n"/>
      <c r="F153" s="19" t="n"/>
      <c r="G153" s="19" t="n"/>
      <c r="H153" s="21" t="n"/>
      <c r="I153" s="18" t="n"/>
      <c r="J153" s="18" t="n"/>
    </row>
    <row r="154">
      <c r="A154" s="44" t="n"/>
      <c r="B154" s="45" t="n"/>
      <c r="C154" s="45" t="n"/>
      <c r="D154" s="46" t="n"/>
      <c r="E154" s="45" t="n"/>
      <c r="F154" s="47" t="n"/>
      <c r="G154" s="48" t="n"/>
      <c r="H154" s="49" t="n"/>
      <c r="I154" s="45" t="n"/>
    </row>
    <row r="155">
      <c r="A155" s="17" t="n"/>
      <c r="B155" s="18" t="n"/>
      <c r="C155" s="18" t="n"/>
      <c r="D155" s="27" t="n"/>
      <c r="E155" s="18" t="n"/>
      <c r="F155" s="19" t="n"/>
      <c r="G155" s="19" t="n"/>
      <c r="H155" s="21" t="n"/>
      <c r="I155" s="18" t="n"/>
      <c r="J155" s="18" t="n"/>
    </row>
    <row r="156">
      <c r="A156" s="44" t="n"/>
      <c r="B156" s="45" t="n"/>
      <c r="C156" s="45" t="n"/>
      <c r="D156" s="46" t="n"/>
      <c r="E156" s="45" t="n"/>
      <c r="F156" s="47" t="n"/>
      <c r="G156" s="48" t="n"/>
      <c r="H156" s="49" t="n"/>
      <c r="I156" s="45" t="n"/>
    </row>
    <row r="157">
      <c r="A157" s="17" t="n"/>
      <c r="B157" s="18" t="n"/>
      <c r="C157" s="18" t="n"/>
      <c r="D157" s="27" t="n"/>
      <c r="E157" s="18" t="n"/>
      <c r="F157" s="19" t="n"/>
      <c r="G157" s="19" t="n"/>
      <c r="H157" s="21" t="n"/>
      <c r="I157" s="18" t="n"/>
      <c r="J157" s="18" t="n"/>
    </row>
    <row r="158">
      <c r="A158" s="44" t="n"/>
      <c r="B158" s="45" t="n"/>
      <c r="C158" s="45" t="n"/>
      <c r="D158" s="46" t="n"/>
      <c r="E158" s="45" t="n"/>
      <c r="F158" s="47" t="n"/>
      <c r="G158" s="48" t="n"/>
      <c r="H158" s="49" t="n"/>
      <c r="I158" s="45" t="n"/>
    </row>
    <row r="159">
      <c r="A159" s="17" t="n"/>
      <c r="B159" s="18" t="n"/>
      <c r="C159" s="18" t="n"/>
      <c r="D159" s="27" t="n"/>
      <c r="E159" s="18" t="n"/>
      <c r="F159" s="19" t="n"/>
      <c r="G159" s="19" t="n"/>
      <c r="H159" s="21" t="n"/>
      <c r="I159" s="18" t="n"/>
      <c r="J159" s="18" t="n"/>
    </row>
    <row r="160">
      <c r="A160" s="44" t="n"/>
      <c r="B160" s="45" t="n"/>
      <c r="C160" s="45" t="n"/>
      <c r="D160" s="46" t="n"/>
      <c r="E160" s="45" t="n"/>
      <c r="F160" s="47" t="n"/>
      <c r="G160" s="48" t="n"/>
      <c r="H160" s="49" t="n"/>
      <c r="I160" s="45" t="n"/>
    </row>
    <row r="161">
      <c r="A161" s="17" t="n"/>
      <c r="B161" s="18" t="n"/>
      <c r="C161" s="18" t="n"/>
      <c r="D161" s="27" t="n"/>
      <c r="E161" s="18" t="n"/>
      <c r="F161" s="19" t="n"/>
      <c r="G161" s="19" t="n"/>
      <c r="H161" s="21" t="n"/>
      <c r="I161" s="18" t="n"/>
      <c r="J161" s="18" t="n"/>
    </row>
    <row r="162">
      <c r="A162" s="44" t="n"/>
      <c r="B162" s="45" t="n"/>
      <c r="C162" s="45" t="n"/>
      <c r="D162" s="46" t="n"/>
      <c r="E162" s="45" t="n"/>
      <c r="F162" s="47" t="n"/>
      <c r="G162" s="48" t="n"/>
      <c r="H162" s="49" t="n"/>
      <c r="I162" s="45" t="n"/>
    </row>
    <row r="163">
      <c r="A163" s="17" t="n"/>
      <c r="B163" s="18" t="n"/>
      <c r="C163" s="18" t="n"/>
      <c r="D163" s="27" t="n"/>
      <c r="E163" s="18" t="n"/>
      <c r="F163" s="19" t="n"/>
      <c r="G163" s="19" t="n"/>
      <c r="H163" s="21" t="n"/>
      <c r="I163" s="18" t="n"/>
      <c r="J163" s="18" t="n"/>
    </row>
    <row r="164">
      <c r="A164" s="44" t="n"/>
      <c r="B164" s="45" t="n"/>
      <c r="C164" s="45" t="n"/>
      <c r="D164" s="46" t="n"/>
      <c r="E164" s="45" t="n"/>
      <c r="F164" s="47" t="n"/>
      <c r="G164" s="48" t="n"/>
      <c r="H164" s="49" t="n"/>
      <c r="I164" s="45" t="n"/>
    </row>
    <row r="165">
      <c r="A165" s="17" t="n"/>
      <c r="B165" s="18" t="n"/>
      <c r="C165" s="18" t="n"/>
      <c r="D165" s="27" t="n"/>
      <c r="E165" s="18" t="n"/>
      <c r="F165" s="19" t="n"/>
      <c r="G165" s="19" t="n"/>
      <c r="H165" s="21" t="n"/>
      <c r="I165" s="18" t="n"/>
      <c r="J165" s="18" t="n"/>
    </row>
    <row r="166">
      <c r="A166" s="44" t="n"/>
      <c r="B166" s="45" t="n"/>
      <c r="C166" s="45" t="n"/>
      <c r="D166" s="46" t="n"/>
      <c r="E166" s="45" t="n"/>
      <c r="F166" s="47" t="n"/>
      <c r="G166" s="48" t="n"/>
      <c r="H166" s="49" t="n"/>
      <c r="I166" s="45" t="n"/>
    </row>
    <row r="167">
      <c r="A167" s="17" t="n"/>
      <c r="B167" s="18" t="n"/>
      <c r="C167" s="18" t="n"/>
      <c r="D167" s="27" t="n"/>
      <c r="E167" s="18" t="n"/>
      <c r="F167" s="19" t="n"/>
      <c r="G167" s="19" t="n"/>
      <c r="H167" s="21" t="n"/>
      <c r="I167" s="18" t="n"/>
      <c r="J167" s="18" t="n"/>
    </row>
    <row r="168">
      <c r="A168" s="44" t="n"/>
      <c r="B168" s="45" t="n"/>
      <c r="C168" s="45" t="n"/>
      <c r="D168" s="46" t="n"/>
      <c r="E168" s="45" t="n"/>
      <c r="F168" s="47" t="n"/>
      <c r="G168" s="48" t="n"/>
      <c r="H168" s="49" t="n"/>
      <c r="I168" s="45" t="n"/>
    </row>
    <row r="169">
      <c r="A169" s="17" t="n"/>
      <c r="B169" s="18" t="n"/>
      <c r="C169" s="18" t="n"/>
      <c r="D169" s="27" t="n"/>
      <c r="E169" s="18" t="n"/>
      <c r="F169" s="19" t="n"/>
      <c r="G169" s="19" t="n"/>
      <c r="H169" s="21" t="n"/>
      <c r="I169" s="18" t="n"/>
      <c r="J169" s="18" t="n"/>
    </row>
    <row r="170">
      <c r="A170" s="44" t="n"/>
      <c r="B170" s="45" t="n"/>
      <c r="C170" s="45" t="n"/>
      <c r="D170" s="46" t="n"/>
      <c r="E170" s="45" t="n"/>
      <c r="F170" s="47" t="n"/>
      <c r="G170" s="48" t="n"/>
      <c r="H170" s="49" t="n"/>
      <c r="I170" s="45" t="n"/>
    </row>
    <row r="171">
      <c r="A171" s="17" t="n"/>
      <c r="B171" s="18" t="n"/>
      <c r="C171" s="18" t="n"/>
      <c r="D171" s="27" t="n"/>
      <c r="E171" s="18" t="n"/>
      <c r="F171" s="19" t="n"/>
      <c r="G171" s="19" t="n"/>
      <c r="H171" s="21" t="n"/>
      <c r="I171" s="18" t="n"/>
      <c r="J171" s="18" t="n"/>
    </row>
    <row r="172">
      <c r="A172" s="44" t="n"/>
      <c r="B172" s="45" t="n"/>
      <c r="C172" s="45" t="n"/>
      <c r="D172" s="46" t="n"/>
      <c r="E172" s="45" t="n"/>
      <c r="F172" s="47" t="n"/>
      <c r="G172" s="48" t="n"/>
      <c r="H172" s="49" t="n"/>
      <c r="I172" s="45" t="n"/>
    </row>
    <row r="173">
      <c r="A173" s="17" t="n"/>
      <c r="B173" s="18" t="n"/>
      <c r="C173" s="18" t="n"/>
      <c r="D173" s="27" t="n"/>
      <c r="E173" s="18" t="n"/>
      <c r="F173" s="19" t="n"/>
      <c r="G173" s="19" t="n"/>
      <c r="H173" s="21" t="n"/>
      <c r="I173" s="18" t="n"/>
      <c r="J173" s="18" t="n"/>
    </row>
    <row r="174">
      <c r="A174" s="44" t="n"/>
      <c r="B174" s="45" t="n"/>
      <c r="C174" s="45" t="n"/>
      <c r="D174" s="46" t="n"/>
      <c r="E174" s="45" t="n"/>
      <c r="F174" s="47" t="n"/>
      <c r="G174" s="48" t="n"/>
      <c r="H174" s="49" t="n"/>
      <c r="I174" s="45" t="n"/>
    </row>
    <row r="175">
      <c r="A175" s="17" t="n"/>
      <c r="B175" s="18" t="n"/>
      <c r="C175" s="18" t="n"/>
      <c r="D175" s="27" t="n"/>
      <c r="E175" s="18" t="n"/>
      <c r="F175" s="19" t="n"/>
      <c r="G175" s="19" t="n"/>
      <c r="H175" s="21" t="n"/>
      <c r="I175" s="18" t="n"/>
      <c r="J175" s="18" t="n"/>
    </row>
    <row r="176">
      <c r="A176" s="44" t="n"/>
      <c r="B176" s="45" t="n"/>
      <c r="C176" s="45" t="n"/>
      <c r="D176" s="46" t="n"/>
      <c r="E176" s="45" t="n"/>
      <c r="F176" s="47" t="n"/>
      <c r="G176" s="48" t="n"/>
      <c r="H176" s="49" t="n"/>
      <c r="I176" s="45" t="n"/>
    </row>
    <row r="177">
      <c r="A177" s="17" t="n"/>
      <c r="B177" s="18" t="n"/>
      <c r="C177" s="18" t="n"/>
      <c r="D177" s="27" t="n"/>
      <c r="E177" s="18" t="n"/>
      <c r="F177" s="19" t="n"/>
      <c r="G177" s="19" t="n"/>
      <c r="H177" s="21" t="n"/>
      <c r="I177" s="18" t="n"/>
      <c r="J177" s="18" t="n"/>
    </row>
    <row r="178">
      <c r="A178" s="44" t="n"/>
      <c r="B178" s="45" t="n"/>
      <c r="C178" s="45" t="n"/>
      <c r="D178" s="46" t="n"/>
      <c r="E178" s="45" t="n"/>
      <c r="F178" s="47" t="n"/>
      <c r="G178" s="48" t="n"/>
      <c r="H178" s="49" t="n"/>
      <c r="I178" s="45" t="n"/>
    </row>
    <row r="179">
      <c r="A179" s="17" t="n"/>
      <c r="B179" s="18" t="n"/>
      <c r="C179" s="18" t="n"/>
      <c r="D179" s="27" t="n"/>
      <c r="E179" s="18" t="n"/>
      <c r="F179" s="19" t="n"/>
      <c r="G179" s="19" t="n"/>
      <c r="H179" s="21" t="n"/>
      <c r="I179" s="18" t="n"/>
      <c r="J179" s="18" t="n"/>
    </row>
    <row r="180">
      <c r="A180" s="44" t="n"/>
      <c r="B180" s="45" t="n"/>
      <c r="C180" s="45" t="n"/>
      <c r="D180" s="46" t="n"/>
      <c r="E180" s="45" t="n"/>
      <c r="F180" s="47" t="n"/>
      <c r="G180" s="48" t="n"/>
      <c r="H180" s="49" t="n"/>
      <c r="I180" s="45" t="n"/>
    </row>
    <row r="181">
      <c r="A181" s="17" t="n"/>
      <c r="B181" s="18" t="n"/>
      <c r="C181" s="18" t="n"/>
      <c r="D181" s="27" t="n"/>
      <c r="E181" s="18" t="n"/>
      <c r="F181" s="19" t="n"/>
      <c r="G181" s="19" t="n"/>
      <c r="H181" s="21" t="n"/>
      <c r="I181" s="18" t="n"/>
      <c r="J181" s="18" t="n"/>
    </row>
    <row r="182">
      <c r="A182" s="44" t="n"/>
      <c r="B182" s="45" t="n"/>
      <c r="C182" s="45" t="n"/>
      <c r="D182" s="46" t="n"/>
      <c r="E182" s="45" t="n"/>
      <c r="F182" s="47" t="n"/>
      <c r="G182" s="48" t="n"/>
      <c r="H182" s="49" t="n"/>
      <c r="I182" s="45" t="n"/>
    </row>
    <row r="183">
      <c r="A183" s="17" t="n"/>
      <c r="B183" s="18" t="n"/>
      <c r="C183" s="18" t="n"/>
      <c r="D183" s="27" t="n"/>
      <c r="E183" s="18" t="n"/>
      <c r="F183" s="19" t="n"/>
      <c r="G183" s="19" t="n"/>
      <c r="H183" s="21" t="n"/>
      <c r="I183" s="18" t="n"/>
      <c r="J183" s="18" t="n"/>
    </row>
    <row r="184">
      <c r="A184" s="44" t="n"/>
      <c r="B184" s="45" t="n"/>
      <c r="C184" s="45" t="n"/>
      <c r="D184" s="46" t="n"/>
      <c r="E184" s="45" t="n"/>
      <c r="F184" s="47" t="n"/>
      <c r="G184" s="48" t="n"/>
      <c r="H184" s="49" t="n"/>
      <c r="I184" s="45" t="n"/>
    </row>
    <row r="185">
      <c r="A185" s="17" t="n"/>
      <c r="B185" s="18" t="n"/>
      <c r="C185" s="18" t="n"/>
      <c r="D185" s="27" t="n"/>
      <c r="E185" s="18" t="n"/>
      <c r="F185" s="19" t="n"/>
      <c r="G185" s="19" t="n"/>
      <c r="H185" s="21" t="n"/>
      <c r="I185" s="18" t="n"/>
      <c r="J185" s="18" t="n"/>
    </row>
    <row r="186">
      <c r="A186" s="44" t="n"/>
      <c r="B186" s="45" t="n"/>
      <c r="C186" s="45" t="n"/>
      <c r="D186" s="46" t="n"/>
      <c r="E186" s="45" t="n"/>
      <c r="F186" s="47" t="n"/>
      <c r="G186" s="48" t="n"/>
      <c r="H186" s="49" t="n"/>
      <c r="I186" s="45" t="n"/>
    </row>
    <row r="187">
      <c r="A187" s="17" t="n"/>
      <c r="B187" s="18" t="n"/>
      <c r="C187" s="18" t="n"/>
      <c r="D187" s="27" t="n"/>
      <c r="E187" s="18" t="n"/>
      <c r="F187" s="19" t="n"/>
      <c r="G187" s="19" t="n"/>
      <c r="H187" s="21" t="n"/>
      <c r="I187" s="18" t="n"/>
      <c r="J187" s="18" t="n"/>
    </row>
    <row r="188">
      <c r="A188" s="44" t="n"/>
      <c r="B188" s="45" t="n"/>
      <c r="C188" s="45" t="n"/>
      <c r="D188" s="46" t="n"/>
      <c r="E188" s="45" t="n"/>
      <c r="F188" s="47" t="n"/>
      <c r="G188" s="48" t="n"/>
      <c r="H188" s="49" t="n"/>
      <c r="I188" s="45" t="n"/>
    </row>
    <row r="189">
      <c r="A189" s="17" t="n"/>
      <c r="B189" s="18" t="n"/>
      <c r="C189" s="18" t="n"/>
      <c r="D189" s="27" t="n"/>
      <c r="E189" s="18" t="n"/>
      <c r="F189" s="19" t="n"/>
      <c r="G189" s="19" t="n"/>
      <c r="H189" s="21" t="n"/>
      <c r="I189" s="18" t="n"/>
      <c r="J189" s="18" t="n"/>
    </row>
    <row r="190">
      <c r="A190" s="44" t="n"/>
      <c r="B190" s="45" t="n"/>
      <c r="C190" s="45" t="n"/>
      <c r="D190" s="46" t="n"/>
      <c r="E190" s="45" t="n"/>
      <c r="F190" s="47" t="n"/>
      <c r="G190" s="48" t="n"/>
      <c r="H190" s="49" t="n"/>
      <c r="I190" s="45" t="n"/>
    </row>
    <row r="191">
      <c r="A191" s="17" t="n"/>
      <c r="B191" s="18" t="n"/>
      <c r="C191" s="18" t="n"/>
      <c r="D191" s="27" t="n"/>
      <c r="E191" s="18" t="n"/>
      <c r="F191" s="19" t="n"/>
      <c r="G191" s="19" t="n"/>
      <c r="H191" s="21" t="n"/>
      <c r="I191" s="18" t="n"/>
      <c r="J191" s="18" t="n"/>
    </row>
    <row r="192">
      <c r="A192" s="44" t="n"/>
      <c r="B192" s="45" t="n"/>
      <c r="C192" s="45" t="n"/>
      <c r="D192" s="46" t="n"/>
      <c r="E192" s="45" t="n"/>
      <c r="F192" s="47" t="n"/>
      <c r="G192" s="48" t="n"/>
      <c r="H192" s="49" t="n"/>
      <c r="I192" s="45" t="n"/>
    </row>
    <row r="193">
      <c r="A193" s="17" t="n"/>
      <c r="B193" s="18" t="n"/>
      <c r="C193" s="18" t="n"/>
      <c r="D193" s="27" t="n"/>
      <c r="E193" s="18" t="n"/>
      <c r="F193" s="19" t="n"/>
      <c r="G193" s="19" t="n"/>
      <c r="H193" s="21" t="n"/>
      <c r="I193" s="18" t="n"/>
      <c r="J193" s="18" t="n"/>
    </row>
    <row r="194">
      <c r="A194" s="44" t="n"/>
      <c r="B194" s="45" t="n"/>
      <c r="C194" s="45" t="n"/>
      <c r="D194" s="46" t="n"/>
      <c r="E194" s="45" t="n"/>
      <c r="F194" s="47" t="n"/>
      <c r="G194" s="48" t="n"/>
      <c r="H194" s="49" t="n"/>
      <c r="I194" s="45" t="n"/>
    </row>
    <row r="195">
      <c r="A195" s="17" t="n"/>
      <c r="B195" s="18" t="n"/>
      <c r="C195" s="18" t="n"/>
      <c r="D195" s="27" t="n"/>
      <c r="E195" s="18" t="n"/>
      <c r="F195" s="19" t="n"/>
      <c r="G195" s="19" t="n"/>
      <c r="H195" s="21" t="n"/>
      <c r="I195" s="18" t="n"/>
      <c r="J195" s="18" t="n"/>
    </row>
    <row r="196">
      <c r="A196" s="44" t="n"/>
      <c r="B196" s="45" t="n"/>
      <c r="C196" s="45" t="n"/>
      <c r="D196" s="46" t="n"/>
      <c r="E196" s="45" t="n"/>
      <c r="F196" s="47" t="n"/>
      <c r="G196" s="48" t="n"/>
      <c r="H196" s="49" t="n"/>
      <c r="I196" s="45" t="n"/>
    </row>
    <row r="197">
      <c r="A197" s="17" t="n"/>
      <c r="B197" s="18" t="n"/>
      <c r="C197" s="18" t="n"/>
      <c r="D197" s="27" t="n"/>
      <c r="E197" s="18" t="n"/>
      <c r="F197" s="19" t="n"/>
      <c r="G197" s="19" t="n"/>
      <c r="H197" s="21" t="n"/>
      <c r="I197" s="18" t="n"/>
      <c r="J197" s="18" t="n"/>
    </row>
    <row r="198">
      <c r="A198" s="44" t="n"/>
      <c r="B198" s="45" t="n"/>
      <c r="C198" s="45" t="n"/>
      <c r="D198" s="46" t="n"/>
      <c r="E198" s="45" t="n"/>
      <c r="F198" s="47" t="n"/>
      <c r="G198" s="48" t="n"/>
      <c r="H198" s="49" t="n"/>
      <c r="I198" s="45" t="n"/>
    </row>
    <row r="199">
      <c r="A199" s="17" t="n"/>
      <c r="B199" s="18" t="n"/>
      <c r="C199" s="18" t="n"/>
      <c r="D199" s="27" t="n"/>
      <c r="E199" s="18" t="n"/>
      <c r="F199" s="19" t="n"/>
      <c r="G199" s="19" t="n"/>
      <c r="H199" s="21" t="n"/>
      <c r="I199" s="18" t="n"/>
      <c r="J199" s="18" t="n"/>
    </row>
    <row r="200">
      <c r="A200" s="44" t="n"/>
      <c r="B200" s="45" t="n"/>
      <c r="C200" s="45" t="n"/>
      <c r="D200" s="46" t="n"/>
      <c r="E200" s="45" t="n"/>
      <c r="F200" s="47" t="n"/>
      <c r="G200" s="48" t="n"/>
      <c r="H200" s="49" t="n"/>
      <c r="I200" s="45" t="n"/>
    </row>
    <row r="201">
      <c r="A201" s="17" t="n"/>
      <c r="B201" s="18" t="n"/>
      <c r="C201" s="18" t="n"/>
      <c r="D201" s="27" t="n"/>
      <c r="E201" s="18" t="n"/>
      <c r="F201" s="19" t="n"/>
      <c r="G201" s="19" t="n"/>
      <c r="H201" s="21" t="n"/>
      <c r="I201" s="18" t="n"/>
      <c r="J201" s="18" t="n"/>
    </row>
    <row r="202">
      <c r="A202" s="44" t="n"/>
      <c r="B202" s="45" t="n"/>
      <c r="C202" s="45" t="n"/>
      <c r="D202" s="46" t="n"/>
      <c r="E202" s="45" t="n"/>
      <c r="F202" s="47" t="n"/>
      <c r="G202" s="48" t="n"/>
      <c r="H202" s="49" t="n"/>
      <c r="I202" s="45" t="n"/>
    </row>
    <row r="203">
      <c r="A203" s="17" t="n"/>
      <c r="B203" s="18" t="n"/>
      <c r="C203" s="18" t="n"/>
      <c r="D203" s="27" t="n"/>
      <c r="E203" s="18" t="n"/>
      <c r="F203" s="19" t="n"/>
      <c r="G203" s="19" t="n"/>
      <c r="H203" s="21" t="n"/>
      <c r="I203" s="18" t="n"/>
      <c r="J203" s="18" t="n"/>
    </row>
    <row r="204">
      <c r="A204" s="44" t="n"/>
      <c r="B204" s="45" t="n"/>
      <c r="C204" s="45" t="n"/>
      <c r="D204" s="46" t="n"/>
      <c r="E204" s="45" t="n"/>
      <c r="F204" s="47" t="n"/>
      <c r="G204" s="48" t="n"/>
      <c r="H204" s="49" t="n"/>
      <c r="I204" s="45" t="n"/>
    </row>
    <row r="205">
      <c r="A205" s="17" t="n"/>
      <c r="B205" s="18" t="n"/>
      <c r="C205" s="18" t="n"/>
      <c r="D205" s="27" t="n"/>
      <c r="E205" s="18" t="n"/>
      <c r="F205" s="19" t="n"/>
      <c r="G205" s="19" t="n"/>
      <c r="H205" s="21" t="n"/>
      <c r="I205" s="18" t="n"/>
      <c r="J205" s="18" t="n"/>
    </row>
    <row r="206">
      <c r="A206" s="44" t="n"/>
      <c r="B206" s="45" t="n"/>
      <c r="C206" s="45" t="n"/>
      <c r="D206" s="46" t="n"/>
      <c r="E206" s="45" t="n"/>
      <c r="F206" s="47" t="n"/>
      <c r="G206" s="48" t="n"/>
      <c r="H206" s="49" t="n"/>
      <c r="I206" s="45" t="n"/>
    </row>
    <row r="207">
      <c r="A207" s="17" t="n"/>
      <c r="B207" s="18" t="n"/>
      <c r="C207" s="18" t="n"/>
      <c r="D207" s="27" t="n"/>
      <c r="E207" s="18" t="n"/>
      <c r="F207" s="19" t="n"/>
      <c r="G207" s="19" t="n"/>
      <c r="H207" s="21" t="n"/>
      <c r="I207" s="18" t="n"/>
      <c r="J207" s="18" t="n"/>
    </row>
    <row r="208">
      <c r="A208" s="44" t="n"/>
      <c r="B208" s="45" t="n"/>
      <c r="C208" s="45" t="n"/>
      <c r="D208" s="46" t="n"/>
      <c r="E208" s="45" t="n"/>
      <c r="F208" s="47" t="n"/>
      <c r="G208" s="48" t="n"/>
      <c r="H208" s="49" t="n"/>
      <c r="I208" s="45" t="n"/>
    </row>
    <row r="209">
      <c r="A209" s="17" t="n"/>
      <c r="B209" s="18" t="n"/>
      <c r="C209" s="18" t="n"/>
      <c r="D209" s="27" t="n"/>
      <c r="E209" s="18" t="n"/>
      <c r="F209" s="19" t="n"/>
      <c r="G209" s="19" t="n"/>
      <c r="H209" s="21" t="n"/>
      <c r="I209" s="18" t="n"/>
      <c r="J209" s="18" t="n"/>
    </row>
    <row r="210">
      <c r="A210" s="44" t="n"/>
      <c r="B210" s="45" t="n"/>
      <c r="C210" s="45" t="n"/>
      <c r="D210" s="46" t="n"/>
      <c r="E210" s="45" t="n"/>
      <c r="F210" s="47" t="n"/>
      <c r="G210" s="48" t="n"/>
      <c r="H210" s="49" t="n"/>
      <c r="I210" s="45" t="n"/>
    </row>
    <row r="211">
      <c r="A211" s="17" t="n"/>
      <c r="B211" s="18" t="n"/>
      <c r="C211" s="18" t="n"/>
      <c r="D211" s="27" t="n"/>
      <c r="E211" s="18" t="n"/>
      <c r="F211" s="19" t="n"/>
      <c r="G211" s="19" t="n"/>
      <c r="H211" s="21" t="n"/>
      <c r="I211" s="18" t="n"/>
      <c r="J211" s="18" t="n"/>
    </row>
    <row r="212">
      <c r="A212" s="44" t="n"/>
      <c r="B212" s="45" t="n"/>
      <c r="C212" s="45" t="n"/>
      <c r="D212" s="46" t="n"/>
      <c r="E212" s="45" t="n"/>
      <c r="F212" s="47" t="n"/>
      <c r="G212" s="48" t="n"/>
      <c r="H212" s="49" t="n"/>
      <c r="I212" s="45" t="n"/>
    </row>
    <row r="213">
      <c r="A213" s="17" t="n"/>
      <c r="B213" s="18" t="n"/>
      <c r="C213" s="18" t="n"/>
      <c r="D213" s="27" t="n"/>
      <c r="E213" s="18" t="n"/>
      <c r="F213" s="19" t="n"/>
      <c r="G213" s="19" t="n"/>
      <c r="H213" s="21" t="n"/>
      <c r="I213" s="18" t="n"/>
      <c r="J213" s="18" t="n"/>
    </row>
    <row r="214">
      <c r="A214" s="44" t="n"/>
      <c r="B214" s="45" t="n"/>
      <c r="C214" s="45" t="n"/>
      <c r="D214" s="46" t="n"/>
      <c r="E214" s="45" t="n"/>
      <c r="F214" s="47" t="n"/>
      <c r="G214" s="48" t="n"/>
      <c r="H214" s="49" t="n"/>
      <c r="I214" s="45" t="n"/>
    </row>
    <row r="215">
      <c r="A215" s="17" t="n"/>
      <c r="B215" s="18" t="n"/>
      <c r="C215" s="18" t="n"/>
      <c r="D215" s="27" t="n"/>
      <c r="E215" s="18" t="n"/>
      <c r="F215" s="19" t="n"/>
      <c r="G215" s="19" t="n"/>
      <c r="H215" s="21" t="n"/>
      <c r="I215" s="18" t="n"/>
      <c r="J215" s="18" t="n"/>
    </row>
    <row r="216">
      <c r="A216" s="44" t="n"/>
      <c r="B216" s="45" t="n"/>
      <c r="C216" s="45" t="n"/>
      <c r="D216" s="46" t="n"/>
      <c r="E216" s="45" t="n"/>
      <c r="F216" s="47" t="n"/>
      <c r="G216" s="48" t="n"/>
      <c r="H216" s="49" t="n"/>
      <c r="I216" s="45" t="n"/>
    </row>
    <row r="217">
      <c r="A217" s="17" t="n"/>
      <c r="B217" s="18" t="n"/>
      <c r="C217" s="18" t="n"/>
      <c r="D217" s="27" t="n"/>
      <c r="E217" s="18" t="n"/>
      <c r="F217" s="19" t="n"/>
      <c r="G217" s="19" t="n"/>
      <c r="H217" s="21" t="n"/>
      <c r="I217" s="18" t="n"/>
      <c r="J217" s="18" t="n"/>
    </row>
    <row r="218">
      <c r="A218" s="44" t="n"/>
      <c r="B218" s="45" t="n"/>
      <c r="C218" s="45" t="n"/>
      <c r="D218" s="46" t="n"/>
      <c r="E218" s="45" t="n"/>
      <c r="F218" s="47" t="n"/>
      <c r="G218" s="48" t="n"/>
      <c r="H218" s="49" t="n"/>
      <c r="I218" s="45" t="n"/>
    </row>
    <row r="219">
      <c r="A219" s="17" t="n"/>
      <c r="B219" s="18" t="n"/>
      <c r="C219" s="18" t="n"/>
      <c r="D219" s="27" t="n"/>
      <c r="E219" s="18" t="n"/>
      <c r="F219" s="19" t="n"/>
      <c r="G219" s="19" t="n"/>
      <c r="H219" s="21" t="n"/>
      <c r="I219" s="18" t="n"/>
      <c r="J219" s="18" t="n"/>
    </row>
    <row r="220">
      <c r="A220" s="44" t="n"/>
      <c r="B220" s="45" t="n"/>
      <c r="C220" s="45" t="n"/>
      <c r="D220" s="46" t="n"/>
      <c r="E220" s="45" t="n"/>
      <c r="F220" s="47" t="n"/>
      <c r="G220" s="48" t="n"/>
      <c r="H220" s="49" t="n"/>
      <c r="I220" s="45" t="n"/>
    </row>
    <row r="221">
      <c r="A221" s="17" t="n"/>
      <c r="B221" s="18" t="n"/>
      <c r="C221" s="18" t="n"/>
      <c r="D221" s="27" t="n"/>
      <c r="E221" s="18" t="n"/>
      <c r="F221" s="19" t="n"/>
      <c r="G221" s="19" t="n"/>
      <c r="H221" s="21" t="n"/>
      <c r="I221" s="18" t="n"/>
      <c r="J221" s="18" t="n"/>
    </row>
    <row r="222">
      <c r="A222" s="44" t="n"/>
      <c r="B222" s="45" t="n"/>
      <c r="C222" s="45" t="n"/>
      <c r="D222" s="46" t="n"/>
      <c r="E222" s="45" t="n"/>
      <c r="F222" s="47" t="n"/>
      <c r="G222" s="48" t="n"/>
      <c r="H222" s="49" t="n"/>
      <c r="I222" s="45" t="n"/>
    </row>
    <row r="223">
      <c r="A223" s="17" t="n"/>
      <c r="B223" s="18" t="n"/>
      <c r="C223" s="18" t="n"/>
      <c r="D223" s="27" t="n"/>
      <c r="E223" s="18" t="n"/>
      <c r="F223" s="19" t="n"/>
      <c r="G223" s="19" t="n"/>
      <c r="H223" s="21" t="n"/>
      <c r="I223" s="18" t="n"/>
      <c r="J223" s="18" t="n"/>
    </row>
    <row r="224">
      <c r="A224" s="44" t="n"/>
      <c r="B224" s="45" t="n"/>
      <c r="C224" s="45" t="n"/>
      <c r="D224" s="46" t="n"/>
      <c r="E224" s="45" t="n"/>
      <c r="F224" s="47" t="n"/>
      <c r="G224" s="48" t="n"/>
      <c r="H224" s="49" t="n"/>
      <c r="I224" s="45" t="n"/>
    </row>
    <row r="225">
      <c r="A225" s="17" t="n"/>
      <c r="B225" s="18" t="n"/>
      <c r="C225" s="18" t="n"/>
      <c r="D225" s="27" t="n"/>
      <c r="E225" s="18" t="n"/>
      <c r="F225" s="19" t="n"/>
      <c r="G225" s="19" t="n"/>
      <c r="H225" s="21" t="n"/>
      <c r="I225" s="18" t="n"/>
      <c r="J225" s="18" t="n"/>
    </row>
    <row r="226">
      <c r="A226" s="44" t="n"/>
      <c r="B226" s="45" t="n"/>
      <c r="C226" s="45" t="n"/>
      <c r="D226" s="46" t="n"/>
      <c r="E226" s="45" t="n"/>
      <c r="F226" s="47" t="n"/>
      <c r="G226" s="48" t="n"/>
      <c r="H226" s="49" t="n"/>
      <c r="I226" s="45" t="n"/>
    </row>
    <row r="227">
      <c r="A227" s="17" t="n"/>
      <c r="B227" s="18" t="n"/>
      <c r="C227" s="18" t="n"/>
      <c r="D227" s="27" t="n"/>
      <c r="E227" s="18" t="n"/>
      <c r="F227" s="19" t="n"/>
      <c r="G227" s="19" t="n"/>
      <c r="H227" s="21" t="n"/>
      <c r="I227" s="18" t="n"/>
      <c r="J227" s="18" t="n"/>
    </row>
    <row r="228">
      <c r="A228" s="44" t="n"/>
      <c r="B228" s="45" t="n"/>
      <c r="C228" s="45" t="n"/>
      <c r="D228" s="46" t="n"/>
      <c r="E228" s="45" t="n"/>
      <c r="F228" s="47" t="n"/>
      <c r="G228" s="48" t="n"/>
      <c r="H228" s="49" t="n"/>
      <c r="I228" s="45" t="n"/>
    </row>
    <row r="229">
      <c r="A229" s="17" t="n"/>
      <c r="B229" s="18" t="n"/>
      <c r="C229" s="18" t="n"/>
      <c r="D229" s="27" t="n"/>
      <c r="E229" s="18" t="n"/>
      <c r="F229" s="19" t="n"/>
      <c r="G229" s="19" t="n"/>
      <c r="H229" s="21" t="n"/>
      <c r="I229" s="18" t="n"/>
      <c r="J229" s="18" t="n"/>
    </row>
    <row r="230">
      <c r="A230" s="44" t="n"/>
      <c r="B230" s="45" t="n"/>
      <c r="C230" s="45" t="n"/>
      <c r="D230" s="46" t="n"/>
      <c r="E230" s="45" t="n"/>
      <c r="F230" s="47" t="n"/>
      <c r="G230" s="48" t="n"/>
      <c r="H230" s="49" t="n"/>
      <c r="I230" s="45" t="n"/>
    </row>
    <row r="231">
      <c r="A231" s="17" t="n"/>
      <c r="B231" s="18" t="n"/>
      <c r="C231" s="18" t="n"/>
      <c r="D231" s="27" t="n"/>
      <c r="E231" s="18" t="n"/>
      <c r="F231" s="19" t="n"/>
      <c r="G231" s="19" t="n"/>
      <c r="H231" s="21" t="n"/>
      <c r="I231" s="18" t="n"/>
      <c r="J231" s="18" t="n"/>
    </row>
    <row r="232">
      <c r="A232" s="44" t="n"/>
      <c r="B232" s="45" t="n"/>
      <c r="C232" s="45" t="n"/>
      <c r="D232" s="46" t="n"/>
      <c r="E232" s="45" t="n"/>
      <c r="F232" s="47" t="n"/>
      <c r="G232" s="48" t="n"/>
      <c r="H232" s="49" t="n"/>
      <c r="I232" s="45" t="n"/>
    </row>
    <row r="233">
      <c r="A233" s="17" t="n"/>
      <c r="B233" s="18" t="n"/>
      <c r="C233" s="18" t="n"/>
      <c r="D233" s="27" t="n"/>
      <c r="E233" s="18" t="n"/>
      <c r="F233" s="19" t="n"/>
      <c r="G233" s="19" t="n"/>
      <c r="H233" s="21" t="n"/>
      <c r="I233" s="18" t="n"/>
      <c r="J233" s="18" t="n"/>
    </row>
    <row r="234">
      <c r="A234" s="44" t="n"/>
      <c r="B234" s="45" t="n"/>
      <c r="C234" s="45" t="n"/>
      <c r="D234" s="46" t="n"/>
      <c r="E234" s="45" t="n"/>
      <c r="F234" s="47" t="n"/>
      <c r="G234" s="48" t="n"/>
      <c r="H234" s="49" t="n"/>
      <c r="I234" s="45" t="n"/>
    </row>
    <row r="235">
      <c r="A235" s="17" t="n"/>
      <c r="B235" s="18" t="n"/>
      <c r="C235" s="18" t="n"/>
      <c r="D235" s="27" t="n"/>
      <c r="E235" s="18" t="n"/>
      <c r="F235" s="19" t="n"/>
      <c r="G235" s="19" t="n"/>
      <c r="H235" s="21" t="n"/>
      <c r="I235" s="18" t="n"/>
      <c r="J235" s="18" t="n"/>
    </row>
    <row r="236">
      <c r="A236" s="44" t="n"/>
      <c r="B236" s="45" t="n"/>
      <c r="C236" s="45" t="n"/>
      <c r="D236" s="46" t="n"/>
      <c r="E236" s="45" t="n"/>
      <c r="F236" s="47" t="n"/>
      <c r="G236" s="48" t="n"/>
      <c r="H236" s="49" t="n"/>
      <c r="I236" s="45" t="n"/>
    </row>
    <row r="237">
      <c r="A237" s="17" t="n"/>
      <c r="B237" s="18" t="n"/>
      <c r="C237" s="18" t="n"/>
      <c r="D237" s="27" t="n"/>
      <c r="E237" s="18" t="n"/>
      <c r="F237" s="19" t="n"/>
      <c r="G237" s="19" t="n"/>
      <c r="H237" s="21" t="n"/>
      <c r="I237" s="18" t="n"/>
      <c r="J237" s="18" t="n"/>
    </row>
    <row r="238">
      <c r="A238" s="44" t="n"/>
      <c r="B238" s="45" t="n"/>
      <c r="C238" s="45" t="n"/>
      <c r="D238" s="46" t="n"/>
      <c r="E238" s="45" t="n"/>
      <c r="F238" s="47" t="n"/>
      <c r="G238" s="48" t="n"/>
      <c r="H238" s="49" t="n"/>
      <c r="I238" s="45" t="n"/>
    </row>
    <row r="239">
      <c r="A239" s="17" t="n"/>
      <c r="B239" s="18" t="n"/>
      <c r="C239" s="18" t="n"/>
      <c r="D239" s="27" t="n"/>
      <c r="E239" s="18" t="n"/>
      <c r="F239" s="19" t="n"/>
      <c r="G239" s="19" t="n"/>
      <c r="H239" s="21" t="n"/>
      <c r="I239" s="18" t="n"/>
      <c r="J239" s="18" t="n"/>
    </row>
    <row r="240">
      <c r="A240" s="44" t="n"/>
      <c r="B240" s="45" t="n"/>
      <c r="C240" s="45" t="n"/>
      <c r="D240" s="46" t="n"/>
      <c r="E240" s="45" t="n"/>
      <c r="F240" s="47" t="n"/>
      <c r="G240" s="48" t="n"/>
      <c r="H240" s="49" t="n"/>
      <c r="I240" s="45" t="n"/>
    </row>
    <row r="241">
      <c r="A241" s="17" t="n"/>
      <c r="B241" s="18" t="n"/>
      <c r="C241" s="18" t="n"/>
      <c r="D241" s="27" t="n"/>
      <c r="E241" s="18" t="n"/>
      <c r="F241" s="19" t="n"/>
      <c r="G241" s="19" t="n"/>
      <c r="H241" s="21" t="n"/>
      <c r="I241" s="18" t="n"/>
      <c r="J241" s="18" t="n"/>
    </row>
    <row r="242">
      <c r="A242" s="44" t="n"/>
      <c r="B242" s="45" t="n"/>
      <c r="C242" s="45" t="n"/>
      <c r="D242" s="46" t="n"/>
      <c r="E242" s="45" t="n"/>
      <c r="F242" s="47" t="n"/>
      <c r="G242" s="48" t="n"/>
      <c r="H242" s="49" t="n"/>
      <c r="I242" s="45" t="n"/>
    </row>
    <row r="243">
      <c r="A243" s="17" t="n"/>
      <c r="B243" s="18" t="n"/>
      <c r="C243" s="18" t="n"/>
      <c r="D243" s="27" t="n"/>
      <c r="E243" s="18" t="n"/>
      <c r="F243" s="19" t="n"/>
      <c r="G243" s="19" t="n"/>
      <c r="H243" s="21" t="n"/>
      <c r="I243" s="18" t="n"/>
      <c r="J243" s="18" t="n"/>
    </row>
    <row r="244">
      <c r="A244" s="44" t="n"/>
      <c r="B244" s="45" t="n"/>
      <c r="C244" s="45" t="n"/>
      <c r="D244" s="46" t="n"/>
      <c r="E244" s="45" t="n"/>
      <c r="F244" s="47" t="n"/>
      <c r="G244" s="48" t="n"/>
      <c r="H244" s="49" t="n"/>
      <c r="I244" s="45" t="n"/>
    </row>
    <row r="245">
      <c r="A245" s="17" t="n"/>
      <c r="B245" s="18" t="n"/>
      <c r="C245" s="18" t="n"/>
      <c r="D245" s="27" t="n"/>
      <c r="E245" s="18" t="n"/>
      <c r="F245" s="19" t="n"/>
      <c r="G245" s="19" t="n"/>
      <c r="H245" s="21" t="n"/>
      <c r="I245" s="18" t="n"/>
      <c r="J245" s="18" t="n"/>
    </row>
    <row r="246">
      <c r="A246" s="44" t="n"/>
      <c r="B246" s="45" t="n"/>
      <c r="C246" s="45" t="n"/>
      <c r="D246" s="46" t="n"/>
      <c r="E246" s="45" t="n"/>
      <c r="F246" s="47" t="n"/>
      <c r="G246" s="48" t="n"/>
      <c r="H246" s="49" t="n"/>
      <c r="I246" s="45" t="n"/>
    </row>
    <row r="247">
      <c r="A247" s="17" t="n"/>
      <c r="B247" s="18" t="n"/>
      <c r="C247" s="18" t="n"/>
      <c r="D247" s="27" t="n"/>
      <c r="E247" s="18" t="n"/>
      <c r="F247" s="19" t="n"/>
      <c r="G247" s="19" t="n"/>
      <c r="H247" s="21" t="n"/>
      <c r="I247" s="18" t="n"/>
      <c r="J247" s="18" t="n"/>
    </row>
    <row r="248">
      <c r="A248" s="44" t="n"/>
      <c r="B248" s="45" t="n"/>
      <c r="C248" s="45" t="n"/>
      <c r="D248" s="46" t="n"/>
      <c r="E248" s="45" t="n"/>
      <c r="F248" s="47" t="n"/>
      <c r="G248" s="48" t="n"/>
      <c r="H248" s="49" t="n"/>
      <c r="I248" s="45" t="n"/>
    </row>
    <row r="249">
      <c r="A249" s="17" t="n"/>
      <c r="B249" s="18" t="n"/>
      <c r="C249" s="18" t="n"/>
      <c r="D249" s="27" t="n"/>
      <c r="E249" s="18" t="n"/>
      <c r="F249" s="19" t="n"/>
      <c r="G249" s="19" t="n"/>
      <c r="H249" s="21" t="n"/>
      <c r="I249" s="18" t="n"/>
      <c r="J249" s="18" t="n"/>
    </row>
    <row r="250">
      <c r="A250" s="44" t="n"/>
      <c r="B250" s="45" t="n"/>
      <c r="C250" s="45" t="n"/>
      <c r="D250" s="46" t="n"/>
      <c r="E250" s="45" t="n"/>
      <c r="F250" s="47" t="n"/>
      <c r="G250" s="48" t="n"/>
      <c r="H250" s="49" t="n"/>
      <c r="I250" s="45" t="n"/>
    </row>
    <row r="251">
      <c r="A251" s="17" t="n"/>
      <c r="B251" s="18" t="n"/>
      <c r="C251" s="18" t="n"/>
      <c r="D251" s="27" t="n"/>
      <c r="E251" s="18" t="n"/>
      <c r="F251" s="19" t="n"/>
      <c r="G251" s="19" t="n"/>
      <c r="H251" s="21" t="n"/>
      <c r="I251" s="18" t="n"/>
      <c r="J251" s="18" t="n"/>
    </row>
    <row r="252">
      <c r="A252" s="44" t="n"/>
      <c r="B252" s="45" t="n"/>
      <c r="C252" s="45" t="n"/>
      <c r="D252" s="46" t="n"/>
      <c r="E252" s="45" t="n"/>
      <c r="F252" s="47" t="n"/>
      <c r="G252" s="48" t="n"/>
      <c r="H252" s="49" t="n"/>
      <c r="I252" s="45" t="n"/>
    </row>
    <row r="253">
      <c r="A253" s="17" t="n"/>
      <c r="B253" s="18" t="n"/>
      <c r="C253" s="18" t="n"/>
      <c r="D253" s="27" t="n"/>
      <c r="E253" s="18" t="n"/>
      <c r="F253" s="19" t="n"/>
      <c r="G253" s="19" t="n"/>
      <c r="H253" s="21" t="n"/>
      <c r="I253" s="18" t="n"/>
      <c r="J253" s="18" t="n"/>
    </row>
    <row r="254">
      <c r="A254" s="44" t="n"/>
      <c r="B254" s="45" t="n"/>
      <c r="C254" s="45" t="n"/>
      <c r="D254" s="46" t="n"/>
      <c r="E254" s="45" t="n"/>
      <c r="F254" s="47" t="n"/>
      <c r="G254" s="48" t="n"/>
      <c r="H254" s="49" t="n"/>
      <c r="I254" s="45" t="n"/>
    </row>
    <row r="255">
      <c r="A255" s="90" t="n"/>
      <c r="B255" s="90" t="inlineStr">
        <is>
          <t>TOTAL DO MÊS</t>
        </is>
      </c>
      <c r="C255" s="90" t="n"/>
      <c r="D255" s="91">
        <f>SUM(D5:D254)</f>
        <v/>
      </c>
      <c r="E255" s="90" t="n"/>
      <c r="F255" s="91">
        <f>SUM(F5:F254)</f>
        <v/>
      </c>
      <c r="G255" s="91">
        <f>SUM(G5:G254)</f>
        <v/>
      </c>
      <c r="H255" s="90" t="n"/>
      <c r="I255" s="90" t="n"/>
    </row>
    <row r="256">
      <c r="A256" s="92" t="n"/>
      <c r="B256" s="92" t="inlineStr">
        <is>
          <t>SALDO DO MÊS (Entradas líquidas − Despesas da loja)</t>
        </is>
      </c>
      <c r="C256" s="92" t="n"/>
      <c r="D256" s="93">
        <f>(D255-F255-T5)-(L18-L19)</f>
        <v/>
      </c>
      <c r="E256" s="92" t="n"/>
      <c r="F256" s="93" t="n"/>
      <c r="G256" s="93" t="n"/>
      <c r="H256" s="92" t="n"/>
      <c r="I256" s="92" t="n"/>
    </row>
  </sheetData>
  <mergeCells count="19">
    <mergeCell ref="P4:Q4"/>
    <mergeCell ref="P8:Q9"/>
    <mergeCell ref="T8:U9"/>
    <mergeCell ref="N7:O7"/>
    <mergeCell ref="R4:S4"/>
    <mergeCell ref="T4:U4"/>
    <mergeCell ref="A2:I2"/>
    <mergeCell ref="R7:S7"/>
    <mergeCell ref="P5:Q6"/>
    <mergeCell ref="R5:S6"/>
    <mergeCell ref="R8:S9"/>
    <mergeCell ref="P7:Q7"/>
    <mergeCell ref="T5:U6"/>
    <mergeCell ref="T7:U7"/>
    <mergeCell ref="A1:I1"/>
    <mergeCell ref="K4:L4"/>
    <mergeCell ref="N5:O6"/>
    <mergeCell ref="N4:O4"/>
    <mergeCell ref="N8:O9"/>
  </mergeCells>
  <conditionalFormatting sqref="R7:S7">
    <cfRule type="expression" priority="1" dxfId="1">
      <formula>LEFT($R$7,6)="PASSOU"</formula>
    </cfRule>
  </conditionalFormatting>
  <conditionalFormatting sqref="R8:S9">
    <cfRule type="expression" priority="2" dxfId="0">
      <formula>LEFT($R$7,6)="PASSOU"</formula>
    </cfRule>
  </conditionalFormatting>
  <conditionalFormatting sqref="T8:U9">
    <cfRule type="cellIs" priority="3" operator="lessThan" dxfId="0">
      <formula>0</formula>
    </cfRule>
  </conditionalFormatting>
  <conditionalFormatting sqref="R5:S6">
    <cfRule type="cellIs" priority="4" operator="lessThan" dxfId="0">
      <formula>0</formula>
    </cfRule>
  </conditionalFormatting>
  <dataValidations count="2">
    <dataValidation sqref="E5:E254" showDropDown="0" showInputMessage="0" showErrorMessage="0" allowBlank="1" type="list">
      <formula1>"Dinheiro,Pix,Débito,Crédito à Vista,Crédito Parcelado,Aguardando Pagamento"</formula1>
    </dataValidation>
    <dataValidation sqref="H5:H254" showDropDown="0" showInputMessage="0" showErrorMessage="0" allowBlank="1" type="list">
      <formula1>$K$5:$K$17</formula1>
    </dataValidation>
  </dataValidations>
  <hyperlinks>
    <hyperlink ref="A3" location="'Início'!A1" display="← Início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0F9D8B"/>
    <outlinePr summaryBelow="1" summaryRight="1"/>
    <pageSetUpPr/>
  </sheetPr>
  <dimension ref="A1:U256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style="157" min="1" max="1"/>
    <col width="42" customWidth="1" style="157" min="2" max="2"/>
    <col width="26" customWidth="1" style="157" min="3" max="3"/>
    <col width="14" customWidth="1" style="157" min="4" max="4"/>
    <col width="20" customWidth="1" style="157" min="5" max="5"/>
    <col width="16" customWidth="1" style="157" min="6" max="6"/>
    <col width="14" customWidth="1" style="157" min="7" max="7"/>
    <col width="26" customWidth="1" style="157" min="8" max="8"/>
    <col width="30" customWidth="1" style="157" min="9" max="9"/>
    <col width="11" customWidth="1" style="157" min="10" max="10"/>
    <col width="30" customWidth="1" style="157" min="11" max="11"/>
    <col width="14" customWidth="1" style="157" min="12" max="12"/>
    <col width="3" customWidth="1" style="157" min="13" max="13"/>
    <col width="13" customWidth="1" style="157" min="14" max="21"/>
  </cols>
  <sheetData>
    <row r="1" ht="21" customHeight="1" s="157">
      <c r="A1" s="234" t="inlineStr">
        <is>
          <t>RELATÓRIO FINANCEIRO — DEZEMBRO / 2026</t>
        </is>
      </c>
    </row>
    <row r="2">
      <c r="A2" s="195" t="inlineStr">
        <is>
          <t>Fluxo de caixa da loja — entradas e saídas detalhadas por lançamento (lançamento manual)</t>
        </is>
      </c>
    </row>
    <row r="3">
      <c r="A3" s="127" t="inlineStr">
        <is>
          <t>← Início</t>
        </is>
      </c>
    </row>
    <row r="4" ht="30" customHeight="1" s="157">
      <c r="A4" s="76" t="inlineStr">
        <is>
          <t>Data</t>
        </is>
      </c>
      <c r="B4" s="76" t="inlineStr">
        <is>
          <t>Descrição / Cliente</t>
        </is>
      </c>
      <c r="C4" s="76" t="inlineStr">
        <is>
          <t>Produto</t>
        </is>
      </c>
      <c r="D4" s="76" t="inlineStr">
        <is>
          <t>Entrada (R$)</t>
        </is>
      </c>
      <c r="E4" s="76" t="inlineStr">
        <is>
          <t>Forma de Pagamento</t>
        </is>
      </c>
      <c r="F4" s="76" t="inlineStr">
        <is>
          <t>Taxa da Máquina (R$)</t>
        </is>
      </c>
      <c r="G4" s="76" t="inlineStr">
        <is>
          <t>Saída (R$)</t>
        </is>
      </c>
      <c r="H4" s="76" t="inlineStr">
        <is>
          <t>Categoria da Saída</t>
        </is>
      </c>
      <c r="I4" s="76" t="inlineStr">
        <is>
          <t>Observações</t>
        </is>
      </c>
      <c r="J4" s="76" t="inlineStr">
        <is>
          <t>ID Cliente</t>
        </is>
      </c>
      <c r="K4" s="235" t="inlineStr">
        <is>
          <t>Saídas por Categoria</t>
        </is>
      </c>
      <c r="N4" s="237" t="inlineStr">
        <is>
          <t>FATURAMENTO</t>
        </is>
      </c>
      <c r="P4" s="198" t="inlineStr">
        <is>
          <t>DESPESAS</t>
        </is>
      </c>
      <c r="R4" s="199" t="inlineStr">
        <is>
          <t>SALDO ANTES DO PRÓ-LABORE</t>
        </is>
      </c>
      <c r="T4" s="206" t="inlineStr">
        <is>
          <t>A RECEBER</t>
        </is>
      </c>
    </row>
    <row r="5">
      <c r="A5" s="17" t="n"/>
      <c r="B5" s="18" t="n"/>
      <c r="C5" s="18" t="n"/>
      <c r="D5" s="27" t="n"/>
      <c r="E5" s="18" t="n"/>
      <c r="F5" s="19" t="n"/>
      <c r="G5" s="19" t="n"/>
      <c r="H5" s="21" t="n"/>
      <c r="I5" s="18" t="n"/>
      <c r="J5" s="18" t="n"/>
      <c r="K5" s="78" t="inlineStr">
        <is>
          <t>Fornecedores / Mercadoria</t>
        </is>
      </c>
      <c r="L5" s="80">
        <f>SUMIF(H5:H254,K5,G5:G254)</f>
        <v/>
      </c>
      <c r="N5" s="236">
        <f>D255-F255-T5</f>
        <v/>
      </c>
      <c r="P5" s="189">
        <f>L18-L19</f>
        <v/>
      </c>
      <c r="R5" s="205">
        <f>D256</f>
        <v/>
      </c>
      <c r="T5" s="204">
        <f>SUMIF(E5:E254,"Aguardando Pagamento",D5:D254)</f>
        <v/>
      </c>
    </row>
    <row r="6">
      <c r="A6" s="44" t="n"/>
      <c r="B6" s="45" t="n"/>
      <c r="C6" s="45" t="n"/>
      <c r="D6" s="46" t="n"/>
      <c r="E6" s="45" t="n"/>
      <c r="F6" s="47" t="n"/>
      <c r="G6" s="48" t="n"/>
      <c r="H6" s="49" t="n"/>
      <c r="I6" s="45" t="n"/>
      <c r="K6" s="78" t="inlineStr">
        <is>
          <t>Aluguel</t>
        </is>
      </c>
      <c r="L6" s="80">
        <f>SUMIF(H5:H254,K6,G5:G254)</f>
        <v/>
      </c>
    </row>
    <row r="7">
      <c r="A7" s="17" t="n"/>
      <c r="B7" s="18" t="n"/>
      <c r="C7" s="18" t="n"/>
      <c r="D7" s="27" t="n"/>
      <c r="E7" s="18" t="n"/>
      <c r="F7" s="19" t="n"/>
      <c r="G7" s="19" t="n"/>
      <c r="H7" s="21" t="n"/>
      <c r="I7" s="18" t="n"/>
      <c r="J7" s="18" t="n"/>
      <c r="K7" s="78" t="inlineStr">
        <is>
          <t>Água, Energia e Internet</t>
        </is>
      </c>
      <c r="L7" s="80">
        <f>SUMIF(H5:H254,K7,G5:G254)</f>
        <v/>
      </c>
      <c r="N7" s="251" t="inlineStr">
        <is>
          <t>PRÓ-LABORE EDILÂNIA</t>
        </is>
      </c>
      <c r="P7" s="252" t="inlineStr">
        <is>
          <t>COMBINADO NO MÊS</t>
        </is>
      </c>
      <c r="R7" s="199">
        <f>IF(L17&gt;'Ponto de Equilíbrio'!$B$10,"PASSOU DO COMBINADO",IF(TODAY()&gt;EOMONTH(DATE(2026,12,1),0),"ABAIXO DO COMBINADO","AINDA PODE GASTAR"))</f>
        <v/>
      </c>
      <c r="T7" s="237" t="inlineStr">
        <is>
          <t>SOBRA FINAL DO MÊS</t>
        </is>
      </c>
    </row>
    <row r="8">
      <c r="A8" s="44" t="n"/>
      <c r="B8" s="45" t="n"/>
      <c r="C8" s="45" t="n"/>
      <c r="D8" s="46" t="n"/>
      <c r="E8" s="45" t="n"/>
      <c r="F8" s="47" t="n"/>
      <c r="G8" s="48" t="n"/>
      <c r="H8" s="49" t="n"/>
      <c r="I8" s="45" t="n"/>
      <c r="K8" s="78" t="inlineStr">
        <is>
          <t>Impostos e Taxas</t>
        </is>
      </c>
      <c r="L8" s="80">
        <f>SUMIF(H5:H254,K8,G5:G254)</f>
        <v/>
      </c>
      <c r="N8" s="250">
        <f>L17</f>
        <v/>
      </c>
      <c r="P8" s="215">
        <f>'Ponto de Equilíbrio'!$B$10</f>
        <v/>
      </c>
      <c r="R8" s="205">
        <f>ABS('Ponto de Equilíbrio'!$B$10-L17)</f>
        <v/>
      </c>
      <c r="T8" s="236">
        <f>R5-L17</f>
        <v/>
      </c>
    </row>
    <row r="9">
      <c r="A9" s="17" t="n"/>
      <c r="B9" s="18" t="n"/>
      <c r="C9" s="18" t="n"/>
      <c r="D9" s="27" t="n"/>
      <c r="E9" s="18" t="n"/>
      <c r="F9" s="19" t="n"/>
      <c r="G9" s="19" t="n"/>
      <c r="H9" s="21" t="n"/>
      <c r="I9" s="18" t="n"/>
      <c r="J9" s="18" t="n"/>
      <c r="K9" s="78" t="inlineStr">
        <is>
          <t>Tarifas Bancárias e Cartão</t>
        </is>
      </c>
      <c r="L9" s="80">
        <f>SUMIF(H5:H254,K9,G5:G254)</f>
        <v/>
      </c>
    </row>
    <row r="10">
      <c r="A10" s="44" t="n"/>
      <c r="B10" s="45" t="n"/>
      <c r="C10" s="45" t="n"/>
      <c r="D10" s="46" t="n"/>
      <c r="E10" s="45" t="n"/>
      <c r="F10" s="47" t="n"/>
      <c r="G10" s="48" t="n"/>
      <c r="H10" s="49" t="n"/>
      <c r="I10" s="45" t="n"/>
      <c r="K10" s="78" t="inlineStr">
        <is>
          <t>Transporte e Entregas</t>
        </is>
      </c>
      <c r="L10" s="80">
        <f>SUMIF(H5:H254,K10,G5:G254)</f>
        <v/>
      </c>
    </row>
    <row r="11">
      <c r="A11" s="17" t="n"/>
      <c r="B11" s="18" t="n"/>
      <c r="C11" s="18" t="n"/>
      <c r="D11" s="27" t="n"/>
      <c r="E11" s="18" t="n"/>
      <c r="F11" s="19" t="n"/>
      <c r="G11" s="19" t="n"/>
      <c r="H11" s="21" t="n"/>
      <c r="I11" s="18" t="n"/>
      <c r="J11" s="18" t="n"/>
      <c r="K11" s="78" t="inlineStr">
        <is>
          <t>Salários, Comissões e Encargos</t>
        </is>
      </c>
      <c r="L11" s="80">
        <f>SUMIF(H5:H254,K11,G5:G254)</f>
        <v/>
      </c>
    </row>
    <row r="12">
      <c r="A12" s="44" t="n"/>
      <c r="B12" s="45" t="n"/>
      <c r="C12" s="45" t="n"/>
      <c r="D12" s="46" t="n"/>
      <c r="E12" s="45" t="n"/>
      <c r="F12" s="47" t="n"/>
      <c r="G12" s="48" t="n"/>
      <c r="H12" s="49" t="n"/>
      <c r="I12" s="45" t="n"/>
      <c r="K12" s="78" t="inlineStr">
        <is>
          <t>Contabilidade</t>
        </is>
      </c>
      <c r="L12" s="80">
        <f>SUMIF(H5:H254,K12,G5:G254)</f>
        <v/>
      </c>
    </row>
    <row r="13">
      <c r="A13" s="17" t="n"/>
      <c r="B13" s="18" t="n"/>
      <c r="C13" s="18" t="n"/>
      <c r="D13" s="27" t="n"/>
      <c r="E13" s="18" t="n"/>
      <c r="F13" s="19" t="n"/>
      <c r="G13" s="19" t="n"/>
      <c r="H13" s="21" t="n"/>
      <c r="I13" s="18" t="n"/>
      <c r="J13" s="18" t="n"/>
      <c r="K13" s="78" t="inlineStr">
        <is>
          <t>Manutenção e Reparos</t>
        </is>
      </c>
      <c r="L13" s="80">
        <f>SUMIF(H5:H254,K13,G5:G254)</f>
        <v/>
      </c>
    </row>
    <row r="14">
      <c r="A14" s="44" t="n"/>
      <c r="B14" s="45" t="n"/>
      <c r="C14" s="45" t="n"/>
      <c r="D14" s="46" t="n"/>
      <c r="E14" s="45" t="n"/>
      <c r="F14" s="47" t="n"/>
      <c r="G14" s="48" t="n"/>
      <c r="H14" s="49" t="n"/>
      <c r="I14" s="45" t="n"/>
      <c r="K14" s="78" t="inlineStr">
        <is>
          <t>Material de Limpeza e Escritório</t>
        </is>
      </c>
      <c r="L14" s="80">
        <f>SUMIF(H5:H254,K14,G5:G254)</f>
        <v/>
      </c>
    </row>
    <row r="15">
      <c r="A15" s="17" t="n"/>
      <c r="B15" s="18" t="n"/>
      <c r="C15" s="18" t="n"/>
      <c r="D15" s="27" t="n"/>
      <c r="E15" s="18" t="n"/>
      <c r="F15" s="19" t="n"/>
      <c r="G15" s="19" t="n"/>
      <c r="H15" s="21" t="n"/>
      <c r="I15" s="18" t="n"/>
      <c r="J15" s="18" t="n"/>
      <c r="K15" s="78" t="inlineStr">
        <is>
          <t>Estornos de Vendas (Cancelamentos)</t>
        </is>
      </c>
      <c r="L15" s="80">
        <f>SUMIF(H5:H254,K15,G5:G254)</f>
        <v/>
      </c>
    </row>
    <row r="16">
      <c r="A16" s="44" t="n"/>
      <c r="B16" s="45" t="n"/>
      <c r="C16" s="45" t="n"/>
      <c r="D16" s="46" t="n"/>
      <c r="E16" s="45" t="n"/>
      <c r="F16" s="47" t="n"/>
      <c r="G16" s="48" t="n"/>
      <c r="H16" s="49" t="n"/>
      <c r="I16" s="45" t="n"/>
      <c r="K16" s="78" t="inlineStr">
        <is>
          <t>Outras Despesas</t>
        </is>
      </c>
      <c r="L16" s="80">
        <f>SUMIF(H5:H254,K16,G5:G254)</f>
        <v/>
      </c>
    </row>
    <row r="17">
      <c r="A17" s="17" t="n"/>
      <c r="B17" s="18" t="n"/>
      <c r="C17" s="18" t="n"/>
      <c r="D17" s="27" t="n"/>
      <c r="E17" s="18" t="n"/>
      <c r="F17" s="19" t="n"/>
      <c r="G17" s="19" t="n"/>
      <c r="H17" s="21" t="n"/>
      <c r="I17" s="18" t="n"/>
      <c r="J17" s="18" t="n"/>
      <c r="K17" s="84" t="inlineStr">
        <is>
          <t>Pro Labore Edilânia</t>
        </is>
      </c>
      <c r="L17" s="85">
        <f>SUMIF(H5:H254,K17,G5:G254)</f>
        <v/>
      </c>
    </row>
    <row r="18">
      <c r="A18" s="44" t="n"/>
      <c r="B18" s="45" t="n"/>
      <c r="C18" s="45" t="n"/>
      <c r="D18" s="46" t="n"/>
      <c r="E18" s="45" t="n"/>
      <c r="F18" s="47" t="n"/>
      <c r="G18" s="48" t="n"/>
      <c r="H18" s="49" t="n"/>
      <c r="I18" s="45" t="n"/>
      <c r="K18" s="86" t="inlineStr">
        <is>
          <t>Total</t>
        </is>
      </c>
      <c r="L18" s="87">
        <f>SUM(L5:L16)</f>
        <v/>
      </c>
    </row>
    <row r="19">
      <c r="A19" s="17" t="n"/>
      <c r="B19" s="18" t="n"/>
      <c r="C19" s="18" t="n"/>
      <c r="D19" s="27" t="n"/>
      <c r="E19" s="18" t="n"/>
      <c r="F19" s="19" t="n"/>
      <c r="G19" s="19" t="n"/>
      <c r="H19" s="21" t="n"/>
      <c r="I19" s="18" t="n"/>
      <c r="J19" s="18" t="n"/>
      <c r="K19" s="88" t="inlineStr">
        <is>
          <t>Capital de Giro (BB) — ainda a devolver</t>
        </is>
      </c>
      <c r="L19" s="89">
        <f>SUMIFS('Capital de Giro (BB)'!D9:D200,'Capital de Giro (BB)'!A9:A200,"&gt;="&amp;DATE(2026,12,1),'Capital de Giro (BB)'!A9:A200,"&lt;="&amp;DATE(2026,12,31),'Capital de Giro (BB)'!E9:E200,"A Devolver")</f>
        <v/>
      </c>
    </row>
    <row r="20">
      <c r="A20" s="44" t="n"/>
      <c r="B20" s="45" t="n"/>
      <c r="C20" s="45" t="n"/>
      <c r="D20" s="46" t="n"/>
      <c r="E20" s="45" t="n"/>
      <c r="F20" s="47" t="n"/>
      <c r="G20" s="48" t="n"/>
      <c r="H20" s="49" t="n"/>
      <c r="I20" s="45" t="n"/>
    </row>
    <row r="21">
      <c r="A21" s="17" t="n"/>
      <c r="B21" s="18" t="n"/>
      <c r="C21" s="18" t="n"/>
      <c r="D21" s="27" t="n"/>
      <c r="E21" s="18" t="n"/>
      <c r="F21" s="19" t="n"/>
      <c r="G21" s="19" t="n"/>
      <c r="H21" s="21" t="n"/>
      <c r="I21" s="18" t="n"/>
      <c r="J21" s="18" t="n"/>
    </row>
    <row r="22">
      <c r="A22" s="44" t="n"/>
      <c r="B22" s="45" t="n"/>
      <c r="C22" s="45" t="n"/>
      <c r="D22" s="46" t="n"/>
      <c r="E22" s="45" t="n"/>
      <c r="F22" s="47" t="n"/>
      <c r="G22" s="48" t="n"/>
      <c r="H22" s="49" t="n"/>
      <c r="I22" s="45" t="n"/>
    </row>
    <row r="23">
      <c r="A23" s="17" t="n"/>
      <c r="B23" s="18" t="n"/>
      <c r="C23" s="18" t="n"/>
      <c r="D23" s="27" t="n"/>
      <c r="E23" s="18" t="n"/>
      <c r="F23" s="19" t="n"/>
      <c r="G23" s="19" t="n"/>
      <c r="H23" s="21" t="n"/>
      <c r="I23" s="18" t="n"/>
      <c r="J23" s="18" t="n"/>
    </row>
    <row r="24">
      <c r="A24" s="44" t="n"/>
      <c r="B24" s="45" t="n"/>
      <c r="C24" s="45" t="n"/>
      <c r="D24" s="46" t="n"/>
      <c r="E24" s="45" t="n"/>
      <c r="F24" s="47" t="n"/>
      <c r="G24" s="48" t="n"/>
      <c r="H24" s="49" t="n"/>
      <c r="I24" s="45" t="n"/>
    </row>
    <row r="25">
      <c r="A25" s="17" t="n"/>
      <c r="B25" s="18" t="n"/>
      <c r="C25" s="18" t="n"/>
      <c r="D25" s="27" t="n"/>
      <c r="E25" s="18" t="n"/>
      <c r="F25" s="19" t="n"/>
      <c r="G25" s="19" t="n"/>
      <c r="H25" s="21" t="n"/>
      <c r="I25" s="18" t="n"/>
      <c r="J25" s="18" t="n"/>
    </row>
    <row r="26">
      <c r="A26" s="44" t="n"/>
      <c r="B26" s="45" t="n"/>
      <c r="C26" s="45" t="n"/>
      <c r="D26" s="46" t="n"/>
      <c r="E26" s="45" t="n"/>
      <c r="F26" s="47" t="n"/>
      <c r="G26" s="48" t="n"/>
      <c r="H26" s="49" t="n"/>
      <c r="I26" s="45" t="n"/>
    </row>
    <row r="27">
      <c r="A27" s="17" t="n"/>
      <c r="B27" s="18" t="n"/>
      <c r="C27" s="18" t="n"/>
      <c r="D27" s="27" t="n"/>
      <c r="E27" s="18" t="n"/>
      <c r="F27" s="19" t="n"/>
      <c r="G27" s="19" t="n"/>
      <c r="H27" s="21" t="n"/>
      <c r="I27" s="18" t="n"/>
      <c r="J27" s="18" t="n"/>
    </row>
    <row r="28">
      <c r="A28" s="44" t="n"/>
      <c r="B28" s="45" t="n"/>
      <c r="C28" s="45" t="n"/>
      <c r="D28" s="46" t="n"/>
      <c r="E28" s="45" t="n"/>
      <c r="F28" s="47" t="n"/>
      <c r="G28" s="48" t="n"/>
      <c r="H28" s="49" t="n"/>
      <c r="I28" s="45" t="n"/>
    </row>
    <row r="29">
      <c r="A29" s="17" t="n"/>
      <c r="B29" s="18" t="n"/>
      <c r="C29" s="18" t="n"/>
      <c r="D29" s="27" t="n"/>
      <c r="E29" s="18" t="n"/>
      <c r="F29" s="19" t="n"/>
      <c r="G29" s="19" t="n"/>
      <c r="H29" s="21" t="n"/>
      <c r="I29" s="18" t="n"/>
      <c r="J29" s="18" t="n"/>
    </row>
    <row r="30">
      <c r="A30" s="44" t="n"/>
      <c r="B30" s="45" t="n"/>
      <c r="C30" s="45" t="n"/>
      <c r="D30" s="46" t="n"/>
      <c r="E30" s="45" t="n"/>
      <c r="F30" s="47" t="n"/>
      <c r="G30" s="48" t="n"/>
      <c r="H30" s="49" t="n"/>
      <c r="I30" s="45" t="n"/>
    </row>
    <row r="31">
      <c r="A31" s="17" t="n"/>
      <c r="B31" s="18" t="n"/>
      <c r="C31" s="18" t="n"/>
      <c r="D31" s="27" t="n"/>
      <c r="E31" s="18" t="n"/>
      <c r="F31" s="19" t="n"/>
      <c r="G31" s="19" t="n"/>
      <c r="H31" s="21" t="n"/>
      <c r="I31" s="18" t="n"/>
      <c r="J31" s="18" t="n"/>
    </row>
    <row r="32">
      <c r="A32" s="44" t="n"/>
      <c r="B32" s="45" t="n"/>
      <c r="C32" s="45" t="n"/>
      <c r="D32" s="46" t="n"/>
      <c r="E32" s="45" t="n"/>
      <c r="F32" s="47" t="n"/>
      <c r="G32" s="48" t="n"/>
      <c r="H32" s="49" t="n"/>
      <c r="I32" s="45" t="n"/>
    </row>
    <row r="33">
      <c r="A33" s="17" t="n"/>
      <c r="B33" s="18" t="n"/>
      <c r="C33" s="18" t="n"/>
      <c r="D33" s="27" t="n"/>
      <c r="E33" s="18" t="n"/>
      <c r="F33" s="19" t="n"/>
      <c r="G33" s="19" t="n"/>
      <c r="H33" s="21" t="n"/>
      <c r="I33" s="18" t="n"/>
      <c r="J33" s="18" t="n"/>
    </row>
    <row r="34">
      <c r="A34" s="44" t="n"/>
      <c r="B34" s="45" t="n"/>
      <c r="C34" s="45" t="n"/>
      <c r="D34" s="46" t="n"/>
      <c r="E34" s="45" t="n"/>
      <c r="F34" s="47" t="n"/>
      <c r="G34" s="48" t="n"/>
      <c r="H34" s="49" t="n"/>
      <c r="I34" s="45" t="n"/>
    </row>
    <row r="35">
      <c r="A35" s="17" t="n"/>
      <c r="B35" s="18" t="n"/>
      <c r="C35" s="18" t="n"/>
      <c r="D35" s="27" t="n"/>
      <c r="E35" s="18" t="n"/>
      <c r="F35" s="19" t="n"/>
      <c r="G35" s="19" t="n"/>
      <c r="H35" s="21" t="n"/>
      <c r="I35" s="18" t="n"/>
      <c r="J35" s="18" t="n"/>
    </row>
    <row r="36">
      <c r="A36" s="44" t="n"/>
      <c r="B36" s="45" t="n"/>
      <c r="C36" s="45" t="n"/>
      <c r="D36" s="46" t="n"/>
      <c r="E36" s="45" t="n"/>
      <c r="F36" s="47" t="n"/>
      <c r="G36" s="48" t="n"/>
      <c r="H36" s="49" t="n"/>
      <c r="I36" s="45" t="n"/>
    </row>
    <row r="37">
      <c r="A37" s="17" t="n"/>
      <c r="B37" s="18" t="n"/>
      <c r="C37" s="18" t="n"/>
      <c r="D37" s="27" t="n"/>
      <c r="E37" s="18" t="n"/>
      <c r="F37" s="19" t="n"/>
      <c r="G37" s="19" t="n"/>
      <c r="H37" s="21" t="n"/>
      <c r="I37" s="18" t="n"/>
      <c r="J37" s="18" t="n"/>
    </row>
    <row r="38">
      <c r="A38" s="44" t="n"/>
      <c r="B38" s="45" t="n"/>
      <c r="C38" s="45" t="n"/>
      <c r="D38" s="46" t="n"/>
      <c r="E38" s="45" t="n"/>
      <c r="F38" s="47" t="n"/>
      <c r="G38" s="48" t="n"/>
      <c r="H38" s="49" t="n"/>
      <c r="I38" s="45" t="n"/>
    </row>
    <row r="39">
      <c r="A39" s="17" t="n"/>
      <c r="B39" s="18" t="n"/>
      <c r="C39" s="18" t="n"/>
      <c r="D39" s="27" t="n"/>
      <c r="E39" s="18" t="n"/>
      <c r="F39" s="19" t="n"/>
      <c r="G39" s="19" t="n"/>
      <c r="H39" s="21" t="n"/>
      <c r="I39" s="18" t="n"/>
      <c r="J39" s="18" t="n"/>
    </row>
    <row r="40">
      <c r="A40" s="44" t="n"/>
      <c r="B40" s="45" t="n"/>
      <c r="C40" s="45" t="n"/>
      <c r="D40" s="46" t="n"/>
      <c r="E40" s="45" t="n"/>
      <c r="F40" s="47" t="n"/>
      <c r="G40" s="48" t="n"/>
      <c r="H40" s="49" t="n"/>
      <c r="I40" s="45" t="n"/>
    </row>
    <row r="41">
      <c r="A41" s="17" t="n"/>
      <c r="B41" s="18" t="n"/>
      <c r="C41" s="18" t="n"/>
      <c r="D41" s="27" t="n"/>
      <c r="E41" s="18" t="n"/>
      <c r="F41" s="19" t="n"/>
      <c r="G41" s="19" t="n"/>
      <c r="H41" s="21" t="n"/>
      <c r="I41" s="18" t="n"/>
      <c r="J41" s="18" t="n"/>
    </row>
    <row r="42">
      <c r="A42" s="44" t="n"/>
      <c r="B42" s="45" t="n"/>
      <c r="C42" s="45" t="n"/>
      <c r="D42" s="46" t="n"/>
      <c r="E42" s="45" t="n"/>
      <c r="F42" s="47" t="n"/>
      <c r="G42" s="48" t="n"/>
      <c r="H42" s="49" t="n"/>
      <c r="I42" s="45" t="n"/>
    </row>
    <row r="43">
      <c r="A43" s="17" t="n"/>
      <c r="B43" s="18" t="n"/>
      <c r="C43" s="18" t="n"/>
      <c r="D43" s="27" t="n"/>
      <c r="E43" s="18" t="n"/>
      <c r="F43" s="19" t="n"/>
      <c r="G43" s="19" t="n"/>
      <c r="H43" s="21" t="n"/>
      <c r="I43" s="18" t="n"/>
      <c r="J43" s="18" t="n"/>
    </row>
    <row r="44">
      <c r="A44" s="44" t="n"/>
      <c r="B44" s="45" t="n"/>
      <c r="C44" s="45" t="n"/>
      <c r="D44" s="46" t="n"/>
      <c r="E44" s="45" t="n"/>
      <c r="F44" s="47" t="n"/>
      <c r="G44" s="48" t="n"/>
      <c r="H44" s="49" t="n"/>
      <c r="I44" s="45" t="n"/>
    </row>
    <row r="45">
      <c r="A45" s="17" t="n"/>
      <c r="B45" s="18" t="n"/>
      <c r="C45" s="18" t="n"/>
      <c r="D45" s="27" t="n"/>
      <c r="E45" s="18" t="n"/>
      <c r="F45" s="19" t="n"/>
      <c r="G45" s="19" t="n"/>
      <c r="H45" s="21" t="n"/>
      <c r="I45" s="18" t="n"/>
      <c r="J45" s="18" t="n"/>
    </row>
    <row r="46">
      <c r="A46" s="44" t="n"/>
      <c r="B46" s="45" t="n"/>
      <c r="C46" s="45" t="n"/>
      <c r="D46" s="46" t="n"/>
      <c r="E46" s="45" t="n"/>
      <c r="F46" s="47" t="n"/>
      <c r="G46" s="48" t="n"/>
      <c r="H46" s="49" t="n"/>
      <c r="I46" s="45" t="n"/>
    </row>
    <row r="47">
      <c r="A47" s="17" t="n"/>
      <c r="B47" s="18" t="n"/>
      <c r="C47" s="18" t="n"/>
      <c r="D47" s="27" t="n"/>
      <c r="E47" s="18" t="n"/>
      <c r="F47" s="19" t="n"/>
      <c r="G47" s="19" t="n"/>
      <c r="H47" s="21" t="n"/>
      <c r="I47" s="18" t="n"/>
      <c r="J47" s="18" t="n"/>
    </row>
    <row r="48">
      <c r="A48" s="44" t="n"/>
      <c r="B48" s="45" t="n"/>
      <c r="C48" s="45" t="n"/>
      <c r="D48" s="46" t="n"/>
      <c r="E48" s="45" t="n"/>
      <c r="F48" s="47" t="n"/>
      <c r="G48" s="48" t="n"/>
      <c r="H48" s="49" t="n"/>
      <c r="I48" s="45" t="n"/>
    </row>
    <row r="49">
      <c r="A49" s="17" t="n"/>
      <c r="B49" s="18" t="n"/>
      <c r="C49" s="18" t="n"/>
      <c r="D49" s="27" t="n"/>
      <c r="E49" s="18" t="n"/>
      <c r="F49" s="19" t="n"/>
      <c r="G49" s="19" t="n"/>
      <c r="H49" s="21" t="n"/>
      <c r="I49" s="18" t="n"/>
      <c r="J49" s="18" t="n"/>
    </row>
    <row r="50">
      <c r="A50" s="44" t="n"/>
      <c r="B50" s="45" t="n"/>
      <c r="C50" s="45" t="n"/>
      <c r="D50" s="46" t="n"/>
      <c r="E50" s="45" t="n"/>
      <c r="F50" s="47" t="n"/>
      <c r="G50" s="48" t="n"/>
      <c r="H50" s="49" t="n"/>
      <c r="I50" s="45" t="n"/>
    </row>
    <row r="51">
      <c r="A51" s="17" t="n"/>
      <c r="B51" s="18" t="n"/>
      <c r="C51" s="18" t="n"/>
      <c r="D51" s="27" t="n"/>
      <c r="E51" s="18" t="n"/>
      <c r="F51" s="19" t="n"/>
      <c r="G51" s="19" t="n"/>
      <c r="H51" s="21" t="n"/>
      <c r="I51" s="18" t="n"/>
      <c r="J51" s="18" t="n"/>
    </row>
    <row r="52">
      <c r="A52" s="44" t="n"/>
      <c r="B52" s="45" t="n"/>
      <c r="C52" s="45" t="n"/>
      <c r="D52" s="46" t="n"/>
      <c r="E52" s="45" t="n"/>
      <c r="F52" s="47" t="n"/>
      <c r="G52" s="48" t="n"/>
      <c r="H52" s="49" t="n"/>
      <c r="I52" s="45" t="n"/>
    </row>
    <row r="53">
      <c r="A53" s="17" t="n"/>
      <c r="B53" s="18" t="n"/>
      <c r="C53" s="18" t="n"/>
      <c r="D53" s="27" t="n"/>
      <c r="E53" s="18" t="n"/>
      <c r="F53" s="19" t="n"/>
      <c r="G53" s="19" t="n"/>
      <c r="H53" s="21" t="n"/>
      <c r="I53" s="18" t="n"/>
      <c r="J53" s="18" t="n"/>
    </row>
    <row r="54">
      <c r="A54" s="44" t="n"/>
      <c r="B54" s="45" t="n"/>
      <c r="C54" s="45" t="n"/>
      <c r="D54" s="46" t="n"/>
      <c r="E54" s="45" t="n"/>
      <c r="F54" s="47" t="n"/>
      <c r="G54" s="48" t="n"/>
      <c r="H54" s="49" t="n"/>
      <c r="I54" s="45" t="n"/>
    </row>
    <row r="55">
      <c r="A55" s="17" t="n"/>
      <c r="B55" s="18" t="n"/>
      <c r="C55" s="18" t="n"/>
      <c r="D55" s="27" t="n"/>
      <c r="E55" s="18" t="n"/>
      <c r="F55" s="19" t="n"/>
      <c r="G55" s="19" t="n"/>
      <c r="H55" s="21" t="n"/>
      <c r="I55" s="18" t="n"/>
      <c r="J55" s="18" t="n"/>
    </row>
    <row r="56">
      <c r="A56" s="44" t="n"/>
      <c r="B56" s="45" t="n"/>
      <c r="C56" s="45" t="n"/>
      <c r="D56" s="46" t="n"/>
      <c r="E56" s="45" t="n"/>
      <c r="F56" s="47" t="n"/>
      <c r="G56" s="48" t="n"/>
      <c r="H56" s="49" t="n"/>
      <c r="I56" s="45" t="n"/>
    </row>
    <row r="57">
      <c r="A57" s="17" t="n"/>
      <c r="B57" s="18" t="n"/>
      <c r="C57" s="18" t="n"/>
      <c r="D57" s="27" t="n"/>
      <c r="E57" s="18" t="n"/>
      <c r="F57" s="19" t="n"/>
      <c r="G57" s="19" t="n"/>
      <c r="H57" s="21" t="n"/>
      <c r="I57" s="18" t="n"/>
      <c r="J57" s="18" t="n"/>
    </row>
    <row r="58">
      <c r="A58" s="44" t="n"/>
      <c r="B58" s="45" t="n"/>
      <c r="C58" s="45" t="n"/>
      <c r="D58" s="46" t="n"/>
      <c r="E58" s="45" t="n"/>
      <c r="F58" s="47" t="n"/>
      <c r="G58" s="48" t="n"/>
      <c r="H58" s="49" t="n"/>
      <c r="I58" s="45" t="n"/>
    </row>
    <row r="59">
      <c r="A59" s="17" t="n"/>
      <c r="B59" s="18" t="n"/>
      <c r="C59" s="18" t="n"/>
      <c r="D59" s="27" t="n"/>
      <c r="E59" s="18" t="n"/>
      <c r="F59" s="19" t="n"/>
      <c r="G59" s="19" t="n"/>
      <c r="H59" s="21" t="n"/>
      <c r="I59" s="18" t="n"/>
      <c r="J59" s="18" t="n"/>
    </row>
    <row r="60">
      <c r="A60" s="44" t="n"/>
      <c r="B60" s="45" t="n"/>
      <c r="C60" s="45" t="n"/>
      <c r="D60" s="46" t="n"/>
      <c r="E60" s="45" t="n"/>
      <c r="F60" s="47" t="n"/>
      <c r="G60" s="48" t="n"/>
      <c r="H60" s="49" t="n"/>
      <c r="I60" s="45" t="n"/>
    </row>
    <row r="61">
      <c r="A61" s="17" t="n"/>
      <c r="B61" s="18" t="n"/>
      <c r="C61" s="18" t="n"/>
      <c r="D61" s="27" t="n"/>
      <c r="E61" s="18" t="n"/>
      <c r="F61" s="19" t="n"/>
      <c r="G61" s="19" t="n"/>
      <c r="H61" s="21" t="n"/>
      <c r="I61" s="18" t="n"/>
      <c r="J61" s="18" t="n"/>
    </row>
    <row r="62">
      <c r="A62" s="44" t="n"/>
      <c r="B62" s="45" t="n"/>
      <c r="C62" s="45" t="n"/>
      <c r="D62" s="46" t="n"/>
      <c r="E62" s="45" t="n"/>
      <c r="F62" s="47" t="n"/>
      <c r="G62" s="48" t="n"/>
      <c r="H62" s="49" t="n"/>
      <c r="I62" s="45" t="n"/>
    </row>
    <row r="63">
      <c r="A63" s="17" t="n"/>
      <c r="B63" s="18" t="n"/>
      <c r="C63" s="18" t="n"/>
      <c r="D63" s="27" t="n"/>
      <c r="E63" s="18" t="n"/>
      <c r="F63" s="19" t="n"/>
      <c r="G63" s="19" t="n"/>
      <c r="H63" s="21" t="n"/>
      <c r="I63" s="18" t="n"/>
      <c r="J63" s="18" t="n"/>
    </row>
    <row r="64">
      <c r="A64" s="44" t="n"/>
      <c r="B64" s="45" t="n"/>
      <c r="C64" s="45" t="n"/>
      <c r="D64" s="46" t="n"/>
      <c r="E64" s="45" t="n"/>
      <c r="F64" s="47" t="n"/>
      <c r="G64" s="48" t="n"/>
      <c r="H64" s="49" t="n"/>
      <c r="I64" s="45" t="n"/>
    </row>
    <row r="65">
      <c r="A65" s="17" t="n"/>
      <c r="B65" s="18" t="n"/>
      <c r="C65" s="18" t="n"/>
      <c r="D65" s="27" t="n"/>
      <c r="E65" s="18" t="n"/>
      <c r="F65" s="19" t="n"/>
      <c r="G65" s="19" t="n"/>
      <c r="H65" s="21" t="n"/>
      <c r="I65" s="18" t="n"/>
      <c r="J65" s="18" t="n"/>
    </row>
    <row r="66">
      <c r="A66" s="44" t="n"/>
      <c r="B66" s="45" t="n"/>
      <c r="C66" s="45" t="n"/>
      <c r="D66" s="46" t="n"/>
      <c r="E66" s="45" t="n"/>
      <c r="F66" s="47" t="n"/>
      <c r="G66" s="48" t="n"/>
      <c r="H66" s="49" t="n"/>
      <c r="I66" s="45" t="n"/>
    </row>
    <row r="67">
      <c r="A67" s="17" t="n"/>
      <c r="B67" s="18" t="n"/>
      <c r="C67" s="18" t="n"/>
      <c r="D67" s="27" t="n"/>
      <c r="E67" s="18" t="n"/>
      <c r="F67" s="19" t="n"/>
      <c r="G67" s="19" t="n"/>
      <c r="H67" s="21" t="n"/>
      <c r="I67" s="18" t="n"/>
      <c r="J67" s="18" t="n"/>
    </row>
    <row r="68">
      <c r="A68" s="44" t="n"/>
      <c r="B68" s="45" t="n"/>
      <c r="C68" s="45" t="n"/>
      <c r="D68" s="46" t="n"/>
      <c r="E68" s="45" t="n"/>
      <c r="F68" s="47" t="n"/>
      <c r="G68" s="48" t="n"/>
      <c r="H68" s="49" t="n"/>
      <c r="I68" s="45" t="n"/>
    </row>
    <row r="69">
      <c r="A69" s="17" t="n"/>
      <c r="B69" s="18" t="n"/>
      <c r="C69" s="18" t="n"/>
      <c r="D69" s="27" t="n"/>
      <c r="E69" s="18" t="n"/>
      <c r="F69" s="19" t="n"/>
      <c r="G69" s="19" t="n"/>
      <c r="H69" s="21" t="n"/>
      <c r="I69" s="18" t="n"/>
      <c r="J69" s="18" t="n"/>
    </row>
    <row r="70">
      <c r="A70" s="44" t="n"/>
      <c r="B70" s="45" t="n"/>
      <c r="C70" s="45" t="n"/>
      <c r="D70" s="46" t="n"/>
      <c r="E70" s="45" t="n"/>
      <c r="F70" s="47" t="n"/>
      <c r="G70" s="48" t="n"/>
      <c r="H70" s="49" t="n"/>
      <c r="I70" s="45" t="n"/>
    </row>
    <row r="71">
      <c r="A71" s="17" t="n"/>
      <c r="B71" s="18" t="n"/>
      <c r="C71" s="18" t="n"/>
      <c r="D71" s="27" t="n"/>
      <c r="E71" s="18" t="n"/>
      <c r="F71" s="19" t="n"/>
      <c r="G71" s="19" t="n"/>
      <c r="H71" s="21" t="n"/>
      <c r="I71" s="18" t="n"/>
      <c r="J71" s="18" t="n"/>
    </row>
    <row r="72">
      <c r="A72" s="44" t="n"/>
      <c r="B72" s="45" t="n"/>
      <c r="C72" s="45" t="n"/>
      <c r="D72" s="46" t="n"/>
      <c r="E72" s="45" t="n"/>
      <c r="F72" s="47" t="n"/>
      <c r="G72" s="48" t="n"/>
      <c r="H72" s="49" t="n"/>
      <c r="I72" s="45" t="n"/>
    </row>
    <row r="73">
      <c r="A73" s="17" t="n"/>
      <c r="B73" s="18" t="n"/>
      <c r="C73" s="18" t="n"/>
      <c r="D73" s="27" t="n"/>
      <c r="E73" s="18" t="n"/>
      <c r="F73" s="19" t="n"/>
      <c r="G73" s="19" t="n"/>
      <c r="H73" s="21" t="n"/>
      <c r="I73" s="18" t="n"/>
      <c r="J73" s="18" t="n"/>
    </row>
    <row r="74">
      <c r="A74" s="44" t="n"/>
      <c r="B74" s="45" t="n"/>
      <c r="C74" s="45" t="n"/>
      <c r="D74" s="46" t="n"/>
      <c r="E74" s="45" t="n"/>
      <c r="F74" s="47" t="n"/>
      <c r="G74" s="48" t="n"/>
      <c r="H74" s="49" t="n"/>
      <c r="I74" s="45" t="n"/>
    </row>
    <row r="75">
      <c r="A75" s="17" t="n"/>
      <c r="B75" s="18" t="n"/>
      <c r="C75" s="18" t="n"/>
      <c r="D75" s="27" t="n"/>
      <c r="E75" s="18" t="n"/>
      <c r="F75" s="19" t="n"/>
      <c r="G75" s="19" t="n"/>
      <c r="H75" s="21" t="n"/>
      <c r="I75" s="18" t="n"/>
      <c r="J75" s="18" t="n"/>
    </row>
    <row r="76">
      <c r="A76" s="44" t="n"/>
      <c r="B76" s="45" t="n"/>
      <c r="C76" s="45" t="n"/>
      <c r="D76" s="46" t="n"/>
      <c r="E76" s="45" t="n"/>
      <c r="F76" s="47" t="n"/>
      <c r="G76" s="48" t="n"/>
      <c r="H76" s="49" t="n"/>
      <c r="I76" s="45" t="n"/>
    </row>
    <row r="77">
      <c r="A77" s="17" t="n"/>
      <c r="B77" s="18" t="n"/>
      <c r="C77" s="18" t="n"/>
      <c r="D77" s="27" t="n"/>
      <c r="E77" s="18" t="n"/>
      <c r="F77" s="19" t="n"/>
      <c r="G77" s="19" t="n"/>
      <c r="H77" s="21" t="n"/>
      <c r="I77" s="18" t="n"/>
      <c r="J77" s="18" t="n"/>
    </row>
    <row r="78">
      <c r="A78" s="44" t="n"/>
      <c r="B78" s="45" t="n"/>
      <c r="C78" s="45" t="n"/>
      <c r="D78" s="46" t="n"/>
      <c r="E78" s="45" t="n"/>
      <c r="F78" s="47" t="n"/>
      <c r="G78" s="48" t="n"/>
      <c r="H78" s="49" t="n"/>
      <c r="I78" s="45" t="n"/>
    </row>
    <row r="79">
      <c r="A79" s="17" t="n"/>
      <c r="B79" s="18" t="n"/>
      <c r="C79" s="18" t="n"/>
      <c r="D79" s="27" t="n"/>
      <c r="E79" s="18" t="n"/>
      <c r="F79" s="19" t="n"/>
      <c r="G79" s="19" t="n"/>
      <c r="H79" s="21" t="n"/>
      <c r="I79" s="18" t="n"/>
      <c r="J79" s="18" t="n"/>
    </row>
    <row r="80">
      <c r="A80" s="44" t="n"/>
      <c r="B80" s="45" t="n"/>
      <c r="C80" s="45" t="n"/>
      <c r="D80" s="46" t="n"/>
      <c r="E80" s="45" t="n"/>
      <c r="F80" s="47" t="n"/>
      <c r="G80" s="48" t="n"/>
      <c r="H80" s="49" t="n"/>
      <c r="I80" s="45" t="n"/>
    </row>
    <row r="81">
      <c r="A81" s="17" t="n"/>
      <c r="B81" s="18" t="n"/>
      <c r="C81" s="18" t="n"/>
      <c r="D81" s="27" t="n"/>
      <c r="E81" s="18" t="n"/>
      <c r="F81" s="19" t="n"/>
      <c r="G81" s="19" t="n"/>
      <c r="H81" s="21" t="n"/>
      <c r="I81" s="18" t="n"/>
      <c r="J81" s="18" t="n"/>
    </row>
    <row r="82">
      <c r="A82" s="44" t="n"/>
      <c r="B82" s="45" t="n"/>
      <c r="C82" s="45" t="n"/>
      <c r="D82" s="46" t="n"/>
      <c r="E82" s="45" t="n"/>
      <c r="F82" s="47" t="n"/>
      <c r="G82" s="48" t="n"/>
      <c r="H82" s="49" t="n"/>
      <c r="I82" s="45" t="n"/>
    </row>
    <row r="83">
      <c r="A83" s="17" t="n"/>
      <c r="B83" s="18" t="n"/>
      <c r="C83" s="18" t="n"/>
      <c r="D83" s="27" t="n"/>
      <c r="E83" s="18" t="n"/>
      <c r="F83" s="19" t="n"/>
      <c r="G83" s="19" t="n"/>
      <c r="H83" s="21" t="n"/>
      <c r="I83" s="18" t="n"/>
      <c r="J83" s="18" t="n"/>
    </row>
    <row r="84">
      <c r="A84" s="44" t="n"/>
      <c r="B84" s="45" t="n"/>
      <c r="C84" s="45" t="n"/>
      <c r="D84" s="46" t="n"/>
      <c r="E84" s="45" t="n"/>
      <c r="F84" s="47" t="n"/>
      <c r="G84" s="48" t="n"/>
      <c r="H84" s="49" t="n"/>
      <c r="I84" s="45" t="n"/>
    </row>
    <row r="85">
      <c r="A85" s="17" t="n"/>
      <c r="B85" s="18" t="n"/>
      <c r="C85" s="18" t="n"/>
      <c r="D85" s="27" t="n"/>
      <c r="E85" s="18" t="n"/>
      <c r="F85" s="19" t="n"/>
      <c r="G85" s="19" t="n"/>
      <c r="H85" s="21" t="n"/>
      <c r="I85" s="18" t="n"/>
      <c r="J85" s="18" t="n"/>
    </row>
    <row r="86">
      <c r="A86" s="44" t="n"/>
      <c r="B86" s="45" t="n"/>
      <c r="C86" s="45" t="n"/>
      <c r="D86" s="46" t="n"/>
      <c r="E86" s="45" t="n"/>
      <c r="F86" s="47" t="n"/>
      <c r="G86" s="48" t="n"/>
      <c r="H86" s="49" t="n"/>
      <c r="I86" s="45" t="n"/>
    </row>
    <row r="87">
      <c r="A87" s="17" t="n"/>
      <c r="B87" s="18" t="n"/>
      <c r="C87" s="18" t="n"/>
      <c r="D87" s="27" t="n"/>
      <c r="E87" s="18" t="n"/>
      <c r="F87" s="19" t="n"/>
      <c r="G87" s="19" t="n"/>
      <c r="H87" s="21" t="n"/>
      <c r="I87" s="18" t="n"/>
      <c r="J87" s="18" t="n"/>
    </row>
    <row r="88">
      <c r="A88" s="44" t="n"/>
      <c r="B88" s="45" t="n"/>
      <c r="C88" s="45" t="n"/>
      <c r="D88" s="46" t="n"/>
      <c r="E88" s="45" t="n"/>
      <c r="F88" s="47" t="n"/>
      <c r="G88" s="48" t="n"/>
      <c r="H88" s="49" t="n"/>
      <c r="I88" s="45" t="n"/>
    </row>
    <row r="89">
      <c r="A89" s="17" t="n"/>
      <c r="B89" s="18" t="n"/>
      <c r="C89" s="18" t="n"/>
      <c r="D89" s="27" t="n"/>
      <c r="E89" s="18" t="n"/>
      <c r="F89" s="19" t="n"/>
      <c r="G89" s="19" t="n"/>
      <c r="H89" s="21" t="n"/>
      <c r="I89" s="18" t="n"/>
      <c r="J89" s="18" t="n"/>
    </row>
    <row r="90">
      <c r="A90" s="44" t="n"/>
      <c r="B90" s="45" t="n"/>
      <c r="C90" s="45" t="n"/>
      <c r="D90" s="46" t="n"/>
      <c r="E90" s="45" t="n"/>
      <c r="F90" s="47" t="n"/>
      <c r="G90" s="48" t="n"/>
      <c r="H90" s="49" t="n"/>
      <c r="I90" s="45" t="n"/>
    </row>
    <row r="91">
      <c r="A91" s="17" t="n"/>
      <c r="B91" s="18" t="n"/>
      <c r="C91" s="18" t="n"/>
      <c r="D91" s="27" t="n"/>
      <c r="E91" s="18" t="n"/>
      <c r="F91" s="19" t="n"/>
      <c r="G91" s="19" t="n"/>
      <c r="H91" s="21" t="n"/>
      <c r="I91" s="18" t="n"/>
      <c r="J91" s="18" t="n"/>
    </row>
    <row r="92">
      <c r="A92" s="44" t="n"/>
      <c r="B92" s="45" t="n"/>
      <c r="C92" s="45" t="n"/>
      <c r="D92" s="46" t="n"/>
      <c r="E92" s="45" t="n"/>
      <c r="F92" s="47" t="n"/>
      <c r="G92" s="48" t="n"/>
      <c r="H92" s="49" t="n"/>
      <c r="I92" s="45" t="n"/>
    </row>
    <row r="93">
      <c r="A93" s="17" t="n"/>
      <c r="B93" s="18" t="n"/>
      <c r="C93" s="18" t="n"/>
      <c r="D93" s="27" t="n"/>
      <c r="E93" s="18" t="n"/>
      <c r="F93" s="19" t="n"/>
      <c r="G93" s="19" t="n"/>
      <c r="H93" s="21" t="n"/>
      <c r="I93" s="18" t="n"/>
      <c r="J93" s="18" t="n"/>
    </row>
    <row r="94">
      <c r="A94" s="44" t="n"/>
      <c r="B94" s="45" t="n"/>
      <c r="C94" s="45" t="n"/>
      <c r="D94" s="46" t="n"/>
      <c r="E94" s="45" t="n"/>
      <c r="F94" s="47" t="n"/>
      <c r="G94" s="48" t="n"/>
      <c r="H94" s="49" t="n"/>
      <c r="I94" s="45" t="n"/>
    </row>
    <row r="95">
      <c r="A95" s="17" t="n"/>
      <c r="B95" s="18" t="n"/>
      <c r="C95" s="18" t="n"/>
      <c r="D95" s="27" t="n"/>
      <c r="E95" s="18" t="n"/>
      <c r="F95" s="19" t="n"/>
      <c r="G95" s="19" t="n"/>
      <c r="H95" s="21" t="n"/>
      <c r="I95" s="18" t="n"/>
      <c r="J95" s="18" t="n"/>
    </row>
    <row r="96">
      <c r="A96" s="44" t="n"/>
      <c r="B96" s="45" t="n"/>
      <c r="C96" s="45" t="n"/>
      <c r="D96" s="46" t="n"/>
      <c r="E96" s="45" t="n"/>
      <c r="F96" s="47" t="n"/>
      <c r="G96" s="48" t="n"/>
      <c r="H96" s="49" t="n"/>
      <c r="I96" s="45" t="n"/>
    </row>
    <row r="97">
      <c r="A97" s="17" t="n"/>
      <c r="B97" s="18" t="n"/>
      <c r="C97" s="18" t="n"/>
      <c r="D97" s="27" t="n"/>
      <c r="E97" s="18" t="n"/>
      <c r="F97" s="19" t="n"/>
      <c r="G97" s="19" t="n"/>
      <c r="H97" s="21" t="n"/>
      <c r="I97" s="18" t="n"/>
      <c r="J97" s="18" t="n"/>
    </row>
    <row r="98">
      <c r="A98" s="44" t="n"/>
      <c r="B98" s="45" t="n"/>
      <c r="C98" s="45" t="n"/>
      <c r="D98" s="46" t="n"/>
      <c r="E98" s="45" t="n"/>
      <c r="F98" s="47" t="n"/>
      <c r="G98" s="48" t="n"/>
      <c r="H98" s="49" t="n"/>
      <c r="I98" s="45" t="n"/>
    </row>
    <row r="99">
      <c r="A99" s="17" t="n"/>
      <c r="B99" s="18" t="n"/>
      <c r="C99" s="18" t="n"/>
      <c r="D99" s="27" t="n"/>
      <c r="E99" s="18" t="n"/>
      <c r="F99" s="19" t="n"/>
      <c r="G99" s="19" t="n"/>
      <c r="H99" s="21" t="n"/>
      <c r="I99" s="18" t="n"/>
      <c r="J99" s="18" t="n"/>
    </row>
    <row r="100">
      <c r="A100" s="44" t="n"/>
      <c r="B100" s="45" t="n"/>
      <c r="C100" s="45" t="n"/>
      <c r="D100" s="46" t="n"/>
      <c r="E100" s="45" t="n"/>
      <c r="F100" s="47" t="n"/>
      <c r="G100" s="48" t="n"/>
      <c r="H100" s="49" t="n"/>
      <c r="I100" s="45" t="n"/>
    </row>
    <row r="101">
      <c r="A101" s="17" t="n"/>
      <c r="B101" s="18" t="n"/>
      <c r="C101" s="18" t="n"/>
      <c r="D101" s="27" t="n"/>
      <c r="E101" s="18" t="n"/>
      <c r="F101" s="19" t="n"/>
      <c r="G101" s="19" t="n"/>
      <c r="H101" s="21" t="n"/>
      <c r="I101" s="18" t="n"/>
      <c r="J101" s="18" t="n"/>
    </row>
    <row r="102">
      <c r="A102" s="44" t="n"/>
      <c r="B102" s="45" t="n"/>
      <c r="C102" s="45" t="n"/>
      <c r="D102" s="46" t="n"/>
      <c r="E102" s="45" t="n"/>
      <c r="F102" s="47" t="n"/>
      <c r="G102" s="48" t="n"/>
      <c r="H102" s="49" t="n"/>
      <c r="I102" s="45" t="n"/>
    </row>
    <row r="103">
      <c r="A103" s="17" t="n"/>
      <c r="B103" s="18" t="n"/>
      <c r="C103" s="18" t="n"/>
      <c r="D103" s="27" t="n"/>
      <c r="E103" s="18" t="n"/>
      <c r="F103" s="19" t="n"/>
      <c r="G103" s="19" t="n"/>
      <c r="H103" s="21" t="n"/>
      <c r="I103" s="18" t="n"/>
      <c r="J103" s="18" t="n"/>
    </row>
    <row r="104">
      <c r="A104" s="44" t="n"/>
      <c r="B104" s="45" t="n"/>
      <c r="C104" s="45" t="n"/>
      <c r="D104" s="46" t="n"/>
      <c r="E104" s="45" t="n"/>
      <c r="F104" s="47" t="n"/>
      <c r="G104" s="48" t="n"/>
      <c r="H104" s="49" t="n"/>
      <c r="I104" s="45" t="n"/>
    </row>
    <row r="105">
      <c r="A105" s="17" t="n"/>
      <c r="B105" s="18" t="n"/>
      <c r="C105" s="18" t="n"/>
      <c r="D105" s="27" t="n"/>
      <c r="E105" s="18" t="n"/>
      <c r="F105" s="19" t="n"/>
      <c r="G105" s="19" t="n"/>
      <c r="H105" s="21" t="n"/>
      <c r="I105" s="18" t="n"/>
      <c r="J105" s="18" t="n"/>
    </row>
    <row r="106">
      <c r="A106" s="44" t="n"/>
      <c r="B106" s="45" t="n"/>
      <c r="C106" s="45" t="n"/>
      <c r="D106" s="46" t="n"/>
      <c r="E106" s="45" t="n"/>
      <c r="F106" s="47" t="n"/>
      <c r="G106" s="48" t="n"/>
      <c r="H106" s="49" t="n"/>
      <c r="I106" s="45" t="n"/>
    </row>
    <row r="107">
      <c r="A107" s="17" t="n"/>
      <c r="B107" s="18" t="n"/>
      <c r="C107" s="18" t="n"/>
      <c r="D107" s="27" t="n"/>
      <c r="E107" s="18" t="n"/>
      <c r="F107" s="19" t="n"/>
      <c r="G107" s="19" t="n"/>
      <c r="H107" s="21" t="n"/>
      <c r="I107" s="18" t="n"/>
      <c r="J107" s="18" t="n"/>
    </row>
    <row r="108">
      <c r="A108" s="44" t="n"/>
      <c r="B108" s="45" t="n"/>
      <c r="C108" s="45" t="n"/>
      <c r="D108" s="46" t="n"/>
      <c r="E108" s="45" t="n"/>
      <c r="F108" s="47" t="n"/>
      <c r="G108" s="48" t="n"/>
      <c r="H108" s="49" t="n"/>
      <c r="I108" s="45" t="n"/>
    </row>
    <row r="109">
      <c r="A109" s="17" t="n"/>
      <c r="B109" s="18" t="n"/>
      <c r="C109" s="18" t="n"/>
      <c r="D109" s="27" t="n"/>
      <c r="E109" s="18" t="n"/>
      <c r="F109" s="19" t="n"/>
      <c r="G109" s="19" t="n"/>
      <c r="H109" s="21" t="n"/>
      <c r="I109" s="18" t="n"/>
      <c r="J109" s="18" t="n"/>
    </row>
    <row r="110">
      <c r="A110" s="44" t="n"/>
      <c r="B110" s="45" t="n"/>
      <c r="C110" s="45" t="n"/>
      <c r="D110" s="46" t="n"/>
      <c r="E110" s="45" t="n"/>
      <c r="F110" s="47" t="n"/>
      <c r="G110" s="48" t="n"/>
      <c r="H110" s="49" t="n"/>
      <c r="I110" s="45" t="n"/>
    </row>
    <row r="111">
      <c r="A111" s="17" t="n"/>
      <c r="B111" s="18" t="n"/>
      <c r="C111" s="18" t="n"/>
      <c r="D111" s="27" t="n"/>
      <c r="E111" s="18" t="n"/>
      <c r="F111" s="19" t="n"/>
      <c r="G111" s="19" t="n"/>
      <c r="H111" s="21" t="n"/>
      <c r="I111" s="18" t="n"/>
      <c r="J111" s="18" t="n"/>
    </row>
    <row r="112">
      <c r="A112" s="44" t="n"/>
      <c r="B112" s="45" t="n"/>
      <c r="C112" s="45" t="n"/>
      <c r="D112" s="46" t="n"/>
      <c r="E112" s="45" t="n"/>
      <c r="F112" s="47" t="n"/>
      <c r="G112" s="48" t="n"/>
      <c r="H112" s="49" t="n"/>
      <c r="I112" s="45" t="n"/>
    </row>
    <row r="113">
      <c r="A113" s="17" t="n"/>
      <c r="B113" s="18" t="n"/>
      <c r="C113" s="18" t="n"/>
      <c r="D113" s="27" t="n"/>
      <c r="E113" s="18" t="n"/>
      <c r="F113" s="19" t="n"/>
      <c r="G113" s="19" t="n"/>
      <c r="H113" s="21" t="n"/>
      <c r="I113" s="18" t="n"/>
      <c r="J113" s="18" t="n"/>
    </row>
    <row r="114">
      <c r="A114" s="44" t="n"/>
      <c r="B114" s="45" t="n"/>
      <c r="C114" s="45" t="n"/>
      <c r="D114" s="46" t="n"/>
      <c r="E114" s="45" t="n"/>
      <c r="F114" s="47" t="n"/>
      <c r="G114" s="48" t="n"/>
      <c r="H114" s="49" t="n"/>
      <c r="I114" s="45" t="n"/>
    </row>
    <row r="115">
      <c r="A115" s="17" t="n"/>
      <c r="B115" s="18" t="n"/>
      <c r="C115" s="18" t="n"/>
      <c r="D115" s="27" t="n"/>
      <c r="E115" s="18" t="n"/>
      <c r="F115" s="19" t="n"/>
      <c r="G115" s="19" t="n"/>
      <c r="H115" s="21" t="n"/>
      <c r="I115" s="18" t="n"/>
      <c r="J115" s="18" t="n"/>
    </row>
    <row r="116">
      <c r="A116" s="44" t="n"/>
      <c r="B116" s="45" t="n"/>
      <c r="C116" s="45" t="n"/>
      <c r="D116" s="46" t="n"/>
      <c r="E116" s="45" t="n"/>
      <c r="F116" s="47" t="n"/>
      <c r="G116" s="48" t="n"/>
      <c r="H116" s="49" t="n"/>
      <c r="I116" s="45" t="n"/>
    </row>
    <row r="117">
      <c r="A117" s="17" t="n"/>
      <c r="B117" s="18" t="n"/>
      <c r="C117" s="18" t="n"/>
      <c r="D117" s="27" t="n"/>
      <c r="E117" s="18" t="n"/>
      <c r="F117" s="19" t="n"/>
      <c r="G117" s="19" t="n"/>
      <c r="H117" s="21" t="n"/>
      <c r="I117" s="18" t="n"/>
      <c r="J117" s="18" t="n"/>
    </row>
    <row r="118">
      <c r="A118" s="44" t="n"/>
      <c r="B118" s="45" t="n"/>
      <c r="C118" s="45" t="n"/>
      <c r="D118" s="46" t="n"/>
      <c r="E118" s="45" t="n"/>
      <c r="F118" s="47" t="n"/>
      <c r="G118" s="48" t="n"/>
      <c r="H118" s="49" t="n"/>
      <c r="I118" s="45" t="n"/>
    </row>
    <row r="119">
      <c r="A119" s="17" t="n"/>
      <c r="B119" s="18" t="n"/>
      <c r="C119" s="18" t="n"/>
      <c r="D119" s="27" t="n"/>
      <c r="E119" s="18" t="n"/>
      <c r="F119" s="19" t="n"/>
      <c r="G119" s="19" t="n"/>
      <c r="H119" s="21" t="n"/>
      <c r="I119" s="18" t="n"/>
      <c r="J119" s="18" t="n"/>
    </row>
    <row r="120">
      <c r="A120" s="44" t="n"/>
      <c r="B120" s="45" t="n"/>
      <c r="C120" s="45" t="n"/>
      <c r="D120" s="46" t="n"/>
      <c r="E120" s="45" t="n"/>
      <c r="F120" s="47" t="n"/>
      <c r="G120" s="48" t="n"/>
      <c r="H120" s="49" t="n"/>
      <c r="I120" s="45" t="n"/>
    </row>
    <row r="121">
      <c r="A121" s="17" t="n"/>
      <c r="B121" s="18" t="n"/>
      <c r="C121" s="18" t="n"/>
      <c r="D121" s="27" t="n"/>
      <c r="E121" s="18" t="n"/>
      <c r="F121" s="19" t="n"/>
      <c r="G121" s="19" t="n"/>
      <c r="H121" s="21" t="n"/>
      <c r="I121" s="18" t="n"/>
      <c r="J121" s="18" t="n"/>
    </row>
    <row r="122">
      <c r="A122" s="44" t="n"/>
      <c r="B122" s="45" t="n"/>
      <c r="C122" s="45" t="n"/>
      <c r="D122" s="46" t="n"/>
      <c r="E122" s="45" t="n"/>
      <c r="F122" s="47" t="n"/>
      <c r="G122" s="48" t="n"/>
      <c r="H122" s="49" t="n"/>
      <c r="I122" s="45" t="n"/>
    </row>
    <row r="123">
      <c r="A123" s="17" t="n"/>
      <c r="B123" s="18" t="n"/>
      <c r="C123" s="18" t="n"/>
      <c r="D123" s="27" t="n"/>
      <c r="E123" s="18" t="n"/>
      <c r="F123" s="19" t="n"/>
      <c r="G123" s="19" t="n"/>
      <c r="H123" s="21" t="n"/>
      <c r="I123" s="18" t="n"/>
      <c r="J123" s="18" t="n"/>
    </row>
    <row r="124">
      <c r="A124" s="44" t="n"/>
      <c r="B124" s="45" t="n"/>
      <c r="C124" s="45" t="n"/>
      <c r="D124" s="46" t="n"/>
      <c r="E124" s="45" t="n"/>
      <c r="F124" s="47" t="n"/>
      <c r="G124" s="48" t="n"/>
      <c r="H124" s="49" t="n"/>
      <c r="I124" s="45" t="n"/>
    </row>
    <row r="125">
      <c r="A125" s="17" t="n"/>
      <c r="B125" s="18" t="n"/>
      <c r="C125" s="18" t="n"/>
      <c r="D125" s="27" t="n"/>
      <c r="E125" s="18" t="n"/>
      <c r="F125" s="19" t="n"/>
      <c r="G125" s="19" t="n"/>
      <c r="H125" s="21" t="n"/>
      <c r="I125" s="18" t="n"/>
      <c r="J125" s="18" t="n"/>
    </row>
    <row r="126">
      <c r="A126" s="44" t="n"/>
      <c r="B126" s="45" t="n"/>
      <c r="C126" s="45" t="n"/>
      <c r="D126" s="46" t="n"/>
      <c r="E126" s="45" t="n"/>
      <c r="F126" s="47" t="n"/>
      <c r="G126" s="48" t="n"/>
      <c r="H126" s="49" t="n"/>
      <c r="I126" s="45" t="n"/>
    </row>
    <row r="127">
      <c r="A127" s="17" t="n"/>
      <c r="B127" s="18" t="n"/>
      <c r="C127" s="18" t="n"/>
      <c r="D127" s="27" t="n"/>
      <c r="E127" s="18" t="n"/>
      <c r="F127" s="19" t="n"/>
      <c r="G127" s="19" t="n"/>
      <c r="H127" s="21" t="n"/>
      <c r="I127" s="18" t="n"/>
      <c r="J127" s="18" t="n"/>
    </row>
    <row r="128">
      <c r="A128" s="44" t="n"/>
      <c r="B128" s="45" t="n"/>
      <c r="C128" s="45" t="n"/>
      <c r="D128" s="46" t="n"/>
      <c r="E128" s="45" t="n"/>
      <c r="F128" s="47" t="n"/>
      <c r="G128" s="48" t="n"/>
      <c r="H128" s="49" t="n"/>
      <c r="I128" s="45" t="n"/>
    </row>
    <row r="129">
      <c r="A129" s="17" t="n"/>
      <c r="B129" s="18" t="n"/>
      <c r="C129" s="18" t="n"/>
      <c r="D129" s="27" t="n"/>
      <c r="E129" s="18" t="n"/>
      <c r="F129" s="19" t="n"/>
      <c r="G129" s="19" t="n"/>
      <c r="H129" s="21" t="n"/>
      <c r="I129" s="18" t="n"/>
      <c r="J129" s="18" t="n"/>
    </row>
    <row r="130">
      <c r="A130" s="44" t="n"/>
      <c r="B130" s="45" t="n"/>
      <c r="C130" s="45" t="n"/>
      <c r="D130" s="46" t="n"/>
      <c r="E130" s="45" t="n"/>
      <c r="F130" s="47" t="n"/>
      <c r="G130" s="48" t="n"/>
      <c r="H130" s="49" t="n"/>
      <c r="I130" s="45" t="n"/>
    </row>
    <row r="131">
      <c r="A131" s="17" t="n"/>
      <c r="B131" s="18" t="n"/>
      <c r="C131" s="18" t="n"/>
      <c r="D131" s="27" t="n"/>
      <c r="E131" s="18" t="n"/>
      <c r="F131" s="19" t="n"/>
      <c r="G131" s="19" t="n"/>
      <c r="H131" s="21" t="n"/>
      <c r="I131" s="18" t="n"/>
      <c r="J131" s="18" t="n"/>
    </row>
    <row r="132">
      <c r="A132" s="44" t="n"/>
      <c r="B132" s="45" t="n"/>
      <c r="C132" s="45" t="n"/>
      <c r="D132" s="46" t="n"/>
      <c r="E132" s="45" t="n"/>
      <c r="F132" s="47" t="n"/>
      <c r="G132" s="48" t="n"/>
      <c r="H132" s="49" t="n"/>
      <c r="I132" s="45" t="n"/>
    </row>
    <row r="133">
      <c r="A133" s="17" t="n"/>
      <c r="B133" s="18" t="n"/>
      <c r="C133" s="18" t="n"/>
      <c r="D133" s="27" t="n"/>
      <c r="E133" s="18" t="n"/>
      <c r="F133" s="19" t="n"/>
      <c r="G133" s="19" t="n"/>
      <c r="H133" s="21" t="n"/>
      <c r="I133" s="18" t="n"/>
      <c r="J133" s="18" t="n"/>
    </row>
    <row r="134">
      <c r="A134" s="44" t="n"/>
      <c r="B134" s="45" t="n"/>
      <c r="C134" s="45" t="n"/>
      <c r="D134" s="46" t="n"/>
      <c r="E134" s="45" t="n"/>
      <c r="F134" s="47" t="n"/>
      <c r="G134" s="48" t="n"/>
      <c r="H134" s="49" t="n"/>
      <c r="I134" s="45" t="n"/>
    </row>
    <row r="135">
      <c r="A135" s="17" t="n"/>
      <c r="B135" s="18" t="n"/>
      <c r="C135" s="18" t="n"/>
      <c r="D135" s="27" t="n"/>
      <c r="E135" s="18" t="n"/>
      <c r="F135" s="19" t="n"/>
      <c r="G135" s="19" t="n"/>
      <c r="H135" s="21" t="n"/>
      <c r="I135" s="18" t="n"/>
      <c r="J135" s="18" t="n"/>
    </row>
    <row r="136">
      <c r="A136" s="44" t="n"/>
      <c r="B136" s="45" t="n"/>
      <c r="C136" s="45" t="n"/>
      <c r="D136" s="46" t="n"/>
      <c r="E136" s="45" t="n"/>
      <c r="F136" s="47" t="n"/>
      <c r="G136" s="48" t="n"/>
      <c r="H136" s="49" t="n"/>
      <c r="I136" s="45" t="n"/>
    </row>
    <row r="137">
      <c r="A137" s="17" t="n"/>
      <c r="B137" s="18" t="n"/>
      <c r="C137" s="18" t="n"/>
      <c r="D137" s="27" t="n"/>
      <c r="E137" s="18" t="n"/>
      <c r="F137" s="19" t="n"/>
      <c r="G137" s="19" t="n"/>
      <c r="H137" s="21" t="n"/>
      <c r="I137" s="18" t="n"/>
      <c r="J137" s="18" t="n"/>
    </row>
    <row r="138">
      <c r="A138" s="44" t="n"/>
      <c r="B138" s="45" t="n"/>
      <c r="C138" s="45" t="n"/>
      <c r="D138" s="46" t="n"/>
      <c r="E138" s="45" t="n"/>
      <c r="F138" s="47" t="n"/>
      <c r="G138" s="48" t="n"/>
      <c r="H138" s="49" t="n"/>
      <c r="I138" s="45" t="n"/>
    </row>
    <row r="139">
      <c r="A139" s="17" t="n"/>
      <c r="B139" s="18" t="n"/>
      <c r="C139" s="18" t="n"/>
      <c r="D139" s="27" t="n"/>
      <c r="E139" s="18" t="n"/>
      <c r="F139" s="19" t="n"/>
      <c r="G139" s="19" t="n"/>
      <c r="H139" s="21" t="n"/>
      <c r="I139" s="18" t="n"/>
      <c r="J139" s="18" t="n"/>
    </row>
    <row r="140">
      <c r="A140" s="44" t="n"/>
      <c r="B140" s="45" t="n"/>
      <c r="C140" s="45" t="n"/>
      <c r="D140" s="46" t="n"/>
      <c r="E140" s="45" t="n"/>
      <c r="F140" s="47" t="n"/>
      <c r="G140" s="48" t="n"/>
      <c r="H140" s="49" t="n"/>
      <c r="I140" s="45" t="n"/>
    </row>
    <row r="141">
      <c r="A141" s="17" t="n"/>
      <c r="B141" s="18" t="n"/>
      <c r="C141" s="18" t="n"/>
      <c r="D141" s="27" t="n"/>
      <c r="E141" s="18" t="n"/>
      <c r="F141" s="19" t="n"/>
      <c r="G141" s="19" t="n"/>
      <c r="H141" s="21" t="n"/>
      <c r="I141" s="18" t="n"/>
      <c r="J141" s="18" t="n"/>
    </row>
    <row r="142">
      <c r="A142" s="44" t="n"/>
      <c r="B142" s="45" t="n"/>
      <c r="C142" s="45" t="n"/>
      <c r="D142" s="46" t="n"/>
      <c r="E142" s="45" t="n"/>
      <c r="F142" s="47" t="n"/>
      <c r="G142" s="48" t="n"/>
      <c r="H142" s="49" t="n"/>
      <c r="I142" s="45" t="n"/>
    </row>
    <row r="143">
      <c r="A143" s="17" t="n"/>
      <c r="B143" s="18" t="n"/>
      <c r="C143" s="18" t="n"/>
      <c r="D143" s="27" t="n"/>
      <c r="E143" s="18" t="n"/>
      <c r="F143" s="19" t="n"/>
      <c r="G143" s="19" t="n"/>
      <c r="H143" s="21" t="n"/>
      <c r="I143" s="18" t="n"/>
      <c r="J143" s="18" t="n"/>
    </row>
    <row r="144">
      <c r="A144" s="44" t="n"/>
      <c r="B144" s="45" t="n"/>
      <c r="C144" s="45" t="n"/>
      <c r="D144" s="46" t="n"/>
      <c r="E144" s="45" t="n"/>
      <c r="F144" s="47" t="n"/>
      <c r="G144" s="48" t="n"/>
      <c r="H144" s="49" t="n"/>
      <c r="I144" s="45" t="n"/>
    </row>
    <row r="145">
      <c r="A145" s="17" t="n"/>
      <c r="B145" s="18" t="n"/>
      <c r="C145" s="18" t="n"/>
      <c r="D145" s="27" t="n"/>
      <c r="E145" s="18" t="n"/>
      <c r="F145" s="19" t="n"/>
      <c r="G145" s="19" t="n"/>
      <c r="H145" s="21" t="n"/>
      <c r="I145" s="18" t="n"/>
      <c r="J145" s="18" t="n"/>
    </row>
    <row r="146">
      <c r="A146" s="44" t="n"/>
      <c r="B146" s="45" t="n"/>
      <c r="C146" s="45" t="n"/>
      <c r="D146" s="46" t="n"/>
      <c r="E146" s="45" t="n"/>
      <c r="F146" s="47" t="n"/>
      <c r="G146" s="48" t="n"/>
      <c r="H146" s="49" t="n"/>
      <c r="I146" s="45" t="n"/>
    </row>
    <row r="147">
      <c r="A147" s="17" t="n"/>
      <c r="B147" s="18" t="n"/>
      <c r="C147" s="18" t="n"/>
      <c r="D147" s="27" t="n"/>
      <c r="E147" s="18" t="n"/>
      <c r="F147" s="19" t="n"/>
      <c r="G147" s="19" t="n"/>
      <c r="H147" s="21" t="n"/>
      <c r="I147" s="18" t="n"/>
      <c r="J147" s="18" t="n"/>
    </row>
    <row r="148">
      <c r="A148" s="44" t="n"/>
      <c r="B148" s="45" t="n"/>
      <c r="C148" s="45" t="n"/>
      <c r="D148" s="46" t="n"/>
      <c r="E148" s="45" t="n"/>
      <c r="F148" s="47" t="n"/>
      <c r="G148" s="48" t="n"/>
      <c r="H148" s="49" t="n"/>
      <c r="I148" s="45" t="n"/>
    </row>
    <row r="149">
      <c r="A149" s="17" t="n"/>
      <c r="B149" s="18" t="n"/>
      <c r="C149" s="18" t="n"/>
      <c r="D149" s="27" t="n"/>
      <c r="E149" s="18" t="n"/>
      <c r="F149" s="19" t="n"/>
      <c r="G149" s="19" t="n"/>
      <c r="H149" s="21" t="n"/>
      <c r="I149" s="18" t="n"/>
      <c r="J149" s="18" t="n"/>
    </row>
    <row r="150">
      <c r="A150" s="44" t="n"/>
      <c r="B150" s="45" t="n"/>
      <c r="C150" s="45" t="n"/>
      <c r="D150" s="46" t="n"/>
      <c r="E150" s="45" t="n"/>
      <c r="F150" s="47" t="n"/>
      <c r="G150" s="48" t="n"/>
      <c r="H150" s="49" t="n"/>
      <c r="I150" s="45" t="n"/>
    </row>
    <row r="151">
      <c r="A151" s="17" t="n"/>
      <c r="B151" s="18" t="n"/>
      <c r="C151" s="18" t="n"/>
      <c r="D151" s="27" t="n"/>
      <c r="E151" s="18" t="n"/>
      <c r="F151" s="19" t="n"/>
      <c r="G151" s="19" t="n"/>
      <c r="H151" s="21" t="n"/>
      <c r="I151" s="18" t="n"/>
      <c r="J151" s="18" t="n"/>
    </row>
    <row r="152">
      <c r="A152" s="44" t="n"/>
      <c r="B152" s="45" t="n"/>
      <c r="C152" s="45" t="n"/>
      <c r="D152" s="46" t="n"/>
      <c r="E152" s="45" t="n"/>
      <c r="F152" s="47" t="n"/>
      <c r="G152" s="48" t="n"/>
      <c r="H152" s="49" t="n"/>
      <c r="I152" s="45" t="n"/>
    </row>
    <row r="153">
      <c r="A153" s="17" t="n"/>
      <c r="B153" s="18" t="n"/>
      <c r="C153" s="18" t="n"/>
      <c r="D153" s="27" t="n"/>
      <c r="E153" s="18" t="n"/>
      <c r="F153" s="19" t="n"/>
      <c r="G153" s="19" t="n"/>
      <c r="H153" s="21" t="n"/>
      <c r="I153" s="18" t="n"/>
      <c r="J153" s="18" t="n"/>
    </row>
    <row r="154">
      <c r="A154" s="44" t="n"/>
      <c r="B154" s="45" t="n"/>
      <c r="C154" s="45" t="n"/>
      <c r="D154" s="46" t="n"/>
      <c r="E154" s="45" t="n"/>
      <c r="F154" s="47" t="n"/>
      <c r="G154" s="48" t="n"/>
      <c r="H154" s="49" t="n"/>
      <c r="I154" s="45" t="n"/>
    </row>
    <row r="155">
      <c r="A155" s="17" t="n"/>
      <c r="B155" s="18" t="n"/>
      <c r="C155" s="18" t="n"/>
      <c r="D155" s="27" t="n"/>
      <c r="E155" s="18" t="n"/>
      <c r="F155" s="19" t="n"/>
      <c r="G155" s="19" t="n"/>
      <c r="H155" s="21" t="n"/>
      <c r="I155" s="18" t="n"/>
      <c r="J155" s="18" t="n"/>
    </row>
    <row r="156">
      <c r="A156" s="44" t="n"/>
      <c r="B156" s="45" t="n"/>
      <c r="C156" s="45" t="n"/>
      <c r="D156" s="46" t="n"/>
      <c r="E156" s="45" t="n"/>
      <c r="F156" s="47" t="n"/>
      <c r="G156" s="48" t="n"/>
      <c r="H156" s="49" t="n"/>
      <c r="I156" s="45" t="n"/>
    </row>
    <row r="157">
      <c r="A157" s="17" t="n"/>
      <c r="B157" s="18" t="n"/>
      <c r="C157" s="18" t="n"/>
      <c r="D157" s="27" t="n"/>
      <c r="E157" s="18" t="n"/>
      <c r="F157" s="19" t="n"/>
      <c r="G157" s="19" t="n"/>
      <c r="H157" s="21" t="n"/>
      <c r="I157" s="18" t="n"/>
      <c r="J157" s="18" t="n"/>
    </row>
    <row r="158">
      <c r="A158" s="44" t="n"/>
      <c r="B158" s="45" t="n"/>
      <c r="C158" s="45" t="n"/>
      <c r="D158" s="46" t="n"/>
      <c r="E158" s="45" t="n"/>
      <c r="F158" s="47" t="n"/>
      <c r="G158" s="48" t="n"/>
      <c r="H158" s="49" t="n"/>
      <c r="I158" s="45" t="n"/>
    </row>
    <row r="159">
      <c r="A159" s="17" t="n"/>
      <c r="B159" s="18" t="n"/>
      <c r="C159" s="18" t="n"/>
      <c r="D159" s="27" t="n"/>
      <c r="E159" s="18" t="n"/>
      <c r="F159" s="19" t="n"/>
      <c r="G159" s="19" t="n"/>
      <c r="H159" s="21" t="n"/>
      <c r="I159" s="18" t="n"/>
      <c r="J159" s="18" t="n"/>
    </row>
    <row r="160">
      <c r="A160" s="44" t="n"/>
      <c r="B160" s="45" t="n"/>
      <c r="C160" s="45" t="n"/>
      <c r="D160" s="46" t="n"/>
      <c r="E160" s="45" t="n"/>
      <c r="F160" s="47" t="n"/>
      <c r="G160" s="48" t="n"/>
      <c r="H160" s="49" t="n"/>
      <c r="I160" s="45" t="n"/>
    </row>
    <row r="161">
      <c r="A161" s="17" t="n"/>
      <c r="B161" s="18" t="n"/>
      <c r="C161" s="18" t="n"/>
      <c r="D161" s="27" t="n"/>
      <c r="E161" s="18" t="n"/>
      <c r="F161" s="19" t="n"/>
      <c r="G161" s="19" t="n"/>
      <c r="H161" s="21" t="n"/>
      <c r="I161" s="18" t="n"/>
      <c r="J161" s="18" t="n"/>
    </row>
    <row r="162">
      <c r="A162" s="44" t="n"/>
      <c r="B162" s="45" t="n"/>
      <c r="C162" s="45" t="n"/>
      <c r="D162" s="46" t="n"/>
      <c r="E162" s="45" t="n"/>
      <c r="F162" s="47" t="n"/>
      <c r="G162" s="48" t="n"/>
      <c r="H162" s="49" t="n"/>
      <c r="I162" s="45" t="n"/>
    </row>
    <row r="163">
      <c r="A163" s="17" t="n"/>
      <c r="B163" s="18" t="n"/>
      <c r="C163" s="18" t="n"/>
      <c r="D163" s="27" t="n"/>
      <c r="E163" s="18" t="n"/>
      <c r="F163" s="19" t="n"/>
      <c r="G163" s="19" t="n"/>
      <c r="H163" s="21" t="n"/>
      <c r="I163" s="18" t="n"/>
      <c r="J163" s="18" t="n"/>
    </row>
    <row r="164">
      <c r="A164" s="44" t="n"/>
      <c r="B164" s="45" t="n"/>
      <c r="C164" s="45" t="n"/>
      <c r="D164" s="46" t="n"/>
      <c r="E164" s="45" t="n"/>
      <c r="F164" s="47" t="n"/>
      <c r="G164" s="48" t="n"/>
      <c r="H164" s="49" t="n"/>
      <c r="I164" s="45" t="n"/>
    </row>
    <row r="165">
      <c r="A165" s="17" t="n"/>
      <c r="B165" s="18" t="n"/>
      <c r="C165" s="18" t="n"/>
      <c r="D165" s="27" t="n"/>
      <c r="E165" s="18" t="n"/>
      <c r="F165" s="19" t="n"/>
      <c r="G165" s="19" t="n"/>
      <c r="H165" s="21" t="n"/>
      <c r="I165" s="18" t="n"/>
      <c r="J165" s="18" t="n"/>
    </row>
    <row r="166">
      <c r="A166" s="44" t="n"/>
      <c r="B166" s="45" t="n"/>
      <c r="C166" s="45" t="n"/>
      <c r="D166" s="46" t="n"/>
      <c r="E166" s="45" t="n"/>
      <c r="F166" s="47" t="n"/>
      <c r="G166" s="48" t="n"/>
      <c r="H166" s="49" t="n"/>
      <c r="I166" s="45" t="n"/>
    </row>
    <row r="167">
      <c r="A167" s="17" t="n"/>
      <c r="B167" s="18" t="n"/>
      <c r="C167" s="18" t="n"/>
      <c r="D167" s="27" t="n"/>
      <c r="E167" s="18" t="n"/>
      <c r="F167" s="19" t="n"/>
      <c r="G167" s="19" t="n"/>
      <c r="H167" s="21" t="n"/>
      <c r="I167" s="18" t="n"/>
      <c r="J167" s="18" t="n"/>
    </row>
    <row r="168">
      <c r="A168" s="44" t="n"/>
      <c r="B168" s="45" t="n"/>
      <c r="C168" s="45" t="n"/>
      <c r="D168" s="46" t="n"/>
      <c r="E168" s="45" t="n"/>
      <c r="F168" s="47" t="n"/>
      <c r="G168" s="48" t="n"/>
      <c r="H168" s="49" t="n"/>
      <c r="I168" s="45" t="n"/>
    </row>
    <row r="169">
      <c r="A169" s="17" t="n"/>
      <c r="B169" s="18" t="n"/>
      <c r="C169" s="18" t="n"/>
      <c r="D169" s="27" t="n"/>
      <c r="E169" s="18" t="n"/>
      <c r="F169" s="19" t="n"/>
      <c r="G169" s="19" t="n"/>
      <c r="H169" s="21" t="n"/>
      <c r="I169" s="18" t="n"/>
      <c r="J169" s="18" t="n"/>
    </row>
    <row r="170">
      <c r="A170" s="44" t="n"/>
      <c r="B170" s="45" t="n"/>
      <c r="C170" s="45" t="n"/>
      <c r="D170" s="46" t="n"/>
      <c r="E170" s="45" t="n"/>
      <c r="F170" s="47" t="n"/>
      <c r="G170" s="48" t="n"/>
      <c r="H170" s="49" t="n"/>
      <c r="I170" s="45" t="n"/>
    </row>
    <row r="171">
      <c r="A171" s="17" t="n"/>
      <c r="B171" s="18" t="n"/>
      <c r="C171" s="18" t="n"/>
      <c r="D171" s="27" t="n"/>
      <c r="E171" s="18" t="n"/>
      <c r="F171" s="19" t="n"/>
      <c r="G171" s="19" t="n"/>
      <c r="H171" s="21" t="n"/>
      <c r="I171" s="18" t="n"/>
      <c r="J171" s="18" t="n"/>
    </row>
    <row r="172">
      <c r="A172" s="44" t="n"/>
      <c r="B172" s="45" t="n"/>
      <c r="C172" s="45" t="n"/>
      <c r="D172" s="46" t="n"/>
      <c r="E172" s="45" t="n"/>
      <c r="F172" s="47" t="n"/>
      <c r="G172" s="48" t="n"/>
      <c r="H172" s="49" t="n"/>
      <c r="I172" s="45" t="n"/>
    </row>
    <row r="173">
      <c r="A173" s="17" t="n"/>
      <c r="B173" s="18" t="n"/>
      <c r="C173" s="18" t="n"/>
      <c r="D173" s="27" t="n"/>
      <c r="E173" s="18" t="n"/>
      <c r="F173" s="19" t="n"/>
      <c r="G173" s="19" t="n"/>
      <c r="H173" s="21" t="n"/>
      <c r="I173" s="18" t="n"/>
      <c r="J173" s="18" t="n"/>
    </row>
    <row r="174">
      <c r="A174" s="44" t="n"/>
      <c r="B174" s="45" t="n"/>
      <c r="C174" s="45" t="n"/>
      <c r="D174" s="46" t="n"/>
      <c r="E174" s="45" t="n"/>
      <c r="F174" s="47" t="n"/>
      <c r="G174" s="48" t="n"/>
      <c r="H174" s="49" t="n"/>
      <c r="I174" s="45" t="n"/>
    </row>
    <row r="175">
      <c r="A175" s="17" t="n"/>
      <c r="B175" s="18" t="n"/>
      <c r="C175" s="18" t="n"/>
      <c r="D175" s="27" t="n"/>
      <c r="E175" s="18" t="n"/>
      <c r="F175" s="19" t="n"/>
      <c r="G175" s="19" t="n"/>
      <c r="H175" s="21" t="n"/>
      <c r="I175" s="18" t="n"/>
      <c r="J175" s="18" t="n"/>
    </row>
    <row r="176">
      <c r="A176" s="44" t="n"/>
      <c r="B176" s="45" t="n"/>
      <c r="C176" s="45" t="n"/>
      <c r="D176" s="46" t="n"/>
      <c r="E176" s="45" t="n"/>
      <c r="F176" s="47" t="n"/>
      <c r="G176" s="48" t="n"/>
      <c r="H176" s="49" t="n"/>
      <c r="I176" s="45" t="n"/>
    </row>
    <row r="177">
      <c r="A177" s="17" t="n"/>
      <c r="B177" s="18" t="n"/>
      <c r="C177" s="18" t="n"/>
      <c r="D177" s="27" t="n"/>
      <c r="E177" s="18" t="n"/>
      <c r="F177" s="19" t="n"/>
      <c r="G177" s="19" t="n"/>
      <c r="H177" s="21" t="n"/>
      <c r="I177" s="18" t="n"/>
      <c r="J177" s="18" t="n"/>
    </row>
    <row r="178">
      <c r="A178" s="44" t="n"/>
      <c r="B178" s="45" t="n"/>
      <c r="C178" s="45" t="n"/>
      <c r="D178" s="46" t="n"/>
      <c r="E178" s="45" t="n"/>
      <c r="F178" s="47" t="n"/>
      <c r="G178" s="48" t="n"/>
      <c r="H178" s="49" t="n"/>
      <c r="I178" s="45" t="n"/>
    </row>
    <row r="179">
      <c r="A179" s="17" t="n"/>
      <c r="B179" s="18" t="n"/>
      <c r="C179" s="18" t="n"/>
      <c r="D179" s="27" t="n"/>
      <c r="E179" s="18" t="n"/>
      <c r="F179" s="19" t="n"/>
      <c r="G179" s="19" t="n"/>
      <c r="H179" s="21" t="n"/>
      <c r="I179" s="18" t="n"/>
      <c r="J179" s="18" t="n"/>
    </row>
    <row r="180">
      <c r="A180" s="44" t="n"/>
      <c r="B180" s="45" t="n"/>
      <c r="C180" s="45" t="n"/>
      <c r="D180" s="46" t="n"/>
      <c r="E180" s="45" t="n"/>
      <c r="F180" s="47" t="n"/>
      <c r="G180" s="48" t="n"/>
      <c r="H180" s="49" t="n"/>
      <c r="I180" s="45" t="n"/>
    </row>
    <row r="181">
      <c r="A181" s="17" t="n"/>
      <c r="B181" s="18" t="n"/>
      <c r="C181" s="18" t="n"/>
      <c r="D181" s="27" t="n"/>
      <c r="E181" s="18" t="n"/>
      <c r="F181" s="19" t="n"/>
      <c r="G181" s="19" t="n"/>
      <c r="H181" s="21" t="n"/>
      <c r="I181" s="18" t="n"/>
      <c r="J181" s="18" t="n"/>
    </row>
    <row r="182">
      <c r="A182" s="44" t="n"/>
      <c r="B182" s="45" t="n"/>
      <c r="C182" s="45" t="n"/>
      <c r="D182" s="46" t="n"/>
      <c r="E182" s="45" t="n"/>
      <c r="F182" s="47" t="n"/>
      <c r="G182" s="48" t="n"/>
      <c r="H182" s="49" t="n"/>
      <c r="I182" s="45" t="n"/>
    </row>
    <row r="183">
      <c r="A183" s="17" t="n"/>
      <c r="B183" s="18" t="n"/>
      <c r="C183" s="18" t="n"/>
      <c r="D183" s="27" t="n"/>
      <c r="E183" s="18" t="n"/>
      <c r="F183" s="19" t="n"/>
      <c r="G183" s="19" t="n"/>
      <c r="H183" s="21" t="n"/>
      <c r="I183" s="18" t="n"/>
      <c r="J183" s="18" t="n"/>
    </row>
    <row r="184">
      <c r="A184" s="44" t="n"/>
      <c r="B184" s="45" t="n"/>
      <c r="C184" s="45" t="n"/>
      <c r="D184" s="46" t="n"/>
      <c r="E184" s="45" t="n"/>
      <c r="F184" s="47" t="n"/>
      <c r="G184" s="48" t="n"/>
      <c r="H184" s="49" t="n"/>
      <c r="I184" s="45" t="n"/>
    </row>
    <row r="185">
      <c r="A185" s="17" t="n"/>
      <c r="B185" s="18" t="n"/>
      <c r="C185" s="18" t="n"/>
      <c r="D185" s="27" t="n"/>
      <c r="E185" s="18" t="n"/>
      <c r="F185" s="19" t="n"/>
      <c r="G185" s="19" t="n"/>
      <c r="H185" s="21" t="n"/>
      <c r="I185" s="18" t="n"/>
      <c r="J185" s="18" t="n"/>
    </row>
    <row r="186">
      <c r="A186" s="44" t="n"/>
      <c r="B186" s="45" t="n"/>
      <c r="C186" s="45" t="n"/>
      <c r="D186" s="46" t="n"/>
      <c r="E186" s="45" t="n"/>
      <c r="F186" s="47" t="n"/>
      <c r="G186" s="48" t="n"/>
      <c r="H186" s="49" t="n"/>
      <c r="I186" s="45" t="n"/>
    </row>
    <row r="187">
      <c r="A187" s="17" t="n"/>
      <c r="B187" s="18" t="n"/>
      <c r="C187" s="18" t="n"/>
      <c r="D187" s="27" t="n"/>
      <c r="E187" s="18" t="n"/>
      <c r="F187" s="19" t="n"/>
      <c r="G187" s="19" t="n"/>
      <c r="H187" s="21" t="n"/>
      <c r="I187" s="18" t="n"/>
      <c r="J187" s="18" t="n"/>
    </row>
    <row r="188">
      <c r="A188" s="44" t="n"/>
      <c r="B188" s="45" t="n"/>
      <c r="C188" s="45" t="n"/>
      <c r="D188" s="46" t="n"/>
      <c r="E188" s="45" t="n"/>
      <c r="F188" s="47" t="n"/>
      <c r="G188" s="48" t="n"/>
      <c r="H188" s="49" t="n"/>
      <c r="I188" s="45" t="n"/>
    </row>
    <row r="189">
      <c r="A189" s="17" t="n"/>
      <c r="B189" s="18" t="n"/>
      <c r="C189" s="18" t="n"/>
      <c r="D189" s="27" t="n"/>
      <c r="E189" s="18" t="n"/>
      <c r="F189" s="19" t="n"/>
      <c r="G189" s="19" t="n"/>
      <c r="H189" s="21" t="n"/>
      <c r="I189" s="18" t="n"/>
      <c r="J189" s="18" t="n"/>
    </row>
    <row r="190">
      <c r="A190" s="44" t="n"/>
      <c r="B190" s="45" t="n"/>
      <c r="C190" s="45" t="n"/>
      <c r="D190" s="46" t="n"/>
      <c r="E190" s="45" t="n"/>
      <c r="F190" s="47" t="n"/>
      <c r="G190" s="48" t="n"/>
      <c r="H190" s="49" t="n"/>
      <c r="I190" s="45" t="n"/>
    </row>
    <row r="191">
      <c r="A191" s="17" t="n"/>
      <c r="B191" s="18" t="n"/>
      <c r="C191" s="18" t="n"/>
      <c r="D191" s="27" t="n"/>
      <c r="E191" s="18" t="n"/>
      <c r="F191" s="19" t="n"/>
      <c r="G191" s="19" t="n"/>
      <c r="H191" s="21" t="n"/>
      <c r="I191" s="18" t="n"/>
      <c r="J191" s="18" t="n"/>
    </row>
    <row r="192">
      <c r="A192" s="44" t="n"/>
      <c r="B192" s="45" t="n"/>
      <c r="C192" s="45" t="n"/>
      <c r="D192" s="46" t="n"/>
      <c r="E192" s="45" t="n"/>
      <c r="F192" s="47" t="n"/>
      <c r="G192" s="48" t="n"/>
      <c r="H192" s="49" t="n"/>
      <c r="I192" s="45" t="n"/>
    </row>
    <row r="193">
      <c r="A193" s="17" t="n"/>
      <c r="B193" s="18" t="n"/>
      <c r="C193" s="18" t="n"/>
      <c r="D193" s="27" t="n"/>
      <c r="E193" s="18" t="n"/>
      <c r="F193" s="19" t="n"/>
      <c r="G193" s="19" t="n"/>
      <c r="H193" s="21" t="n"/>
      <c r="I193" s="18" t="n"/>
      <c r="J193" s="18" t="n"/>
    </row>
    <row r="194">
      <c r="A194" s="44" t="n"/>
      <c r="B194" s="45" t="n"/>
      <c r="C194" s="45" t="n"/>
      <c r="D194" s="46" t="n"/>
      <c r="E194" s="45" t="n"/>
      <c r="F194" s="47" t="n"/>
      <c r="G194" s="48" t="n"/>
      <c r="H194" s="49" t="n"/>
      <c r="I194" s="45" t="n"/>
    </row>
    <row r="195">
      <c r="A195" s="17" t="n"/>
      <c r="B195" s="18" t="n"/>
      <c r="C195" s="18" t="n"/>
      <c r="D195" s="27" t="n"/>
      <c r="E195" s="18" t="n"/>
      <c r="F195" s="19" t="n"/>
      <c r="G195" s="19" t="n"/>
      <c r="H195" s="21" t="n"/>
      <c r="I195" s="18" t="n"/>
      <c r="J195" s="18" t="n"/>
    </row>
    <row r="196">
      <c r="A196" s="44" t="n"/>
      <c r="B196" s="45" t="n"/>
      <c r="C196" s="45" t="n"/>
      <c r="D196" s="46" t="n"/>
      <c r="E196" s="45" t="n"/>
      <c r="F196" s="47" t="n"/>
      <c r="G196" s="48" t="n"/>
      <c r="H196" s="49" t="n"/>
      <c r="I196" s="45" t="n"/>
    </row>
    <row r="197">
      <c r="A197" s="17" t="n"/>
      <c r="B197" s="18" t="n"/>
      <c r="C197" s="18" t="n"/>
      <c r="D197" s="27" t="n"/>
      <c r="E197" s="18" t="n"/>
      <c r="F197" s="19" t="n"/>
      <c r="G197" s="19" t="n"/>
      <c r="H197" s="21" t="n"/>
      <c r="I197" s="18" t="n"/>
      <c r="J197" s="18" t="n"/>
    </row>
    <row r="198">
      <c r="A198" s="44" t="n"/>
      <c r="B198" s="45" t="n"/>
      <c r="C198" s="45" t="n"/>
      <c r="D198" s="46" t="n"/>
      <c r="E198" s="45" t="n"/>
      <c r="F198" s="47" t="n"/>
      <c r="G198" s="48" t="n"/>
      <c r="H198" s="49" t="n"/>
      <c r="I198" s="45" t="n"/>
    </row>
    <row r="199">
      <c r="A199" s="17" t="n"/>
      <c r="B199" s="18" t="n"/>
      <c r="C199" s="18" t="n"/>
      <c r="D199" s="27" t="n"/>
      <c r="E199" s="18" t="n"/>
      <c r="F199" s="19" t="n"/>
      <c r="G199" s="19" t="n"/>
      <c r="H199" s="21" t="n"/>
      <c r="I199" s="18" t="n"/>
      <c r="J199" s="18" t="n"/>
    </row>
    <row r="200">
      <c r="A200" s="44" t="n"/>
      <c r="B200" s="45" t="n"/>
      <c r="C200" s="45" t="n"/>
      <c r="D200" s="46" t="n"/>
      <c r="E200" s="45" t="n"/>
      <c r="F200" s="47" t="n"/>
      <c r="G200" s="48" t="n"/>
      <c r="H200" s="49" t="n"/>
      <c r="I200" s="45" t="n"/>
    </row>
    <row r="201">
      <c r="A201" s="17" t="n"/>
      <c r="B201" s="18" t="n"/>
      <c r="C201" s="18" t="n"/>
      <c r="D201" s="27" t="n"/>
      <c r="E201" s="18" t="n"/>
      <c r="F201" s="19" t="n"/>
      <c r="G201" s="19" t="n"/>
      <c r="H201" s="21" t="n"/>
      <c r="I201" s="18" t="n"/>
      <c r="J201" s="18" t="n"/>
    </row>
    <row r="202">
      <c r="A202" s="44" t="n"/>
      <c r="B202" s="45" t="n"/>
      <c r="C202" s="45" t="n"/>
      <c r="D202" s="46" t="n"/>
      <c r="E202" s="45" t="n"/>
      <c r="F202" s="47" t="n"/>
      <c r="G202" s="48" t="n"/>
      <c r="H202" s="49" t="n"/>
      <c r="I202" s="45" t="n"/>
    </row>
    <row r="203">
      <c r="A203" s="17" t="n"/>
      <c r="B203" s="18" t="n"/>
      <c r="C203" s="18" t="n"/>
      <c r="D203" s="27" t="n"/>
      <c r="E203" s="18" t="n"/>
      <c r="F203" s="19" t="n"/>
      <c r="G203" s="19" t="n"/>
      <c r="H203" s="21" t="n"/>
      <c r="I203" s="18" t="n"/>
      <c r="J203" s="18" t="n"/>
    </row>
    <row r="204">
      <c r="A204" s="44" t="n"/>
      <c r="B204" s="45" t="n"/>
      <c r="C204" s="45" t="n"/>
      <c r="D204" s="46" t="n"/>
      <c r="E204" s="45" t="n"/>
      <c r="F204" s="47" t="n"/>
      <c r="G204" s="48" t="n"/>
      <c r="H204" s="49" t="n"/>
      <c r="I204" s="45" t="n"/>
    </row>
    <row r="205">
      <c r="A205" s="17" t="n"/>
      <c r="B205" s="18" t="n"/>
      <c r="C205" s="18" t="n"/>
      <c r="D205" s="27" t="n"/>
      <c r="E205" s="18" t="n"/>
      <c r="F205" s="19" t="n"/>
      <c r="G205" s="19" t="n"/>
      <c r="H205" s="21" t="n"/>
      <c r="I205" s="18" t="n"/>
      <c r="J205" s="18" t="n"/>
    </row>
    <row r="206">
      <c r="A206" s="44" t="n"/>
      <c r="B206" s="45" t="n"/>
      <c r="C206" s="45" t="n"/>
      <c r="D206" s="46" t="n"/>
      <c r="E206" s="45" t="n"/>
      <c r="F206" s="47" t="n"/>
      <c r="G206" s="48" t="n"/>
      <c r="H206" s="49" t="n"/>
      <c r="I206" s="45" t="n"/>
    </row>
    <row r="207">
      <c r="A207" s="17" t="n"/>
      <c r="B207" s="18" t="n"/>
      <c r="C207" s="18" t="n"/>
      <c r="D207" s="27" t="n"/>
      <c r="E207" s="18" t="n"/>
      <c r="F207" s="19" t="n"/>
      <c r="G207" s="19" t="n"/>
      <c r="H207" s="21" t="n"/>
      <c r="I207" s="18" t="n"/>
      <c r="J207" s="18" t="n"/>
    </row>
    <row r="208">
      <c r="A208" s="44" t="n"/>
      <c r="B208" s="45" t="n"/>
      <c r="C208" s="45" t="n"/>
      <c r="D208" s="46" t="n"/>
      <c r="E208" s="45" t="n"/>
      <c r="F208" s="47" t="n"/>
      <c r="G208" s="48" t="n"/>
      <c r="H208" s="49" t="n"/>
      <c r="I208" s="45" t="n"/>
    </row>
    <row r="209">
      <c r="A209" s="17" t="n"/>
      <c r="B209" s="18" t="n"/>
      <c r="C209" s="18" t="n"/>
      <c r="D209" s="27" t="n"/>
      <c r="E209" s="18" t="n"/>
      <c r="F209" s="19" t="n"/>
      <c r="G209" s="19" t="n"/>
      <c r="H209" s="21" t="n"/>
      <c r="I209" s="18" t="n"/>
      <c r="J209" s="18" t="n"/>
    </row>
    <row r="210">
      <c r="A210" s="44" t="n"/>
      <c r="B210" s="45" t="n"/>
      <c r="C210" s="45" t="n"/>
      <c r="D210" s="46" t="n"/>
      <c r="E210" s="45" t="n"/>
      <c r="F210" s="47" t="n"/>
      <c r="G210" s="48" t="n"/>
      <c r="H210" s="49" t="n"/>
      <c r="I210" s="45" t="n"/>
    </row>
    <row r="211">
      <c r="A211" s="17" t="n"/>
      <c r="B211" s="18" t="n"/>
      <c r="C211" s="18" t="n"/>
      <c r="D211" s="27" t="n"/>
      <c r="E211" s="18" t="n"/>
      <c r="F211" s="19" t="n"/>
      <c r="G211" s="19" t="n"/>
      <c r="H211" s="21" t="n"/>
      <c r="I211" s="18" t="n"/>
      <c r="J211" s="18" t="n"/>
    </row>
    <row r="212">
      <c r="A212" s="44" t="n"/>
      <c r="B212" s="45" t="n"/>
      <c r="C212" s="45" t="n"/>
      <c r="D212" s="46" t="n"/>
      <c r="E212" s="45" t="n"/>
      <c r="F212" s="47" t="n"/>
      <c r="G212" s="48" t="n"/>
      <c r="H212" s="49" t="n"/>
      <c r="I212" s="45" t="n"/>
    </row>
    <row r="213">
      <c r="A213" s="17" t="n"/>
      <c r="B213" s="18" t="n"/>
      <c r="C213" s="18" t="n"/>
      <c r="D213" s="27" t="n"/>
      <c r="E213" s="18" t="n"/>
      <c r="F213" s="19" t="n"/>
      <c r="G213" s="19" t="n"/>
      <c r="H213" s="21" t="n"/>
      <c r="I213" s="18" t="n"/>
      <c r="J213" s="18" t="n"/>
    </row>
    <row r="214">
      <c r="A214" s="44" t="n"/>
      <c r="B214" s="45" t="n"/>
      <c r="C214" s="45" t="n"/>
      <c r="D214" s="46" t="n"/>
      <c r="E214" s="45" t="n"/>
      <c r="F214" s="47" t="n"/>
      <c r="G214" s="48" t="n"/>
      <c r="H214" s="49" t="n"/>
      <c r="I214" s="45" t="n"/>
    </row>
    <row r="215">
      <c r="A215" s="17" t="n"/>
      <c r="B215" s="18" t="n"/>
      <c r="C215" s="18" t="n"/>
      <c r="D215" s="27" t="n"/>
      <c r="E215" s="18" t="n"/>
      <c r="F215" s="19" t="n"/>
      <c r="G215" s="19" t="n"/>
      <c r="H215" s="21" t="n"/>
      <c r="I215" s="18" t="n"/>
      <c r="J215" s="18" t="n"/>
    </row>
    <row r="216">
      <c r="A216" s="44" t="n"/>
      <c r="B216" s="45" t="n"/>
      <c r="C216" s="45" t="n"/>
      <c r="D216" s="46" t="n"/>
      <c r="E216" s="45" t="n"/>
      <c r="F216" s="47" t="n"/>
      <c r="G216" s="48" t="n"/>
      <c r="H216" s="49" t="n"/>
      <c r="I216" s="45" t="n"/>
    </row>
    <row r="217">
      <c r="A217" s="17" t="n"/>
      <c r="B217" s="18" t="n"/>
      <c r="C217" s="18" t="n"/>
      <c r="D217" s="27" t="n"/>
      <c r="E217" s="18" t="n"/>
      <c r="F217" s="19" t="n"/>
      <c r="G217" s="19" t="n"/>
      <c r="H217" s="21" t="n"/>
      <c r="I217" s="18" t="n"/>
      <c r="J217" s="18" t="n"/>
    </row>
    <row r="218">
      <c r="A218" s="44" t="n"/>
      <c r="B218" s="45" t="n"/>
      <c r="C218" s="45" t="n"/>
      <c r="D218" s="46" t="n"/>
      <c r="E218" s="45" t="n"/>
      <c r="F218" s="47" t="n"/>
      <c r="G218" s="48" t="n"/>
      <c r="H218" s="49" t="n"/>
      <c r="I218" s="45" t="n"/>
    </row>
    <row r="219">
      <c r="A219" s="17" t="n"/>
      <c r="B219" s="18" t="n"/>
      <c r="C219" s="18" t="n"/>
      <c r="D219" s="27" t="n"/>
      <c r="E219" s="18" t="n"/>
      <c r="F219" s="19" t="n"/>
      <c r="G219" s="19" t="n"/>
      <c r="H219" s="21" t="n"/>
      <c r="I219" s="18" t="n"/>
      <c r="J219" s="18" t="n"/>
    </row>
    <row r="220">
      <c r="A220" s="44" t="n"/>
      <c r="B220" s="45" t="n"/>
      <c r="C220" s="45" t="n"/>
      <c r="D220" s="46" t="n"/>
      <c r="E220" s="45" t="n"/>
      <c r="F220" s="47" t="n"/>
      <c r="G220" s="48" t="n"/>
      <c r="H220" s="49" t="n"/>
      <c r="I220" s="45" t="n"/>
    </row>
    <row r="221">
      <c r="A221" s="17" t="n"/>
      <c r="B221" s="18" t="n"/>
      <c r="C221" s="18" t="n"/>
      <c r="D221" s="27" t="n"/>
      <c r="E221" s="18" t="n"/>
      <c r="F221" s="19" t="n"/>
      <c r="G221" s="19" t="n"/>
      <c r="H221" s="21" t="n"/>
      <c r="I221" s="18" t="n"/>
      <c r="J221" s="18" t="n"/>
    </row>
    <row r="222">
      <c r="A222" s="44" t="n"/>
      <c r="B222" s="45" t="n"/>
      <c r="C222" s="45" t="n"/>
      <c r="D222" s="46" t="n"/>
      <c r="E222" s="45" t="n"/>
      <c r="F222" s="47" t="n"/>
      <c r="G222" s="48" t="n"/>
      <c r="H222" s="49" t="n"/>
      <c r="I222" s="45" t="n"/>
    </row>
    <row r="223">
      <c r="A223" s="17" t="n"/>
      <c r="B223" s="18" t="n"/>
      <c r="C223" s="18" t="n"/>
      <c r="D223" s="27" t="n"/>
      <c r="E223" s="18" t="n"/>
      <c r="F223" s="19" t="n"/>
      <c r="G223" s="19" t="n"/>
      <c r="H223" s="21" t="n"/>
      <c r="I223" s="18" t="n"/>
      <c r="J223" s="18" t="n"/>
    </row>
    <row r="224">
      <c r="A224" s="44" t="n"/>
      <c r="B224" s="45" t="n"/>
      <c r="C224" s="45" t="n"/>
      <c r="D224" s="46" t="n"/>
      <c r="E224" s="45" t="n"/>
      <c r="F224" s="47" t="n"/>
      <c r="G224" s="48" t="n"/>
      <c r="H224" s="49" t="n"/>
      <c r="I224" s="45" t="n"/>
    </row>
    <row r="225">
      <c r="A225" s="17" t="n"/>
      <c r="B225" s="18" t="n"/>
      <c r="C225" s="18" t="n"/>
      <c r="D225" s="27" t="n"/>
      <c r="E225" s="18" t="n"/>
      <c r="F225" s="19" t="n"/>
      <c r="G225" s="19" t="n"/>
      <c r="H225" s="21" t="n"/>
      <c r="I225" s="18" t="n"/>
      <c r="J225" s="18" t="n"/>
    </row>
    <row r="226">
      <c r="A226" s="44" t="n"/>
      <c r="B226" s="45" t="n"/>
      <c r="C226" s="45" t="n"/>
      <c r="D226" s="46" t="n"/>
      <c r="E226" s="45" t="n"/>
      <c r="F226" s="47" t="n"/>
      <c r="G226" s="48" t="n"/>
      <c r="H226" s="49" t="n"/>
      <c r="I226" s="45" t="n"/>
    </row>
    <row r="227">
      <c r="A227" s="17" t="n"/>
      <c r="B227" s="18" t="n"/>
      <c r="C227" s="18" t="n"/>
      <c r="D227" s="27" t="n"/>
      <c r="E227" s="18" t="n"/>
      <c r="F227" s="19" t="n"/>
      <c r="G227" s="19" t="n"/>
      <c r="H227" s="21" t="n"/>
      <c r="I227" s="18" t="n"/>
      <c r="J227" s="18" t="n"/>
    </row>
    <row r="228">
      <c r="A228" s="44" t="n"/>
      <c r="B228" s="45" t="n"/>
      <c r="C228" s="45" t="n"/>
      <c r="D228" s="46" t="n"/>
      <c r="E228" s="45" t="n"/>
      <c r="F228" s="47" t="n"/>
      <c r="G228" s="48" t="n"/>
      <c r="H228" s="49" t="n"/>
      <c r="I228" s="45" t="n"/>
    </row>
    <row r="229">
      <c r="A229" s="17" t="n"/>
      <c r="B229" s="18" t="n"/>
      <c r="C229" s="18" t="n"/>
      <c r="D229" s="27" t="n"/>
      <c r="E229" s="18" t="n"/>
      <c r="F229" s="19" t="n"/>
      <c r="G229" s="19" t="n"/>
      <c r="H229" s="21" t="n"/>
      <c r="I229" s="18" t="n"/>
      <c r="J229" s="18" t="n"/>
    </row>
    <row r="230">
      <c r="A230" s="44" t="n"/>
      <c r="B230" s="45" t="n"/>
      <c r="C230" s="45" t="n"/>
      <c r="D230" s="46" t="n"/>
      <c r="E230" s="45" t="n"/>
      <c r="F230" s="47" t="n"/>
      <c r="G230" s="48" t="n"/>
      <c r="H230" s="49" t="n"/>
      <c r="I230" s="45" t="n"/>
    </row>
    <row r="231">
      <c r="A231" s="17" t="n"/>
      <c r="B231" s="18" t="n"/>
      <c r="C231" s="18" t="n"/>
      <c r="D231" s="27" t="n"/>
      <c r="E231" s="18" t="n"/>
      <c r="F231" s="19" t="n"/>
      <c r="G231" s="19" t="n"/>
      <c r="H231" s="21" t="n"/>
      <c r="I231" s="18" t="n"/>
      <c r="J231" s="18" t="n"/>
    </row>
    <row r="232">
      <c r="A232" s="44" t="n"/>
      <c r="B232" s="45" t="n"/>
      <c r="C232" s="45" t="n"/>
      <c r="D232" s="46" t="n"/>
      <c r="E232" s="45" t="n"/>
      <c r="F232" s="47" t="n"/>
      <c r="G232" s="48" t="n"/>
      <c r="H232" s="49" t="n"/>
      <c r="I232" s="45" t="n"/>
    </row>
    <row r="233">
      <c r="A233" s="17" t="n"/>
      <c r="B233" s="18" t="n"/>
      <c r="C233" s="18" t="n"/>
      <c r="D233" s="27" t="n"/>
      <c r="E233" s="18" t="n"/>
      <c r="F233" s="19" t="n"/>
      <c r="G233" s="19" t="n"/>
      <c r="H233" s="21" t="n"/>
      <c r="I233" s="18" t="n"/>
      <c r="J233" s="18" t="n"/>
    </row>
    <row r="234">
      <c r="A234" s="44" t="n"/>
      <c r="B234" s="45" t="n"/>
      <c r="C234" s="45" t="n"/>
      <c r="D234" s="46" t="n"/>
      <c r="E234" s="45" t="n"/>
      <c r="F234" s="47" t="n"/>
      <c r="G234" s="48" t="n"/>
      <c r="H234" s="49" t="n"/>
      <c r="I234" s="45" t="n"/>
    </row>
    <row r="235">
      <c r="A235" s="17" t="n"/>
      <c r="B235" s="18" t="n"/>
      <c r="C235" s="18" t="n"/>
      <c r="D235" s="27" t="n"/>
      <c r="E235" s="18" t="n"/>
      <c r="F235" s="19" t="n"/>
      <c r="G235" s="19" t="n"/>
      <c r="H235" s="21" t="n"/>
      <c r="I235" s="18" t="n"/>
      <c r="J235" s="18" t="n"/>
    </row>
    <row r="236">
      <c r="A236" s="44" t="n"/>
      <c r="B236" s="45" t="n"/>
      <c r="C236" s="45" t="n"/>
      <c r="D236" s="46" t="n"/>
      <c r="E236" s="45" t="n"/>
      <c r="F236" s="47" t="n"/>
      <c r="G236" s="48" t="n"/>
      <c r="H236" s="49" t="n"/>
      <c r="I236" s="45" t="n"/>
    </row>
    <row r="237">
      <c r="A237" s="17" t="n"/>
      <c r="B237" s="18" t="n"/>
      <c r="C237" s="18" t="n"/>
      <c r="D237" s="27" t="n"/>
      <c r="E237" s="18" t="n"/>
      <c r="F237" s="19" t="n"/>
      <c r="G237" s="19" t="n"/>
      <c r="H237" s="21" t="n"/>
      <c r="I237" s="18" t="n"/>
      <c r="J237" s="18" t="n"/>
    </row>
    <row r="238">
      <c r="A238" s="44" t="n"/>
      <c r="B238" s="45" t="n"/>
      <c r="C238" s="45" t="n"/>
      <c r="D238" s="46" t="n"/>
      <c r="E238" s="45" t="n"/>
      <c r="F238" s="47" t="n"/>
      <c r="G238" s="48" t="n"/>
      <c r="H238" s="49" t="n"/>
      <c r="I238" s="45" t="n"/>
    </row>
    <row r="239">
      <c r="A239" s="17" t="n"/>
      <c r="B239" s="18" t="n"/>
      <c r="C239" s="18" t="n"/>
      <c r="D239" s="27" t="n"/>
      <c r="E239" s="18" t="n"/>
      <c r="F239" s="19" t="n"/>
      <c r="G239" s="19" t="n"/>
      <c r="H239" s="21" t="n"/>
      <c r="I239" s="18" t="n"/>
      <c r="J239" s="18" t="n"/>
    </row>
    <row r="240">
      <c r="A240" s="44" t="n"/>
      <c r="B240" s="45" t="n"/>
      <c r="C240" s="45" t="n"/>
      <c r="D240" s="46" t="n"/>
      <c r="E240" s="45" t="n"/>
      <c r="F240" s="47" t="n"/>
      <c r="G240" s="48" t="n"/>
      <c r="H240" s="49" t="n"/>
      <c r="I240" s="45" t="n"/>
    </row>
    <row r="241">
      <c r="A241" s="17" t="n"/>
      <c r="B241" s="18" t="n"/>
      <c r="C241" s="18" t="n"/>
      <c r="D241" s="27" t="n"/>
      <c r="E241" s="18" t="n"/>
      <c r="F241" s="19" t="n"/>
      <c r="G241" s="19" t="n"/>
      <c r="H241" s="21" t="n"/>
      <c r="I241" s="18" t="n"/>
      <c r="J241" s="18" t="n"/>
    </row>
    <row r="242">
      <c r="A242" s="44" t="n"/>
      <c r="B242" s="45" t="n"/>
      <c r="C242" s="45" t="n"/>
      <c r="D242" s="46" t="n"/>
      <c r="E242" s="45" t="n"/>
      <c r="F242" s="47" t="n"/>
      <c r="G242" s="48" t="n"/>
      <c r="H242" s="49" t="n"/>
      <c r="I242" s="45" t="n"/>
    </row>
    <row r="243">
      <c r="A243" s="17" t="n"/>
      <c r="B243" s="18" t="n"/>
      <c r="C243" s="18" t="n"/>
      <c r="D243" s="27" t="n"/>
      <c r="E243" s="18" t="n"/>
      <c r="F243" s="19" t="n"/>
      <c r="G243" s="19" t="n"/>
      <c r="H243" s="21" t="n"/>
      <c r="I243" s="18" t="n"/>
      <c r="J243" s="18" t="n"/>
    </row>
    <row r="244">
      <c r="A244" s="44" t="n"/>
      <c r="B244" s="45" t="n"/>
      <c r="C244" s="45" t="n"/>
      <c r="D244" s="46" t="n"/>
      <c r="E244" s="45" t="n"/>
      <c r="F244" s="47" t="n"/>
      <c r="G244" s="48" t="n"/>
      <c r="H244" s="49" t="n"/>
      <c r="I244" s="45" t="n"/>
    </row>
    <row r="245">
      <c r="A245" s="17" t="n"/>
      <c r="B245" s="18" t="n"/>
      <c r="C245" s="18" t="n"/>
      <c r="D245" s="27" t="n"/>
      <c r="E245" s="18" t="n"/>
      <c r="F245" s="19" t="n"/>
      <c r="G245" s="19" t="n"/>
      <c r="H245" s="21" t="n"/>
      <c r="I245" s="18" t="n"/>
      <c r="J245" s="18" t="n"/>
    </row>
    <row r="246">
      <c r="A246" s="44" t="n"/>
      <c r="B246" s="45" t="n"/>
      <c r="C246" s="45" t="n"/>
      <c r="D246" s="46" t="n"/>
      <c r="E246" s="45" t="n"/>
      <c r="F246" s="47" t="n"/>
      <c r="G246" s="48" t="n"/>
      <c r="H246" s="49" t="n"/>
      <c r="I246" s="45" t="n"/>
    </row>
    <row r="247">
      <c r="A247" s="17" t="n"/>
      <c r="B247" s="18" t="n"/>
      <c r="C247" s="18" t="n"/>
      <c r="D247" s="27" t="n"/>
      <c r="E247" s="18" t="n"/>
      <c r="F247" s="19" t="n"/>
      <c r="G247" s="19" t="n"/>
      <c r="H247" s="21" t="n"/>
      <c r="I247" s="18" t="n"/>
      <c r="J247" s="18" t="n"/>
    </row>
    <row r="248">
      <c r="A248" s="44" t="n"/>
      <c r="B248" s="45" t="n"/>
      <c r="C248" s="45" t="n"/>
      <c r="D248" s="46" t="n"/>
      <c r="E248" s="45" t="n"/>
      <c r="F248" s="47" t="n"/>
      <c r="G248" s="48" t="n"/>
      <c r="H248" s="49" t="n"/>
      <c r="I248" s="45" t="n"/>
    </row>
    <row r="249">
      <c r="A249" s="17" t="n"/>
      <c r="B249" s="18" t="n"/>
      <c r="C249" s="18" t="n"/>
      <c r="D249" s="27" t="n"/>
      <c r="E249" s="18" t="n"/>
      <c r="F249" s="19" t="n"/>
      <c r="G249" s="19" t="n"/>
      <c r="H249" s="21" t="n"/>
      <c r="I249" s="18" t="n"/>
      <c r="J249" s="18" t="n"/>
    </row>
    <row r="250">
      <c r="A250" s="44" t="n"/>
      <c r="B250" s="45" t="n"/>
      <c r="C250" s="45" t="n"/>
      <c r="D250" s="46" t="n"/>
      <c r="E250" s="45" t="n"/>
      <c r="F250" s="47" t="n"/>
      <c r="G250" s="48" t="n"/>
      <c r="H250" s="49" t="n"/>
      <c r="I250" s="45" t="n"/>
    </row>
    <row r="251">
      <c r="A251" s="17" t="n"/>
      <c r="B251" s="18" t="n"/>
      <c r="C251" s="18" t="n"/>
      <c r="D251" s="27" t="n"/>
      <c r="E251" s="18" t="n"/>
      <c r="F251" s="19" t="n"/>
      <c r="G251" s="19" t="n"/>
      <c r="H251" s="21" t="n"/>
      <c r="I251" s="18" t="n"/>
      <c r="J251" s="18" t="n"/>
    </row>
    <row r="252">
      <c r="A252" s="44" t="n"/>
      <c r="B252" s="45" t="n"/>
      <c r="C252" s="45" t="n"/>
      <c r="D252" s="46" t="n"/>
      <c r="E252" s="45" t="n"/>
      <c r="F252" s="47" t="n"/>
      <c r="G252" s="48" t="n"/>
      <c r="H252" s="49" t="n"/>
      <c r="I252" s="45" t="n"/>
    </row>
    <row r="253">
      <c r="A253" s="17" t="n"/>
      <c r="B253" s="18" t="n"/>
      <c r="C253" s="18" t="n"/>
      <c r="D253" s="27" t="n"/>
      <c r="E253" s="18" t="n"/>
      <c r="F253" s="19" t="n"/>
      <c r="G253" s="19" t="n"/>
      <c r="H253" s="21" t="n"/>
      <c r="I253" s="18" t="n"/>
      <c r="J253" s="18" t="n"/>
    </row>
    <row r="254">
      <c r="A254" s="44" t="n"/>
      <c r="B254" s="45" t="n"/>
      <c r="C254" s="45" t="n"/>
      <c r="D254" s="46" t="n"/>
      <c r="E254" s="45" t="n"/>
      <c r="F254" s="47" t="n"/>
      <c r="G254" s="48" t="n"/>
      <c r="H254" s="49" t="n"/>
      <c r="I254" s="45" t="n"/>
    </row>
    <row r="255">
      <c r="A255" s="90" t="n"/>
      <c r="B255" s="90" t="inlineStr">
        <is>
          <t>TOTAL DO MÊS</t>
        </is>
      </c>
      <c r="C255" s="90" t="n"/>
      <c r="D255" s="91">
        <f>SUM(D5:D254)</f>
        <v/>
      </c>
      <c r="E255" s="90" t="n"/>
      <c r="F255" s="91">
        <f>SUM(F5:F254)</f>
        <v/>
      </c>
      <c r="G255" s="91">
        <f>SUM(G5:G254)</f>
        <v/>
      </c>
      <c r="H255" s="90" t="n"/>
      <c r="I255" s="90" t="n"/>
    </row>
    <row r="256">
      <c r="A256" s="92" t="n"/>
      <c r="B256" s="92" t="inlineStr">
        <is>
          <t>SALDO DO MÊS (Entradas líquidas − Despesas da loja)</t>
        </is>
      </c>
      <c r="C256" s="92" t="n"/>
      <c r="D256" s="93">
        <f>(D255-F255-T5)-(L18-L19)</f>
        <v/>
      </c>
      <c r="E256" s="92" t="n"/>
      <c r="F256" s="93" t="n"/>
      <c r="G256" s="93" t="n"/>
      <c r="H256" s="92" t="n"/>
      <c r="I256" s="92" t="n"/>
    </row>
  </sheetData>
  <mergeCells count="19">
    <mergeCell ref="P4:Q4"/>
    <mergeCell ref="P8:Q9"/>
    <mergeCell ref="T8:U9"/>
    <mergeCell ref="N7:O7"/>
    <mergeCell ref="R4:S4"/>
    <mergeCell ref="T4:U4"/>
    <mergeCell ref="A2:I2"/>
    <mergeCell ref="R7:S7"/>
    <mergeCell ref="P5:Q6"/>
    <mergeCell ref="R5:S6"/>
    <mergeCell ref="R8:S9"/>
    <mergeCell ref="P7:Q7"/>
    <mergeCell ref="T5:U6"/>
    <mergeCell ref="T7:U7"/>
    <mergeCell ref="A1:I1"/>
    <mergeCell ref="K4:L4"/>
    <mergeCell ref="N5:O6"/>
    <mergeCell ref="N4:O4"/>
    <mergeCell ref="N8:O9"/>
  </mergeCells>
  <conditionalFormatting sqref="R7:S7">
    <cfRule type="expression" priority="1" dxfId="1">
      <formula>LEFT($R$7,6)="PASSOU"</formula>
    </cfRule>
  </conditionalFormatting>
  <conditionalFormatting sqref="R8:S9">
    <cfRule type="expression" priority="2" dxfId="0">
      <formula>LEFT($R$7,6)="PASSOU"</formula>
    </cfRule>
  </conditionalFormatting>
  <conditionalFormatting sqref="T8:U9">
    <cfRule type="cellIs" priority="3" operator="lessThan" dxfId="0">
      <formula>0</formula>
    </cfRule>
  </conditionalFormatting>
  <conditionalFormatting sqref="R5:S6">
    <cfRule type="cellIs" priority="4" operator="lessThan" dxfId="0">
      <formula>0</formula>
    </cfRule>
  </conditionalFormatting>
  <dataValidations count="2">
    <dataValidation sqref="E5:E254" showDropDown="0" showInputMessage="0" showErrorMessage="0" allowBlank="1" type="list">
      <formula1>"Dinheiro,Pix,Débito,Crédito à Vista,Crédito Parcelado,Aguardando Pagamento"</formula1>
    </dataValidation>
    <dataValidation sqref="H5:H254" showDropDown="0" showInputMessage="0" showErrorMessage="0" allowBlank="1" type="list">
      <formula1>$K$5:$K$17</formula1>
    </dataValidation>
  </dataValidations>
  <hyperlinks>
    <hyperlink ref="A3" location="'Início'!A1" display="← Início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2026-07-27T20:24:43Z</dcterms:created>
  <dcterms:modified xmlns:dcterms="http://purl.org/dc/terms/" xmlns:xsi="http://www.w3.org/2001/XMLSchema-instance" xsi:type="dcterms:W3CDTF">2026-10-20T21:20:47Z</dcterms:modified>
  <cp:lastModifiedBy>Planeta</cp:lastModifiedBy>
  <cp:revision>1</cp:revision>
</cp:coreProperties>
</file>