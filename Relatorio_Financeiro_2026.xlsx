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7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41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2" fillId="20" borderId="8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4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42" fillId="0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72" fillId="17" borderId="8" applyAlignment="1" pivotButton="0" quotePrefix="0" xfId="0">
      <alignment vertical="center" indent="1"/>
    </xf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0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3" borderId="9" applyAlignment="1" pivotButton="0" quotePrefix="0" xfId="0">
      <alignment horizontal="left" vertical="center" indent="1"/>
    </xf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62" fillId="12" borderId="8" pivotButton="0" quotePrefix="0" xfId="0"/>
    <xf numFmtId="0" fontId="56" fillId="15" borderId="9" applyAlignment="1" pivotButton="0" quotePrefix="0" xfId="0">
      <alignment horizontal="left" vertical="center" indent="1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54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2448"/>
        <axId val="1634722992"/>
      </barChart>
      <catAx>
        <axId val="1634722448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992"/>
        <crosses val="autoZero"/>
        <auto val="1"/>
        <lblAlgn val="ctr"/>
        <lblOffset val="100"/>
        <noMultiLvlLbl val="0"/>
      </catAx>
      <valAx>
        <axId val="163472299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244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1634724080"/>
        <axId val="1634725168"/>
      </lineChart>
      <catAx>
        <axId val="163472408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5168"/>
        <crosses val="autoZero"/>
        <auto val="1"/>
        <lblAlgn val="ctr"/>
        <lblOffset val="100"/>
        <noMultiLvlLbl val="0"/>
      </catAx>
      <valAx>
        <axId val="16347251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408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223969.57</v>
                </pt>
                <pt idx="4">
                  <v>0</v>
                </pt>
                <pt idx="5">
                  <formatCode>"R$ "#,##0.00</formatCode>
                  <v>98764.18000000002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33474.83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5923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634726800"/>
        <axId val="1634717008"/>
      </barChart>
      <catAx>
        <axId val="163472680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17008"/>
        <crosses val="autoZero"/>
        <auto val="1"/>
        <lblAlgn val="ctr"/>
        <lblOffset val="100"/>
        <noMultiLvlLbl val="0"/>
      </catAx>
      <valAx>
        <axId val="163471700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63472680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4" t="inlineStr">
        <is>
          <t>NÚMEROS DO ANO</t>
        </is>
      </c>
    </row>
    <row r="6" ht="26.1" customHeight="1" s="158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8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8">
      <c r="B9" s="164" t="inlineStr">
        <is>
          <t>SAÚDE FINANCEIRA DA LOJA (MÉDIA MENSAL)</t>
        </is>
      </c>
    </row>
    <row r="10" ht="18.95" customHeight="1" s="158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8">
      <c r="B11" s="122">
        <f>'DRE Simplificado'!O22</f>
        <v/>
      </c>
      <c r="C11" s="123">
        <f>'DRE Simplificado'!O9</f>
        <v/>
      </c>
      <c r="D11" s="124">
        <f>Dashboard!B53</f>
        <v/>
      </c>
      <c r="E11" s="125">
        <f>'Ponto de Equilíbrio'!B10</f>
        <v/>
      </c>
    </row>
    <row r="13" ht="21.95" customHeight="1" s="158">
      <c r="B13" s="164" t="inlineStr">
        <is>
          <t>COMECE AQUI — visão geral</t>
        </is>
      </c>
    </row>
    <row r="14" ht="18.95" customHeight="1" s="158">
      <c r="B14" s="167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65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2" t="inlineStr">
        <is>
          <t>DINHEIRO A ENTRAR E A SAIR</t>
        </is>
      </c>
    </row>
    <row r="18" ht="18.95" customHeight="1" s="158">
      <c r="B18" s="167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65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>
      <c r="C20" s="217" t="n"/>
    </row>
    <row r="21" ht="18.95" customHeight="1" s="158">
      <c r="B21" s="141" t="inlineStr">
        <is>
          <t>PLANEJAMENTO</t>
        </is>
      </c>
      <c r="C21" s="217" t="n"/>
    </row>
    <row r="22" ht="18.95" customHeight="1" s="158">
      <c r="B22" s="167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65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67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65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67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6" t="inlineStr">
        <is>
          <t>APOIO</t>
        </is>
      </c>
    </row>
    <row r="29" ht="18.95" customHeight="1" s="158">
      <c r="B29" s="167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65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>
      <c r="C31" s="217" t="n"/>
    </row>
    <row r="32" ht="18.95" customHeight="1" s="158">
      <c r="B32" s="144" t="inlineStr">
        <is>
          <t>LANÇAMENTOS MÊS A MÊS</t>
        </is>
      </c>
      <c r="C32" s="217" t="n"/>
    </row>
    <row r="33" ht="18.95" customHeight="1" s="158">
      <c r="B33" s="167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65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67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65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67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65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67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65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67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65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65" t="inlineStr">
        <is>
          <t>Nov 2026</t>
        </is>
      </c>
      <c r="C43" s="159" t="inlineStr">
        <is>
          <t>Pronto para lançar</t>
        </is>
      </c>
      <c r="D43" s="160" t="n"/>
      <c r="E43" s="160" t="n"/>
      <c r="F43" s="160" t="n"/>
      <c r="G43" s="161" t="n"/>
    </row>
    <row r="44">
      <c r="B44" s="165" t="inlineStr">
        <is>
          <t>Dez 2026</t>
        </is>
      </c>
      <c r="C44" s="159" t="inlineStr">
        <is>
          <t>Pronto para lançar</t>
        </is>
      </c>
      <c r="D44" s="160" t="n"/>
      <c r="E44" s="160" t="n"/>
      <c r="F44" s="160" t="n"/>
      <c r="G44" s="161" t="n"/>
    </row>
    <row r="45">
      <c r="B45" s="217" t="n"/>
    </row>
    <row r="46">
      <c r="B46" s="240" t="inlineStr">
        <is>
          <t>Como usar no dia a dia</t>
        </is>
      </c>
    </row>
    <row r="47">
      <c r="B47" s="168" t="inlineStr">
        <is>
          <t>1. Lance cada venda e cada despesa na aba do mês (ex.: "Ago 2026") — uma linha por lançamento.</t>
        </is>
      </c>
    </row>
    <row r="48">
      <c r="B48" s="168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8" t="inlineStr">
        <is>
          <t>3. Quando o cliente pagar, troque a forma de pagamento pelo método real. Todo o resto recalcula sozinho.</t>
        </is>
      </c>
    </row>
    <row r="50">
      <c r="B50" s="168" t="inlineStr">
        <is>
          <t>4. Despesa pessoal do casal paga pela loja: categoria "Pro Labore Edilânia" — fica registrada, mas fora do resultado da loja.</t>
        </is>
      </c>
    </row>
    <row r="51">
      <c r="B51" s="168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1" t="inlineStr">
        <is>
          <t>DASHBOARD FINANCEIRO — LOJA DE FILTROS  |  2026</t>
        </is>
      </c>
    </row>
    <row r="2">
      <c r="A2" s="185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9" t="inlineStr">
        <is>
          <t>← Início</t>
        </is>
      </c>
    </row>
    <row r="4" ht="25.5" customHeight="1" s="158">
      <c r="A4" s="191" t="inlineStr">
        <is>
          <t>ENTRADAS (ANO)</t>
        </is>
      </c>
      <c r="B4" s="161" t="n"/>
      <c r="C4" s="180" t="inlineStr">
        <is>
          <t>SAÍDAS (ANO)</t>
        </is>
      </c>
      <c r="D4" s="161" t="n"/>
      <c r="E4" s="182" t="inlineStr">
        <is>
          <t>LUCRO LÍQUIDO</t>
        </is>
      </c>
      <c r="F4" s="161" t="n"/>
      <c r="G4" s="192" t="inlineStr">
        <is>
          <t>MARGEM DO ANO</t>
        </is>
      </c>
      <c r="H4" s="161" t="n"/>
      <c r="I4" s="193" t="inlineStr">
        <is>
          <t>A RECEBER (ANO)</t>
        </is>
      </c>
      <c r="J4" s="161" t="n"/>
      <c r="K4" s="194" t="inlineStr">
        <is>
          <t>DÍVIDA — CAPITAL DE GIRO (BB)</t>
        </is>
      </c>
    </row>
    <row r="5" ht="19.5" customHeight="1" s="158">
      <c r="A5" s="173">
        <f>SUM(B24:B35)</f>
        <v/>
      </c>
      <c r="B5" s="174" t="n"/>
      <c r="C5" s="187">
        <f>SUM(C24:C35)</f>
        <v/>
      </c>
      <c r="D5" s="174" t="n"/>
      <c r="E5" s="189">
        <f>SUM(D24:D35)</f>
        <v/>
      </c>
      <c r="F5" s="174" t="n"/>
      <c r="G5" s="177">
        <f>IF(B36=0,0,D36/B36)</f>
        <v/>
      </c>
      <c r="H5" s="174" t="n"/>
      <c r="I5" s="178">
        <f>H46</f>
        <v/>
      </c>
      <c r="J5" s="174" t="n"/>
      <c r="K5" s="190">
        <f>'Capital de Giro (BB)'!C5</f>
        <v/>
      </c>
    </row>
    <row r="6" ht="19.5" customHeight="1" s="158">
      <c r="A6" s="175" t="n"/>
      <c r="B6" s="176" t="n"/>
      <c r="C6" s="175" t="n"/>
      <c r="D6" s="176" t="n"/>
      <c r="E6" s="175" t="n"/>
      <c r="F6" s="176" t="n"/>
      <c r="G6" s="175" t="n"/>
      <c r="H6" s="176" t="n"/>
      <c r="I6" s="175" t="n"/>
      <c r="J6" s="176" t="n"/>
    </row>
    <row r="8" ht="15.75" customHeight="1" s="158">
      <c r="A8" s="184" t="inlineStr">
        <is>
          <t>INSIGHTS AUTOMÁTICOS</t>
        </is>
      </c>
    </row>
    <row r="9">
      <c r="A9" s="179">
        <f>"Melhor mês em lucro: "&amp;INDEX(A24:A35,MATCH(MAX(D24:D35),D24:D35,0))&amp;" (lucro de "&amp;TEXT(MAX(D24:D35),"R$ #,##0.00")&amp;")"</f>
        <v/>
      </c>
    </row>
    <row r="10">
      <c r="A10" s="179">
        <f>"Mês mais fraco em lucro: "&amp;INDEX(A24:A35,MATCH(MIN(D24:D35),D24:D35,0))&amp;" (lucro de "&amp;TEXT(MIN(D24:D35),"R$ #,##0.00")&amp;")"</f>
        <v/>
      </c>
    </row>
    <row r="11">
      <c r="A11" s="179">
        <f>"Número de meses com prejuízo: "&amp;COUNTIF(D24:D35,"&lt;0")&amp;" de "&amp;COUNTIF(B24:B35,"&lt;&gt;0")&amp;" meses com dados"</f>
        <v/>
      </c>
    </row>
    <row r="12">
      <c r="A12" s="179">
        <f>"Total a receber (vendas pendentes Ago–Dez): "&amp;TEXT(H46,"R$ #,##0.00")</f>
        <v/>
      </c>
    </row>
    <row r="13" ht="30" customHeight="1" s="158">
      <c r="A13" s="186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1" t="inlineStr">
        <is>
          <t>⚠ Limitações dos dados de origem (relatórios DigiSat/G6, não planilhas de fluxo de caixa):</t>
        </is>
      </c>
    </row>
    <row r="15" ht="25.5" customHeight="1" s="158">
      <c r="A15" s="172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2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2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2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3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4" t="inlineStr">
        <is>
          <t>Saídas por Categoria (Ano 2026)</t>
        </is>
      </c>
      <c r="F39" s="184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8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30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4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8" t="inlineStr">
        <is>
          <t>DRE SIMPLIFICADO — 2026</t>
        </is>
      </c>
    </row>
    <row r="2">
      <c r="A2" s="196" t="inlineStr">
        <is>
          <t>Receita − Custos Variáveis = Margem de Contribuição.  Margem − Custos Fixos = Resultado. Puxa tudo das abas mensais, sem digitação.</t>
        </is>
      </c>
    </row>
    <row r="3">
      <c r="A3" s="129" t="inlineStr">
        <is>
          <t>← Início</t>
        </is>
      </c>
      <c r="B3" s="94">
        <f>COUNTIF(B5:M5,"&gt;0")</f>
        <v/>
      </c>
      <c r="C3" s="195" t="inlineStr">
        <is>
          <t>← meses já lançados; é a base do cálculo da coluna "Média/mês"</t>
        </is>
      </c>
    </row>
    <row r="4" ht="27.95" customHeight="1" s="158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</f>
        <v/>
      </c>
      <c r="C5" s="96">
        <f>SUMIF('Fev 2026'!A5:A500,"&lt;&gt;",'Fev 2026'!D5:D500)</f>
        <v/>
      </c>
      <c r="D5" s="96">
        <f>SUMIF('Mar 2026'!A5:A500,"&lt;&gt;",'Mar 2026'!D5:D500)</f>
        <v/>
      </c>
      <c r="E5" s="96">
        <f>SUMIF('Abr 2026'!A5:A500,"&lt;&gt;",'Abr 2026'!D5:D500)</f>
        <v/>
      </c>
      <c r="F5" s="96">
        <f>SUMIF('Mai 2026'!A5:A500,"&lt;&gt;",'Mai 2026'!D5:D500)</f>
        <v/>
      </c>
      <c r="G5" s="96">
        <f>SUMIF('Jun 2026'!A5:A500,"&lt;&gt;",'Jun 2026'!D5:D500)</f>
        <v/>
      </c>
      <c r="H5" s="96">
        <f>SUMIF('Jul 2026'!A5:A500,"&lt;&gt;",'Jul 2026'!D5:D500)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2026'!J5</f>
        <v/>
      </c>
      <c r="C6" s="98">
        <f>'Fev 2026'!J5</f>
        <v/>
      </c>
      <c r="D6" s="98">
        <f>'Mar 2026'!J5</f>
        <v/>
      </c>
      <c r="E6" s="98">
        <f>'Abr 2026'!J5</f>
        <v/>
      </c>
      <c r="F6" s="98">
        <f>'Mai 2026'!J5</f>
        <v/>
      </c>
      <c r="G6" s="98">
        <f>'Jun 2026'!J5</f>
        <v/>
      </c>
      <c r="H6" s="98">
        <f>'Jul 2026'!J5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2026'!J8</f>
        <v/>
      </c>
      <c r="C7" s="98">
        <f>'Fev 2026'!J8</f>
        <v/>
      </c>
      <c r="D7" s="98">
        <f>'Mar 2026'!J8</f>
        <v/>
      </c>
      <c r="E7" s="98">
        <f>'Abr 2026'!J8</f>
        <v/>
      </c>
      <c r="F7" s="98">
        <f>'Mai 2026'!J8</f>
        <v/>
      </c>
      <c r="G7" s="98">
        <f>'Jun 2026'!J8</f>
        <v/>
      </c>
      <c r="H7" s="98">
        <f>'Jul 2026'!J8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2026'!J10-B20</f>
        <v/>
      </c>
      <c r="C8" s="98">
        <f>'Fev 2026'!J10-C20</f>
        <v/>
      </c>
      <c r="D8" s="98">
        <f>'Mar 2026'!J10-D20</f>
        <v/>
      </c>
      <c r="E8" s="98">
        <f>'Abr 2026'!J10-E20</f>
        <v/>
      </c>
      <c r="F8" s="98">
        <f>'Mai 2026'!J10-F20</f>
        <v/>
      </c>
      <c r="G8" s="98">
        <f>'Jun 2026'!J10-G20</f>
        <v/>
      </c>
      <c r="H8" s="98">
        <f>'Jul 2026'!J10-H20</f>
        <v/>
      </c>
      <c r="I8" s="98">
        <f>'Ago 2026'!L10-I20</f>
        <v/>
      </c>
      <c r="J8" s="98">
        <f>'Set 2026'!L10-J20</f>
        <v/>
      </c>
      <c r="K8" s="98">
        <f>'Out 2026'!L10-K20</f>
        <v/>
      </c>
      <c r="L8" s="98">
        <f>'Nov 2026'!L10-L20</f>
        <v/>
      </c>
      <c r="M8" s="98">
        <f>'Dez 2026'!L10-M20</f>
        <v/>
      </c>
      <c r="N8" s="98">
        <f>SUM(B8:M8)</f>
        <v/>
      </c>
      <c r="O8" s="98">
        <f>IF($B$3=0,0,N8/$B$3)</f>
        <v/>
      </c>
    </row>
    <row r="9">
      <c r="A9" s="99" t="inlineStr">
        <is>
          <t>(=) CUSTOS VARIÁVEIS</t>
        </is>
      </c>
      <c r="B9" s="100">
        <f>SUM(B6:B8)</f>
        <v/>
      </c>
      <c r="C9" s="100">
        <f>SUM(C6:C8)</f>
        <v/>
      </c>
      <c r="D9" s="100">
        <f>SUM(D6:D8)</f>
        <v/>
      </c>
      <c r="E9" s="100">
        <f>SUM(E6:E8)</f>
        <v/>
      </c>
      <c r="F9" s="100">
        <f>SUM(F6:F8)</f>
        <v/>
      </c>
      <c r="G9" s="100">
        <f>SUM(G6:G8)</f>
        <v/>
      </c>
      <c r="H9" s="100">
        <f>SUM(H6:H8)</f>
        <v/>
      </c>
      <c r="I9" s="100">
        <f>SUM(I6:I8)</f>
        <v/>
      </c>
      <c r="J9" s="100">
        <f>SUM(J6:J8)</f>
        <v/>
      </c>
      <c r="K9" s="100">
        <f>SUM(K6:K8)</f>
        <v/>
      </c>
      <c r="L9" s="100">
        <f>SUM(L6:L8)</f>
        <v/>
      </c>
      <c r="M9" s="100">
        <f>SUM(M6:M8)</f>
        <v/>
      </c>
      <c r="N9" s="100">
        <f>SUM(B9:M9)</f>
        <v/>
      </c>
      <c r="O9" s="100">
        <f>IF($B$3=0,0,N9/$B$3)</f>
        <v/>
      </c>
    </row>
    <row r="10">
      <c r="A10" s="95" t="inlineStr">
        <is>
          <t>(=) MARGEM DE CONTRIBUIÇÃO</t>
        </is>
      </c>
      <c r="B10" s="96">
        <f>B5-B9</f>
        <v/>
      </c>
      <c r="C10" s="96">
        <f>C5-C9</f>
        <v/>
      </c>
      <c r="D10" s="96">
        <f>D5-D9</f>
        <v/>
      </c>
      <c r="E10" s="96">
        <f>E5-E9</f>
        <v/>
      </c>
      <c r="F10" s="96">
        <f>F5-F9</f>
        <v/>
      </c>
      <c r="G10" s="96">
        <f>G5-G9</f>
        <v/>
      </c>
      <c r="H10" s="96">
        <f>H5-H9</f>
        <v/>
      </c>
      <c r="I10" s="96">
        <f>I5-I9</f>
        <v/>
      </c>
      <c r="J10" s="96">
        <f>J5-J9</f>
        <v/>
      </c>
      <c r="K10" s="96">
        <f>K5-K9</f>
        <v/>
      </c>
      <c r="L10" s="96">
        <f>L5-L9</f>
        <v/>
      </c>
      <c r="M10" s="96">
        <f>M5-M9</f>
        <v/>
      </c>
      <c r="N10" s="96">
        <f>SUM(B10:M10)</f>
        <v/>
      </c>
      <c r="O10" s="96">
        <f>IF($B$3=0,0,N10/$B$3)</f>
        <v/>
      </c>
    </row>
    <row r="11">
      <c r="A11" s="101" t="inlineStr">
        <is>
          <t xml:space="preserve">      Margem de Contribuição (%)</t>
        </is>
      </c>
      <c r="B11" s="102">
        <f>IF(B5=0,"",B10/B5)</f>
        <v/>
      </c>
      <c r="C11" s="102">
        <f>IF(C5=0,"",C10/C5)</f>
        <v/>
      </c>
      <c r="D11" s="102">
        <f>IF(D5=0,"",D10/D5)</f>
        <v/>
      </c>
      <c r="E11" s="102">
        <f>IF(E5=0,"",E10/E5)</f>
        <v/>
      </c>
      <c r="F11" s="102">
        <f>IF(F5=0,"",F10/F5)</f>
        <v/>
      </c>
      <c r="G11" s="102">
        <f>IF(G5=0,"",G10/G5)</f>
        <v/>
      </c>
      <c r="H11" s="102">
        <f>IF(H5=0,"",H10/H5)</f>
        <v/>
      </c>
      <c r="I11" s="102">
        <f>IF(I5=0,"",I10/I5)</f>
        <v/>
      </c>
      <c r="J11" s="102">
        <f>IF(J5=0,"",J10/J5)</f>
        <v/>
      </c>
      <c r="K11" s="102">
        <f>IF(K5=0,"",K10/K5)</f>
        <v/>
      </c>
      <c r="L11" s="102">
        <f>IF(L5=0,"",L10/L5)</f>
        <v/>
      </c>
      <c r="M11" s="102">
        <f>IF(M5=0,"",M10/M5)</f>
        <v/>
      </c>
      <c r="N11" s="102">
        <f>IF(N5=0,"",N10/N5)</f>
        <v/>
      </c>
      <c r="O11" s="102">
        <f>IF(N5=0,"",N10/N5)</f>
        <v/>
      </c>
    </row>
    <row r="12">
      <c r="A12" s="97" t="inlineStr">
        <is>
          <t xml:space="preserve">   (−) Aluguel</t>
        </is>
      </c>
      <c r="B12" s="98">
        <f>'Jan 2026'!J6</f>
        <v/>
      </c>
      <c r="C12" s="98">
        <f>'Fev 2026'!J6</f>
        <v/>
      </c>
      <c r="D12" s="98">
        <f>'Mar 2026'!J6</f>
        <v/>
      </c>
      <c r="E12" s="98">
        <f>'Abr 2026'!J6</f>
        <v/>
      </c>
      <c r="F12" s="98">
        <f>'Mai 2026'!J6</f>
        <v/>
      </c>
      <c r="G12" s="98">
        <f>'Jun 2026'!J6</f>
        <v/>
      </c>
      <c r="H12" s="98">
        <f>'Jul 2026'!J6</f>
        <v/>
      </c>
      <c r="I12" s="98">
        <f>'Ago 2026'!L6</f>
        <v/>
      </c>
      <c r="J12" s="98">
        <f>'Set 2026'!L6</f>
        <v/>
      </c>
      <c r="K12" s="98">
        <f>'Out 2026'!L6</f>
        <v/>
      </c>
      <c r="L12" s="98">
        <f>'Nov 2026'!L6</f>
        <v/>
      </c>
      <c r="M12" s="98">
        <f>'Dez 2026'!L6</f>
        <v/>
      </c>
      <c r="N12" s="98">
        <f>SUM(B12:M12)</f>
        <v/>
      </c>
      <c r="O12" s="98">
        <f>IF($B$3=0,0,N12/$B$3)</f>
        <v/>
      </c>
    </row>
    <row r="13">
      <c r="A13" s="97" t="inlineStr">
        <is>
          <t xml:space="preserve">   (−) Água, Energia e Internet</t>
        </is>
      </c>
      <c r="B13" s="98">
        <f>'Jan 2026'!J7</f>
        <v/>
      </c>
      <c r="C13" s="98">
        <f>'Fev 2026'!J7</f>
        <v/>
      </c>
      <c r="D13" s="98">
        <f>'Mar 2026'!J7</f>
        <v/>
      </c>
      <c r="E13" s="98">
        <f>'Abr 2026'!J7</f>
        <v/>
      </c>
      <c r="F13" s="98">
        <f>'Mai 2026'!J7</f>
        <v/>
      </c>
      <c r="G13" s="98">
        <f>'Jun 2026'!J7</f>
        <v/>
      </c>
      <c r="H13" s="98">
        <f>'Jul 2026'!J7</f>
        <v/>
      </c>
      <c r="I13" s="98">
        <f>'Ago 2026'!L7</f>
        <v/>
      </c>
      <c r="J13" s="98">
        <f>'Set 2026'!L7</f>
        <v/>
      </c>
      <c r="K13" s="98">
        <f>'Out 2026'!L7</f>
        <v/>
      </c>
      <c r="L13" s="98">
        <f>'Nov 2026'!L7</f>
        <v/>
      </c>
      <c r="M13" s="98">
        <f>'Dez 2026'!L7</f>
        <v/>
      </c>
      <c r="N13" s="98">
        <f>SUM(B13:M13)</f>
        <v/>
      </c>
      <c r="O13" s="98">
        <f>IF($B$3=0,0,N13/$B$3)</f>
        <v/>
      </c>
    </row>
    <row r="14">
      <c r="A14" s="97" t="inlineStr">
        <is>
          <t xml:space="preserve">   (−) Tarifas Bancárias e Cartão</t>
        </is>
      </c>
      <c r="B14" s="98">
        <f>'Jan 2026'!J9</f>
        <v/>
      </c>
      <c r="C14" s="98">
        <f>'Fev 2026'!J9</f>
        <v/>
      </c>
      <c r="D14" s="98">
        <f>'Mar 2026'!J9</f>
        <v/>
      </c>
      <c r="E14" s="98">
        <f>'Abr 2026'!J9</f>
        <v/>
      </c>
      <c r="F14" s="98">
        <f>'Mai 2026'!J9</f>
        <v/>
      </c>
      <c r="G14" s="98">
        <f>'Jun 2026'!J9</f>
        <v/>
      </c>
      <c r="H14" s="98">
        <f>'Jul 2026'!J9</f>
        <v/>
      </c>
      <c r="I14" s="98">
        <f>'Ago 2026'!L9</f>
        <v/>
      </c>
      <c r="J14" s="98">
        <f>'Set 2026'!L9</f>
        <v/>
      </c>
      <c r="K14" s="98">
        <f>'Out 2026'!L9</f>
        <v/>
      </c>
      <c r="L14" s="98">
        <f>'Nov 2026'!L9</f>
        <v/>
      </c>
      <c r="M14" s="98">
        <f>'Dez 2026'!L9</f>
        <v/>
      </c>
      <c r="N14" s="98">
        <f>SUM(B14:M14)</f>
        <v/>
      </c>
      <c r="O14" s="98">
        <f>IF($B$3=0,0,N14/$B$3)</f>
        <v/>
      </c>
    </row>
    <row r="15">
      <c r="A15" s="97" t="inlineStr">
        <is>
          <t xml:space="preserve">   (−) Salários, Comissões e Encargos</t>
        </is>
      </c>
      <c r="B15" s="98">
        <f>'Jan 2026'!J11</f>
        <v/>
      </c>
      <c r="C15" s="98">
        <f>'Fev 2026'!J11</f>
        <v/>
      </c>
      <c r="D15" s="98">
        <f>'Mar 2026'!J11</f>
        <v/>
      </c>
      <c r="E15" s="98">
        <f>'Abr 2026'!J11</f>
        <v/>
      </c>
      <c r="F15" s="98">
        <f>'Mai 2026'!J11</f>
        <v/>
      </c>
      <c r="G15" s="98">
        <f>'Jun 2026'!J11</f>
        <v/>
      </c>
      <c r="H15" s="98">
        <f>'Jul 2026'!J11</f>
        <v/>
      </c>
      <c r="I15" s="98">
        <f>'Ago 2026'!L11</f>
        <v/>
      </c>
      <c r="J15" s="98">
        <f>'Set 2026'!L11</f>
        <v/>
      </c>
      <c r="K15" s="98">
        <f>'Out 2026'!L11</f>
        <v/>
      </c>
      <c r="L15" s="98">
        <f>'Nov 2026'!L11</f>
        <v/>
      </c>
      <c r="M15" s="98">
        <f>'Dez 2026'!L11</f>
        <v/>
      </c>
      <c r="N15" s="98">
        <f>SUM(B15:M15)</f>
        <v/>
      </c>
      <c r="O15" s="98">
        <f>IF($B$3=0,0,N15/$B$3)</f>
        <v/>
      </c>
    </row>
    <row r="16">
      <c r="A16" s="97" t="inlineStr">
        <is>
          <t xml:space="preserve">   (−) Contabilidade</t>
        </is>
      </c>
      <c r="B16" s="98">
        <f>'Jan 2026'!J12</f>
        <v/>
      </c>
      <c r="C16" s="98">
        <f>'Fev 2026'!J12</f>
        <v/>
      </c>
      <c r="D16" s="98">
        <f>'Mar 2026'!J12</f>
        <v/>
      </c>
      <c r="E16" s="98">
        <f>'Abr 2026'!J12</f>
        <v/>
      </c>
      <c r="F16" s="98">
        <f>'Mai 2026'!J12</f>
        <v/>
      </c>
      <c r="G16" s="98">
        <f>'Jun 2026'!J12</f>
        <v/>
      </c>
      <c r="H16" s="98">
        <f>'Jul 2026'!J12</f>
        <v/>
      </c>
      <c r="I16" s="98">
        <f>'Ago 2026'!L12</f>
        <v/>
      </c>
      <c r="J16" s="98">
        <f>'Set 2026'!L12</f>
        <v/>
      </c>
      <c r="K16" s="98">
        <f>'Out 2026'!L12</f>
        <v/>
      </c>
      <c r="L16" s="98">
        <f>'Nov 2026'!L12</f>
        <v/>
      </c>
      <c r="M16" s="98">
        <f>'Dez 2026'!L12</f>
        <v/>
      </c>
      <c r="N16" s="98">
        <f>SUM(B16:M16)</f>
        <v/>
      </c>
      <c r="O16" s="98">
        <f>IF($B$3=0,0,N16/$B$3)</f>
        <v/>
      </c>
    </row>
    <row r="17">
      <c r="A17" s="97" t="inlineStr">
        <is>
          <t xml:space="preserve">   (−) Manutenção e Reparos</t>
        </is>
      </c>
      <c r="B17" s="98">
        <f>'Jan 2026'!J13</f>
        <v/>
      </c>
      <c r="C17" s="98">
        <f>'Fev 2026'!J13</f>
        <v/>
      </c>
      <c r="D17" s="98">
        <f>'Mar 2026'!J13</f>
        <v/>
      </c>
      <c r="E17" s="98">
        <f>'Abr 2026'!J13</f>
        <v/>
      </c>
      <c r="F17" s="98">
        <f>'Mai 2026'!J13</f>
        <v/>
      </c>
      <c r="G17" s="98">
        <f>'Jun 2026'!J13</f>
        <v/>
      </c>
      <c r="H17" s="98">
        <f>'Jul 2026'!J13</f>
        <v/>
      </c>
      <c r="I17" s="98">
        <f>'Ago 2026'!L13</f>
        <v/>
      </c>
      <c r="J17" s="98">
        <f>'Set 2026'!L13</f>
        <v/>
      </c>
      <c r="K17" s="98">
        <f>'Out 2026'!L13</f>
        <v/>
      </c>
      <c r="L17" s="98">
        <f>'Nov 2026'!L13</f>
        <v/>
      </c>
      <c r="M17" s="98">
        <f>'Dez 2026'!L13</f>
        <v/>
      </c>
      <c r="N17" s="98">
        <f>SUM(B17:M17)</f>
        <v/>
      </c>
      <c r="O17" s="98">
        <f>IF($B$3=0,0,N17/$B$3)</f>
        <v/>
      </c>
    </row>
    <row r="18">
      <c r="A18" s="97" t="inlineStr">
        <is>
          <t xml:space="preserve">   (−) Material de Limpeza e Escritório</t>
        </is>
      </c>
      <c r="B18" s="98">
        <f>'Jan 2026'!J14</f>
        <v/>
      </c>
      <c r="C18" s="98">
        <f>'Fev 2026'!J14</f>
        <v/>
      </c>
      <c r="D18" s="98">
        <f>'Mar 2026'!J14</f>
        <v/>
      </c>
      <c r="E18" s="98">
        <f>'Abr 2026'!J14</f>
        <v/>
      </c>
      <c r="F18" s="98">
        <f>'Mai 2026'!J14</f>
        <v/>
      </c>
      <c r="G18" s="98">
        <f>'Jun 2026'!J14</f>
        <v/>
      </c>
      <c r="H18" s="98">
        <f>'Jul 2026'!J14</f>
        <v/>
      </c>
      <c r="I18" s="98">
        <f>'Ago 2026'!L14</f>
        <v/>
      </c>
      <c r="J18" s="98">
        <f>'Set 2026'!L14</f>
        <v/>
      </c>
      <c r="K18" s="98">
        <f>'Out 2026'!L14</f>
        <v/>
      </c>
      <c r="L18" s="98">
        <f>'Nov 2026'!L14</f>
        <v/>
      </c>
      <c r="M18" s="98">
        <f>'Dez 2026'!L14</f>
        <v/>
      </c>
      <c r="N18" s="98">
        <f>SUM(B18:M18)</f>
        <v/>
      </c>
      <c r="O18" s="98">
        <f>IF($B$3=0,0,N18/$B$3)</f>
        <v/>
      </c>
    </row>
    <row r="19">
      <c r="A19" s="97" t="inlineStr">
        <is>
          <t xml:space="preserve">   (−) Estornos de Vendas (Cancelamentos)</t>
        </is>
      </c>
      <c r="B19" s="98">
        <f>'Jan 2026'!J15</f>
        <v/>
      </c>
      <c r="C19" s="98">
        <f>'Fev 2026'!J15</f>
        <v/>
      </c>
      <c r="D19" s="98">
        <f>'Mar 2026'!J15</f>
        <v/>
      </c>
      <c r="E19" s="98">
        <f>'Abr 2026'!J15</f>
        <v/>
      </c>
      <c r="F19" s="98">
        <f>'Mai 2026'!J15</f>
        <v/>
      </c>
      <c r="G19" s="98">
        <f>'Jun 2026'!J15</f>
        <v/>
      </c>
      <c r="H19" s="98">
        <f>'Jul 2026'!J15</f>
        <v/>
      </c>
      <c r="I19" s="98">
        <f>'Ago 2026'!L15</f>
        <v/>
      </c>
      <c r="J19" s="98">
        <f>'Set 2026'!L15</f>
        <v/>
      </c>
      <c r="K19" s="98">
        <f>'Out 2026'!L15</f>
        <v/>
      </c>
      <c r="L19" s="98">
        <f>'Nov 2026'!L15</f>
        <v/>
      </c>
      <c r="M19" s="98">
        <f>'Dez 2026'!L15</f>
        <v/>
      </c>
      <c r="N19" s="98">
        <f>SUM(B19:M19)</f>
        <v/>
      </c>
      <c r="O19" s="98">
        <f>IF($B$3=0,0,N19/$B$3)</f>
        <v/>
      </c>
    </row>
    <row r="20">
      <c r="A20" s="97" t="inlineStr">
        <is>
          <t xml:space="preserve">   (−) Estacionamento (dentro de Transporte e Entregas)</t>
        </is>
      </c>
      <c r="B20" s="98">
        <f>SUMIF('Jan 2026'!B5:B500,"Estacionamento*",'Jan 2026'!E5:E500)</f>
        <v/>
      </c>
      <c r="C20" s="98">
        <f>SUMIF('Fev 2026'!B5:B500,"Estacionamento*",'Fev 2026'!E5:E500)</f>
        <v/>
      </c>
      <c r="D20" s="98">
        <f>SUMIF('Mar 2026'!B5:B500,"Estacionamento*",'Mar 2026'!E5:E500)</f>
        <v/>
      </c>
      <c r="E20" s="98">
        <f>SUMIF('Abr 2026'!B5:B500,"Estacionamento*",'Abr 2026'!E5:E500)</f>
        <v/>
      </c>
      <c r="F20" s="98">
        <f>SUMIF('Mai 2026'!B5:B500,"Estacionamento*",'Mai 2026'!E5:E500)</f>
        <v/>
      </c>
      <c r="G20" s="98">
        <f>SUMIF('Jun 2026'!B5:B500,"Estacionamento*",'Jun 2026'!E5:E500)</f>
        <v/>
      </c>
      <c r="H20" s="98">
        <f>SUMIF('Jul 2026'!B5:B500,"Estacionamento*",'Jul 2026'!E5:E500)</f>
        <v/>
      </c>
      <c r="I20" s="98">
        <f>SUMIF('Ago 2026'!B5:B500,"Estacionamento*",'Ago 2026'!G5:G500)</f>
        <v/>
      </c>
      <c r="J20" s="98">
        <f>SUMIF('Set 2026'!B5:B500,"Estacionamento*",'Set 2026'!G5:G500)</f>
        <v/>
      </c>
      <c r="K20" s="98">
        <f>SUMIF('Out 2026'!B5:B500,"Estacionamento*",'Out 2026'!G5:G500)</f>
        <v/>
      </c>
      <c r="L20" s="98">
        <f>SUMIF('Nov 2026'!B5:B500,"Estacionamento*",'Nov 2026'!G5:G500)</f>
        <v/>
      </c>
      <c r="M20" s="98">
        <f>SUMIF('Dez 2026'!B5:B500,"Estacionamento*",'Dez 2026'!G5:G500)</f>
        <v/>
      </c>
      <c r="N20" s="98">
        <f>SUM(B20:M20)</f>
        <v/>
      </c>
      <c r="O20" s="98">
        <f>IF($B$3=0,0,N20/$B$3)</f>
        <v/>
      </c>
    </row>
    <row r="21">
      <c r="A21" s="97" t="inlineStr">
        <is>
          <t xml:space="preserve">   (−) Outras Despesas</t>
        </is>
      </c>
      <c r="B21" s="98">
        <f>'Jan 2026'!J16</f>
        <v/>
      </c>
      <c r="C21" s="98">
        <f>'Fev 2026'!J16</f>
        <v/>
      </c>
      <c r="D21" s="98">
        <f>'Mar 2026'!J16</f>
        <v/>
      </c>
      <c r="E21" s="98">
        <f>'Abr 2026'!J16</f>
        <v/>
      </c>
      <c r="F21" s="98">
        <f>'Mai 2026'!J16</f>
        <v/>
      </c>
      <c r="G21" s="98">
        <f>'Jun 2026'!J16</f>
        <v/>
      </c>
      <c r="H21" s="98">
        <f>'Jul 2026'!J16</f>
        <v/>
      </c>
      <c r="I21" s="98">
        <f>'Ago 2026'!L16</f>
        <v/>
      </c>
      <c r="J21" s="98">
        <f>'Set 2026'!L16</f>
        <v/>
      </c>
      <c r="K21" s="98">
        <f>'Out 2026'!L16</f>
        <v/>
      </c>
      <c r="L21" s="98">
        <f>'Nov 2026'!L16</f>
        <v/>
      </c>
      <c r="M21" s="98">
        <f>'Dez 2026'!L16</f>
        <v/>
      </c>
      <c r="N21" s="98">
        <f>SUM(B21:M21)</f>
        <v/>
      </c>
      <c r="O21" s="98">
        <f>IF($B$3=0,0,N21/$B$3)</f>
        <v/>
      </c>
    </row>
    <row r="22">
      <c r="A22" s="99" t="inlineStr">
        <is>
          <t>(=) CUSTOS FIXOS</t>
        </is>
      </c>
      <c r="B22" s="100">
        <f>SUM(B12:B21)</f>
        <v/>
      </c>
      <c r="C22" s="100">
        <f>SUM(C12:C21)</f>
        <v/>
      </c>
      <c r="D22" s="100">
        <f>SUM(D12:D21)</f>
        <v/>
      </c>
      <c r="E22" s="100">
        <f>SUM(E12:E21)</f>
        <v/>
      </c>
      <c r="F22" s="100">
        <f>SUM(F12:F21)</f>
        <v/>
      </c>
      <c r="G22" s="100">
        <f>SUM(G12:G21)</f>
        <v/>
      </c>
      <c r="H22" s="100">
        <f>SUM(H12:H21)</f>
        <v/>
      </c>
      <c r="I22" s="100">
        <f>SUM(I12:I21)</f>
        <v/>
      </c>
      <c r="J22" s="100">
        <f>SUM(J12:J21)</f>
        <v/>
      </c>
      <c r="K22" s="100">
        <f>SUM(K12:K21)</f>
        <v/>
      </c>
      <c r="L22" s="100">
        <f>SUM(L12:L21)</f>
        <v/>
      </c>
      <c r="M22" s="100">
        <f>SUM(M12:M21)</f>
        <v/>
      </c>
      <c r="N22" s="100">
        <f>SUM(B22:M22)</f>
        <v/>
      </c>
      <c r="O22" s="100">
        <f>IF($B$3=0,0,N22/$B$3)</f>
        <v/>
      </c>
    </row>
    <row r="23" ht="15.75" customHeight="1" s="158">
      <c r="A23" s="103" t="inlineStr">
        <is>
          <t>(=) RESULTADO DO MÊS</t>
        </is>
      </c>
      <c r="B23" s="104">
        <f>B10-B22</f>
        <v/>
      </c>
      <c r="C23" s="104">
        <f>C10-C22</f>
        <v/>
      </c>
      <c r="D23" s="104">
        <f>D10-D22</f>
        <v/>
      </c>
      <c r="E23" s="104">
        <f>E10-E22</f>
        <v/>
      </c>
      <c r="F23" s="104">
        <f>F10-F22</f>
        <v/>
      </c>
      <c r="G23" s="104">
        <f>G10-G22</f>
        <v/>
      </c>
      <c r="H23" s="104">
        <f>H10-H22</f>
        <v/>
      </c>
      <c r="I23" s="104">
        <f>I10-I22</f>
        <v/>
      </c>
      <c r="J23" s="104">
        <f>J10-J22</f>
        <v/>
      </c>
      <c r="K23" s="104">
        <f>K10-K22</f>
        <v/>
      </c>
      <c r="L23" s="104">
        <f>L10-L22</f>
        <v/>
      </c>
      <c r="M23" s="104">
        <f>M10-M22</f>
        <v/>
      </c>
      <c r="N23" s="104">
        <f>SUM(B23:M23)</f>
        <v/>
      </c>
      <c r="O23" s="104">
        <f>IF($B$3=0,0,N23/$B$3)</f>
        <v/>
      </c>
    </row>
    <row r="24">
      <c r="A24" s="101" t="inlineStr">
        <is>
          <t xml:space="preserve">      Margem Líquida (%)</t>
        </is>
      </c>
      <c r="B24" s="102">
        <f>IF(B5=0,"",B23/B5)</f>
        <v/>
      </c>
      <c r="C24" s="102">
        <f>IF(C5=0,"",C23/C5)</f>
        <v/>
      </c>
      <c r="D24" s="102">
        <f>IF(D5=0,"",D23/D5)</f>
        <v/>
      </c>
      <c r="E24" s="102">
        <f>IF(E5=0,"",E23/E5)</f>
        <v/>
      </c>
      <c r="F24" s="102">
        <f>IF(F5=0,"",F23/F5)</f>
        <v/>
      </c>
      <c r="G24" s="102">
        <f>IF(G5=0,"",G23/G5)</f>
        <v/>
      </c>
      <c r="H24" s="102">
        <f>IF(H5=0,"",H23/H5)</f>
        <v/>
      </c>
      <c r="I24" s="102">
        <f>IF(I5=0,"",I23/I5)</f>
        <v/>
      </c>
      <c r="J24" s="102">
        <f>IF(J5=0,"",J23/J5)</f>
        <v/>
      </c>
      <c r="K24" s="102">
        <f>IF(K5=0,"",K23/K5)</f>
        <v/>
      </c>
      <c r="L24" s="102">
        <f>IF(L5=0,"",L23/L5)</f>
        <v/>
      </c>
      <c r="M24" s="102">
        <f>IF(M5=0,"",M23/M5)</f>
        <v/>
      </c>
      <c r="N24" s="102">
        <f>IF(N5=0,"",N23/N5)</f>
        <v/>
      </c>
      <c r="O24" s="102">
        <f>IF(N5=0,"",N23/N5)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2026'!J17</f>
        <v/>
      </c>
      <c r="C27" s="108">
        <f>'Fev 2026'!J17</f>
        <v/>
      </c>
      <c r="D27" s="108">
        <f>'Mar 2026'!J17</f>
        <v/>
      </c>
      <c r="E27" s="108">
        <f>'Abr 2026'!J17</f>
        <v/>
      </c>
      <c r="F27" s="108">
        <f>'Mai 2026'!J17</f>
        <v/>
      </c>
      <c r="G27" s="108">
        <f>'Jun 2026'!J17</f>
        <v/>
      </c>
      <c r="H27" s="108">
        <f>'Jul 2026'!J17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8">
      <c r="A30" s="183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3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3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7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15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8" t="inlineStr">
        <is>
          <t>CONTAS A PAGAR E A RECEBER</t>
        </is>
      </c>
    </row>
    <row r="2">
      <c r="A2" s="196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9" t="inlineStr">
        <is>
          <t>← Início</t>
        </is>
      </c>
    </row>
    <row r="4">
      <c r="A4" s="199" t="inlineStr">
        <is>
          <t>TOTAL A PAGAR (EM ABERTO)</t>
        </is>
      </c>
      <c r="C4" s="207" t="inlineStr">
        <is>
          <t>TOTAL A RECEBER (AUTOMÁTICO)</t>
        </is>
      </c>
      <c r="E4" s="200" t="inlineStr">
        <is>
          <t>SALDO (RECEBER − PAGAR)</t>
        </is>
      </c>
    </row>
    <row r="5">
      <c r="A5" s="190">
        <f>D68</f>
        <v/>
      </c>
      <c r="C5" s="203">
        <f>'Ago 2026'!T5+'Set 2026'!T5+'Out 2026'!T5+'Nov 2026'!T5+'Dez 2026'!T5</f>
        <v/>
      </c>
      <c r="E5" s="204">
        <f>C5-A5</f>
        <v/>
      </c>
    </row>
    <row r="6"/>
    <row r="9" ht="21.95" customHeight="1" s="158">
      <c r="A9" s="201" t="inlineStr">
        <is>
          <t>CONTAS A PAGAR  —  o que a loja ainda deve</t>
        </is>
      </c>
    </row>
    <row r="10" ht="26.1" customHeight="1" s="158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</t>
        </is>
      </c>
      <c r="B11" s="78" t="inlineStr">
        <is>
          <t>Empréstimo de reserva usado para pagar contas da loja em Ago/2026</t>
        </is>
      </c>
      <c r="C11" s="77" t="n"/>
      <c r="D11" s="79">
        <f>'Capital de Giro (BB)'!C5</f>
        <v/>
      </c>
      <c r="E11" s="112" t="inlineStr">
        <is>
          <t>Pago</t>
        </is>
      </c>
      <c r="F11" s="112">
        <f>IF(OR($E11="Pago",$C11=""),"",MAX(0,TODAY()-$C11))</f>
        <v/>
      </c>
      <c r="G11" s="78" t="inlineStr">
        <is>
          <t>Detalhe na aba Capital de Giro (BB). Quitado integralmente em 31/08/2026 (aporte de Adriano na reserva).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03/09/2026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Pendente</t>
        </is>
      </c>
      <c r="F25" s="113">
        <f>IF(OR($E25="Pago",$C25=""),"",MAX(0,TODAY()-$C25))</f>
        <v/>
      </c>
      <c r="G25" s="78" t="inlineStr">
        <is>
          <t>Categoria quando pagar: Transporte e Entregas. Boleto Bradesco 237-2, nosso número 34840262224-4, cedente 6348-/017737-7. Após o vencimento: R$ 0,44 por dia de atraso; protesto a partir do 7º dia.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Pendente</t>
        </is>
      </c>
      <c r="F26" s="113">
        <f>IF(OR($E26="Pago",$C26=""),"",MAX(0,TODAY()-$C26))</f>
        <v/>
      </c>
      <c r="G26" s="82" t="inlineStr">
        <is>
          <t>Categoria quando pagar: Impostos e Taxas.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Pendente</t>
        </is>
      </c>
      <c r="F27" s="112">
        <f>IF(OR($E27="Pago",$C27=""),"",MAX(0,TODAY()-$C27))</f>
        <v/>
      </c>
      <c r="G27" s="78" t="inlineStr">
        <is>
          <t>Categoria quando pagar: Impostos e Taxas.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Pendente</t>
        </is>
      </c>
      <c r="F29" s="112">
        <f>IF(OR($E29="Pago",$C29=""),"",MAX(0,TODAY()-$C29))</f>
        <v/>
      </c>
      <c r="G29" s="78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Pendente</t>
        </is>
      </c>
      <c r="F36" s="113">
        <f>IF(OR($E36="Pago",$C36=""),"",MAX(0,TODAY()-$C36))</f>
        <v/>
      </c>
      <c r="G36" s="82" t="inlineStr">
        <is>
          <t>Categoria quando pagar: Fornecedores / Mercadoria. Boleto Itaú 341-7. Nosso número 112/21336084-8. Linha digitável 34191.12218 33608.480308 52238.850003 9 15710000013931. Após o vencimento: juros ao dia + multa de 2%.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Pendente</t>
        </is>
      </c>
      <c r="F37" s="112">
        <f>IF(OR($E37="Pago",$C37=""),"",MAX(0,TODAY()-$C37))</f>
        <v/>
      </c>
      <c r="G37" s="78" t="inlineStr">
        <is>
          <t>Categoria quando pagar: Fornecedores / Mercadoria. Boleto Itaú 341-7. Nosso número 112/21336022-8. Linha digitável 34191.12218 33602.280308 52238.850003 5 15710000086550. Após o vencimento: juros ao dia + multa de 2%.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Pendente</t>
        </is>
      </c>
      <c r="F38" s="113">
        <f>IF(OR($E38="Pago",$C38=""),"",MAX(0,TODAY()-$C38))</f>
        <v/>
      </c>
      <c r="G38" s="82" t="inlineStr">
        <is>
          <t>Categoria quando pagar: Fornecedores / Mercadoria. Boleto Itaú 341-7. Nosso número 112/21336008-7. Linha digitável 34191.12218 33600.870308 52238.850003 9 15710000085635. Após o vencimento: juros ao dia + multa de 2%.</t>
        </is>
      </c>
    </row>
    <row r="39" ht="21.95" customHeight="1" s="158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Pendente</t>
        </is>
      </c>
      <c r="F39" s="112">
        <f>IF(OR($E39="Pago",$C39=""),"",MAX(0,TODAY()-$C39))</f>
        <v/>
      </c>
      <c r="G39" s="78" t="inlineStr">
        <is>
          <t>Categoria quando pagar: Fornecedores / Mercadoria. Boleto Itaú 341-7. Nosso número 112/25528668-7. Linha digitável 34191.12259 52866.870307 52238.850003 7 15750000087468. Após o vencimento: juros ao dia + multa de 2%.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8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49" t="inlineStr">
        <is>
          <t>Eversoft Ind e Com de Plasticos Ltda</t>
        </is>
      </c>
      <c r="B45" s="149" t="inlineStr">
        <is>
          <t>Mercadoria — doc. 74454 (emissão 17/07/2026) · parcela 4/5</t>
        </is>
      </c>
      <c r="C45" s="150" t="n">
        <v>46340</v>
      </c>
      <c r="D45" s="151" t="n">
        <v>980.83</v>
      </c>
      <c r="E45" s="152" t="inlineStr">
        <is>
          <t>Previsto</t>
        </is>
      </c>
      <c r="F45" s="153">
        <f>IF(OR($E45="Pago",$C45=""),"",MAX(0,TODAY()-$C45))</f>
        <v/>
      </c>
      <c r="G45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49" t="inlineStr">
        <is>
          <t>Everest Refrigeracao e Industria</t>
        </is>
      </c>
      <c r="B46" s="149" t="inlineStr">
        <is>
          <t>Mercadoria — doc. 381554 (emissão 17/07/2026) · parcela 4/5</t>
        </is>
      </c>
      <c r="C46" s="150" t="n">
        <v>46340</v>
      </c>
      <c r="D46" s="151" t="n">
        <v>892.3</v>
      </c>
      <c r="E46" s="152" t="inlineStr">
        <is>
          <t>Previsto</t>
        </is>
      </c>
      <c r="F46" s="153">
        <f>IF(OR($E46="Pago",$C46=""),"",MAX(0,TODAY()-$C46))</f>
        <v/>
      </c>
      <c r="G46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49" t="inlineStr">
        <is>
          <t>Everest Refrigeracao e Industria</t>
        </is>
      </c>
      <c r="B47" s="149" t="inlineStr">
        <is>
          <t>Mercadoria — doc. 379826 (emissão 22/06/2026) · parcela 5/5 (última)</t>
        </is>
      </c>
      <c r="C47" s="150" t="n">
        <v>46345</v>
      </c>
      <c r="D47" s="151" t="n">
        <v>874.6799999999999</v>
      </c>
      <c r="E47" s="152" t="inlineStr">
        <is>
          <t>Previsto</t>
        </is>
      </c>
      <c r="F47" s="153">
        <f>IF(OR($E47="Pago",$C47=""),"",MAX(0,TODAY()-$C47))</f>
        <v/>
      </c>
      <c r="G47" s="14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49" t="inlineStr">
        <is>
          <t>Eversoft Ind e Com de Plasticos Ltda</t>
        </is>
      </c>
      <c r="B48" s="149" t="inlineStr">
        <is>
          <t>Mercadoria — doc. 75472 (emissão 26/08/2026) · parcela 3/5</t>
        </is>
      </c>
      <c r="C48" s="150" t="n">
        <v>46350</v>
      </c>
      <c r="D48" s="151" t="n">
        <v>940.0599999999999</v>
      </c>
      <c r="E48" s="152" t="inlineStr">
        <is>
          <t>Previsto</t>
        </is>
      </c>
      <c r="F48" s="153">
        <f>IF(OR($E48="Pago",$C48=""),"",MAX(0,TODAY()-$C48))</f>
        <v/>
      </c>
      <c r="G48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49" t="inlineStr">
        <is>
          <t>Everest Refrigeracao e Industria</t>
        </is>
      </c>
      <c r="B49" s="149" t="inlineStr">
        <is>
          <t>Mercadoria — doc. 381554 (emissão 17/07/2026) · parcela 5/5 (última)</t>
        </is>
      </c>
      <c r="C49" s="150" t="n">
        <v>46370</v>
      </c>
      <c r="D49" s="151" t="n">
        <v>892.29</v>
      </c>
      <c r="E49" s="152" t="inlineStr">
        <is>
          <t>Previsto</t>
        </is>
      </c>
      <c r="F49" s="153">
        <f>IF(OR($E49="Pago",$C49=""),"",MAX(0,TODAY()-$C49))</f>
        <v/>
      </c>
      <c r="G49" s="14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49" t="inlineStr">
        <is>
          <t>Eversoft Ind e Com de Plasticos Ltda</t>
        </is>
      </c>
      <c r="B50" s="149" t="inlineStr">
        <is>
          <t>Mercadoria — doc. 74454 (emissão 17/07/2026) · parcela 5/5 (última)</t>
        </is>
      </c>
      <c r="C50" s="150" t="n">
        <v>46370</v>
      </c>
      <c r="D50" s="151" t="n">
        <v>980.8099999999999</v>
      </c>
      <c r="E50" s="152" t="inlineStr">
        <is>
          <t>Previsto</t>
        </is>
      </c>
      <c r="F50" s="153">
        <f>IF(OR($E50="Pago",$C50=""),"",MAX(0,TODAY()-$C50))</f>
        <v/>
      </c>
      <c r="G50" s="14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49" t="inlineStr">
        <is>
          <t>Eversoft Ind e Com de Plasticos Ltda</t>
        </is>
      </c>
      <c r="B51" s="149" t="inlineStr">
        <is>
          <t>Mercadoria — doc. 75472 (emissão 26/08/2026) · parcela 4/5</t>
        </is>
      </c>
      <c r="C51" s="150" t="n">
        <v>46380</v>
      </c>
      <c r="D51" s="151" t="n">
        <v>940.0599999999999</v>
      </c>
      <c r="E51" s="152" t="inlineStr">
        <is>
          <t>Previsto</t>
        </is>
      </c>
      <c r="F51" s="153">
        <f>IF(OR($E51="Pago",$C51=""),"",MAX(0,TODAY()-$C51))</f>
        <v/>
      </c>
      <c r="G51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49" t="inlineStr">
        <is>
          <t>Eversoft Ind e Com de Plasticos Ltda</t>
        </is>
      </c>
      <c r="B52" s="149" t="inlineStr">
        <is>
          <t>Mercadoria — doc. 75472 (emissão 26/08/2026) · parcela 5/5 (última)</t>
        </is>
      </c>
      <c r="C52" s="150" t="n">
        <v>46410</v>
      </c>
      <c r="D52" s="151" t="n">
        <v>940.08</v>
      </c>
      <c r="E52" s="152" t="inlineStr">
        <is>
          <t>Previsto</t>
        </is>
      </c>
      <c r="F52" s="153">
        <f>IF(OR($E52="Pago",$C52=""),"",MAX(0,TODAY()-$C52))</f>
        <v/>
      </c>
      <c r="G52" s="14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Pendente</t>
        </is>
      </c>
      <c r="F53" s="112">
        <f>IF(OR($E53="Pago",$C53=""),"",MAX(0,TODAY()-$C53))</f>
        <v/>
      </c>
      <c r="G53" s="78" t="inlineStr">
        <is>
          <t>Categoria quando pagar: Fornecedores / Mercadoria. Boleto Itaú 341-7 (carteira 109). Nosso número 109/00255359-0. Linha digitável 34191.09008 25535.901430 81531.550002 9 15710000138585. Após o vencimento: multa de 1,9% + juros de 0,1% ao dia; protesto no 5º dia útil.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Pendente</t>
        </is>
      </c>
      <c r="F56" s="113">
        <f>IF(OR($E56="Pago",$C56=""),"",MAX(0,TODAY()-$C56))</f>
        <v/>
      </c>
      <c r="G56" s="82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49" t="inlineStr">
        <is>
          <t>Wiliam Pinto Bispo</t>
        </is>
      </c>
      <c r="B60" s="149" t="inlineStr">
        <is>
          <t>Salário mensal — competência setembro/2026</t>
        </is>
      </c>
      <c r="C60" s="150" t="n">
        <v>46296</v>
      </c>
      <c r="D60" s="151" t="n">
        <v>1571.32</v>
      </c>
      <c r="E60" s="152" t="inlineStr">
        <is>
          <t>Previsto</t>
        </is>
      </c>
      <c r="F60" s="153">
        <f>IF(OR($E60="Pago",$C60=""),"",MAX(0,TODAY()-$C60))</f>
        <v/>
      </c>
      <c r="G60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>
      <c r="A61" s="149" t="inlineStr">
        <is>
          <t>Wiliam Pinto Bispo</t>
        </is>
      </c>
      <c r="B61" s="149" t="inlineStr">
        <is>
          <t>Salário mensal — competência outubro/2026</t>
        </is>
      </c>
      <c r="C61" s="150" t="n">
        <v>46327</v>
      </c>
      <c r="D61" s="151" t="n">
        <v>1571.32</v>
      </c>
      <c r="E61" s="152" t="inlineStr">
        <is>
          <t>Previsto</t>
        </is>
      </c>
      <c r="F61" s="153">
        <f>IF(OR($E61="Pago",$C61=""),"",MAX(0,TODAY()-$C61))</f>
        <v/>
      </c>
      <c r="G61" s="14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6">
      <c r="A66" s="86" t="inlineStr">
        <is>
          <t>TOTAL A PAGAR — COM BOLETO EM MÃOS</t>
        </is>
      </c>
      <c r="B66" s="86" t="n"/>
      <c r="C66" s="114" t="n"/>
      <c r="D66" s="115">
        <f>SUMIF(E11:E65,"Pendente",D11:D65)</f>
        <v/>
      </c>
      <c r="E66" s="116" t="n"/>
      <c r="F66" s="116" t="n"/>
      <c r="G66" s="86" t="n"/>
    </row>
    <row r="67">
      <c r="A67" s="154" t="inlineStr">
        <is>
          <t>PREVISTO — compromisso certo que ainda não está documentado</t>
        </is>
      </c>
      <c r="B67" s="154" t="n"/>
      <c r="C67" s="155" t="n"/>
      <c r="D67" s="156">
        <f>SUMIF(E11:E65,"Previsto",D11:D65)</f>
        <v/>
      </c>
      <c r="E67" s="152" t="n"/>
      <c r="F67" s="152" t="n"/>
      <c r="G67" s="154" t="n"/>
    </row>
    <row r="68">
      <c r="A68" s="86" t="inlineStr">
        <is>
          <t>TOTAL GERAL A PAGAR (boletos + previsão)</t>
        </is>
      </c>
      <c r="B68" s="86" t="n"/>
      <c r="C68" s="114" t="n"/>
      <c r="D68" s="115">
        <f>D66+D67</f>
        <v/>
      </c>
      <c r="E68" s="116" t="n"/>
      <c r="F68" s="116" t="n"/>
      <c r="G68" s="86" t="n"/>
    </row>
    <row r="71" ht="15.75" customHeight="1" s="158">
      <c r="A71" s="206" t="inlineStr">
        <is>
          <t>CONTAS A RECEBER  —  vendas feitas e ainda não pagas</t>
        </is>
      </c>
    </row>
    <row r="72">
      <c r="A72" s="195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73">
      <c r="A73" s="111" t="inlineStr">
        <is>
          <t>Cliente</t>
        </is>
      </c>
      <c r="B73" s="111" t="inlineStr">
        <is>
          <t>Produto / Referência</t>
        </is>
      </c>
      <c r="C73" s="111" t="inlineStr">
        <is>
          <t>Data da Venda</t>
        </is>
      </c>
      <c r="D73" s="111" t="inlineStr">
        <is>
          <t>Valor (R$)</t>
        </is>
      </c>
      <c r="E73" s="111" t="inlineStr">
        <is>
          <t>Status</t>
        </is>
      </c>
      <c r="F73" s="111" t="inlineStr">
        <is>
          <t>Dias em Atraso</t>
        </is>
      </c>
      <c r="G73" s="111" t="inlineStr">
        <is>
          <t>Observações</t>
        </is>
      </c>
    </row>
    <row r="74">
      <c r="A74" s="78" t="inlineStr">
        <is>
          <t>Centro de Especialidades Odontomédicas</t>
        </is>
      </c>
      <c r="B74" s="78" t="inlineStr">
        <is>
          <t>Refil Everest</t>
        </is>
      </c>
      <c r="C74" s="77" t="n">
        <v>46239</v>
      </c>
      <c r="D74" s="79" t="n">
        <v>140</v>
      </c>
      <c r="E74" s="112" t="inlineStr">
        <is>
          <t>Pendente</t>
        </is>
      </c>
      <c r="F74" s="112">
        <f>IF(OR($E74="Recebido",$C74=""),"",MAX(0,TODAY()-$C74))</f>
        <v/>
      </c>
      <c r="G74" s="78" t="n"/>
    </row>
    <row r="75">
      <c r="A75" s="82" t="inlineStr">
        <is>
          <t>Supermercado Brasil</t>
        </is>
      </c>
      <c r="B75" s="82" t="inlineStr">
        <is>
          <t>2x Refil Pro Life</t>
        </is>
      </c>
      <c r="C75" s="81" t="n">
        <v>46239</v>
      </c>
      <c r="D75" s="83" t="n">
        <v>280</v>
      </c>
      <c r="E75" s="113" t="inlineStr">
        <is>
          <t>Pendente</t>
        </is>
      </c>
      <c r="F75" s="113">
        <f>IF(OR($E75="Recebido",$C75=""),"",MAX(0,TODAY()-$C75))</f>
        <v/>
      </c>
      <c r="G75" s="82" t="n"/>
    </row>
    <row r="76">
      <c r="A76" s="78" t="inlineStr">
        <is>
          <t>Tropical Motos LTDA</t>
        </is>
      </c>
      <c r="B76" s="78" t="inlineStr">
        <is>
          <t>3x Refil Everest + Refil Pro Life + 3x Pré Filtro + Válvula Reguladora de Pressão</t>
        </is>
      </c>
      <c r="C76" s="77" t="n">
        <v>46245</v>
      </c>
      <c r="D76" s="79" t="n">
        <v>820</v>
      </c>
      <c r="E76" s="112" t="inlineStr">
        <is>
          <t>Recebido</t>
        </is>
      </c>
      <c r="F76" s="112">
        <f>IF(OR($E76="Recebido",$C76=""),"",MAX(0,TODAY()-$C76))</f>
        <v/>
      </c>
      <c r="G76" s="78" t="inlineStr">
        <is>
          <t>Recebido via TED em 25/08/2026. NF conferida: valor correto é R$820 (faltava a válvula no lançamento original de R$740).</t>
        </is>
      </c>
    </row>
    <row r="77">
      <c r="A77" s="82" t="inlineStr">
        <is>
          <t>Free Way</t>
        </is>
      </c>
      <c r="B77" s="82" t="inlineStr">
        <is>
          <t>5x Refil Everest</t>
        </is>
      </c>
      <c r="C77" s="81" t="n">
        <v>46251</v>
      </c>
      <c r="D77" s="83" t="n">
        <v>700</v>
      </c>
      <c r="E77" s="113" t="inlineStr">
        <is>
          <t>Recebido</t>
        </is>
      </c>
      <c r="F77" s="113">
        <f>IF(OR($E77="Recebido",$C77=""),"",MAX(0,TODAY()-$C77))</f>
        <v/>
      </c>
      <c r="G77" s="82" t="inlineStr">
        <is>
          <t>Recebido via TED em 02/09/2026.</t>
        </is>
      </c>
    </row>
    <row r="78">
      <c r="A78" s="78" t="inlineStr">
        <is>
          <t>Neli Sena Rego</t>
        </is>
      </c>
      <c r="B78" s="78" t="inlineStr">
        <is>
          <t>Refil Pro Life</t>
        </is>
      </c>
      <c r="C78" s="77" t="n">
        <v>46254</v>
      </c>
      <c r="D78" s="79" t="n">
        <v>140</v>
      </c>
      <c r="E78" s="112" t="inlineStr">
        <is>
          <t>Recebido</t>
        </is>
      </c>
      <c r="F78" s="112">
        <f>IF(OR($E78="Recebido",$C78=""),"",MAX(0,TODAY()-$C78))</f>
        <v/>
      </c>
      <c r="G78" s="78" t="inlineStr">
        <is>
          <t>Recebido em dinheiro em 01/09/2026 (R$ 170,00 pelas duas vendas)</t>
        </is>
      </c>
    </row>
    <row r="79">
      <c r="A79" s="82" t="inlineStr">
        <is>
          <t>Neli Sena Rego</t>
        </is>
      </c>
      <c r="B79" s="82" t="inlineStr">
        <is>
          <t>Conexão + Mangueira</t>
        </is>
      </c>
      <c r="C79" s="81" t="n">
        <v>46255</v>
      </c>
      <c r="D79" s="83" t="n">
        <v>40</v>
      </c>
      <c r="E79" s="113" t="inlineStr">
        <is>
          <t>Recebido</t>
        </is>
      </c>
      <c r="F79" s="113">
        <f>IF(OR($E79="Recebido",$C79=""),"",MAX(0,TODAY()-$C79))</f>
        <v/>
      </c>
      <c r="G79" s="82" t="inlineStr">
        <is>
          <t>Recebido em dinheiro em 01/09/2026 (R$ 170,00 pelas duas vendas)</t>
        </is>
      </c>
    </row>
    <row r="80">
      <c r="A80" s="78" t="inlineStr">
        <is>
          <t>Lapec</t>
        </is>
      </c>
      <c r="B80" s="78" t="inlineStr">
        <is>
          <t>4x Refil Everest</t>
        </is>
      </c>
      <c r="C80" s="77" t="n">
        <v>46258</v>
      </c>
      <c r="D80" s="79" t="n">
        <v>480</v>
      </c>
      <c r="E80" s="112" t="inlineStr">
        <is>
          <t>Recebido</t>
        </is>
      </c>
      <c r="F80" s="112">
        <f>IF(OR($E80="Recebido",$C80=""),"",MAX(0,TODAY()-$C80))</f>
        <v/>
      </c>
      <c r="G80" s="78" t="inlineStr">
        <is>
          <t>Recebido em dinheiro em 08/09/2026 — lançado em "Set 2026".</t>
        </is>
      </c>
    </row>
    <row r="81">
      <c r="A81" s="82" t="inlineStr">
        <is>
          <t>Cícero Lima</t>
        </is>
      </c>
      <c r="B81" s="82" t="inlineStr">
        <is>
          <t>Refil Everest</t>
        </is>
      </c>
      <c r="C81" s="81" t="n">
        <v>46261</v>
      </c>
      <c r="D81" s="83" t="n">
        <v>140</v>
      </c>
      <c r="E81" s="113" t="inlineStr">
        <is>
          <t>Recebido</t>
        </is>
      </c>
      <c r="F81" s="113">
        <f>IF(OR($E81="Recebido",$C81=""),"",MAX(0,TODAY()-$C81))</f>
        <v/>
      </c>
      <c r="G81" s="82" t="inlineStr">
        <is>
          <t>Recebido via Pix em 27/08/2026</t>
        </is>
      </c>
    </row>
    <row r="82">
      <c r="A82" s="78" t="inlineStr">
        <is>
          <t>Promotoria Regional de Jacobina</t>
        </is>
      </c>
      <c r="B82" s="78" t="inlineStr">
        <is>
          <t>2x Carcaça 9" + 2x Refil Plissado 9" + Conexão Reta Rosca</t>
        </is>
      </c>
      <c r="C82" s="77" t="n">
        <v>46261</v>
      </c>
      <c r="D82" s="79" t="n">
        <v>470</v>
      </c>
      <c r="E82" s="112" t="inlineStr">
        <is>
          <t>Recebido</t>
        </is>
      </c>
      <c r="F82" s="112">
        <f>IF(OR($E82="Recebido",$C82=""),"",MAX(0,TODAY()-$C82))</f>
        <v/>
      </c>
      <c r="G82" s="78" t="inlineStr">
        <is>
          <t>Pago em 28/08/2026 em duas formas: R$ 270,00 Pix + R$ 200,00 crédito 2x</t>
        </is>
      </c>
    </row>
    <row r="83">
      <c r="A83" s="82" t="inlineStr">
        <is>
          <t>Lucas Souza</t>
        </is>
      </c>
      <c r="B83" s="82" t="inlineStr">
        <is>
          <t>Refil Everest + Pré Filtro</t>
        </is>
      </c>
      <c r="C83" s="81" t="n">
        <v>46261</v>
      </c>
      <c r="D83" s="83" t="n">
        <v>200</v>
      </c>
      <c r="E83" s="113" t="inlineStr">
        <is>
          <t>Recebido</t>
        </is>
      </c>
      <c r="F83" s="113">
        <f>IF(OR($E83="Recebido",$C83=""),"",MAX(0,TODAY()-$C83))</f>
        <v/>
      </c>
      <c r="G83" s="82" t="inlineStr">
        <is>
          <t>Recebido em dinheiro em 03/09/2026 — lançado em "Set 2026".</t>
        </is>
      </c>
    </row>
    <row r="84">
      <c r="A84" s="78" t="inlineStr">
        <is>
          <t>FG Boa Vista (Recife/PE)</t>
        </is>
      </c>
      <c r="B84" s="78" t="inlineStr">
        <is>
          <t>Refis — troca de julho/2026</t>
        </is>
      </c>
      <c r="C84" s="77" t="n">
        <v>46261</v>
      </c>
      <c r="D84" s="79" t="n">
        <v>1008.8</v>
      </c>
      <c r="E84" s="112" t="inlineStr">
        <is>
          <t>Recebido</t>
        </is>
      </c>
      <c r="F84" s="112">
        <f>IF(OR($E84="Recebido",$C84=""),"",MAX(0,TODAY()-$C84))</f>
        <v/>
      </c>
      <c r="G84" s="78" t="inlineStr">
        <is>
          <t>Grupo Ânima — NF 000.004.280 · recebido em 30/08/2026 (Nota Paga no portal V360)</t>
        </is>
      </c>
    </row>
    <row r="85">
      <c r="A85" s="82" t="inlineStr">
        <is>
          <t>UNIFG Guanambi (Guanambi/BA)</t>
        </is>
      </c>
      <c r="B85" s="82" t="inlineStr">
        <is>
          <t>Refis — troca de julho/2026</t>
        </is>
      </c>
      <c r="C85" s="81" t="n">
        <v>46261</v>
      </c>
      <c r="D85" s="83" t="n">
        <v>4534.75</v>
      </c>
      <c r="E85" s="113" t="inlineStr">
        <is>
          <t>Recebido</t>
        </is>
      </c>
      <c r="F85" s="113">
        <f>IF(OR($E85="Recebido",$C85=""),"",MAX(0,TODAY()-$C85))</f>
        <v/>
      </c>
      <c r="G85" s="82" t="inlineStr">
        <is>
          <t>Grupo Ânima — NF 000.004.281 · recebido em 30/08/2026 (Nota Paga no portal V360)</t>
        </is>
      </c>
    </row>
    <row r="86">
      <c r="A86" s="78" t="inlineStr">
        <is>
          <t>UNP Zona Norte (Natal/RN)</t>
        </is>
      </c>
      <c r="B86" s="78" t="inlineStr">
        <is>
          <t>Refis — troca de julho/2026</t>
        </is>
      </c>
      <c r="C86" s="77" t="n">
        <v>46261</v>
      </c>
      <c r="D86" s="79" t="n">
        <v>870</v>
      </c>
      <c r="E86" s="112" t="inlineStr">
        <is>
          <t>Recebido</t>
        </is>
      </c>
      <c r="F86" s="112">
        <f>IF(OR($E86="Recebido",$C86=""),"",MAX(0,TODAY()-$C86))</f>
        <v/>
      </c>
      <c r="G86" s="78" t="inlineStr">
        <is>
          <t>Grupo Ânima — NF 000.004.282 · recebido em 30/08/2026 (Nota Paga no portal V360)</t>
        </is>
      </c>
    </row>
    <row r="87">
      <c r="A87" s="82" t="inlineStr">
        <is>
          <t>UNP Caicó (Caicó/RN)</t>
        </is>
      </c>
      <c r="B87" s="82" t="inlineStr">
        <is>
          <t>Refis — troca de julho/2026</t>
        </is>
      </c>
      <c r="C87" s="81" t="n">
        <v>46261</v>
      </c>
      <c r="D87" s="83" t="n">
        <v>440</v>
      </c>
      <c r="E87" s="113" t="inlineStr">
        <is>
          <t>Recebido</t>
        </is>
      </c>
      <c r="F87" s="113">
        <f>IF(OR($E87="Recebido",$C87=""),"",MAX(0,TODAY()-$C87))</f>
        <v/>
      </c>
      <c r="G87" s="82" t="inlineStr">
        <is>
          <t>Grupo Ânima — NF 000.004.283 · recebido via Pix em 27/08/2026</t>
        </is>
      </c>
    </row>
    <row r="88">
      <c r="A88" s="78" t="inlineStr">
        <is>
          <t>AGES Irecê (Irecê/BA)</t>
        </is>
      </c>
      <c r="B88" s="78" t="inlineStr">
        <is>
          <t>Refis — troca de julho/2026</t>
        </is>
      </c>
      <c r="C88" s="77" t="n">
        <v>46269</v>
      </c>
      <c r="D88" s="79" t="n">
        <v>1338.6</v>
      </c>
      <c r="E88" s="112" t="inlineStr">
        <is>
          <t>Recebido</t>
        </is>
      </c>
      <c r="F88" s="112">
        <f>IF(OR($E88="Recebido",$C88=""),"",MAX(0,TODAY()-$C88))</f>
        <v/>
      </c>
      <c r="G88" s="78" t="inlineStr">
        <is>
          <t>Grupo Ânima — NF 000.004.294 · recebido via Pix em 04/09/2026.</t>
        </is>
      </c>
    </row>
    <row r="89">
      <c r="A89" s="82" t="inlineStr">
        <is>
          <t>CIS Irecê (Irecê/BA)</t>
        </is>
      </c>
      <c r="B89" s="82" t="inlineStr">
        <is>
          <t>Refis — troca de julho/2026</t>
        </is>
      </c>
      <c r="C89" s="81" t="n">
        <v>46269</v>
      </c>
      <c r="D89" s="83" t="n">
        <v>1358</v>
      </c>
      <c r="E89" s="113" t="inlineStr">
        <is>
          <t>Recebido</t>
        </is>
      </c>
      <c r="F89" s="113">
        <f>IF(OR($E89="Recebido",$C89=""),"",MAX(0,TODAY()-$C89))</f>
        <v/>
      </c>
      <c r="G89" s="82" t="inlineStr">
        <is>
          <t>Grupo Ânima — NF 000.004.295 · recebido via Pix em 04/09/2026.</t>
        </is>
      </c>
    </row>
    <row r="90">
      <c r="A90" s="78" t="inlineStr">
        <is>
          <t>AGES Senhor do Bonfim (S. do Bonfim/BA)</t>
        </is>
      </c>
      <c r="B90" s="78" t="inlineStr">
        <is>
          <t>Refis — troca de julho/2026</t>
        </is>
      </c>
      <c r="C90" s="77" t="n">
        <v>46270</v>
      </c>
      <c r="D90" s="79" t="n">
        <v>649.9</v>
      </c>
      <c r="E90" s="112" t="inlineStr">
        <is>
          <t>Recebido</t>
        </is>
      </c>
      <c r="F90" s="112">
        <f>IF(OR($E90="Recebido",$C90=""),"",MAX(0,TODAY()-$C90))</f>
        <v/>
      </c>
      <c r="G90" s="78" t="inlineStr">
        <is>
          <t>Grupo Ânima — NF 000.004.298 · recebido via Pix em 08/09/2026.</t>
        </is>
      </c>
    </row>
    <row r="91">
      <c r="A91" s="82" t="inlineStr">
        <is>
          <t>CIS Senhor do Bonfim (S. do Bonfim/BA)</t>
        </is>
      </c>
      <c r="B91" s="82" t="inlineStr">
        <is>
          <t>Refis — troca de julho/2026</t>
        </is>
      </c>
      <c r="C91" s="81" t="n">
        <v>46270</v>
      </c>
      <c r="D91" s="83" t="n">
        <v>562.6</v>
      </c>
      <c r="E91" s="113" t="inlineStr">
        <is>
          <t>Recebido</t>
        </is>
      </c>
      <c r="F91" s="113">
        <f>IF(OR($E91="Recebido",$C91=""),"",MAX(0,TODAY()-$C91))</f>
        <v/>
      </c>
      <c r="G91" s="82" t="inlineStr">
        <is>
          <t>Grupo Ânima — NF 000.004.299 · recebido via Pix em 08/09/2026.</t>
        </is>
      </c>
    </row>
    <row r="92">
      <c r="A92" s="78" t="inlineStr">
        <is>
          <t>AGES Paripiranga (Paripiranga/BA)</t>
        </is>
      </c>
      <c r="B92" s="78" t="inlineStr">
        <is>
          <t>Refis — troca de julho/2026</t>
        </is>
      </c>
      <c r="C92" s="77" t="n">
        <v>46270</v>
      </c>
      <c r="D92" s="79" t="n">
        <v>1086.4</v>
      </c>
      <c r="E92" s="112" t="inlineStr">
        <is>
          <t>Recebido</t>
        </is>
      </c>
      <c r="F92" s="112">
        <f>IF(OR($E92="Recebido",$C92=""),"",MAX(0,TODAY()-$C92))</f>
        <v/>
      </c>
      <c r="G92" s="78" t="inlineStr">
        <is>
          <t>Grupo Ânima — NF 000.004.300 · recebido via Pix em 08/09/2026.</t>
        </is>
      </c>
    </row>
    <row r="93">
      <c r="A93" s="82" t="inlineStr">
        <is>
          <t>Clínica Veterinária Paripiranga (Paripiranga/BA)</t>
        </is>
      </c>
      <c r="B93" s="82" t="inlineStr">
        <is>
          <t>Refis — troca de julho/2026</t>
        </is>
      </c>
      <c r="C93" s="81" t="n">
        <v>46270</v>
      </c>
      <c r="D93" s="83" t="n">
        <v>1265.85</v>
      </c>
      <c r="E93" s="113" t="inlineStr">
        <is>
          <t>Recebido</t>
        </is>
      </c>
      <c r="F93" s="113">
        <f>IF(OR($E93="Recebido",$C93=""),"",MAX(0,TODAY()-$C93))</f>
        <v/>
      </c>
      <c r="G93" s="82" t="inlineStr">
        <is>
          <t>Grupo Ânima — NF 000.004.301 · recebido via Pix em 08/09/2026.</t>
        </is>
      </c>
    </row>
    <row r="94">
      <c r="A94" s="78" t="inlineStr">
        <is>
          <t>UNP Mossoró (Mossoró/RN)</t>
        </is>
      </c>
      <c r="B94" s="78" t="inlineStr">
        <is>
          <t>Refis — troca de julho/2026</t>
        </is>
      </c>
      <c r="C94" s="77" t="n">
        <v>46270</v>
      </c>
      <c r="D94" s="79" t="n">
        <v>1867.25</v>
      </c>
      <c r="E94" s="112" t="inlineStr">
        <is>
          <t>Recebido</t>
        </is>
      </c>
      <c r="F94" s="112">
        <f>IF(OR($E94="Recebido",$C94=""),"",MAX(0,TODAY()-$C94))</f>
        <v/>
      </c>
      <c r="G94" s="78" t="inlineStr">
        <is>
          <t>Grupo Ânima — NF 000.004.302 · recebido via Pix em 08/09/2026.</t>
        </is>
      </c>
    </row>
    <row r="95">
      <c r="A95" s="82" t="inlineStr">
        <is>
          <t>CIS Jacobina (Jacobina/BA)</t>
        </is>
      </c>
      <c r="B95" s="82" t="inlineStr">
        <is>
          <t>Refis — troca de julho/2026</t>
        </is>
      </c>
      <c r="C95" s="81" t="n">
        <v>46290</v>
      </c>
      <c r="D95" s="83" t="n">
        <v>2095.2</v>
      </c>
      <c r="E95" s="113" t="inlineStr">
        <is>
          <t>Pendente</t>
        </is>
      </c>
      <c r="F95" s="113">
        <f>IF(OR($E95="Recebido",$C95=""),"",MAX(0,TODAY()-$C95))</f>
        <v/>
      </c>
      <c r="G95" s="82" t="inlineStr">
        <is>
          <t>Grupo Ânima — NF 000.004.333 de 26/08/2026 · OC AEMPPO00004452 · 30 dias</t>
        </is>
      </c>
    </row>
    <row r="96">
      <c r="A96" s="78" t="inlineStr">
        <is>
          <t>AGES Jacobina (Jacobina/BA)</t>
        </is>
      </c>
      <c r="B96" s="78" t="inlineStr">
        <is>
          <t>Refis — troca de julho/2026</t>
        </is>
      </c>
      <c r="C96" s="77" t="n">
        <v>46305</v>
      </c>
      <c r="D96" s="79" t="n">
        <v>1188.25</v>
      </c>
      <c r="E96" s="112" t="inlineStr">
        <is>
          <t>Pendente</t>
        </is>
      </c>
      <c r="F96" s="112">
        <f>IF(OR($E96="Recebido",$C96=""),"",MAX(0,TODAY()-$C96))</f>
        <v/>
      </c>
      <c r="G96" s="78" t="inlineStr">
        <is>
          <t>Grupo Ânima — NF 000.004.332 de 26/08/2026 · OC AEMPPO00004453 · 45 dias</t>
        </is>
      </c>
    </row>
    <row r="97">
      <c r="A97" s="82" t="inlineStr">
        <is>
          <t>Instituto Paulo Leão</t>
        </is>
      </c>
      <c r="B97" s="82" t="inlineStr">
        <is>
          <t>Refil E3 + Pré Filtro</t>
        </is>
      </c>
      <c r="C97" s="81" t="n">
        <v>46265</v>
      </c>
      <c r="D97" s="83" t="n">
        <v>160</v>
      </c>
      <c r="E97" s="113" t="inlineStr">
        <is>
          <t>Recebido</t>
        </is>
      </c>
      <c r="F97" s="113">
        <f>IF(OR($E97="Recebido",$C97=""),"",MAX(0,TODAY()-$C97))</f>
        <v/>
      </c>
      <c r="G97" s="82" t="inlineStr">
        <is>
          <t>Recebido via Pix em 08/09/2026 — lançado em "Set 2026".</t>
        </is>
      </c>
    </row>
    <row r="98">
      <c r="A98" s="78" t="inlineStr">
        <is>
          <t>Eletronic Segurança Eletronica</t>
        </is>
      </c>
      <c r="B98" s="78" t="inlineStr">
        <is>
          <t>Pré Filtro</t>
        </is>
      </c>
      <c r="C98" s="77" t="n">
        <v>46265</v>
      </c>
      <c r="D98" s="79" t="n">
        <v>60</v>
      </c>
      <c r="E98" s="112" t="inlineStr">
        <is>
          <t>Recebido</t>
        </is>
      </c>
      <c r="F98" s="112">
        <f>IF(OR($E98="Recebido",$C98=""),"",MAX(0,TODAY()-$C98))</f>
        <v/>
      </c>
      <c r="G98" s="78" t="inlineStr">
        <is>
          <t>Recebido via Pix em 03/09/2026.</t>
        </is>
      </c>
    </row>
    <row r="99">
      <c r="A99" s="82" t="inlineStr">
        <is>
          <t>Clube dos Mineiros</t>
        </is>
      </c>
      <c r="B99" s="82" t="inlineStr">
        <is>
          <t>Refil Pro Life</t>
        </is>
      </c>
      <c r="C99" s="81" t="n">
        <v>46265</v>
      </c>
      <c r="D99" s="83" t="n">
        <v>150</v>
      </c>
      <c r="E99" s="113" t="inlineStr">
        <is>
          <t>Recebido</t>
        </is>
      </c>
      <c r="F99" s="113">
        <f>IF(OR($E99="Recebido",$C99=""),"",MAX(0,TODAY()-$C99))</f>
        <v/>
      </c>
      <c r="G99" s="82" t="inlineStr">
        <is>
          <t>Recebido via Pix em 01/09/2026 (pagador: Sindicato dos Mineiros de Jacobina).</t>
        </is>
      </c>
    </row>
    <row r="100">
      <c r="A100" s="78" t="inlineStr">
        <is>
          <t>Armazem Cecilio Mota</t>
        </is>
      </c>
      <c r="B100" s="78" t="inlineStr">
        <is>
          <t>Refil Everest + Refil Carbon 9"</t>
        </is>
      </c>
      <c r="C100" s="77" t="n">
        <v>46266</v>
      </c>
      <c r="D100" s="79" t="n">
        <v>225</v>
      </c>
      <c r="E100" s="112" t="inlineStr">
        <is>
          <t>Recebido</t>
        </is>
      </c>
      <c r="F100" s="112">
        <f>IF(OR($E100="Recebido",$C100=""),"",MAX(0,TODAY()-$C100))</f>
        <v/>
      </c>
      <c r="G100" s="78" t="inlineStr">
        <is>
          <t>Recebido via Pix em 10/09/2026 — lançado em "Set 2026".</t>
        </is>
      </c>
    </row>
    <row r="101">
      <c r="A101" s="82" t="inlineStr">
        <is>
          <t>Clebson Dantas Da Silva</t>
        </is>
      </c>
      <c r="B101" s="82" t="inlineStr">
        <is>
          <t>Refil Everest</t>
        </is>
      </c>
      <c r="C101" s="81" t="n">
        <v>46266</v>
      </c>
      <c r="D101" s="83" t="n">
        <v>140</v>
      </c>
      <c r="E101" s="113" t="inlineStr">
        <is>
          <t>Recebido</t>
        </is>
      </c>
      <c r="F101" s="113">
        <f>IF(OR($E101="Recebido",$C101=""),"",MAX(0,TODAY()-$C101))</f>
        <v/>
      </c>
      <c r="G101" s="82" t="inlineStr">
        <is>
          <t>Recebido via Pix em 02/09/2026</t>
        </is>
      </c>
    </row>
    <row r="102">
      <c r="A102" s="82" t="inlineStr">
        <is>
          <t>Tesla Imagem Medicina Diagnostica Ltda</t>
        </is>
      </c>
      <c r="B102" s="82" t="inlineStr">
        <is>
          <t>3x Refil Everest + 2x Pré Filtro</t>
        </is>
      </c>
      <c r="C102" s="81" t="n">
        <v>46267</v>
      </c>
      <c r="D102" s="83" t="n">
        <v>540</v>
      </c>
      <c r="E102" s="113" t="inlineStr">
        <is>
          <t>Pendente</t>
        </is>
      </c>
      <c r="F102" s="113">
        <f>IF(OR($E102="Recebido",$C102=""),"",MAX(0,TODAY()-$C102))</f>
        <v/>
      </c>
      <c r="G102" s="82" t="inlineStr">
        <is>
          <t>Troca do dia 02/09/2026 — 1º Andar, Térreo e Copa</t>
        </is>
      </c>
    </row>
    <row r="103">
      <c r="A103" s="78" t="inlineStr">
        <is>
          <t>Cecilio Mota Junior</t>
        </is>
      </c>
      <c r="B103" s="78" t="inlineStr">
        <is>
          <t>Refil Everest</t>
        </is>
      </c>
      <c r="C103" s="77" t="n">
        <v>46267</v>
      </c>
      <c r="D103" s="79" t="n">
        <v>140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Recebido via Pix em 10/09/2026 — lançado em "Set 2026".</t>
        </is>
      </c>
    </row>
    <row r="104">
      <c r="A104" s="78" t="inlineStr">
        <is>
          <t>Tereza Cristina Aquino Martins - Luiz Augusto</t>
        </is>
      </c>
      <c r="B104" s="78" t="inlineStr">
        <is>
          <t>Refil Everest + Pré Filtro</t>
        </is>
      </c>
      <c r="C104" s="77" t="n">
        <v>46268</v>
      </c>
      <c r="D104" s="79" t="n">
        <v>200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Pix em 04/09/2026.</t>
        </is>
      </c>
    </row>
    <row r="105">
      <c r="A105" s="78" t="inlineStr">
        <is>
          <t>Samille Fiscina Lima Lordello - Tiago (Cartório)</t>
        </is>
      </c>
      <c r="B105" s="78" t="inlineStr">
        <is>
          <t>Refil Pro Life</t>
        </is>
      </c>
      <c r="C105" s="77" t="n">
        <v>46269</v>
      </c>
      <c r="D105" s="79" t="n">
        <v>140</v>
      </c>
      <c r="E105" s="112" t="inlineStr">
        <is>
          <t>Recebido</t>
        </is>
      </c>
      <c r="F105" s="112">
        <f>IF(OR($E105="Recebido",$C105=""),"",MAX(0,TODAY()-$C105))</f>
        <v/>
      </c>
      <c r="G105" s="78" t="inlineStr">
        <is>
          <t>Recebido via Pix em 10/09/2026 — lançado em "Set 2026".</t>
        </is>
      </c>
    </row>
    <row r="106">
      <c r="A106" s="78" t="inlineStr">
        <is>
          <t>Bomboniere Doce Mania - Veronildo Basilio</t>
        </is>
      </c>
      <c r="B106" s="78" t="inlineStr">
        <is>
          <t>Refil Plissado + Refil BAG</t>
        </is>
      </c>
      <c r="C106" s="77" t="n">
        <v>46274</v>
      </c>
      <c r="D106" s="79" t="n">
        <v>150</v>
      </c>
      <c r="E106" s="112" t="inlineStr">
        <is>
          <t>Pendente</t>
        </is>
      </c>
      <c r="F106" s="112">
        <f>IF(OR($E106="Recebido",$C106=""),"",MAX(0,TODAY()-$C106))</f>
        <v/>
      </c>
      <c r="G106" s="78" t="inlineStr">
        <is>
          <t>Troca do dia 09/09/2026 — refil plissado + BAG.</t>
        </is>
      </c>
    </row>
    <row r="107">
      <c r="A107" s="78" t="inlineStr">
        <is>
          <t>Adriadne (Hotel Jovem Jota)</t>
        </is>
      </c>
      <c r="B107" s="78" t="inlineStr">
        <is>
          <t>Refil Everest</t>
        </is>
      </c>
      <c r="C107" s="77" t="n">
        <v>46275</v>
      </c>
      <c r="D107" s="79" t="n">
        <v>140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Recebido via Pix em 11/09/2026 — lançado em "Set 2026".</t>
        </is>
      </c>
    </row>
    <row r="108">
      <c r="A108" s="78" t="inlineStr">
        <is>
          <t>Pousada Triunfo Ltda (Hotel Triunfo)</t>
        </is>
      </c>
      <c r="B108" s="78" t="inlineStr">
        <is>
          <t>Refil Everest + Pré Filtro</t>
        </is>
      </c>
      <c r="C108" s="77" t="n">
        <v>46275</v>
      </c>
      <c r="D108" s="79" t="n">
        <v>200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via Pix em 11/09/2026 — lançado em "Set 2026".</t>
        </is>
      </c>
    </row>
    <row r="109">
      <c r="A109" s="78" t="inlineStr">
        <is>
          <t>Topvel Tropical Veiculos e Pecas</t>
        </is>
      </c>
      <c r="B109" s="78" t="inlineStr">
        <is>
          <t>2x Refil Everest + 2x Pré Filtro</t>
        </is>
      </c>
      <c r="C109" s="77" t="n">
        <v>46276</v>
      </c>
      <c r="D109" s="79" t="n">
        <v>370</v>
      </c>
      <c r="E109" s="112" t="inlineStr">
        <is>
          <t>Pendente</t>
        </is>
      </c>
      <c r="F109" s="112">
        <f>IF(OR($E109="Recebido",$C109=""),"",MAX(0,TODAY()-$C109))</f>
        <v/>
      </c>
      <c r="G109" s="78" t="inlineStr">
        <is>
          <t>Troca do dia 11/09/2026 — dois purificadores.</t>
        </is>
      </c>
    </row>
    <row r="110">
      <c r="A110" s="78" t="inlineStr">
        <is>
          <t>J Diesel Motores e Reparos - Gilmara</t>
        </is>
      </c>
      <c r="B110" s="78" t="inlineStr">
        <is>
          <t>Refil Everest</t>
        </is>
      </c>
      <c r="C110" s="77" t="n">
        <v>46276</v>
      </c>
      <c r="D110" s="79" t="n">
        <v>140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Troca do dia 11/09/2026.</t>
        </is>
      </c>
    </row>
    <row r="111">
      <c r="A111" s="78" t="inlineStr">
        <is>
          <t>IOB</t>
        </is>
      </c>
      <c r="B111" s="78" t="inlineStr">
        <is>
          <t>Refil Everest + Pré Filtro</t>
        </is>
      </c>
      <c r="C111" s="77" t="n">
        <v>46279</v>
      </c>
      <c r="D111" s="79" t="n">
        <v>200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Troca do dia 14/09/2026.</t>
        </is>
      </c>
    </row>
    <row r="112">
      <c r="A112" s="86" t="inlineStr">
        <is>
          <t>TOTAL EM ABERTO A RECEBER (detalhe)</t>
        </is>
      </c>
      <c r="D112" s="115">
        <f>SUMIF(E74:E111,"Pendente",D74:D111)</f>
        <v/>
      </c>
    </row>
    <row r="113">
      <c r="A113" s="205" t="inlineStr">
        <is>
          <t>CONFERÊNCIA COM AS ABAS DOS MESES</t>
        </is>
      </c>
      <c r="B113" s="160" t="n"/>
      <c r="C113" s="160" t="n"/>
      <c r="D113" s="160" t="n"/>
      <c r="E113" s="160" t="n"/>
      <c r="F113" s="160" t="n"/>
      <c r="G113" s="161" t="n"/>
    </row>
    <row r="114">
      <c r="A114" s="202">
        <f>IF(ROUND(D112-C5,2)=0,"OK — o detalhe acima bate com as vendas marcadas como Aguardando Pagamento nas abas dos meses.","ATENÇÃO: diferença de R$ "&amp;TEXT(ABS(D112-C5),"#,##0.00")&amp;" entre este detalhe e as abas dos meses — alguma venda mudou de status em um lado só.")</f>
        <v/>
      </c>
    </row>
    <row r="115">
      <c r="A115" s="202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1:G1"/>
    <mergeCell ref="A9:G9"/>
    <mergeCell ref="A114:G114"/>
    <mergeCell ref="C5:D6"/>
    <mergeCell ref="A5:B6"/>
    <mergeCell ref="A2:G2"/>
    <mergeCell ref="E5:F6"/>
    <mergeCell ref="A72:G72"/>
    <mergeCell ref="A113:G113"/>
    <mergeCell ref="A71:G71"/>
    <mergeCell ref="C4:D4"/>
  </mergeCells>
  <dataValidations count="2">
    <dataValidation sqref="E11:E65" showDropDown="0" showInputMessage="0" showErrorMessage="0" allowBlank="1" type="list">
      <formula1>"Pendente,Pago,Previsto"</formula1>
    </dataValidation>
    <dataValidation sqref="E74:E110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10" t="inlineStr">
        <is>
          <t>CAPITAL DE GIRO — BANCO DO BRASIL (Empréstimo de Reserva)</t>
        </is>
      </c>
    </row>
    <row r="2">
      <c r="A2" s="215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9" t="inlineStr">
        <is>
          <t>← Início</t>
        </is>
      </c>
    </row>
    <row r="4">
      <c r="A4" s="208" t="inlineStr">
        <is>
          <t>SALDO DEVEDOR (A DEVOLVER)</t>
        </is>
      </c>
      <c r="C4" s="218" t="n"/>
      <c r="E4" s="209" t="inlineStr">
        <is>
          <t>TOTAL JÁ RETIRADO (HISTÓRICO)</t>
        </is>
      </c>
    </row>
    <row r="5">
      <c r="A5" s="214" t="n"/>
      <c r="C5" s="213">
        <f>SUMIF(E9:E200,"A Devolver",D9:D200)</f>
        <v/>
      </c>
      <c r="E5" s="216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7" t="n"/>
    </row>
    <row r="17">
      <c r="A17" s="211" t="inlineStr">
        <is>
          <t>Como registrar uma devolução:</t>
        </is>
      </c>
    </row>
    <row r="18">
      <c r="A18" s="212" t="inlineStr">
        <is>
          <t>1. Trocar "Status" da linha para "Devolvido" e preencher a "Data da Devolução".</t>
        </is>
      </c>
    </row>
    <row r="19">
      <c r="A19" s="131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10" t="inlineStr">
        <is>
          <t>PONTO DE EQUILÍBRIO</t>
        </is>
      </c>
    </row>
    <row r="2">
      <c r="A2" s="220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9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Simplificado'!O9</f>
        <v/>
      </c>
    </row>
    <row r="7">
      <c r="A7" s="52" t="inlineStr">
        <is>
          <t>Margem de contribuição média (R$)</t>
        </is>
      </c>
      <c r="B7" s="55">
        <f>'DRE Simplificado'!O10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Simplificado'!O22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Simplificado'!O23</f>
        <v/>
      </c>
    </row>
    <row r="13">
      <c r="A13" s="132" t="inlineStr">
        <is>
          <t>Ticket médio da loja (preencha)</t>
        </is>
      </c>
      <c r="B13" s="65" t="n">
        <v>140</v>
      </c>
      <c r="C13" s="133" t="inlineStr">
        <is>
          <t>← valor médio de uma venda. Serve para converter R$ em nº de vendas.</t>
        </is>
      </c>
    </row>
    <row r="15" ht="15.75" customHeight="1" s="158">
      <c r="A15" s="66" t="inlineStr">
        <is>
          <t>QUANTO PRECISO VENDER PARA...</t>
        </is>
      </c>
    </row>
    <row r="16" ht="30" customHeight="1" s="158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9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10" t="inlineStr">
        <is>
          <t>FLUXO DE CAIXA PROJETADO</t>
        </is>
      </c>
    </row>
    <row r="2">
      <c r="A2" s="220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9" t="inlineStr">
        <is>
          <t>← Início</t>
        </is>
      </c>
    </row>
    <row r="4">
      <c r="A4" s="132" t="inlineStr">
        <is>
          <t>Saldo de caixa hoje (preencha)</t>
        </is>
      </c>
      <c r="B4" s="109" t="n">
        <v>0</v>
      </c>
      <c r="C4" s="133" t="inlineStr">
        <is>
          <t>← quanto existe de dinheiro em caixa + banco nesta data</t>
        </is>
      </c>
    </row>
    <row r="6" ht="30" customHeight="1" s="158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Simplificado'!O9+'DRE Simplificado'!O22)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Simplificado'!O9+'DRE Simplificado'!O22)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Simplificado'!O9+'DRE Simplificado'!O22)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Simplificado'!O9+'DRE Simplificado'!O22)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9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1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10" t="inlineStr">
        <is>
          <t>RESERVA DE EMERGÊNCIA E IMPOSTOS</t>
        </is>
      </c>
    </row>
    <row r="2">
      <c r="A2" s="220" t="inlineStr">
        <is>
          <t>Quanto a loja precisa ter guardado para aguentar meses ruins, e quanto sai de imposto por mês.</t>
        </is>
      </c>
    </row>
    <row r="3">
      <c r="A3" s="129" t="inlineStr">
        <is>
          <t>← Início</t>
        </is>
      </c>
    </row>
    <row r="4" ht="15.75" customHeight="1" s="158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Simplificado'!O22</f>
        <v/>
      </c>
    </row>
    <row r="7">
      <c r="A7" s="52" t="inlineStr">
        <is>
          <t>Meses de cobertura desejados</t>
        </is>
      </c>
      <c r="B7" s="110" t="n">
        <v>3</v>
      </c>
      <c r="C7" s="133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23500</v>
      </c>
      <c r="C9" s="133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8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21" t="inlineStr">
        <is>
          <t>Regime e alíquota são um chute inicial — confirme com seu contador. O imposto já pago aparece nas abas mensais na categoria 'Impostos e Taxas'.</t>
        </is>
      </c>
    </row>
    <row r="24">
      <c r="A24" s="221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10" t="inlineStr">
        <is>
          <t>ORÇADO vs REALIZADO — AGOSTO/2026</t>
        </is>
      </c>
    </row>
    <row r="2">
      <c r="A2" s="220" t="inlineStr">
        <is>
          <t>Defina a meta (amarelo) e compare com o que realmente aconteceu. O realizado é puxado automaticamente da aba do mês.</t>
        </is>
      </c>
    </row>
    <row r="3">
      <c r="A3" s="129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8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21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8" min="1" max="1"/>
    <col width="15" customWidth="1" style="158" min="2" max="9"/>
    <col width="13" customWidth="1" style="158" min="10" max="10"/>
  </cols>
  <sheetData>
    <row r="1" ht="21" customHeight="1" s="158">
      <c r="A1" s="210" t="inlineStr">
        <is>
          <t>PRECIFICAÇÃO E MARGEM POR PRODUTO</t>
        </is>
      </c>
    </row>
    <row r="2">
      <c r="A2" s="220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9" t="inlineStr">
        <is>
          <t>← Início</t>
        </is>
      </c>
    </row>
    <row r="4">
      <c r="A4" s="132" t="inlineStr">
        <is>
          <t>Taxa média de cartão</t>
        </is>
      </c>
      <c r="B4" s="69" t="n">
        <v>0.07000000000000001</v>
      </c>
      <c r="C4" s="132" t="inlineStr">
        <is>
          <t>Alíquota de imposto</t>
        </is>
      </c>
      <c r="D4" s="69" t="n">
        <v>0.06</v>
      </c>
      <c r="E4" s="133" t="inlineStr">
        <is>
          <t>← taxa dos itens de balcão. Purificadores usam 13,99% (crédito 10x) direto na fórmula; Baby usa 11% (6x).</t>
        </is>
      </c>
    </row>
    <row r="5">
      <c r="A5" s="222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8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4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4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4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4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4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4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4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48" t="n"/>
    </row>
    <row r="15">
      <c r="A15" s="52" t="inlineStr">
        <is>
          <t>Mangueira (2 m)</t>
        </is>
      </c>
      <c r="B15" s="55" t="n">
        <v>20</v>
      </c>
      <c r="C15" s="109" t="n">
        <v>3.44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4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4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4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4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4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4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4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4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4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4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4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4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4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4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48" t="n">
        <v>0.11</v>
      </c>
    </row>
    <row r="31">
      <c r="A31" s="221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21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217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217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10" t="inlineStr">
        <is>
          <t>CONCILIAÇÃO BANCÁRIA</t>
        </is>
      </c>
    </row>
    <row r="2">
      <c r="A2" s="220" t="inlineStr">
        <is>
          <t>Compare o que está lançado na planilha com o que aparece no extrato do banco. Qualquer diferença aparece sozinha na coluna Status.</t>
        </is>
      </c>
    </row>
    <row r="3">
      <c r="A3" s="129" t="inlineStr">
        <is>
          <t>← Início</t>
        </is>
      </c>
    </row>
    <row r="4" ht="30" customHeight="1" s="158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10" t="inlineStr">
        <is>
          <t>CADASTRO DE CLIENTES E FORNECEDORES</t>
        </is>
      </c>
    </row>
    <row r="2">
      <c r="A2" s="220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9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21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85" zoomScaleNormal="85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JANEIRO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1">
        <f>D133</f>
        <v/>
      </c>
      <c r="N5" s="233">
        <f>J18</f>
        <v/>
      </c>
      <c r="P5" s="232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9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8" t="inlineStr">
        <is>
          <t>SALDO DO MÊS (Entradas − Despesas da loja)</t>
        </is>
      </c>
      <c r="D134" s="227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FEVEREIRO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1">
        <f>D146</f>
        <v/>
      </c>
      <c r="N5" s="233">
        <f>J18</f>
        <v/>
      </c>
      <c r="P5" s="232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9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8" t="inlineStr">
        <is>
          <t>SALDO DO MÊS (Entradas − Despesas da loja)</t>
        </is>
      </c>
      <c r="D147" s="227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MARÇO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1">
        <f>D122</f>
        <v/>
      </c>
      <c r="N5" s="233">
        <f>J18</f>
        <v/>
      </c>
      <c r="P5" s="232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9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8" t="inlineStr">
        <is>
          <t>SALDO DO MÊS (Entradas − Despesas da loja)</t>
        </is>
      </c>
      <c r="D123" s="227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ABRIL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1">
        <f>D124</f>
        <v/>
      </c>
      <c r="N5" s="233">
        <f>J18</f>
        <v/>
      </c>
      <c r="P5" s="232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9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8" t="inlineStr">
        <is>
          <t>SALDO DO MÊS (Entradas − Despesas da loja)</t>
        </is>
      </c>
      <c r="D125" s="227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MAIO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1">
        <f>D123</f>
        <v/>
      </c>
      <c r="N5" s="233">
        <f>J18</f>
        <v/>
      </c>
      <c r="P5" s="232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9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8" t="inlineStr">
        <is>
          <t>SALDO DO MÊS (Entradas − Despesas da loja)</t>
        </is>
      </c>
      <c r="D124" s="227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JUNHO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I5" s="10" t="inlineStr">
        <is>
          <t>Fornecedores / Mercadoria</t>
        </is>
      </c>
      <c r="J5" s="11">
        <f>SUMIF(F5:F115,I5,E5:E115)</f>
        <v/>
      </c>
      <c r="L5" s="231">
        <f>D116</f>
        <v/>
      </c>
      <c r="N5" s="233">
        <f>J18</f>
        <v/>
      </c>
      <c r="P5" s="232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9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8" t="inlineStr">
        <is>
          <t>SALDO DO MÊS (Entradas − Despesas da loja)</t>
        </is>
      </c>
      <c r="D117" s="227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85" zoomScaleNormal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5" t="inlineStr">
        <is>
          <t>RELATÓRIO FINANCEIRO — JULHO / 2026</t>
        </is>
      </c>
    </row>
    <row r="2">
      <c r="A2" s="230" t="inlineStr">
        <is>
          <t>Fluxo de caixa da loja — entradas e saídas detalhadas por lançamento (fonte: Livro Caixa)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4" t="inlineStr">
        <is>
          <t>Saídas por Categoria</t>
        </is>
      </c>
      <c r="L4" s="226" t="inlineStr">
        <is>
          <t>FATURAMENTO</t>
        </is>
      </c>
      <c r="N4" s="234" t="inlineStr">
        <is>
          <t>DESPESAS</t>
        </is>
      </c>
      <c r="P4" s="223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I5" s="10" t="inlineStr">
        <is>
          <t>Fornecedores / Mercadoria</t>
        </is>
      </c>
      <c r="J5" s="11">
        <f>SUMIF(F5:F110,I5,E5:E110)</f>
        <v/>
      </c>
      <c r="L5" s="231">
        <f>D111</f>
        <v/>
      </c>
      <c r="N5" s="233">
        <f>J18</f>
        <v/>
      </c>
      <c r="P5" s="232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9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8" t="inlineStr">
        <is>
          <t>SALDO DO MÊS (Entradas − Despesas da loja)</t>
        </is>
      </c>
      <c r="D112" s="227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3"/>
    <col width="3" customWidth="1" style="158" min="13" max="13"/>
    <col width="13" customWidth="1" style="158" min="14" max="14"/>
    <col width="13" customWidth="1" style="158" min="15" max="17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5.5" customHeight="1" s="158">
      <c r="A1" s="225" t="inlineStr">
        <is>
          <t>RELATÓRIO FINANCEIRO — AGOSTO / 2026</t>
        </is>
      </c>
    </row>
    <row r="2">
      <c r="A2" s="230" t="inlineStr">
        <is>
          <t>Fluxo de caixa da loja — entradas e saídas detalhadas por lançamento (lançado manualmente)</t>
        </is>
      </c>
    </row>
    <row r="3">
      <c r="A3" s="129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K4" s="235" t="inlineStr">
        <is>
          <t>Saídas por Categoria</t>
        </is>
      </c>
      <c r="L4" s="161" t="n"/>
      <c r="N4" s="226" t="inlineStr">
        <is>
          <t>FATURAMENTO</t>
        </is>
      </c>
      <c r="P4" s="234" t="inlineStr">
        <is>
          <t>DESPESAS</t>
        </is>
      </c>
      <c r="R4" s="223" t="inlineStr">
        <is>
          <t>SALDO</t>
        </is>
      </c>
      <c r="T4" s="208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K5" s="10" t="inlineStr">
        <is>
          <t>Fornecedores / Mercadoria</t>
        </is>
      </c>
      <c r="L5" s="11">
        <f>SUMIF(H5:H182,K5,G5:G182)</f>
        <v/>
      </c>
      <c r="N5" s="231">
        <f>D183-F183-T5</f>
        <v/>
      </c>
      <c r="P5" s="233">
        <f>L18-L19</f>
        <v/>
      </c>
      <c r="R5" s="232">
        <f>D184</f>
        <v/>
      </c>
      <c r="T5" s="213">
        <f>SUMIF(E5:E182,"Aguardando Pagamento",D5:D182)</f>
        <v/>
      </c>
    </row>
    <row r="6" ht="14.1" customHeight="1" s="158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K17" t="inlineStr">
        <is>
          <t>Pro Labore Edilânia</t>
        </is>
      </c>
      <c r="L17">
        <f>SUMIF(H5:H182,K17,G5:G182)</f>
        <v/>
      </c>
    </row>
    <row r="18" ht="15.75" customHeight="1" s="158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</row>
    <row r="42" ht="15.75" customHeight="1" s="158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</row>
    <row r="104" ht="15.75" customHeight="1" s="158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6" t="n">
        <v>60</v>
      </c>
      <c r="E155" s="18" t="inlineStr">
        <is>
          <t>Pix</t>
        </is>
      </c>
      <c r="F155" s="19" t="n"/>
      <c r="G155" s="20" t="n"/>
      <c r="H155" s="21" t="n"/>
      <c r="I155" s="18" t="n"/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</row>
    <row r="176" ht="15.75" customHeight="1" s="158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46235</v>
      </c>
      <c r="B177" s="18" t="inlineStr">
        <is>
          <t>Tarifa Pacote de Tarifas</t>
        </is>
      </c>
      <c r="C177" s="18" t="n"/>
      <c r="D177" s="13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4" t="n">
        <v>46265</v>
      </c>
      <c r="B178" s="45" t="inlineStr">
        <is>
          <t>Tarifa Pix (14 lançamentos)</t>
        </is>
      </c>
      <c r="C178" s="45" t="n"/>
      <c r="D178" s="50" t="n"/>
      <c r="E178" s="45" t="n"/>
      <c r="F178" s="47" t="n"/>
      <c r="G178" s="47" t="n">
        <v>48.25</v>
      </c>
      <c r="H178" s="49" t="inlineStr">
        <is>
          <t>Tarifas Bancárias e Cartão</t>
        </is>
      </c>
      <c r="I178" s="45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3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4" t="n">
        <v>46265</v>
      </c>
      <c r="B180" s="45" t="inlineStr">
        <is>
          <t>Compras p/Loja (2 lançamentos)</t>
        </is>
      </c>
      <c r="C180" s="45" t="n"/>
      <c r="D180" s="50" t="n"/>
      <c r="E180" s="45" t="n"/>
      <c r="F180" s="47" t="n"/>
      <c r="G180" s="47" t="n">
        <v>131.29</v>
      </c>
      <c r="H180" s="49" t="inlineStr">
        <is>
          <t>Fornecedores / Mercadoria</t>
        </is>
      </c>
      <c r="I180" s="45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3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4" t="n">
        <v>46265</v>
      </c>
      <c r="B182" s="45" t="inlineStr">
        <is>
          <t>Gasolina</t>
        </is>
      </c>
      <c r="C182" s="45" t="n"/>
      <c r="D182" s="50" t="n"/>
      <c r="E182" s="45" t="n"/>
      <c r="F182" s="47" t="n"/>
      <c r="G182" s="47" t="n">
        <v>30</v>
      </c>
      <c r="H182" s="49" t="inlineStr">
        <is>
          <t>Transporte e Entregas</t>
        </is>
      </c>
      <c r="I182" s="45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 ht="15.75" customHeight="1" s="158">
      <c r="A184" s="30" t="n"/>
      <c r="B184" s="135" t="inlineStr">
        <is>
          <t>SALDO DO MÊS (Entradas líquidas − Despesas da loja)</t>
        </is>
      </c>
      <c r="D184" s="134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117"/>
  <sheetViews>
    <sheetView showGridLines="0" tabSelected="1" zoomScale="85" zoomScaleNormal="85" workbookViewId="0">
      <pane ySplit="4" topLeftCell="A5" activePane="bottomLeft" state="frozen"/>
      <selection pane="bottomLeft" activeCell="C12" sqref="C12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SETEMBRO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K5" s="78" t="inlineStr">
        <is>
          <t>Fornecedores / Mercadoria</t>
        </is>
      </c>
      <c r="L5" s="80">
        <f>SUMIF(H5:H115,K5,G5:G115)</f>
        <v/>
      </c>
      <c r="N5" s="238">
        <f>D116-F116-T5</f>
        <v/>
      </c>
      <c r="P5" s="190">
        <f>L18-L19</f>
        <v/>
      </c>
      <c r="R5" s="204">
        <f>D117</f>
        <v/>
      </c>
      <c r="T5" s="203">
        <f>SUMIF(E5:E115,"Aguardando Pagamento",D5:D115)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SUMIF(H5:H115,K6,G5:G115)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K7" s="78" t="inlineStr">
        <is>
          <t>Água, Energia e Internet</t>
        </is>
      </c>
      <c r="L7" s="80">
        <f>SUMIF(H5:H115,K7,G5:G115)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SUMIF(H5:H115,K8,G5:G115)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K9" s="78" t="inlineStr">
        <is>
          <t>Tarifas Bancárias e Cartão</t>
        </is>
      </c>
      <c r="L9" s="80">
        <f>SUMIF(H5:H115,K9,G5:G115)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SUMIF(H5:H115,K10,G5:G115)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SUMIF(H5:H115,K11,G5:G115)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Aguardando Pagamento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</t>
        </is>
      </c>
      <c r="K12" s="78" t="inlineStr">
        <is>
          <t>Contabilidade</t>
        </is>
      </c>
      <c r="L12" s="80">
        <f>SUMIF(H5:H115,K12,G5:G115)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SUMIF(H5:H115,K13,G5:G115)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K14" s="78" t="inlineStr">
        <is>
          <t>Material de Limpeza e Escritório</t>
        </is>
      </c>
      <c r="L14" s="80">
        <f>SUMIF(H5:H115,K14,G5:G115)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K15" s="78" t="inlineStr">
        <is>
          <t>Estornos de Vendas (Cancelamentos)</t>
        </is>
      </c>
      <c r="L15" s="80">
        <f>SUMIF(H5:H115,K15,G5:G115)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SUMIF(H5:H115,K16,G5:G115)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K17" s="84" t="inlineStr">
        <is>
          <t>Pro Labore Edilânia</t>
        </is>
      </c>
      <c r="L17" s="85">
        <f>SUMIF(H5:H115,K17,G5:G115)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46267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Aguardando Pagamento</t>
        </is>
      </c>
      <c r="F24" s="83" t="n"/>
      <c r="G24" s="83" t="n"/>
      <c r="H24" s="82" t="n"/>
      <c r="I24" s="82" t="n"/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02/09/2026.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03/09/2026.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46268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03/09/2026.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08/09/2026.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</row>
    <row r="66">
      <c r="A66" s="81" t="n">
        <v>46274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Aguardando Pagamento</t>
        </is>
      </c>
      <c r="F66" s="83" t="n"/>
      <c r="G66" s="83" t="n"/>
      <c r="H66" s="82" t="n"/>
      <c r="I66" s="82" t="n"/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09/09/2026.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n"/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91607814.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91630932.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8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29" t="n"/>
      <c r="B116" s="43" t="inlineStr">
        <is>
          <t>TOTAL DO MÊS</t>
        </is>
      </c>
      <c r="C116" s="161" t="n"/>
      <c r="D116" s="8">
        <f>SUM(D5:D115)</f>
        <v/>
      </c>
      <c r="E116" s="8" t="n"/>
      <c r="F116" s="29">
        <f>SUM(F5:F115)</f>
        <v/>
      </c>
      <c r="G116" s="8">
        <f>SUM(G5:G115)</f>
        <v/>
      </c>
      <c r="H116" s="29" t="n"/>
      <c r="I116" s="29" t="n"/>
    </row>
    <row r="117">
      <c r="A117" s="30" t="n"/>
      <c r="B117" s="135" t="inlineStr">
        <is>
          <t>SALDO DO MÊS (Entradas líquidas − Despesas da loja)</t>
        </is>
      </c>
      <c r="D117" s="134">
        <f>(D116-F116-T5)-(L18-L19)</f>
        <v/>
      </c>
      <c r="F117" s="30" t="n"/>
      <c r="H117" s="30" t="n"/>
      <c r="I117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15" showDropDown="0" showInputMessage="0" showErrorMessage="0" allowBlank="1" type="list">
      <formula1>"Dinheiro,Pix,Débito,Crédito à Vista,Crédito Parcelado,Aguardando Pagamento"</formula1>
    </dataValidation>
    <dataValidation sqref="H5:H115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OUTUBRO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NOVEMBRO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  <col width="13" customWidth="1" style="158" min="15" max="15"/>
    <col width="13" customWidth="1" style="158" min="16" max="16"/>
    <col width="13" customWidth="1" style="158" min="17" max="17"/>
    <col width="13" customWidth="1" style="158" min="18" max="18"/>
    <col width="13" customWidth="1" style="158" min="19" max="19"/>
    <col width="13" customWidth="1" style="158" min="20" max="20"/>
    <col width="13" customWidth="1" style="158" min="21" max="21"/>
  </cols>
  <sheetData>
    <row r="1" ht="21" customHeight="1" s="158">
      <c r="A1" s="236" t="inlineStr">
        <is>
          <t>RELATÓRIO FINANCEIRO — DEZEMBRO / 2026</t>
        </is>
      </c>
    </row>
    <row r="2">
      <c r="A2" s="196" t="inlineStr">
        <is>
          <t>Fluxo de caixa da loja — entradas e saídas detalhadas por lançamento (lançamento manual)</t>
        </is>
      </c>
    </row>
    <row r="3">
      <c r="A3" s="129" t="inlineStr">
        <is>
          <t>← Início</t>
        </is>
      </c>
    </row>
    <row r="4" ht="30" customHeight="1" s="158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K4" s="237" t="inlineStr">
        <is>
          <t>Saídas por Categoria</t>
        </is>
      </c>
      <c r="N4" s="239" t="inlineStr">
        <is>
          <t>FATURAMENTO</t>
        </is>
      </c>
      <c r="P4" s="199" t="inlineStr">
        <is>
          <t>DESPESAS</t>
        </is>
      </c>
      <c r="R4" s="200" t="inlineStr">
        <is>
          <t>SALDO</t>
        </is>
      </c>
      <c r="T4" s="207" t="inlineStr">
        <is>
          <t>A RECEBER</t>
        </is>
      </c>
    </row>
    <row r="5">
      <c r="A5" s="77" t="n"/>
      <c r="B5" s="78" t="n"/>
      <c r="C5" s="78" t="n"/>
      <c r="D5" s="79" t="n"/>
      <c r="E5" s="78" t="n"/>
      <c r="F5" s="79" t="n"/>
      <c r="G5" s="79" t="n"/>
      <c r="H5" s="78" t="n"/>
      <c r="I5" s="78" t="n"/>
      <c r="K5" s="78" t="inlineStr">
        <is>
          <t>Fornecedores / Mercadoria</t>
        </is>
      </c>
      <c r="L5" s="80">
        <f>SUMIF($H$5:$H$54,K5,$G$5:$G$54)</f>
        <v/>
      </c>
      <c r="N5" s="238">
        <f>D55-F55-T5</f>
        <v/>
      </c>
      <c r="P5" s="190">
        <f>L18-L19</f>
        <v/>
      </c>
      <c r="R5" s="204">
        <f>D56</f>
        <v/>
      </c>
      <c r="T5" s="203">
        <f>SUMIF(E5:E54,"Aguardando Pagamento",D5:D54)</f>
        <v/>
      </c>
    </row>
    <row r="6">
      <c r="A6" s="81" t="n"/>
      <c r="B6" s="82" t="n"/>
      <c r="C6" s="82" t="n"/>
      <c r="D6" s="83" t="n"/>
      <c r="E6" s="82" t="n"/>
      <c r="F6" s="83" t="n"/>
      <c r="G6" s="83" t="n"/>
      <c r="H6" s="82" t="n"/>
      <c r="I6" s="82" t="n"/>
      <c r="K6" s="78" t="inlineStr">
        <is>
          <t>Aluguel</t>
        </is>
      </c>
      <c r="L6" s="80">
        <f>SUMIF($H$5:$H$54,K6,$G$5:$G$54)</f>
        <v/>
      </c>
    </row>
    <row r="7">
      <c r="A7" s="77" t="n"/>
      <c r="B7" s="78" t="n"/>
      <c r="C7" s="78" t="n"/>
      <c r="D7" s="79" t="n"/>
      <c r="E7" s="78" t="n"/>
      <c r="F7" s="79" t="n"/>
      <c r="G7" s="79" t="n"/>
      <c r="H7" s="78" t="n"/>
      <c r="I7" s="78" t="n"/>
      <c r="K7" s="78" t="inlineStr">
        <is>
          <t>Água, Energia e Internet</t>
        </is>
      </c>
      <c r="L7" s="80">
        <f>SUMIF($H$5:$H$54,K7,$G$5:$G$54)</f>
        <v/>
      </c>
    </row>
    <row r="8">
      <c r="A8" s="81" t="n"/>
      <c r="B8" s="82" t="n"/>
      <c r="C8" s="82" t="n"/>
      <c r="D8" s="83" t="n"/>
      <c r="E8" s="82" t="n"/>
      <c r="F8" s="83" t="n"/>
      <c r="G8" s="83" t="n"/>
      <c r="H8" s="82" t="n"/>
      <c r="I8" s="82" t="n"/>
      <c r="K8" s="78" t="inlineStr">
        <is>
          <t>Impostos e Taxas</t>
        </is>
      </c>
      <c r="L8" s="80">
        <f>SUMIF($H$5:$H$54,K8,$G$5:$G$54)</f>
        <v/>
      </c>
    </row>
    <row r="9">
      <c r="A9" s="77" t="n"/>
      <c r="B9" s="78" t="n"/>
      <c r="C9" s="78" t="n"/>
      <c r="D9" s="79" t="n"/>
      <c r="E9" s="78" t="n"/>
      <c r="F9" s="79" t="n"/>
      <c r="G9" s="79" t="n"/>
      <c r="H9" s="78" t="n"/>
      <c r="I9" s="78" t="n"/>
      <c r="K9" s="78" t="inlineStr">
        <is>
          <t>Tarifas Bancárias e Cartão</t>
        </is>
      </c>
      <c r="L9" s="80">
        <f>SUMIF($H$5:$H$54,K9,$G$5:$G$54)</f>
        <v/>
      </c>
    </row>
    <row r="10">
      <c r="A10" s="81" t="n"/>
      <c r="B10" s="82" t="n"/>
      <c r="C10" s="82" t="n"/>
      <c r="D10" s="83" t="n"/>
      <c r="E10" s="82" t="n"/>
      <c r="F10" s="83" t="n"/>
      <c r="G10" s="83" t="n"/>
      <c r="H10" s="82" t="n"/>
      <c r="I10" s="82" t="n"/>
      <c r="K10" s="78" t="inlineStr">
        <is>
          <t>Transporte e Entregas</t>
        </is>
      </c>
      <c r="L10" s="80">
        <f>SUMIF($H$5:$H$54,K10,$G$5:$G$54)</f>
        <v/>
      </c>
    </row>
    <row r="11">
      <c r="A11" s="77" t="n"/>
      <c r="B11" s="78" t="n"/>
      <c r="C11" s="78" t="n"/>
      <c r="D11" s="79" t="n"/>
      <c r="E11" s="78" t="n"/>
      <c r="F11" s="79" t="n"/>
      <c r="G11" s="79" t="n"/>
      <c r="H11" s="78" t="n"/>
      <c r="I11" s="78" t="n"/>
      <c r="K11" s="78" t="inlineStr">
        <is>
          <t>Salários, Comissões e Encargos</t>
        </is>
      </c>
      <c r="L11" s="80">
        <f>SUMIF($H$5:$H$54,K11,$G$5:$G$54)</f>
        <v/>
      </c>
    </row>
    <row r="12">
      <c r="A12" s="81" t="n"/>
      <c r="B12" s="82" t="n"/>
      <c r="C12" s="82" t="n"/>
      <c r="D12" s="83" t="n"/>
      <c r="E12" s="82" t="n"/>
      <c r="F12" s="83" t="n"/>
      <c r="G12" s="83" t="n"/>
      <c r="H12" s="82" t="n"/>
      <c r="I12" s="82" t="n"/>
      <c r="K12" s="78" t="inlineStr">
        <is>
          <t>Contabilidade</t>
        </is>
      </c>
      <c r="L12" s="80">
        <f>SUMIF($H$5:$H$54,K12,$G$5:$G$54)</f>
        <v/>
      </c>
    </row>
    <row r="13">
      <c r="A13" s="77" t="n"/>
      <c r="B13" s="78" t="n"/>
      <c r="C13" s="78" t="n"/>
      <c r="D13" s="79" t="n"/>
      <c r="E13" s="78" t="n"/>
      <c r="F13" s="79" t="n"/>
      <c r="G13" s="79" t="n"/>
      <c r="H13" s="78" t="n"/>
      <c r="I13" s="78" t="n"/>
      <c r="K13" s="78" t="inlineStr">
        <is>
          <t>Manutenção e Reparos</t>
        </is>
      </c>
      <c r="L13" s="80">
        <f>SUMIF($H$5:$H$54,K13,$G$5:$G$54)</f>
        <v/>
      </c>
    </row>
    <row r="14">
      <c r="A14" s="81" t="n"/>
      <c r="B14" s="82" t="n"/>
      <c r="C14" s="82" t="n"/>
      <c r="D14" s="83" t="n"/>
      <c r="E14" s="82" t="n"/>
      <c r="F14" s="83" t="n"/>
      <c r="G14" s="83" t="n"/>
      <c r="H14" s="82" t="n"/>
      <c r="I14" s="82" t="n"/>
      <c r="K14" s="78" t="inlineStr">
        <is>
          <t>Material de Limpeza e Escritório</t>
        </is>
      </c>
      <c r="L14" s="80">
        <f>SUMIF($H$5:$H$54,K14,$G$5:$G$54)</f>
        <v/>
      </c>
    </row>
    <row r="15">
      <c r="A15" s="77" t="n"/>
      <c r="B15" s="78" t="n"/>
      <c r="C15" s="78" t="n"/>
      <c r="D15" s="79" t="n"/>
      <c r="E15" s="78" t="n"/>
      <c r="F15" s="79" t="n"/>
      <c r="G15" s="79" t="n"/>
      <c r="H15" s="78" t="n"/>
      <c r="I15" s="78" t="n"/>
      <c r="K15" s="78" t="inlineStr">
        <is>
          <t>Estornos de Vendas (Cancelamentos)</t>
        </is>
      </c>
      <c r="L15" s="80">
        <f>SUMIF($H$5:$H$54,K15,$G$5:$G$54)</f>
        <v/>
      </c>
    </row>
    <row r="16">
      <c r="A16" s="81" t="n"/>
      <c r="B16" s="82" t="n"/>
      <c r="C16" s="82" t="n"/>
      <c r="D16" s="83" t="n"/>
      <c r="E16" s="82" t="n"/>
      <c r="F16" s="83" t="n"/>
      <c r="G16" s="83" t="n"/>
      <c r="H16" s="82" t="n"/>
      <c r="I16" s="82" t="n"/>
      <c r="K16" s="78" t="inlineStr">
        <is>
          <t>Outras Despesas</t>
        </is>
      </c>
      <c r="L16" s="80">
        <f>SUMIF($H$5:$H$54,K16,$G$5:$G$54)</f>
        <v/>
      </c>
    </row>
    <row r="17">
      <c r="A17" s="77" t="n"/>
      <c r="B17" s="78" t="n"/>
      <c r="C17" s="78" t="n"/>
      <c r="D17" s="79" t="n"/>
      <c r="E17" s="78" t="n"/>
      <c r="F17" s="79" t="n"/>
      <c r="G17" s="79" t="n"/>
      <c r="H17" s="78" t="n"/>
      <c r="I17" s="78" t="n"/>
      <c r="K17" s="84" t="inlineStr">
        <is>
          <t>Pro Labore Edilânia</t>
        </is>
      </c>
      <c r="L17" s="85">
        <f>SUMIF($H$5:$H$54,K17,$G$5:$G$54)</f>
        <v/>
      </c>
    </row>
    <row r="18">
      <c r="A18" s="81" t="n"/>
      <c r="B18" s="82" t="n"/>
      <c r="C18" s="82" t="n"/>
      <c r="D18" s="83" t="n"/>
      <c r="E18" s="82" t="n"/>
      <c r="F18" s="83" t="n"/>
      <c r="G18" s="83" t="n"/>
      <c r="H18" s="82" t="n"/>
      <c r="I18" s="82" t="n"/>
      <c r="K18" s="86" t="inlineStr">
        <is>
          <t>Total</t>
        </is>
      </c>
      <c r="L18" s="87">
        <f>SUM(L5:L16)</f>
        <v/>
      </c>
    </row>
    <row r="19">
      <c r="A19" s="77" t="n"/>
      <c r="B19" s="78" t="n"/>
      <c r="C19" s="78" t="n"/>
      <c r="D19" s="79" t="n"/>
      <c r="E19" s="78" t="n"/>
      <c r="F19" s="79" t="n"/>
      <c r="G19" s="79" t="n"/>
      <c r="H19" s="78" t="n"/>
      <c r="I19" s="7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81" t="n"/>
      <c r="B20" s="82" t="n"/>
      <c r="C20" s="82" t="n"/>
      <c r="D20" s="83" t="n"/>
      <c r="E20" s="82" t="n"/>
      <c r="F20" s="83" t="n"/>
      <c r="G20" s="83" t="n"/>
      <c r="H20" s="82" t="n"/>
      <c r="I20" s="82" t="n"/>
    </row>
    <row r="21">
      <c r="A21" s="77" t="n"/>
      <c r="B21" s="78" t="n"/>
      <c r="C21" s="78" t="n"/>
      <c r="D21" s="79" t="n"/>
      <c r="E21" s="78" t="n"/>
      <c r="F21" s="79" t="n"/>
      <c r="G21" s="79" t="n"/>
      <c r="H21" s="78" t="n"/>
      <c r="I21" s="78" t="n"/>
    </row>
    <row r="22">
      <c r="A22" s="81" t="n"/>
      <c r="B22" s="82" t="n"/>
      <c r="C22" s="82" t="n"/>
      <c r="D22" s="83" t="n"/>
      <c r="E22" s="82" t="n"/>
      <c r="F22" s="83" t="n"/>
      <c r="G22" s="83" t="n"/>
      <c r="H22" s="82" t="n"/>
      <c r="I22" s="82" t="n"/>
    </row>
    <row r="23">
      <c r="A23" s="77" t="n"/>
      <c r="B23" s="78" t="n"/>
      <c r="C23" s="78" t="n"/>
      <c r="D23" s="79" t="n"/>
      <c r="E23" s="78" t="n"/>
      <c r="F23" s="79" t="n"/>
      <c r="G23" s="79" t="n"/>
      <c r="H23" s="78" t="n"/>
      <c r="I23" s="78" t="n"/>
    </row>
    <row r="24">
      <c r="A24" s="81" t="n"/>
      <c r="B24" s="82" t="n"/>
      <c r="C24" s="82" t="n"/>
      <c r="D24" s="83" t="n"/>
      <c r="E24" s="82" t="n"/>
      <c r="F24" s="83" t="n"/>
      <c r="G24" s="83" t="n"/>
      <c r="H24" s="82" t="n"/>
      <c r="I24" s="82" t="n"/>
    </row>
    <row r="25">
      <c r="A25" s="77" t="n"/>
      <c r="B25" s="78" t="n"/>
      <c r="C25" s="78" t="n"/>
      <c r="D25" s="79" t="n"/>
      <c r="E25" s="78" t="n"/>
      <c r="F25" s="79" t="n"/>
      <c r="G25" s="79" t="n"/>
      <c r="H25" s="78" t="n"/>
      <c r="I25" s="78" t="n"/>
    </row>
    <row r="26">
      <c r="A26" s="81" t="n"/>
      <c r="B26" s="82" t="n"/>
      <c r="C26" s="82" t="n"/>
      <c r="D26" s="83" t="n"/>
      <c r="E26" s="82" t="n"/>
      <c r="F26" s="83" t="n"/>
      <c r="G26" s="83" t="n"/>
      <c r="H26" s="82" t="n"/>
      <c r="I26" s="82" t="n"/>
    </row>
    <row r="27">
      <c r="A27" s="77" t="n"/>
      <c r="B27" s="78" t="n"/>
      <c r="C27" s="78" t="n"/>
      <c r="D27" s="79" t="n"/>
      <c r="E27" s="78" t="n"/>
      <c r="F27" s="79" t="n"/>
      <c r="G27" s="79" t="n"/>
      <c r="H27" s="78" t="n"/>
      <c r="I27" s="78" t="n"/>
    </row>
    <row r="28">
      <c r="A28" s="81" t="n"/>
      <c r="B28" s="82" t="n"/>
      <c r="C28" s="82" t="n"/>
      <c r="D28" s="83" t="n"/>
      <c r="E28" s="82" t="n"/>
      <c r="F28" s="83" t="n"/>
      <c r="G28" s="83" t="n"/>
      <c r="H28" s="82" t="n"/>
      <c r="I28" s="82" t="n"/>
    </row>
    <row r="29">
      <c r="A29" s="77" t="n"/>
      <c r="B29" s="78" t="n"/>
      <c r="C29" s="78" t="n"/>
      <c r="D29" s="79" t="n"/>
      <c r="E29" s="78" t="n"/>
      <c r="F29" s="79" t="n"/>
      <c r="G29" s="79" t="n"/>
      <c r="H29" s="78" t="n"/>
      <c r="I29" s="78" t="n"/>
    </row>
    <row r="30">
      <c r="A30" s="81" t="n"/>
      <c r="B30" s="82" t="n"/>
      <c r="C30" s="82" t="n"/>
      <c r="D30" s="83" t="n"/>
      <c r="E30" s="82" t="n"/>
      <c r="F30" s="83" t="n"/>
      <c r="G30" s="83" t="n"/>
      <c r="H30" s="82" t="n"/>
      <c r="I30" s="82" t="n"/>
    </row>
    <row r="31">
      <c r="A31" s="77" t="n"/>
      <c r="B31" s="78" t="n"/>
      <c r="C31" s="78" t="n"/>
      <c r="D31" s="79" t="n"/>
      <c r="E31" s="78" t="n"/>
      <c r="F31" s="79" t="n"/>
      <c r="G31" s="79" t="n"/>
      <c r="H31" s="78" t="n"/>
      <c r="I31" s="78" t="n"/>
    </row>
    <row r="32">
      <c r="A32" s="81" t="n"/>
      <c r="B32" s="82" t="n"/>
      <c r="C32" s="82" t="n"/>
      <c r="D32" s="83" t="n"/>
      <c r="E32" s="82" t="n"/>
      <c r="F32" s="83" t="n"/>
      <c r="G32" s="83" t="n"/>
      <c r="H32" s="82" t="n"/>
      <c r="I32" s="82" t="n"/>
    </row>
    <row r="33">
      <c r="A33" s="77" t="n"/>
      <c r="B33" s="78" t="n"/>
      <c r="C33" s="78" t="n"/>
      <c r="D33" s="79" t="n"/>
      <c r="E33" s="78" t="n"/>
      <c r="F33" s="79" t="n"/>
      <c r="G33" s="79" t="n"/>
      <c r="H33" s="78" t="n"/>
      <c r="I33" s="78" t="n"/>
    </row>
    <row r="34">
      <c r="A34" s="81" t="n"/>
      <c r="B34" s="82" t="n"/>
      <c r="C34" s="82" t="n"/>
      <c r="D34" s="83" t="n"/>
      <c r="E34" s="82" t="n"/>
      <c r="F34" s="83" t="n"/>
      <c r="G34" s="83" t="n"/>
      <c r="H34" s="82" t="n"/>
      <c r="I34" s="82" t="n"/>
    </row>
    <row r="35">
      <c r="A35" s="77" t="n"/>
      <c r="B35" s="78" t="n"/>
      <c r="C35" s="78" t="n"/>
      <c r="D35" s="79" t="n"/>
      <c r="E35" s="78" t="n"/>
      <c r="F35" s="79" t="n"/>
      <c r="G35" s="79" t="n"/>
      <c r="H35" s="78" t="n"/>
      <c r="I35" s="78" t="n"/>
    </row>
    <row r="36">
      <c r="A36" s="81" t="n"/>
      <c r="B36" s="82" t="n"/>
      <c r="C36" s="82" t="n"/>
      <c r="D36" s="83" t="n"/>
      <c r="E36" s="82" t="n"/>
      <c r="F36" s="83" t="n"/>
      <c r="G36" s="83" t="n"/>
      <c r="H36" s="82" t="n"/>
      <c r="I36" s="82" t="n"/>
    </row>
    <row r="37">
      <c r="A37" s="77" t="n"/>
      <c r="B37" s="78" t="n"/>
      <c r="C37" s="78" t="n"/>
      <c r="D37" s="79" t="n"/>
      <c r="E37" s="78" t="n"/>
      <c r="F37" s="79" t="n"/>
      <c r="G37" s="79" t="n"/>
      <c r="H37" s="78" t="n"/>
      <c r="I37" s="78" t="n"/>
    </row>
    <row r="38">
      <c r="A38" s="81" t="n"/>
      <c r="B38" s="82" t="n"/>
      <c r="C38" s="82" t="n"/>
      <c r="D38" s="83" t="n"/>
      <c r="E38" s="82" t="n"/>
      <c r="F38" s="83" t="n"/>
      <c r="G38" s="83" t="n"/>
      <c r="H38" s="82" t="n"/>
      <c r="I38" s="82" t="n"/>
    </row>
    <row r="39">
      <c r="A39" s="77" t="n"/>
      <c r="B39" s="78" t="n"/>
      <c r="C39" s="78" t="n"/>
      <c r="D39" s="79" t="n"/>
      <c r="E39" s="78" t="n"/>
      <c r="F39" s="79" t="n"/>
      <c r="G39" s="79" t="n"/>
      <c r="H39" s="78" t="n"/>
      <c r="I39" s="78" t="n"/>
    </row>
    <row r="40">
      <c r="A40" s="81" t="n"/>
      <c r="B40" s="82" t="n"/>
      <c r="C40" s="82" t="n"/>
      <c r="D40" s="83" t="n"/>
      <c r="E40" s="82" t="n"/>
      <c r="F40" s="83" t="n"/>
      <c r="G40" s="83" t="n"/>
      <c r="H40" s="82" t="n"/>
      <c r="I40" s="82" t="n"/>
    </row>
    <row r="41">
      <c r="A41" s="77" t="n"/>
      <c r="B41" s="78" t="n"/>
      <c r="C41" s="78" t="n"/>
      <c r="D41" s="79" t="n"/>
      <c r="E41" s="78" t="n"/>
      <c r="F41" s="79" t="n"/>
      <c r="G41" s="79" t="n"/>
      <c r="H41" s="78" t="n"/>
      <c r="I41" s="78" t="n"/>
    </row>
    <row r="42">
      <c r="A42" s="81" t="n"/>
      <c r="B42" s="82" t="n"/>
      <c r="C42" s="82" t="n"/>
      <c r="D42" s="83" t="n"/>
      <c r="E42" s="82" t="n"/>
      <c r="F42" s="83" t="n"/>
      <c r="G42" s="83" t="n"/>
      <c r="H42" s="82" t="n"/>
      <c r="I42" s="82" t="n"/>
    </row>
    <row r="43">
      <c r="A43" s="77" t="n"/>
      <c r="B43" s="78" t="n"/>
      <c r="C43" s="78" t="n"/>
      <c r="D43" s="79" t="n"/>
      <c r="E43" s="78" t="n"/>
      <c r="F43" s="79" t="n"/>
      <c r="G43" s="79" t="n"/>
      <c r="H43" s="78" t="n"/>
      <c r="I43" s="78" t="n"/>
    </row>
    <row r="44">
      <c r="A44" s="81" t="n"/>
      <c r="B44" s="82" t="n"/>
      <c r="C44" s="82" t="n"/>
      <c r="D44" s="83" t="n"/>
      <c r="E44" s="82" t="n"/>
      <c r="F44" s="83" t="n"/>
      <c r="G44" s="83" t="n"/>
      <c r="H44" s="82" t="n"/>
      <c r="I44" s="82" t="n"/>
    </row>
    <row r="45">
      <c r="A45" s="77" t="n"/>
      <c r="B45" s="78" t="n"/>
      <c r="C45" s="78" t="n"/>
      <c r="D45" s="79" t="n"/>
      <c r="E45" s="78" t="n"/>
      <c r="F45" s="79" t="n"/>
      <c r="G45" s="79" t="n"/>
      <c r="H45" s="78" t="n"/>
      <c r="I45" s="78" t="n"/>
    </row>
    <row r="46">
      <c r="A46" s="81" t="n"/>
      <c r="B46" s="82" t="n"/>
      <c r="C46" s="82" t="n"/>
      <c r="D46" s="83" t="n"/>
      <c r="E46" s="82" t="n"/>
      <c r="F46" s="83" t="n"/>
      <c r="G46" s="83" t="n"/>
      <c r="H46" s="82" t="n"/>
      <c r="I46" s="82" t="n"/>
    </row>
    <row r="47">
      <c r="A47" s="77" t="n"/>
      <c r="B47" s="78" t="n"/>
      <c r="C47" s="78" t="n"/>
      <c r="D47" s="79" t="n"/>
      <c r="E47" s="78" t="n"/>
      <c r="F47" s="79" t="n"/>
      <c r="G47" s="79" t="n"/>
      <c r="H47" s="78" t="n"/>
      <c r="I47" s="78" t="n"/>
    </row>
    <row r="48">
      <c r="A48" s="81" t="n"/>
      <c r="B48" s="82" t="n"/>
      <c r="C48" s="82" t="n"/>
      <c r="D48" s="83" t="n"/>
      <c r="E48" s="82" t="n"/>
      <c r="F48" s="83" t="n"/>
      <c r="G48" s="83" t="n"/>
      <c r="H48" s="82" t="n"/>
      <c r="I48" s="82" t="n"/>
    </row>
    <row r="49">
      <c r="A49" s="77" t="n"/>
      <c r="B49" s="78" t="n"/>
      <c r="C49" s="78" t="n"/>
      <c r="D49" s="79" t="n"/>
      <c r="E49" s="78" t="n"/>
      <c r="F49" s="79" t="n"/>
      <c r="G49" s="79" t="n"/>
      <c r="H49" s="78" t="n"/>
      <c r="I49" s="78" t="n"/>
    </row>
    <row r="50">
      <c r="A50" s="81" t="n"/>
      <c r="B50" s="82" t="n"/>
      <c r="C50" s="82" t="n"/>
      <c r="D50" s="83" t="n"/>
      <c r="E50" s="82" t="n"/>
      <c r="F50" s="83" t="n"/>
      <c r="G50" s="83" t="n"/>
      <c r="H50" s="82" t="n"/>
      <c r="I50" s="82" t="n"/>
    </row>
    <row r="51">
      <c r="A51" s="77" t="n"/>
      <c r="B51" s="78" t="n"/>
      <c r="C51" s="78" t="n"/>
      <c r="D51" s="79" t="n"/>
      <c r="E51" s="78" t="n"/>
      <c r="F51" s="79" t="n"/>
      <c r="G51" s="79" t="n"/>
      <c r="H51" s="78" t="n"/>
      <c r="I51" s="78" t="n"/>
    </row>
    <row r="52">
      <c r="A52" s="81" t="n"/>
      <c r="B52" s="82" t="n"/>
      <c r="C52" s="82" t="n"/>
      <c r="D52" s="83" t="n"/>
      <c r="E52" s="82" t="n"/>
      <c r="F52" s="83" t="n"/>
      <c r="G52" s="83" t="n"/>
      <c r="H52" s="82" t="n"/>
      <c r="I52" s="82" t="n"/>
    </row>
    <row r="53">
      <c r="A53" s="77" t="n"/>
      <c r="B53" s="78" t="n"/>
      <c r="C53" s="78" t="n"/>
      <c r="D53" s="79" t="n"/>
      <c r="E53" s="78" t="n"/>
      <c r="F53" s="79" t="n"/>
      <c r="G53" s="79" t="n"/>
      <c r="H53" s="78" t="n"/>
      <c r="I53" s="78" t="n"/>
    </row>
    <row r="54">
      <c r="A54" s="81" t="n"/>
      <c r="B54" s="82" t="n"/>
      <c r="C54" s="82" t="n"/>
      <c r="D54" s="83" t="n"/>
      <c r="E54" s="82" t="n"/>
      <c r="F54" s="83" t="n"/>
      <c r="G54" s="83" t="n"/>
      <c r="H54" s="82" t="n"/>
      <c r="I54" s="82" t="n"/>
    </row>
    <row r="55">
      <c r="A55" s="90" t="n"/>
      <c r="B55" s="90" t="inlineStr">
        <is>
          <t>TOTAL DO MÊS</t>
        </is>
      </c>
      <c r="C55" s="90" t="n"/>
      <c r="D55" s="91">
        <f>SUM(D5:D54)</f>
        <v/>
      </c>
      <c r="E55" s="90" t="n"/>
      <c r="F55" s="91">
        <f>SUM(F5:F54)</f>
        <v/>
      </c>
      <c r="G55" s="91">
        <f>SUM(G5:G54)</f>
        <v/>
      </c>
      <c r="H55" s="90" t="n"/>
      <c r="I55" s="90" t="n"/>
    </row>
    <row r="56">
      <c r="A56" s="92" t="n"/>
      <c r="B56" s="92" t="inlineStr">
        <is>
          <t>SALDO DO MÊS (Entradas líquidas − Despesas da loja)</t>
        </is>
      </c>
      <c r="C56" s="92" t="n"/>
      <c r="D56" s="93">
        <f>(D55-F55-T5)-(L18-L19)</f>
        <v/>
      </c>
      <c r="E56" s="92" t="n"/>
      <c r="F56" s="93" t="n"/>
      <c r="G56" s="93" t="n"/>
      <c r="H56" s="92" t="n"/>
      <c r="I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2026-09-15T21:05:48Z</dcterms:modified>
  <cp:lastModifiedBy>Planeta</cp:lastModifiedBy>
  <cp:revision>1</cp:revision>
</cp:coreProperties>
</file>