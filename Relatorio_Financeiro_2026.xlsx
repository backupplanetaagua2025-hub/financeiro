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3">
    <numFmt numFmtId="164" formatCode="&quot;R$ &quot;#,##0.00"/>
    <numFmt numFmtId="165" formatCode="0.0%"/>
    <numFmt numFmtId="166" formatCode="0.0"/>
  </numFmts>
  <fonts count="76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38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.1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LUCRO EM CAIXA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18.95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DESPESAS PESSOAIS (ANO)</t>
        </is>
      </c>
      <c r="E10" s="120" t="inlineStr">
        <is>
          <t>PONTO DE EQUILÍBRIO (FAT. MÍN./MÊS)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Equilíbrio'!B10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>
      <c r="B50" s="167" t="inlineStr">
        <is>
          <t>4. Despesa pessoal do casal paga pela loja: categoria "Pro Labore Edilânia" — fica registrada, mas fora do resultado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6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Jan–Jul: importado do Livro Caixa (DigiSat/G6). Ago–Dez: lançamento manual. Entradas = faturamento recebido (líquido de taxa de máquina e sem vendas pendentes); saídas excluem Pro Labore Edilânia e contas pagas pelo Capital de Giro (BB). Vendas ainda não recebidas ficam na tabela 'Contas a Receber'.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LUCRO LÍQUIDO</t>
        </is>
      </c>
      <c r="F4" s="160" t="n"/>
      <c r="G4" s="191" t="inlineStr">
        <is>
          <t>MARGEM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SUM(D24:D35)</f>
        <v/>
      </c>
      <c r="F5" s="173" t="n"/>
      <c r="G5" s="176">
        <f>IF(B36=0,0,D36/B36)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em lucro: "&amp;INDEX(A24:A35,MATCH(MAX(D24:D35),D24:D35,0))&amp;" (lucro de "&amp;TEXT(MAX(D24:D35),"R$ #,##0.00")&amp;")"</f>
        <v/>
      </c>
    </row>
    <row r="10">
      <c r="A10" s="178">
        <f>"Mês mais fraco em lucro: "&amp;INDEX(A24:A35,MATCH(MIN(D24:D35),D24:D35,0))&amp;" (lucro de "&amp;TEXT(MIN(D24:D35),"R$ #,##0.00")&amp;")"</f>
        <v/>
      </c>
    </row>
    <row r="11">
      <c r="A11" s="178">
        <f>"Número de meses com prejuízo: "&amp;COUNTIF(D24:D35,"&lt;0")&amp;" de "&amp;COUNTIF(B24:B35,"&lt;&gt;0")&amp;" meses com dados"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19.5" customHeight="1" s="157">
      <c r="A23" s="1" t="inlineStr">
        <is>
          <t>Mês</t>
        </is>
      </c>
      <c r="B23" s="1" t="inlineStr">
        <is>
          <t>Entradas (R$)</t>
        </is>
      </c>
      <c r="C23" s="1" t="inlineStr">
        <is>
          <t>Saídas (R$)</t>
        </is>
      </c>
      <c r="D23" s="1" t="inlineStr">
        <is>
          <t>Lucro (R$)</t>
        </is>
      </c>
      <c r="E23" s="1" t="inlineStr">
        <is>
          <t>Margem (%)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3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Resultado. Puxa tudo das abas mensais, sem digitação.</t>
        </is>
      </c>
    </row>
    <row r="3">
      <c r="A3" s="127" t="inlineStr">
        <is>
          <t>← Início</t>
        </is>
      </c>
      <c r="B3" s="94">
        <f>COUNTIF(B5:M5,"&gt;0")</f>
        <v/>
      </c>
      <c r="C3" s="194" t="inlineStr">
        <is>
          <t>← meses já lançados; é a base do cálculo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IF($B$3=0,0,N5/$B$3)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IF($B$3=0,0,N6/$B$3)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IF($B$3=0,0,N7/$B$3)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IF($B$3=0,0,N8/$B$3)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IF($B$3=0,0,N9/$B$3)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IF($B$3=0,0,N10/$B$3)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IF($B$3=0,0,N11/$B$3)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IF(N5=0,"",N11/N5)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IF($B$3=0,0,N13/$B$3)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IF($B$3=0,0,N14/$B$3)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IF($B$3=0,0,N15/$B$3)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IF($B$3=0,0,N16/$B$3)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IF($B$3=0,0,N17/$B$3)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IF($B$3=0,0,N18/$B$3)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IF($B$3=0,0,N19/$B$3)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IF($B$3=0,0,N20/$B$3)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IF($B$3=0,0,N21/$B$3)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IF($B$3=0,0,N22/$B$3)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IF($B$3=0,0,N23/$B$3)</f>
        <v/>
      </c>
    </row>
    <row r="24" ht="15.75" customHeight="1" s="157">
      <c r="A24" s="103" t="inlineStr">
        <is>
          <t>(=) RESULTADO DO MÊS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IF($B$3=0,0,N24/$B$3)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IF(N5=0,"",N24/N5)</f>
        <v/>
      </c>
    </row>
    <row r="26">
      <c r="A26" s="105" t="inlineStr">
        <is>
          <t>MEMÓRIA (não entram no resultado da loja)</t>
        </is>
      </c>
      <c r="B26" s="106" t="n"/>
      <c r="C26" s="106" t="n"/>
      <c r="D26" s="106" t="n"/>
      <c r="E26" s="106" t="n"/>
      <c r="F26" s="106" t="n"/>
      <c r="G26" s="106" t="n"/>
      <c r="H26" s="106" t="n"/>
      <c r="I26" s="106" t="n"/>
      <c r="J26" s="106" t="n"/>
      <c r="K26" s="106" t="n"/>
      <c r="L26" s="106" t="n"/>
      <c r="M26" s="106" t="n"/>
      <c r="N26" s="106" t="n"/>
      <c r="O26" s="106" t="n"/>
    </row>
    <row r="27">
      <c r="A27" s="107" t="inlineStr">
        <is>
          <t xml:space="preserve">   Pro Labore Edilânia (retirada dos sócios / despesas pessoais)</t>
        </is>
      </c>
      <c r="B27" s="108">
        <f>'Jan 2026'!L17</f>
        <v/>
      </c>
      <c r="C27" s="108">
        <f>'Fev 2026'!L17</f>
        <v/>
      </c>
      <c r="D27" s="108">
        <f>'Mar 2026'!L17</f>
        <v/>
      </c>
      <c r="E27" s="108">
        <f>'Abr 2026'!L17</f>
        <v/>
      </c>
      <c r="F27" s="108">
        <f>'Mai 2026'!L17</f>
        <v/>
      </c>
      <c r="G27" s="108">
        <f>'Jun 2026'!L17</f>
        <v/>
      </c>
      <c r="H27" s="108">
        <f>'Jul 2026'!L17</f>
        <v/>
      </c>
      <c r="I27" s="108">
        <f>'Ago 2026'!L17</f>
        <v/>
      </c>
      <c r="J27" s="108">
        <f>'Set 2026'!L17</f>
        <v/>
      </c>
      <c r="K27" s="108">
        <f>'Out 2026'!L17</f>
        <v/>
      </c>
      <c r="L27" s="108">
        <f>'Nov 2026'!L17</f>
        <v/>
      </c>
      <c r="M27" s="108">
        <f>'Dez 2026'!L17</f>
        <v/>
      </c>
      <c r="N27" s="108">
        <f>SUM(B27:M27)</f>
        <v/>
      </c>
      <c r="O27" s="108">
        <f>IF($B$3=0,0,N27/$B$3)</f>
        <v/>
      </c>
    </row>
    <row r="28">
      <c r="A28" s="107" t="inlineStr">
        <is>
          <t xml:space="preserve">   Despesas da loja pagas com Capital de Giro (BB) — dívida a devolver</t>
        </is>
      </c>
      <c r="B28" s="108">
        <f>'Jan 2026'!L19</f>
        <v/>
      </c>
      <c r="C28" s="108">
        <f>'Fev 2026'!L19</f>
        <v/>
      </c>
      <c r="D28" s="108">
        <f>'Mar 2026'!L19</f>
        <v/>
      </c>
      <c r="E28" s="108">
        <f>'Abr 2026'!L19</f>
        <v/>
      </c>
      <c r="F28" s="108">
        <f>'Mai 2026'!L19</f>
        <v/>
      </c>
      <c r="G28" s="108">
        <f>'Jun 2026'!L19</f>
        <v/>
      </c>
      <c r="H28" s="108">
        <f>'Jul 2026'!L19</f>
        <v/>
      </c>
      <c r="I28" s="108">
        <f>'Ago 2026'!L19</f>
        <v/>
      </c>
      <c r="J28" s="108">
        <f>'Set 2026'!L19</f>
        <v/>
      </c>
      <c r="K28" s="108">
        <f>'Out 2026'!L19</f>
        <v/>
      </c>
      <c r="L28" s="108">
        <f>'Nov 2026'!L19</f>
        <v/>
      </c>
      <c r="M28" s="108">
        <f>'Dez 2026'!L19</f>
        <v/>
      </c>
      <c r="N28" s="108">
        <f>SUM(B28:M28)</f>
        <v/>
      </c>
      <c r="O28" s="108">
        <f>IF($B$3=0,0,N28/$B$3)</f>
        <v/>
      </c>
    </row>
    <row r="30" ht="27.95" customHeight="1" s="157">
      <c r="A30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1" ht="27.95" customHeight="1" s="157">
      <c r="A31" s="182" t="inlineStr">
        <is>
          <t>A Receita de Ago–Dez já está líquida: descontadas as taxas de máquina e as vendas ainda não recebidas (A Receber).</t>
        </is>
      </c>
    </row>
    <row r="32" ht="27.95" customHeight="1" s="157">
      <c r="A32" s="182" t="inlineStr">
        <is>
          <t>A "Média/mês" divide pelo número de meses que já tiveram movimento (célula B3) — meses ainda não lançados não puxam a média para baixo.</t>
        </is>
      </c>
    </row>
    <row r="33" ht="27.95" customHeight="1" s="157">
      <c r="A33" s="196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</sheetData>
  <mergeCells count="7">
    <mergeCell ref="C3:F3"/>
    <mergeCell ref="A2:O2"/>
    <mergeCell ref="A33:O33"/>
    <mergeCell ref="A1:O1"/>
    <mergeCell ref="A32:O32"/>
    <mergeCell ref="A31:O31"/>
    <mergeCell ref="A30:O30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42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D86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</t>
        </is>
      </c>
      <c r="B11" s="78" t="inlineStr">
        <is>
          <t>Empréstimo de reserva usado para pagar contas da loja em Ago/2026</t>
        </is>
      </c>
      <c r="C11" s="77" t="n"/>
      <c r="D11" s="79">
        <f>'Capital de Giro (BB)'!C5</f>
        <v/>
      </c>
      <c r="E11" s="112" t="inlineStr">
        <is>
          <t>Pago</t>
        </is>
      </c>
      <c r="F11" s="112">
        <f>IF(OR($E11="Pago",$C11=""),"",MAX(0,TODAY()-$C11))</f>
        <v/>
      </c>
      <c r="G11" s="78" t="inlineStr">
        <is>
          <t>Detalhe na aba Capital de Giro (BB). Quitado integralmente em 31/08/2026 (aporte de Adriano na reserva).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Pendente</t>
        </is>
      </c>
      <c r="F30" s="113">
        <f>IF(OR($E30="Pago",$C30=""),"",MAX(0,TODAY()-$C30))</f>
        <v/>
      </c>
      <c r="G30" s="82" t="inlineStr">
        <is>
          <t>Categoria quando pagar: Fornecedores / Mercadoria. Boleto Itaú 341-7 (Eversoft, CNPJ 08.782.043/0001-88). Nosso número 112/19915315-9. Linha digitável 34191.12192 91531.590304 55679.010003 3 15890000098081. Após o vencimento: juros ao dia + multa de 2%.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Pendente</t>
        </is>
      </c>
      <c r="F31" s="112">
        <f>IF(OR($E31="Pago",$C31=""),"",MAX(0,TODAY()-$C31))</f>
        <v/>
      </c>
      <c r="G31" s="78" t="inlineStr">
        <is>
          <t>Categoria quando pagar: Fornecedores / Mercadoria. Boleto Itaú 341-7 (Eversoft, CNPJ 08.782.043/0001-88). Nosso número 112/24142201-6. Linha digitável 34191.12242 14220.160304 55679.010003 7 15930000087892. Após o vencimento: juros ao dia + multa de 2%.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Pendente</t>
        </is>
      </c>
      <c r="F57" s="112">
        <f>IF(OR($E57="Pago",$C57=""),"",MAX(0,TODAY()-$C57))</f>
        <v/>
      </c>
      <c r="G57" s="78" t="inlineStr">
        <is>
          <t>Categoria quando pagar: Pro Labore Edilânia. Fatura em nome pessoal do sócio, matrícula 0531718-70. Pagável via Pix no QR Code da conta.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Pendente</t>
        </is>
      </c>
      <c r="F58" s="113">
        <f>IF(OR($E58="Pago",$C58=""),"",MAX(0,TODAY()-$C58))</f>
        <v/>
      </c>
      <c r="G58" s="82" t="inlineStr">
        <is>
          <t>Categoria quando pagar: Fornecedores / Mercadoria. Boleto Itaú 341-7 (carteira 109). Nosso número 109/00257851-4. Linha digitável 34191.09008 25785.141430 81531.550002 6 15920000053793. Após o vencimento: multa de 1,9% + juros de 0,1% ao dia; protesto no 5º dia útil.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Previsto</t>
        </is>
      </c>
      <c r="F60" s="143">
        <f>IF(OR($E60="Pago",$C60=""),"",MAX(0,TODAY()-$C60))</f>
        <v/>
      </c>
      <c r="G60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Pendente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Pendente</t>
        </is>
      </c>
      <c r="F71" s="113">
        <f>IF(OR($E71="Pago",$C71=""),"",MAX(0,TODAY()-$C71))</f>
        <v/>
      </c>
      <c r="G71" s="82" t="inlineStr">
        <is>
          <t>Categoria quando pagar: Fornecedores / Mercadoria.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Pendente</t>
        </is>
      </c>
      <c r="F74" s="113">
        <f>IF(OR($E74="Pago",$C74=""),"",MAX(0,TODAY()-$C74))</f>
        <v/>
      </c>
      <c r="G74" s="82" t="inlineStr">
        <is>
          <t>Categoria quando pagar: Transporte e Entregas. Boleto Bradesco 237-2, nosso número 34840000190-0, agência/cedente 1430-0/0030737-8. Linha digitável 23791.43007 93484.000018 90003.073708 7 15870000032345. Emissão 17/09/2026. Após o vencimento: R$ 0,49 por dia de atraso; negativação a partir do 7º dia.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Pendente</t>
        </is>
      </c>
      <c r="F75" s="113">
        <f>IF(OR($E75="Pago",$C75=""),"",MAX(0,TODAY()-$C75))</f>
        <v/>
      </c>
      <c r="G75" s="82" t="inlineStr">
        <is>
          <t>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Previsto</t>
        </is>
      </c>
      <c r="F80" s="143">
        <f>IF(OR($E80="Pago",$C80=""),"",MAX(0,TODAY()-$C80))</f>
        <v/>
      </c>
      <c r="G80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Pendente</t>
        </is>
      </c>
      <c r="F83" s="112">
        <f>IF(OR($E83="Pago",$C83=""),"",MAX(0,TODAY()-$C83))</f>
        <v/>
      </c>
      <c r="G83" s="78" t="inlineStr">
        <is>
          <t>Categoria quando pagar: Pro Labore Edilânia.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6" t="inlineStr">
        <is>
          <t>TOTAL A PAGAR — COM BOLETO EM MÃOS</t>
        </is>
      </c>
      <c r="B84" s="86" t="n"/>
      <c r="C84" s="114" t="n"/>
      <c r="D84" s="115">
        <f>SUMIF(E11:E83,"Pendente",D11:D83)</f>
        <v/>
      </c>
      <c r="E84" s="116" t="n"/>
      <c r="F84" s="116" t="n"/>
      <c r="G84" s="86" t="n"/>
    </row>
    <row r="85" s="157">
      <c r="A85" s="144" t="inlineStr">
        <is>
          <t>PREVISTO — compromisso certo que ainda não está documentado</t>
        </is>
      </c>
      <c r="B85" s="144" t="n"/>
      <c r="C85" s="145" t="n"/>
      <c r="D85" s="146">
        <f>SUMIF(E11:E83,"Previsto",D11:D83)</f>
        <v/>
      </c>
      <c r="E85" s="142" t="n"/>
      <c r="F85" s="142" t="n"/>
      <c r="G85" s="144" t="n"/>
    </row>
    <row r="86" s="157">
      <c r="A86" s="86" t="inlineStr">
        <is>
          <t>TOTAL GERAL A PAGAR (boletos + previsão)</t>
        </is>
      </c>
      <c r="B86" s="86" t="n"/>
      <c r="C86" s="114" t="n"/>
      <c r="D86" s="115">
        <f>D84+D85</f>
        <v/>
      </c>
      <c r="E86" s="116" t="n"/>
      <c r="F86" s="116" t="n"/>
      <c r="G86" s="86" t="n"/>
    </row>
    <row r="87" s="157"/>
    <row r="88" ht="15.75" customHeight="1" s="157"/>
    <row r="89" ht="15.75" customHeight="1" s="157">
      <c r="A89" s="200" t="inlineStr">
        <is>
          <t>CONTAS A RECEBER  —  vendas feitas e ainda não pagas</t>
        </is>
      </c>
    </row>
    <row r="90" s="157">
      <c r="A90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91" s="157">
      <c r="A91" s="111" t="inlineStr">
        <is>
          <t>Cliente</t>
        </is>
      </c>
      <c r="B91" s="111" t="inlineStr">
        <is>
          <t>Produto / Referência</t>
        </is>
      </c>
      <c r="C91" s="111" t="inlineStr">
        <is>
          <t>Data da Venda</t>
        </is>
      </c>
      <c r="D91" s="111" t="inlineStr">
        <is>
          <t>Valor (R$)</t>
        </is>
      </c>
      <c r="E91" s="111" t="inlineStr">
        <is>
          <t>Status</t>
        </is>
      </c>
      <c r="F91" s="111" t="inlineStr">
        <is>
          <t>Dias em Atraso</t>
        </is>
      </c>
      <c r="G91" s="111" t="inlineStr">
        <is>
          <t>Observações</t>
        </is>
      </c>
    </row>
    <row r="92" s="157">
      <c r="A92" s="78" t="inlineStr">
        <is>
          <t>Centro de Especialidades Odontomédicas</t>
        </is>
      </c>
      <c r="B92" s="78" t="inlineStr">
        <is>
          <t>Refil Everest</t>
        </is>
      </c>
      <c r="C92" s="77" t="n">
        <v>46239</v>
      </c>
      <c r="D92" s="79" t="n">
        <v>140</v>
      </c>
      <c r="E92" s="112" t="inlineStr">
        <is>
          <t>Pendente</t>
        </is>
      </c>
      <c r="F92" s="112">
        <f>IF(OR($E92="Recebido",$C92=""),"",MAX(0,TODAY()-$C92))</f>
        <v/>
      </c>
      <c r="G92" s="78" t="n"/>
    </row>
    <row r="93" s="157">
      <c r="A93" s="82" t="inlineStr">
        <is>
          <t>Supermercado Brasil</t>
        </is>
      </c>
      <c r="B93" s="82" t="inlineStr">
        <is>
          <t>2x Refil Pro Life</t>
        </is>
      </c>
      <c r="C93" s="81" t="n">
        <v>46239</v>
      </c>
      <c r="D93" s="83" t="n">
        <v>280</v>
      </c>
      <c r="E93" s="113" t="inlineStr">
        <is>
          <t>Pendente</t>
        </is>
      </c>
      <c r="F93" s="113">
        <f>IF(OR($E93="Recebido",$C93=""),"",MAX(0,TODAY()-$C93))</f>
        <v/>
      </c>
      <c r="G93" s="82" t="n"/>
    </row>
    <row r="94" s="157">
      <c r="A94" s="78" t="inlineStr">
        <is>
          <t>Tropical Motos LTDA</t>
        </is>
      </c>
      <c r="B94" s="78" t="inlineStr">
        <is>
          <t>3x Refil Everest + Refil Pro Life + 3x Pré Filtro + Válvula Reguladora de Pressão</t>
        </is>
      </c>
      <c r="C94" s="77" t="n">
        <v>46245</v>
      </c>
      <c r="D94" s="79" t="n">
        <v>820</v>
      </c>
      <c r="E94" s="112" t="inlineStr">
        <is>
          <t>Recebido</t>
        </is>
      </c>
      <c r="F94" s="112">
        <f>IF(OR($E94="Recebido",$C94=""),"",MAX(0,TODAY()-$C94))</f>
        <v/>
      </c>
      <c r="G94" s="78" t="inlineStr">
        <is>
          <t>Recebido via TED em 25/08/2026. NF conferida: valor correto é R$820 (faltava a válvula no lançamento original de R$740).</t>
        </is>
      </c>
    </row>
    <row r="95" s="157">
      <c r="A95" s="82" t="inlineStr">
        <is>
          <t>Free Way</t>
        </is>
      </c>
      <c r="B95" s="82" t="inlineStr">
        <is>
          <t>5x Refil Everest</t>
        </is>
      </c>
      <c r="C95" s="81" t="n">
        <v>46251</v>
      </c>
      <c r="D95" s="83" t="n">
        <v>700</v>
      </c>
      <c r="E95" s="113" t="inlineStr">
        <is>
          <t>Recebido</t>
        </is>
      </c>
      <c r="F95" s="113">
        <f>IF(OR($E95="Recebido",$C95=""),"",MAX(0,TODAY()-$C95))</f>
        <v/>
      </c>
      <c r="G95" s="82" t="inlineStr">
        <is>
          <t>Recebido via TED em 02/09/2026.</t>
        </is>
      </c>
    </row>
    <row r="96" s="157">
      <c r="A96" s="78" t="inlineStr">
        <is>
          <t>Neli Sena Rego</t>
        </is>
      </c>
      <c r="B96" s="78" t="inlineStr">
        <is>
          <t>Refil Pro Life</t>
        </is>
      </c>
      <c r="C96" s="77" t="n">
        <v>46254</v>
      </c>
      <c r="D96" s="79" t="n">
        <v>140</v>
      </c>
      <c r="E96" s="112" t="inlineStr">
        <is>
          <t>Recebido</t>
        </is>
      </c>
      <c r="F96" s="112">
        <f>IF(OR($E96="Recebido",$C96=""),"",MAX(0,TODAY()-$C96))</f>
        <v/>
      </c>
      <c r="G96" s="78" t="inlineStr">
        <is>
          <t>Recebido em dinheiro em 01/09/2026 (R$ 170,00 pelas duas vendas)</t>
        </is>
      </c>
    </row>
    <row r="97" s="157">
      <c r="A97" s="82" t="inlineStr">
        <is>
          <t>Neli Sena Rego</t>
        </is>
      </c>
      <c r="B97" s="82" t="inlineStr">
        <is>
          <t>Conexão + Mangueira</t>
        </is>
      </c>
      <c r="C97" s="81" t="n">
        <v>46255</v>
      </c>
      <c r="D97" s="83" t="n">
        <v>40</v>
      </c>
      <c r="E97" s="113" t="inlineStr">
        <is>
          <t>Recebido</t>
        </is>
      </c>
      <c r="F97" s="113">
        <f>IF(OR($E97="Recebido",$C97=""),"",MAX(0,TODAY()-$C97))</f>
        <v/>
      </c>
      <c r="G97" s="82" t="inlineStr">
        <is>
          <t>Recebido em dinheiro em 01/09/2026 (R$ 170,00 pelas duas vendas)</t>
        </is>
      </c>
    </row>
    <row r="98" s="157">
      <c r="A98" s="78" t="inlineStr">
        <is>
          <t>Lapec</t>
        </is>
      </c>
      <c r="B98" s="78" t="inlineStr">
        <is>
          <t>4x Refil Everest</t>
        </is>
      </c>
      <c r="C98" s="77" t="n">
        <v>46258</v>
      </c>
      <c r="D98" s="79" t="n">
        <v>480</v>
      </c>
      <c r="E98" s="112" t="inlineStr">
        <is>
          <t>Recebido</t>
        </is>
      </c>
      <c r="F98" s="112">
        <f>IF(OR($E98="Recebido",$C98=""),"",MAX(0,TODAY()-$C98))</f>
        <v/>
      </c>
      <c r="G98" s="78" t="inlineStr">
        <is>
          <t>Recebido em dinheiro em 08/09/2026 — lançado em "Set 2026".</t>
        </is>
      </c>
    </row>
    <row r="99" s="157">
      <c r="A99" s="82" t="inlineStr">
        <is>
          <t>Cícero Lima</t>
        </is>
      </c>
      <c r="B99" s="82" t="inlineStr">
        <is>
          <t>Refil Everest</t>
        </is>
      </c>
      <c r="C99" s="81" t="n">
        <v>46261</v>
      </c>
      <c r="D99" s="83" t="n">
        <v>140</v>
      </c>
      <c r="E99" s="113" t="inlineStr">
        <is>
          <t>Recebido</t>
        </is>
      </c>
      <c r="F99" s="113">
        <f>IF(OR($E99="Recebido",$C99=""),"",MAX(0,TODAY()-$C99))</f>
        <v/>
      </c>
      <c r="G99" s="82" t="inlineStr">
        <is>
          <t>Recebido via Pix em 27/08/2026</t>
        </is>
      </c>
    </row>
    <row r="100" s="157">
      <c r="A100" s="78" t="inlineStr">
        <is>
          <t>Promotoria Regional de Jacobina</t>
        </is>
      </c>
      <c r="B100" s="78" t="inlineStr">
        <is>
          <t>2x Carcaça 9" + 2x Refil Plissado 9" + Conexão Reta Rosca</t>
        </is>
      </c>
      <c r="C100" s="77" t="n">
        <v>46261</v>
      </c>
      <c r="D100" s="79" t="n">
        <v>470</v>
      </c>
      <c r="E100" s="112" t="inlineStr">
        <is>
          <t>Recebido</t>
        </is>
      </c>
      <c r="F100" s="112">
        <f>IF(OR($E100="Recebido",$C100=""),"",MAX(0,TODAY()-$C100))</f>
        <v/>
      </c>
      <c r="G100" s="78" t="inlineStr">
        <is>
          <t>Pago em 28/08/2026 em duas formas: R$ 270,00 Pix + R$ 200,00 crédito 2x</t>
        </is>
      </c>
    </row>
    <row r="101" s="157">
      <c r="A101" s="82" t="inlineStr">
        <is>
          <t>Lucas Souza</t>
        </is>
      </c>
      <c r="B101" s="82" t="inlineStr">
        <is>
          <t>Refil Everest + Pré Filtro</t>
        </is>
      </c>
      <c r="C101" s="81" t="n">
        <v>46261</v>
      </c>
      <c r="D101" s="83" t="n">
        <v>200</v>
      </c>
      <c r="E101" s="113" t="inlineStr">
        <is>
          <t>Recebido</t>
        </is>
      </c>
      <c r="F101" s="113">
        <f>IF(OR($E101="Recebido",$C101=""),"",MAX(0,TODAY()-$C101))</f>
        <v/>
      </c>
      <c r="G101" s="82" t="inlineStr">
        <is>
          <t>Recebido em dinheiro em 03/09/2026 — lançado em "Set 2026".</t>
        </is>
      </c>
    </row>
    <row r="102" s="157">
      <c r="A102" s="78" t="inlineStr">
        <is>
          <t>FG Boa Vista (Recife/PE)</t>
        </is>
      </c>
      <c r="B102" s="78" t="inlineStr">
        <is>
          <t>Refis — troca de julho/2026</t>
        </is>
      </c>
      <c r="C102" s="77" t="n">
        <v>46261</v>
      </c>
      <c r="D102" s="79" t="n">
        <v>1008.8</v>
      </c>
      <c r="E102" s="112" t="inlineStr">
        <is>
          <t>Recebido</t>
        </is>
      </c>
      <c r="F102" s="112">
        <f>IF(OR($E102="Recebido",$C102=""),"",MAX(0,TODAY()-$C102))</f>
        <v/>
      </c>
      <c r="G102" s="78" t="inlineStr">
        <is>
          <t>Grupo Ânima — NF 000.004.280 · recebido em 30/08/2026 (Nota Paga no portal V360)</t>
        </is>
      </c>
    </row>
    <row r="103" s="157">
      <c r="A103" s="82" t="inlineStr">
        <is>
          <t>UNIFG Guanambi (Guanambi/BA)</t>
        </is>
      </c>
      <c r="B103" s="82" t="inlineStr">
        <is>
          <t>Refis — troca de julho/2026</t>
        </is>
      </c>
      <c r="C103" s="81" t="n">
        <v>46261</v>
      </c>
      <c r="D103" s="83" t="n">
        <v>4534.75</v>
      </c>
      <c r="E103" s="113" t="inlineStr">
        <is>
          <t>Recebido</t>
        </is>
      </c>
      <c r="F103" s="113">
        <f>IF(OR($E103="Recebido",$C103=""),"",MAX(0,TODAY()-$C103))</f>
        <v/>
      </c>
      <c r="G103" s="82" t="inlineStr">
        <is>
          <t>Grupo Ânima — NF 000.004.281 · recebido em 30/08/2026 (Nota Paga no portal V360)</t>
        </is>
      </c>
    </row>
    <row r="104" s="157">
      <c r="A104" s="78" t="inlineStr">
        <is>
          <t>UNP Zona Norte (Natal/RN)</t>
        </is>
      </c>
      <c r="B104" s="78" t="inlineStr">
        <is>
          <t>Refis — troca de julho/2026</t>
        </is>
      </c>
      <c r="C104" s="77" t="n">
        <v>46261</v>
      </c>
      <c r="D104" s="79" t="n">
        <v>870</v>
      </c>
      <c r="E104" s="112" t="inlineStr">
        <is>
          <t>Recebido</t>
        </is>
      </c>
      <c r="F104" s="112">
        <f>IF(OR($E104="Recebido",$C104=""),"",MAX(0,TODAY()-$C104))</f>
        <v/>
      </c>
      <c r="G104" s="78" t="inlineStr">
        <is>
          <t>Grupo Ânima — NF 000.004.282 · recebido em 30/08/2026 (Nota Paga no portal V360)</t>
        </is>
      </c>
    </row>
    <row r="105" s="157">
      <c r="A105" s="82" t="inlineStr">
        <is>
          <t>UNP Caicó (Caicó/RN)</t>
        </is>
      </c>
      <c r="B105" s="82" t="inlineStr">
        <is>
          <t>Refis — troca de julho/2026</t>
        </is>
      </c>
      <c r="C105" s="81" t="n">
        <v>46261</v>
      </c>
      <c r="D105" s="83" t="n">
        <v>440</v>
      </c>
      <c r="E105" s="113" t="inlineStr">
        <is>
          <t>Recebido</t>
        </is>
      </c>
      <c r="F105" s="113">
        <f>IF(OR($E105="Recebido",$C105=""),"",MAX(0,TODAY()-$C105))</f>
        <v/>
      </c>
      <c r="G105" s="82" t="inlineStr">
        <is>
          <t>Grupo Ânima — NF 000.004.283 · recebido via Pix em 27/08/2026</t>
        </is>
      </c>
    </row>
    <row r="106" s="157">
      <c r="A106" s="78" t="inlineStr">
        <is>
          <t>AGES Irecê (Irecê/BA)</t>
        </is>
      </c>
      <c r="B106" s="78" t="inlineStr">
        <is>
          <t>Refis — troca de julho/2026</t>
        </is>
      </c>
      <c r="C106" s="77" t="n">
        <v>46269</v>
      </c>
      <c r="D106" s="79" t="n">
        <v>1338.6</v>
      </c>
      <c r="E106" s="112" t="inlineStr">
        <is>
          <t>Recebido</t>
        </is>
      </c>
      <c r="F106" s="112">
        <f>IF(OR($E106="Recebido",$C106=""),"",MAX(0,TODAY()-$C106))</f>
        <v/>
      </c>
      <c r="G106" s="78" t="inlineStr">
        <is>
          <t>Grupo Ânima — NF 000.004.294 · recebido via Pix em 04/09/2026.</t>
        </is>
      </c>
    </row>
    <row r="107" s="157">
      <c r="A107" s="82" t="inlineStr">
        <is>
          <t>CIS Irecê (Irecê/BA)</t>
        </is>
      </c>
      <c r="B107" s="82" t="inlineStr">
        <is>
          <t>Refis — troca de julho/2026</t>
        </is>
      </c>
      <c r="C107" s="81" t="n">
        <v>46269</v>
      </c>
      <c r="D107" s="83" t="n">
        <v>1358</v>
      </c>
      <c r="E107" s="113" t="inlineStr">
        <is>
          <t>Recebido</t>
        </is>
      </c>
      <c r="F107" s="113">
        <f>IF(OR($E107="Recebido",$C107=""),"",MAX(0,TODAY()-$C107))</f>
        <v/>
      </c>
      <c r="G107" s="82" t="inlineStr">
        <is>
          <t>Grupo Ânima — NF 000.004.295 · recebido via Pix em 04/09/2026.</t>
        </is>
      </c>
    </row>
    <row r="108" s="157">
      <c r="A108" s="78" t="inlineStr">
        <is>
          <t>AGES Senhor do Bonfim (S. do Bonfim/BA)</t>
        </is>
      </c>
      <c r="B108" s="78" t="inlineStr">
        <is>
          <t>Refis — troca de julho/2026</t>
        </is>
      </c>
      <c r="C108" s="77" t="n">
        <v>46270</v>
      </c>
      <c r="D108" s="79" t="n">
        <v>649.9</v>
      </c>
      <c r="E108" s="112" t="inlineStr">
        <is>
          <t>Recebido</t>
        </is>
      </c>
      <c r="F108" s="112">
        <f>IF(OR($E108="Recebido",$C108=""),"",MAX(0,TODAY()-$C108))</f>
        <v/>
      </c>
      <c r="G108" s="78" t="inlineStr">
        <is>
          <t>Grupo Ânima — NF 000.004.298 · recebido via Pix em 08/09/2026.</t>
        </is>
      </c>
    </row>
    <row r="109" s="157">
      <c r="A109" s="82" t="inlineStr">
        <is>
          <t>CIS Senhor do Bonfim (S. do Bonfim/BA)</t>
        </is>
      </c>
      <c r="B109" s="82" t="inlineStr">
        <is>
          <t>Refis — troca de julho/2026</t>
        </is>
      </c>
      <c r="C109" s="81" t="n">
        <v>46270</v>
      </c>
      <c r="D109" s="83" t="n">
        <v>562.6</v>
      </c>
      <c r="E109" s="113" t="inlineStr">
        <is>
          <t>Recebido</t>
        </is>
      </c>
      <c r="F109" s="113">
        <f>IF(OR($E109="Recebido",$C109=""),"",MAX(0,TODAY()-$C109))</f>
        <v/>
      </c>
      <c r="G109" s="82" t="inlineStr">
        <is>
          <t>Grupo Ânima — NF 000.004.299 · recebido via Pix em 08/09/2026.</t>
        </is>
      </c>
    </row>
    <row r="110" s="157">
      <c r="A110" s="78" t="inlineStr">
        <is>
          <t>AGES Paripiranga (Paripiranga/BA)</t>
        </is>
      </c>
      <c r="B110" s="78" t="inlineStr">
        <is>
          <t>Refis — troca de julho/2026</t>
        </is>
      </c>
      <c r="C110" s="77" t="n">
        <v>46270</v>
      </c>
      <c r="D110" s="79" t="n">
        <v>1086.4</v>
      </c>
      <c r="E110" s="112" t="inlineStr">
        <is>
          <t>Recebido</t>
        </is>
      </c>
      <c r="F110" s="112">
        <f>IF(OR($E110="Recebido",$C110=""),"",MAX(0,TODAY()-$C110))</f>
        <v/>
      </c>
      <c r="G110" s="78" t="inlineStr">
        <is>
          <t>Grupo Ânima — NF 000.004.300 · recebido via Pix em 08/09/2026.</t>
        </is>
      </c>
    </row>
    <row r="111" s="157">
      <c r="A111" s="82" t="inlineStr">
        <is>
          <t>Clínica Veterinária Paripiranga (Paripiranga/BA)</t>
        </is>
      </c>
      <c r="B111" s="82" t="inlineStr">
        <is>
          <t>Refis — troca de julho/2026</t>
        </is>
      </c>
      <c r="C111" s="81" t="n">
        <v>46270</v>
      </c>
      <c r="D111" s="83" t="n">
        <v>1265.85</v>
      </c>
      <c r="E111" s="113" t="inlineStr">
        <is>
          <t>Recebido</t>
        </is>
      </c>
      <c r="F111" s="113">
        <f>IF(OR($E111="Recebido",$C111=""),"",MAX(0,TODAY()-$C111))</f>
        <v/>
      </c>
      <c r="G111" s="82" t="inlineStr">
        <is>
          <t>Grupo Ânima — NF 000.004.301 · recebido via Pix em 08/09/2026.</t>
        </is>
      </c>
    </row>
    <row r="112" s="157">
      <c r="A112" s="78" t="inlineStr">
        <is>
          <t>UNP Mossoró (Mossoró/RN)</t>
        </is>
      </c>
      <c r="B112" s="78" t="inlineStr">
        <is>
          <t>Refis — troca de julho/2026</t>
        </is>
      </c>
      <c r="C112" s="77" t="n">
        <v>46270</v>
      </c>
      <c r="D112" s="79" t="n">
        <v>1867.25</v>
      </c>
      <c r="E112" s="112" t="inlineStr">
        <is>
          <t>Recebido</t>
        </is>
      </c>
      <c r="F112" s="112">
        <f>IF(OR($E112="Recebido",$C112=""),"",MAX(0,TODAY()-$C112))</f>
        <v/>
      </c>
      <c r="G112" s="78" t="inlineStr">
        <is>
          <t>Grupo Ânima — NF 000.004.302 · recebido via Pix em 08/09/2026.</t>
        </is>
      </c>
    </row>
    <row r="113" s="157">
      <c r="A113" s="82" t="inlineStr">
        <is>
          <t>CIS Jacobina (Jacobina/BA)</t>
        </is>
      </c>
      <c r="B113" s="82" t="inlineStr">
        <is>
          <t>Refis — troca de julho/2026</t>
        </is>
      </c>
      <c r="C113" s="81" t="n">
        <v>46290</v>
      </c>
      <c r="D113" s="83" t="n">
        <v>2095.2</v>
      </c>
      <c r="E113" s="113" t="inlineStr">
        <is>
          <t>Recebido</t>
        </is>
      </c>
      <c r="F113" s="113">
        <f>IF(OR($E113="Recebido",$C113=""),"",MAX(0,TODAY()-$C113))</f>
        <v/>
      </c>
      <c r="G113" s="82" t="inlineStr">
        <is>
          <t>Grupo Ânima — NF 000.004.333 de 26/08/2026 · OC AEMPPO00004452 · 30 dias · recebido via Pix em 25/09/2026 (Nota Paga no portal V360).</t>
        </is>
      </c>
    </row>
    <row r="114" s="157">
      <c r="A114" s="78" t="inlineStr">
        <is>
          <t>AGES Jacobina (Jacobina/BA)</t>
        </is>
      </c>
      <c r="B114" s="78" t="inlineStr">
        <is>
          <t>Refis — troca de julho/2026</t>
        </is>
      </c>
      <c r="C114" s="77" t="n">
        <v>46305</v>
      </c>
      <c r="D114" s="79" t="n">
        <v>1188.25</v>
      </c>
      <c r="E114" s="112" t="inlineStr">
        <is>
          <t>Pendente</t>
        </is>
      </c>
      <c r="F114" s="112">
        <f>IF(OR($E114="Recebido",$C114=""),"",MAX(0,TODAY()-$C114))</f>
        <v/>
      </c>
      <c r="G114" s="78" t="inlineStr">
        <is>
          <t>Grupo Ânima — NF 000.004.332 de 26/08/2026 · OC AEMPPO00004453 · 45 dias</t>
        </is>
      </c>
    </row>
    <row r="115" s="157">
      <c r="A115" s="82" t="inlineStr">
        <is>
          <t>Instituto Paulo Leão</t>
        </is>
      </c>
      <c r="B115" s="82" t="inlineStr">
        <is>
          <t>Refil E3 + Pré Filtro</t>
        </is>
      </c>
      <c r="C115" s="81" t="n">
        <v>46265</v>
      </c>
      <c r="D115" s="83" t="n">
        <v>160</v>
      </c>
      <c r="E115" s="113" t="inlineStr">
        <is>
          <t>Recebido</t>
        </is>
      </c>
      <c r="F115" s="113">
        <f>IF(OR($E115="Recebido",$C115=""),"",MAX(0,TODAY()-$C115))</f>
        <v/>
      </c>
      <c r="G115" s="82" t="inlineStr">
        <is>
          <t>Recebido via Pix em 08/09/2026 — lançado em "Set 2026".</t>
        </is>
      </c>
    </row>
    <row r="116" s="157">
      <c r="A116" s="78" t="inlineStr">
        <is>
          <t>Eletronic Segurança Eletronica</t>
        </is>
      </c>
      <c r="B116" s="78" t="inlineStr">
        <is>
          <t>Pré Filtro</t>
        </is>
      </c>
      <c r="C116" s="77" t="n">
        <v>46265</v>
      </c>
      <c r="D116" s="79" t="n">
        <v>60</v>
      </c>
      <c r="E116" s="112" t="inlineStr">
        <is>
          <t>Recebido</t>
        </is>
      </c>
      <c r="F116" s="112">
        <f>IF(OR($E116="Recebido",$C116=""),"",MAX(0,TODAY()-$C116))</f>
        <v/>
      </c>
      <c r="G116" s="78" t="inlineStr">
        <is>
          <t>Recebido via Pix em 03/09/2026.</t>
        </is>
      </c>
    </row>
    <row r="117" s="157">
      <c r="A117" s="82" t="inlineStr">
        <is>
          <t>Clube dos Mineiros</t>
        </is>
      </c>
      <c r="B117" s="82" t="inlineStr">
        <is>
          <t>Refil Pro Life</t>
        </is>
      </c>
      <c r="C117" s="81" t="n">
        <v>46265</v>
      </c>
      <c r="D117" s="83" t="n">
        <v>150</v>
      </c>
      <c r="E117" s="113" t="inlineStr">
        <is>
          <t>Recebido</t>
        </is>
      </c>
      <c r="F117" s="113">
        <f>IF(OR($E117="Recebido",$C117=""),"",MAX(0,TODAY()-$C117))</f>
        <v/>
      </c>
      <c r="G117" s="82" t="inlineStr">
        <is>
          <t>Recebido via Pix em 01/09/2026 (pagador: Sindicato dos Mineiros de Jacobina).</t>
        </is>
      </c>
    </row>
    <row r="118" s="157">
      <c r="A118" s="78" t="inlineStr">
        <is>
          <t>Armazem Cecilio Mota</t>
        </is>
      </c>
      <c r="B118" s="78" t="inlineStr">
        <is>
          <t>Refil Everest + Refil Carbon 9"</t>
        </is>
      </c>
      <c r="C118" s="77" t="n">
        <v>46266</v>
      </c>
      <c r="D118" s="79" t="n">
        <v>225</v>
      </c>
      <c r="E118" s="112" t="inlineStr">
        <is>
          <t>Recebido</t>
        </is>
      </c>
      <c r="F118" s="112">
        <f>IF(OR($E118="Recebido",$C118=""),"",MAX(0,TODAY()-$C118))</f>
        <v/>
      </c>
      <c r="G118" s="78" t="inlineStr">
        <is>
          <t>Recebido via Pix em 10/09/2026 — lançado em "Set 2026".</t>
        </is>
      </c>
    </row>
    <row r="119" s="157">
      <c r="A119" s="82" t="inlineStr">
        <is>
          <t>Clebson Dantas Da Silva</t>
        </is>
      </c>
      <c r="B119" s="82" t="inlineStr">
        <is>
          <t>Refil Everest</t>
        </is>
      </c>
      <c r="C119" s="81" t="n">
        <v>46266</v>
      </c>
      <c r="D119" s="83" t="n">
        <v>140</v>
      </c>
      <c r="E119" s="113" t="inlineStr">
        <is>
          <t>Recebido</t>
        </is>
      </c>
      <c r="F119" s="113">
        <f>IF(OR($E119="Recebido",$C119=""),"",MAX(0,TODAY()-$C119))</f>
        <v/>
      </c>
      <c r="G119" s="82" t="inlineStr">
        <is>
          <t>Recebido via Pix em 02/09/2026</t>
        </is>
      </c>
    </row>
    <row r="120" s="157">
      <c r="A120" s="82" t="inlineStr">
        <is>
          <t>Tesla Imagem Medicina Diagnostica Ltda</t>
        </is>
      </c>
      <c r="B120" s="82" t="inlineStr">
        <is>
          <t>3x Refil Everest + 2x Pré Filtro</t>
        </is>
      </c>
      <c r="C120" s="81" t="n">
        <v>46267</v>
      </c>
      <c r="D120" s="83" t="n">
        <v>540</v>
      </c>
      <c r="E120" s="113" t="inlineStr">
        <is>
          <t>Recebido</t>
        </is>
      </c>
      <c r="F120" s="113">
        <f>IF(OR($E120="Recebido",$C120=""),"",MAX(0,TODAY()-$C120))</f>
        <v/>
      </c>
      <c r="G120" s="82" t="inlineStr">
        <is>
          <t>Troca do dia 02/09/2026 — 1º Andar, Térreo e Copa. Recebido via Pix em 08/09/2026 — lançado em "Set 2026".</t>
        </is>
      </c>
    </row>
    <row r="121" s="157">
      <c r="A121" s="78" t="inlineStr">
        <is>
          <t>Cecilio Mota Junior</t>
        </is>
      </c>
      <c r="B121" s="78" t="inlineStr">
        <is>
          <t>Refil Everest</t>
        </is>
      </c>
      <c r="C121" s="77" t="n">
        <v>46267</v>
      </c>
      <c r="D121" s="79" t="n">
        <v>140</v>
      </c>
      <c r="E121" s="112" t="inlineStr">
        <is>
          <t>Recebido</t>
        </is>
      </c>
      <c r="F121" s="112">
        <f>IF(OR($E121="Recebido",$C121=""),"",MAX(0,TODAY()-$C121))</f>
        <v/>
      </c>
      <c r="G121" s="78" t="inlineStr">
        <is>
          <t>Recebido via Pix em 10/09/2026 — lançado em "Set 2026".</t>
        </is>
      </c>
    </row>
    <row r="122" s="157">
      <c r="A122" s="78" t="inlineStr">
        <is>
          <t>Tereza Cristina Aquino Martins - Luiz Augusto</t>
        </is>
      </c>
      <c r="B122" s="78" t="inlineStr">
        <is>
          <t>Refil Everest + Pré Filtro</t>
        </is>
      </c>
      <c r="C122" s="77" t="n">
        <v>46268</v>
      </c>
      <c r="D122" s="79" t="n">
        <v>200</v>
      </c>
      <c r="E122" s="112" t="inlineStr">
        <is>
          <t>Recebido</t>
        </is>
      </c>
      <c r="F122" s="112">
        <f>IF(OR($E122="Recebido",$C122=""),"",MAX(0,TODAY()-$C122))</f>
        <v/>
      </c>
      <c r="G122" s="78" t="inlineStr">
        <is>
          <t>Recebido via Pix em 04/09/2026.</t>
        </is>
      </c>
    </row>
    <row r="123" s="157">
      <c r="A123" s="78" t="inlineStr">
        <is>
          <t>Samille Fiscina Lima Lordello - Tiago (Cartório)</t>
        </is>
      </c>
      <c r="B123" s="78" t="inlineStr">
        <is>
          <t>Refil Pro Life</t>
        </is>
      </c>
      <c r="C123" s="77" t="n">
        <v>46269</v>
      </c>
      <c r="D123" s="79" t="n">
        <v>140</v>
      </c>
      <c r="E123" s="112" t="inlineStr">
        <is>
          <t>Recebido</t>
        </is>
      </c>
      <c r="F123" s="112">
        <f>IF(OR($E123="Recebido",$C123=""),"",MAX(0,TODAY()-$C123))</f>
        <v/>
      </c>
      <c r="G123" s="78" t="inlineStr">
        <is>
          <t>Recebido via Pix em 10/09/2026 — lançado em "Set 2026".</t>
        </is>
      </c>
    </row>
    <row r="124" s="157">
      <c r="A124" s="78" t="inlineStr">
        <is>
          <t>Bomboniere Doce Mania - Veronildo Basilio</t>
        </is>
      </c>
      <c r="B124" s="78" t="inlineStr">
        <is>
          <t>Refil Plissado + Refil BAG</t>
        </is>
      </c>
      <c r="C124" s="77" t="n">
        <v>46274</v>
      </c>
      <c r="D124" s="79" t="n">
        <v>150</v>
      </c>
      <c r="E124" s="112" t="inlineStr">
        <is>
          <t>Recebido</t>
        </is>
      </c>
      <c r="F124" s="112">
        <f>IF(OR($E124="Recebido",$C124=""),"",MAX(0,TODAY()-$C124))</f>
        <v/>
      </c>
      <c r="G124" s="78" t="inlineStr">
        <is>
          <t>Recebido em dinheiro em 16/09/2026 — lançado em "Set 2026".</t>
        </is>
      </c>
    </row>
    <row r="125" s="157">
      <c r="A125" s="78" t="inlineStr">
        <is>
          <t>Adriadne (Hotel Jovem Jota)</t>
        </is>
      </c>
      <c r="B125" s="78" t="inlineStr">
        <is>
          <t>Refil Everest</t>
        </is>
      </c>
      <c r="C125" s="77" t="n">
        <v>46275</v>
      </c>
      <c r="D125" s="79" t="n">
        <v>140</v>
      </c>
      <c r="E125" s="112" t="inlineStr">
        <is>
          <t>Recebido</t>
        </is>
      </c>
      <c r="F125" s="112">
        <f>IF(OR($E125="Recebido",$C125=""),"",MAX(0,TODAY()-$C125))</f>
        <v/>
      </c>
      <c r="G125" s="78" t="inlineStr">
        <is>
          <t>Recebido via Pix em 11/09/2026 — lançado em "Set 2026".</t>
        </is>
      </c>
    </row>
    <row r="126" s="157">
      <c r="A126" s="78" t="inlineStr">
        <is>
          <t>Pousada Triunfo Ltda (Hotel Triunfo)</t>
        </is>
      </c>
      <c r="B126" s="78" t="inlineStr">
        <is>
          <t>Refil Everest + Pré Filtro</t>
        </is>
      </c>
      <c r="C126" s="77" t="n">
        <v>46275</v>
      </c>
      <c r="D126" s="79" t="n">
        <v>200</v>
      </c>
      <c r="E126" s="112" t="inlineStr">
        <is>
          <t>Recebido</t>
        </is>
      </c>
      <c r="F126" s="112">
        <f>IF(OR($E126="Recebido",$C126=""),"",MAX(0,TODAY()-$C126))</f>
        <v/>
      </c>
      <c r="G126" s="78" t="inlineStr">
        <is>
          <t>Recebido via Pix em 11/09/2026 — lançado em "Set 2026".</t>
        </is>
      </c>
    </row>
    <row r="127" s="157">
      <c r="A127" s="78" t="inlineStr">
        <is>
          <t>Topvel Tropical Veiculos e Pecas</t>
        </is>
      </c>
      <c r="B127" s="78" t="inlineStr">
        <is>
          <t>2x Refil Everest + 2x Pré Filtro</t>
        </is>
      </c>
      <c r="C127" s="77" t="n">
        <v>46276</v>
      </c>
      <c r="D127" s="79" t="n">
        <v>370</v>
      </c>
      <c r="E127" s="112" t="inlineStr">
        <is>
          <t>Pendente</t>
        </is>
      </c>
      <c r="F127" s="112">
        <f>IF(OR($E127="Recebido",$C127=""),"",MAX(0,TODAY()-$C127))</f>
        <v/>
      </c>
      <c r="G127" s="78" t="inlineStr">
        <is>
          <t>Troca do dia 11/09/2026 — dois purificadores.</t>
        </is>
      </c>
    </row>
    <row r="128" s="157">
      <c r="A128" s="78" t="inlineStr">
        <is>
          <t>J Diesel Motores e Reparos - Gilmara</t>
        </is>
      </c>
      <c r="B128" s="78" t="inlineStr">
        <is>
          <t>Refil Everest</t>
        </is>
      </c>
      <c r="C128" s="77" t="n">
        <v>46276</v>
      </c>
      <c r="D128" s="79" t="n">
        <v>140</v>
      </c>
      <c r="E128" s="112" t="inlineStr">
        <is>
          <t>Recebido</t>
        </is>
      </c>
      <c r="F128" s="112">
        <f>IF(OR($E128="Recebido",$C128=""),"",MAX(0,TODAY()-$C128))</f>
        <v/>
      </c>
      <c r="G128" s="78" t="inlineStr">
        <is>
          <t>Troca do dia 11/09/2026.</t>
        </is>
      </c>
    </row>
    <row r="129" s="157">
      <c r="A129" s="78" t="inlineStr">
        <is>
          <t>IOB</t>
        </is>
      </c>
      <c r="B129" s="78" t="inlineStr">
        <is>
          <t>Refil Everest + Pré Filtro</t>
        </is>
      </c>
      <c r="C129" s="77" t="n">
        <v>46279</v>
      </c>
      <c r="D129" s="79" t="n">
        <v>200</v>
      </c>
      <c r="E129" s="112" t="inlineStr">
        <is>
          <t>Recebido</t>
        </is>
      </c>
      <c r="F129" s="112">
        <f>IF(OR($E129="Recebido",$C129=""),"",MAX(0,TODAY()-$C129))</f>
        <v/>
      </c>
      <c r="G129" s="78" t="inlineStr">
        <is>
          <t>Troca do dia 14/09/2026.</t>
        </is>
      </c>
    </row>
    <row r="130" s="157">
      <c r="A130" s="78" t="inlineStr">
        <is>
          <t>Clínica Santa Cecília</t>
        </is>
      </c>
      <c r="B130" s="78" t="inlineStr">
        <is>
          <t>Refil Everest + Termostato</t>
        </is>
      </c>
      <c r="C130" s="77" t="n">
        <v>46281</v>
      </c>
      <c r="D130" s="79" t="n">
        <v>310</v>
      </c>
      <c r="E130" s="112" t="inlineStr">
        <is>
          <t>Recebido</t>
        </is>
      </c>
      <c r="F130" s="112">
        <f>IF(OR($E130="Recebido",$C130=""),"",MAX(0,TODAY()-$C130))</f>
        <v/>
      </c>
      <c r="G130" s="78" t="inlineStr">
        <is>
          <t>Troca do dia 16/09/2026 — refil + troca de termostato. Recebido via Pix em 29/09/2026.</t>
        </is>
      </c>
    </row>
    <row r="131" s="157">
      <c r="A131" s="78" t="inlineStr">
        <is>
          <t>Marilda Macedo / José Luciano Costa</t>
        </is>
      </c>
      <c r="B131" s="78" t="inlineStr">
        <is>
          <t>Refil Everest + Pré Filtro</t>
        </is>
      </c>
      <c r="C131" s="77" t="n">
        <v>46283</v>
      </c>
      <c r="D131" s="79" t="n">
        <v>200</v>
      </c>
      <c r="E131" s="112" t="inlineStr">
        <is>
          <t>Recebido</t>
        </is>
      </c>
      <c r="F131" s="112">
        <f>IF(OR($E131="Recebido",$C131=""),"",MAX(0,TODAY()-$C131))</f>
        <v/>
      </c>
      <c r="G131" s="78" t="inlineStr">
        <is>
          <t>Recebido via Pix em 19/09/2026 — lançado em "Set 2026".</t>
        </is>
      </c>
    </row>
    <row r="132" s="157">
      <c r="A132" s="78" t="inlineStr">
        <is>
          <t>Tatiana Rocha</t>
        </is>
      </c>
      <c r="B132" s="78" t="inlineStr">
        <is>
          <t>Refil Everest</t>
        </is>
      </c>
      <c r="C132" s="77" t="n">
        <v>46286</v>
      </c>
      <c r="D132" s="79" t="n">
        <v>140</v>
      </c>
      <c r="E132" s="112" t="inlineStr">
        <is>
          <t>Recebido</t>
        </is>
      </c>
      <c r="F132" s="112">
        <f>IF(OR($E132="Recebido",$C132=""),"",MAX(0,TODAY()-$C132))</f>
        <v/>
      </c>
      <c r="G132" s="78" t="inlineStr">
        <is>
          <t>Troca do dia 21/09/2026. Recebido via Pix em 22/09/2026 — lançado em "Set 2026".</t>
        </is>
      </c>
    </row>
    <row r="133" s="157">
      <c r="A133" s="78" t="inlineStr">
        <is>
          <t>Cleone Gomes de Andrade</t>
        </is>
      </c>
      <c r="B133" s="78" t="inlineStr">
        <is>
          <t>Refil Everest</t>
        </is>
      </c>
      <c r="C133" s="77" t="n">
        <v>46286</v>
      </c>
      <c r="D133" s="79" t="n">
        <v>140</v>
      </c>
      <c r="E133" s="112" t="inlineStr">
        <is>
          <t>Recebido</t>
        </is>
      </c>
      <c r="F133" s="112">
        <f>IF(OR($E133="Recebido",$C133=""),"",MAX(0,TODAY()-$C133))</f>
        <v/>
      </c>
      <c r="G133" s="78" t="inlineStr">
        <is>
          <t>Troca do dia 21/09/2026. Recebido via Pix em 21/09/2026.</t>
        </is>
      </c>
    </row>
    <row r="134" s="157">
      <c r="A134" s="78" t="inlineStr">
        <is>
          <t>Centro de Especialidades Odontomédicas</t>
        </is>
      </c>
      <c r="B134" s="78" t="inlineStr">
        <is>
          <t>2x Refil Everest</t>
        </is>
      </c>
      <c r="C134" s="77" t="n">
        <v>46044</v>
      </c>
      <c r="D134" s="79" t="n">
        <v>280</v>
      </c>
      <c r="E134" s="112" t="inlineStr">
        <is>
          <t>Pendente</t>
        </is>
      </c>
      <c r="F134" s="112">
        <f>IF(OR($E134="Recebido",$C134=""),"",MAX(0,TODAY()-$C134))</f>
        <v/>
      </c>
      <c r="G134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35" s="157">
      <c r="A135" s="78" t="inlineStr">
        <is>
          <t>Igreja Messiânica Mundial do Brasil</t>
        </is>
      </c>
      <c r="B135" s="78" t="inlineStr">
        <is>
          <t>Mangueira</t>
        </is>
      </c>
      <c r="C135" s="77" t="n">
        <v>46073</v>
      </c>
      <c r="D135" s="79" t="n">
        <v>30</v>
      </c>
      <c r="E135" s="112" t="inlineStr">
        <is>
          <t>Pendente</t>
        </is>
      </c>
      <c r="F135" s="112">
        <f>IF(OR($E135="Recebido",$C135=""),"",MAX(0,TODAY()-$C135))</f>
        <v/>
      </c>
      <c r="G135" s="78" t="inlineStr">
        <is>
          <t>NF-e 4075 de 20/02/2026 (CNPJ 62.647.383/0063-44). Conferido no DigiSat em 28/09/2026: não recebido.</t>
        </is>
      </c>
    </row>
    <row r="136" s="157">
      <c r="A136" s="78" t="inlineStr">
        <is>
          <t>Centro Médico de Jacobina</t>
        </is>
      </c>
      <c r="B136" s="78" t="inlineStr">
        <is>
          <t>2x Botão Completo</t>
        </is>
      </c>
      <c r="C136" s="77" t="n">
        <v>46203</v>
      </c>
      <c r="D136" s="79" t="n">
        <v>60</v>
      </c>
      <c r="E136" s="112" t="inlineStr">
        <is>
          <t>Pendente</t>
        </is>
      </c>
      <c r="F136" s="112">
        <f>IF(OR($E136="Recebido",$C136=""),"",MAX(0,TODAY()-$C136))</f>
        <v/>
      </c>
      <c r="G136" s="78" t="inlineStr">
        <is>
          <t>NF-e 4242 de 30/06/2026 (CNPJ 13.228.432/0001-04). Conferido no DigiSat em 28/09/2026: não recebido.</t>
        </is>
      </c>
    </row>
    <row r="137" s="157">
      <c r="A137" s="78" t="inlineStr">
        <is>
          <t>Vivencie Turismo Agencia de Viagens - Aneildes Rios</t>
        </is>
      </c>
      <c r="B137" s="78" t="inlineStr">
        <is>
          <t>Refil Everest</t>
        </is>
      </c>
      <c r="C137" s="77" t="n">
        <v>46294</v>
      </c>
      <c r="D137" s="79" t="n">
        <v>140</v>
      </c>
      <c r="E137" s="112" t="inlineStr">
        <is>
          <t>Pendente</t>
        </is>
      </c>
      <c r="F137" s="112">
        <f>IF(OR($E137="Recebido",$C137=""),"",MAX(0,TODAY()-$C137))</f>
        <v/>
      </c>
      <c r="G137" s="78" t="inlineStr">
        <is>
          <t>Troca do dia 29/09/2026.</t>
        </is>
      </c>
    </row>
    <row r="138" s="157">
      <c r="A138" s="78" t="inlineStr">
        <is>
          <t>Lapec</t>
        </is>
      </c>
      <c r="B138" s="78" t="inlineStr">
        <is>
          <t>Refil C+3</t>
        </is>
      </c>
      <c r="C138" s="77" t="n">
        <v>46294</v>
      </c>
      <c r="D138" s="79" t="n">
        <v>100</v>
      </c>
      <c r="E138" s="112" t="inlineStr">
        <is>
          <t>Pendente</t>
        </is>
      </c>
      <c r="F138" s="112">
        <f>IF(OR($E138="Recebido",$C138=""),"",MAX(0,TODAY()-$C138))</f>
        <v/>
      </c>
      <c r="G138" s="78" t="inlineStr">
        <is>
          <t>Pagamento previsto para 30/09/2026.</t>
        </is>
      </c>
    </row>
    <row r="139" s="157">
      <c r="A139" s="86" t="inlineStr">
        <is>
          <t>TOTAL EM ABERTO A RECEBER (detalhe)</t>
        </is>
      </c>
      <c r="D139" s="115">
        <f>SUMIF(E92:E138,"Pendente",D92:D138)</f>
        <v/>
      </c>
    </row>
    <row r="140" s="157">
      <c r="A140" s="202" t="inlineStr">
        <is>
          <t>CONFERÊNCIA COM AS ABAS DOS MESES</t>
        </is>
      </c>
      <c r="B140" s="159" t="n"/>
      <c r="C140" s="159" t="n"/>
      <c r="D140" s="159" t="n"/>
      <c r="E140" s="159" t="n"/>
      <c r="F140" s="159" t="n"/>
      <c r="G140" s="160" t="n"/>
    </row>
    <row r="141" s="157">
      <c r="A141" s="203">
        <f>IF(ROUND(D139-C5,2)=0,"OK — o detalhe acima bate com as vendas marcadas como Aguardando Pagamento nas abas dos meses.","ATENÇÃO: diferença de R$ "&amp;TEXT(ABS(D139-C5),"#,##0.00")&amp;" entre este detalhe e as abas dos meses — alguma venda mudou de status em um lado só.")</f>
        <v/>
      </c>
    </row>
    <row r="142" s="157">
      <c r="A142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43" s="157"/>
    <row r="144" s="157"/>
    <row r="145" s="157"/>
    <row r="146" s="157"/>
    <row r="147" s="157"/>
    <row r="148" s="157"/>
    <row r="149" s="157"/>
    <row r="150" s="157"/>
    <row r="151" s="157"/>
    <row r="152" s="157"/>
    <row r="153" s="157"/>
    <row r="154" s="157"/>
    <row r="155" s="157"/>
    <row r="156" s="157"/>
    <row r="157" s="157"/>
    <row r="158" s="157"/>
    <row r="159" s="157"/>
    <row r="160" s="157"/>
    <row r="161" s="157"/>
    <row r="162" s="157"/>
    <row r="163" s="157"/>
    <row r="164" s="157"/>
    <row r="165" s="157"/>
    <row r="166" s="157"/>
    <row r="167" s="157"/>
    <row r="168" s="157"/>
    <row r="169" s="157"/>
    <row r="170" s="157"/>
    <row r="171" s="157"/>
    <row r="172" s="157"/>
    <row r="173" s="157"/>
    <row r="174" s="157"/>
    <row r="175" s="157"/>
    <row r="176" s="157"/>
    <row r="177" s="157"/>
    <row r="178" s="157"/>
    <row r="179" s="157"/>
    <row r="180" s="157"/>
    <row r="181" s="157"/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</sheetData>
  <mergeCells count="13">
    <mergeCell ref="A4:B4"/>
    <mergeCell ref="E4:F4"/>
    <mergeCell ref="A89:G89"/>
    <mergeCell ref="A141:G141"/>
    <mergeCell ref="A1:G1"/>
    <mergeCell ref="A9:G9"/>
    <mergeCell ref="A140:G140"/>
    <mergeCell ref="C5:D6"/>
    <mergeCell ref="A5:B6"/>
    <mergeCell ref="A2:G2"/>
    <mergeCell ref="E5:F6"/>
    <mergeCell ref="A90:G90"/>
    <mergeCell ref="C4:D4"/>
  </mergeCells>
  <dataValidations count="2">
    <dataValidation sqref="E11:E83" showDropDown="0" showInputMessage="0" showErrorMessage="0" allowBlank="1" type="list">
      <formula1>"Pendente,Pago,Previsto"</formula1>
    </dataValidation>
    <dataValidation sqref="E92:E138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19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>
      <c r="A16" s="164" t="n"/>
    </row>
    <row r="17">
      <c r="A17" s="210" t="inlineStr">
        <is>
          <t>Como registrar uma devolução:</t>
        </is>
      </c>
    </row>
    <row r="18">
      <c r="A18" s="211" t="inlineStr">
        <is>
          <t>1. Trocar "Status" da linha para "Devolvido" e preencher a "Data da Devolução".</t>
        </is>
      </c>
    </row>
    <row r="19">
      <c r="A19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6:G16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só para não ter prejuízo — e quanto precisa vender para lucrar o que você quiser. Base: média dos meses já lançados em 2026.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médios</t>
        </is>
      </c>
      <c r="B9" s="55">
        <f>'DRE Simplificado'!O23</f>
        <v/>
      </c>
    </row>
    <row r="10">
      <c r="A10" s="59" t="inlineStr">
        <is>
          <t>PONTO DE EQUILÍBRIO (faturamento mínimo/mês)</t>
        </is>
      </c>
      <c r="B10" s="60">
        <f>IF(B8&lt;=0,"",B9/B8)</f>
        <v/>
      </c>
    </row>
    <row r="11">
      <c r="A11" s="52" t="inlineStr">
        <is>
          <t>Resultado médio atual</t>
        </is>
      </c>
      <c r="B11" s="55">
        <f>'DRE Simplificado'!O24</f>
        <v/>
      </c>
    </row>
    <row r="13">
      <c r="A13" s="130" t="inlineStr">
        <is>
          <t>Ticket médio da loja (preencha)</t>
        </is>
      </c>
      <c r="B13" s="65" t="n">
        <v>140</v>
      </c>
      <c r="C13" s="131" t="inlineStr">
        <is>
          <t>← valor médio de uma venda. Serve para converter R$ em nº de vendas.</t>
        </is>
      </c>
    </row>
    <row r="15" ht="15.75" customHeight="1" s="157">
      <c r="A15" s="66" t="inlineStr">
        <is>
          <t>QUANTO PRECISO VENDER PARA...</t>
        </is>
      </c>
    </row>
    <row r="16" ht="30" customHeight="1" s="157">
      <c r="A16" s="51" t="inlineStr">
        <is>
          <t>Objetivo</t>
        </is>
      </c>
      <c r="B16" s="51" t="inlineStr">
        <is>
          <t>Lucro desejado (R$)</t>
        </is>
      </c>
      <c r="C16" s="51" t="inlineStr">
        <is>
          <t>Faturamento necessário (R$)</t>
        </is>
      </c>
      <c r="D16" s="51" t="inlineStr">
        <is>
          <t>Nº de vendas no mês</t>
        </is>
      </c>
      <c r="E16" s="51" t="inlineStr">
        <is>
          <t>Vendas por dia útil (26 dias)</t>
        </is>
      </c>
    </row>
    <row r="17">
      <c r="A17" s="52" t="inlineStr">
        <is>
          <t>Não ter prejuízo (equilíbrio)</t>
        </is>
      </c>
      <c r="B17" s="55" t="n">
        <v>0</v>
      </c>
      <c r="C17" s="55">
        <f>IF($B$8&lt;=0,"",($B$9+B17)/$B$8)</f>
        <v/>
      </c>
      <c r="D17" s="56">
        <f>IF(OR($B$8&lt;=0,$B$13=0),"",ROUNDUP(C17/$B$13,0))</f>
        <v/>
      </c>
      <c r="E17" s="56">
        <f>IF(D17="","",ROUND(D17/26,1))</f>
        <v/>
      </c>
    </row>
    <row r="18">
      <c r="A18" s="54" t="inlineStr">
        <is>
          <t>Lucrar R$ 500</t>
        </is>
      </c>
      <c r="B18" s="57" t="n">
        <v>500</v>
      </c>
      <c r="C18" s="57">
        <f>IF($B$8&lt;=0,"",($B$9+B18)/$B$8)</f>
        <v/>
      </c>
      <c r="D18" s="58">
        <f>IF(OR($B$8&lt;=0,$B$13=0),"",ROUNDUP(C18/$B$13,0))</f>
        <v/>
      </c>
      <c r="E18" s="58">
        <f>IF(D18="","",ROUND(D18/26,1))</f>
        <v/>
      </c>
    </row>
    <row r="19">
      <c r="A19" s="52" t="inlineStr">
        <is>
          <t>Lucrar R$ 1.000</t>
        </is>
      </c>
      <c r="B19" s="55" t="n">
        <v>1000</v>
      </c>
      <c r="C19" s="55">
        <f>IF($B$8&lt;=0,"",($B$9+B19)/$B$8)</f>
        <v/>
      </c>
      <c r="D19" s="56">
        <f>IF(OR($B$8&lt;=0,$B$13=0),"",ROUNDUP(C19/$B$13,0))</f>
        <v/>
      </c>
      <c r="E19" s="56">
        <f>IF(D19="","",ROUND(D19/26,1))</f>
        <v/>
      </c>
    </row>
    <row r="20">
      <c r="A20" s="54" t="inlineStr">
        <is>
          <t>Lucrar R$ 2.000</t>
        </is>
      </c>
      <c r="B20" s="57" t="n">
        <v>2000</v>
      </c>
      <c r="C20" s="57">
        <f>IF($B$8&lt;=0,"",($B$9+B20)/$B$8)</f>
        <v/>
      </c>
      <c r="D20" s="58">
        <f>IF(OR($B$8&lt;=0,$B$13=0),"",ROUNDUP(C20/$B$13,0))</f>
        <v/>
      </c>
      <c r="E20" s="58">
        <f>IF(D20="","",ROUND(D20/26,1))</f>
        <v/>
      </c>
    </row>
    <row r="21">
      <c r="A21" s="52" t="inlineStr">
        <is>
          <t>Lucrar R$ 3.000</t>
        </is>
      </c>
      <c r="B21" s="55" t="n">
        <v>3000</v>
      </c>
      <c r="C21" s="55">
        <f>IF($B$8&lt;=0,"",($B$9+B21)/$B$8)</f>
        <v/>
      </c>
      <c r="D21" s="56">
        <f>IF(OR($B$8&lt;=0,$B$13=0),"",ROUNDUP(C21/$B$13,0))</f>
        <v/>
      </c>
      <c r="E21" s="56">
        <f>IF(D21="","",ROUND(D21/26,1))</f>
        <v/>
      </c>
    </row>
    <row r="22">
      <c r="A22" s="54" t="inlineStr">
        <is>
          <t>Lucrar R$ 5.000</t>
        </is>
      </c>
      <c r="B22" s="57" t="n">
        <v>5000</v>
      </c>
      <c r="C22" s="57">
        <f>IF($B$8&lt;=0,"",($B$9+B22)/$B$8)</f>
        <v/>
      </c>
      <c r="D22" s="58">
        <f>IF(OR($B$8&lt;=0,$B$13=0),"",ROUNDUP(C22/$B$13,0))</f>
        <v/>
      </c>
      <c r="E22" s="58">
        <f>IF(D22="","",ROUND(D22/26,1))</f>
        <v/>
      </c>
    </row>
    <row r="24">
      <c r="A24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 e gerar lucro.")</f>
        <v/>
      </c>
    </row>
  </sheetData>
  <mergeCells count="3">
    <mergeCell ref="A24:H24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de Jan–Ago;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(aluguel, energia, salários, contabilidade...)</t>
        </is>
      </c>
      <c r="B6" s="57">
        <f>'DRE Simplificado'!O23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26000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Total guardado: R$ 26.000,00.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só os custos fixos.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3">
      <c r="A23" s="59" t="inlineStr">
        <is>
          <t>RESULTADO (Faturamento − Despesas)</t>
        </is>
      </c>
      <c r="B23" s="60">
        <f>B5-B21</f>
        <v/>
      </c>
      <c r="C23" s="60">
        <f>C5-C21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 · Compra total R$ 4.904,13: 100x Refil Everest + 50x Pré Filtro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inlineStr">
        <is>
          <t>NF 73636 de 10/06/2026 · parcela 2/5 (venc. 09/08/2026) · compra total R$ 4.394,61: 100x Refil Everest</t>
        </is>
      </c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inlineStr">
        <is>
          <t>NF 377737 de 19/05/2026 · parcela 3/5 (venc. 17/08/2026) · compra total R$ 725,16 (IPI R$ 28,60): 12x Conexão T + 30x Registro + 20x Botao Completo Purificador (N) + 30x Suporte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inlineStr">
        <is>
          <t>NF 74454 de 17/07/2026 · parcela 1/5 (venc. 16/08/2026) · compra total R$ 4.904,13: 100x Refil Everest + 50x Pré Filtro</t>
        </is>
      </c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inlineStr">
        <is>
          <t>NF 72153 de 02/04/2026 · parcela 5/5 (venc. 30/08/2026) · compra total R$ 4.394,61: 100x Refil Everest</t>
        </is>
      </c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46265</v>
      </c>
      <c r="B177" s="18" t="inlineStr">
        <is>
          <t>Tarifa Pix (14 lançamentos)</t>
        </is>
      </c>
      <c r="C177" s="18" t="n"/>
      <c r="D177" s="134" t="n"/>
      <c r="E177" s="18" t="n"/>
      <c r="F177" s="19" t="n"/>
      <c r="G177" s="20" t="n">
        <v>48.25</v>
      </c>
      <c r="H177" s="21" t="inlineStr">
        <is>
          <t>Tarifas Bancárias e Cartão</t>
        </is>
      </c>
      <c r="I177" s="18" t="inlineStr">
        <is>
          <t>Extrato BNB agosto/2026 — soma de 14 tarifas Pix individuais</t>
        </is>
      </c>
    </row>
    <row r="178">
      <c r="A178" s="44" t="n">
        <v>46265</v>
      </c>
      <c r="B178" s="45" t="inlineStr">
        <is>
          <t>Pix Pessoal (4 lançamentos)</t>
        </is>
      </c>
      <c r="C178" s="45" t="n"/>
      <c r="D178" s="50" t="n"/>
      <c r="E178" s="45" t="n"/>
      <c r="F178" s="47" t="n"/>
      <c r="G178" s="47" t="n">
        <v>221.5</v>
      </c>
      <c r="H178" s="49" t="inlineStr">
        <is>
          <t>Pro Labore Edilânia</t>
        </is>
      </c>
      <c r="I178" s="45" t="inlineStr">
        <is>
          <t>Extrato BNB agosto/2026 — soma de 4 Pix pessoais de Adriano/Edilânia</t>
        </is>
      </c>
    </row>
    <row r="179">
      <c r="A179" s="17" t="n">
        <v>46265</v>
      </c>
      <c r="B179" s="18" t="inlineStr">
        <is>
          <t>Compras p/Loja (2 lançamentos)</t>
        </is>
      </c>
      <c r="C179" s="18" t="n"/>
      <c r="D179" s="134" t="n"/>
      <c r="E179" s="18" t="n"/>
      <c r="F179" s="19" t="n"/>
      <c r="G179" s="20" t="n">
        <v>131.29</v>
      </c>
      <c r="H179" s="21" t="inlineStr">
        <is>
          <t>Fornecedores / Mercadoria</t>
        </is>
      </c>
      <c r="I179" s="18" t="inlineStr">
        <is>
          <t>Extrato BNB agosto/2026 — soma de 2 compras para a loja</t>
        </is>
      </c>
    </row>
    <row r="180">
      <c r="A180" s="44" t="n">
        <v>46265</v>
      </c>
      <c r="B180" s="45" t="inlineStr">
        <is>
          <t>Estacionamento (2 lançamentos)</t>
        </is>
      </c>
      <c r="C180" s="45" t="n"/>
      <c r="D180" s="50" t="n"/>
      <c r="E180" s="45" t="n"/>
      <c r="F180" s="47" t="n"/>
      <c r="G180" s="47" t="n">
        <v>6</v>
      </c>
      <c r="H180" s="49" t="inlineStr">
        <is>
          <t>Transporte e Entregas</t>
        </is>
      </c>
      <c r="I180" s="45" t="inlineStr">
        <is>
          <t>Extrato BNB agosto/2026 — soma de 2 lançamentos de estacionamento</t>
        </is>
      </c>
    </row>
    <row r="181">
      <c r="A181" s="17" t="n">
        <v>46265</v>
      </c>
      <c r="B181" s="18" t="inlineStr">
        <is>
          <t>Gasolina</t>
        </is>
      </c>
      <c r="C181" s="18" t="n"/>
      <c r="D181" s="134" t="n"/>
      <c r="E181" s="18" t="n"/>
      <c r="F181" s="19" t="n"/>
      <c r="G181" s="20" t="n">
        <v>30</v>
      </c>
      <c r="H181" s="21" t="inlineStr">
        <is>
          <t>Transporte e Entregas</t>
        </is>
      </c>
      <c r="I181" s="18" t="n"/>
    </row>
    <row r="182">
      <c r="A182" s="44" t="n">
        <v>46251</v>
      </c>
      <c r="B182" s="45" t="inlineStr">
        <is>
          <t>Cliente de Armando</t>
        </is>
      </c>
      <c r="C182" s="45" t="n"/>
      <c r="D182" s="50" t="n">
        <v>160</v>
      </c>
      <c r="E182" s="45" t="inlineStr">
        <is>
          <t>Crédito Parcelado</t>
        </is>
      </c>
      <c r="F182" s="47" t="n">
        <v>11.18</v>
      </c>
      <c r="G182" s="47" t="n"/>
      <c r="H182" s="49" t="n"/>
      <c r="I182" s="45" t="inlineStr">
        <is>
          <t>Crédito em 3x. Venda do relatório de prestação de contas do Armando (14/09/2026) — lançada em 21/09/2026.</t>
        </is>
      </c>
    </row>
    <row r="183">
      <c r="A183" s="17" t="n">
        <v>46252</v>
      </c>
      <c r="B183" s="18" t="inlineStr">
        <is>
          <t>Cliente de Armando</t>
        </is>
      </c>
      <c r="C183" s="18" t="n"/>
      <c r="D183" s="134" t="n">
        <v>200</v>
      </c>
      <c r="E183" s="18" t="inlineStr">
        <is>
          <t>Crédito Parcelado</t>
        </is>
      </c>
      <c r="F183" s="19" t="n">
        <v>13.98</v>
      </c>
      <c r="G183" s="20" t="n"/>
      <c r="H183" s="21" t="n"/>
      <c r="I183" s="18" t="inlineStr">
        <is>
          <t>Crédito em 2x. Venda do relatório de prestação de contas do Armando (14/09/2026) — lançada em 21/09/2026.</t>
        </is>
      </c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>
        <v>46276</v>
      </c>
      <c r="B84" s="82" t="inlineStr">
        <is>
          <t>Topvel Tropical Veiculos e Pecas</t>
        </is>
      </c>
      <c r="C84" s="82" t="inlineStr">
        <is>
          <t>2x Refil Everest + 2x Pré Filtro</t>
        </is>
      </c>
      <c r="D84" s="83" t="n">
        <v>370</v>
      </c>
      <c r="E84" s="82" t="inlineStr">
        <is>
          <t>Aguardando Pagamento</t>
        </is>
      </c>
      <c r="F84" s="83" t="n"/>
      <c r="G84" s="83" t="n"/>
      <c r="H84" s="82" t="n"/>
      <c r="I84" s="82" t="n"/>
      <c r="J84" s="82" t="inlineStr">
        <is>
          <t>EMP-0291</t>
        </is>
      </c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>
        <v>46294</v>
      </c>
      <c r="B211" s="18" t="inlineStr">
        <is>
          <t>Vivencie Turismo Agencia de Viagens - Aneildes Rios</t>
        </is>
      </c>
      <c r="C211" s="18" t="inlineStr">
        <is>
          <t>Refil Everest</t>
        </is>
      </c>
      <c r="D211" s="27" t="n">
        <v>140</v>
      </c>
      <c r="E211" s="18" t="inlineStr">
        <is>
          <t>Aguardando Pagamento</t>
        </is>
      </c>
      <c r="F211" s="19" t="n"/>
      <c r="G211" s="19" t="n"/>
      <c r="H211" s="21" t="n"/>
      <c r="I211" s="18" t="n"/>
      <c r="J211" s="18" t="inlineStr">
        <is>
          <t>EMP-0032</t>
        </is>
      </c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Aguardando Pagamento</t>
        </is>
      </c>
      <c r="F212" s="47" t="n"/>
      <c r="G212" s="48" t="n"/>
      <c r="H212" s="49" t="n"/>
      <c r="I212" s="45" t="inlineStr">
        <is>
          <t>Preço com desconto de cliente. Pagamento previsto para 30/09/2026.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2026-09-30T20:05:48Z</dcterms:modified>
  <cp:lastModifiedBy>Planeta</cp:lastModifiedBy>
  <cp:revision>1</cp:revision>
</cp:coreProperties>
</file>