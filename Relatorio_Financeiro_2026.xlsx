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4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Recebido</t>
        </is>
      </c>
      <c r="F100" s="124">
        <f>IF(OR($E100="Recebido",$C100=""),"",MAX(0,TODAY()-$C100))</f>
        <v/>
      </c>
      <c r="G100" s="90" t="inlineStr">
        <is>
          <t>Recebido via Pix em 10/09/2026 — lançado em "Set 2026".</t>
        </is>
      </c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Recebido</t>
        </is>
      </c>
      <c r="F103" s="124">
        <f>IF(OR($E103="Recebido",$C103=""),"",MAX(0,TODAY()-$C103))</f>
        <v/>
      </c>
      <c r="G103" s="90" t="inlineStr">
        <is>
          <t>Recebido via Pix em 10/09/2026 — lançado em "Set 2026".</t>
        </is>
      </c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Recebido</t>
        </is>
      </c>
      <c r="F105" s="124">
        <f>IF(OR($E105="Recebido",$C105=""),"",MAX(0,TODAY()-$C105))</f>
        <v/>
      </c>
      <c r="G105" s="90" t="inlineStr">
        <is>
          <t>Recebido via Pix em 10/09/2026 — lançado em "Set 2026".</t>
        </is>
      </c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0" t="inlineStr">
        <is>
          <t>Adriadne (Hotel Jovem Jota)</t>
        </is>
      </c>
      <c r="B107" s="90" t="inlineStr">
        <is>
          <t>Refil Everest</t>
        </is>
      </c>
      <c r="C107" s="89" t="n">
        <v>46275</v>
      </c>
      <c r="D107" s="91" t="n">
        <v>140</v>
      </c>
      <c r="E107" s="124" t="inlineStr">
        <is>
          <t>Recebido</t>
        </is>
      </c>
      <c r="F107" s="124">
        <f>IF(OR($E107="Recebido",$C107=""),"",MAX(0,TODAY()-$C107))</f>
        <v/>
      </c>
      <c r="G107" s="90" t="inlineStr">
        <is>
          <t>Recebido via Pix em 11/09/2026 — lançado em "Set 2026".</t>
        </is>
      </c>
    </row>
    <row r="108">
      <c r="A108" s="90" t="inlineStr">
        <is>
          <t>Pousada Triunfo Ltda (Hotel Triunfo)</t>
        </is>
      </c>
      <c r="B108" s="90" t="inlineStr">
        <is>
          <t>Refil Everest + Pré Filtro</t>
        </is>
      </c>
      <c r="C108" s="89" t="n">
        <v>46275</v>
      </c>
      <c r="D108" s="91" t="n">
        <v>200</v>
      </c>
      <c r="E108" s="124" t="inlineStr">
        <is>
          <t>Recebido</t>
        </is>
      </c>
      <c r="F108" s="124">
        <f>IF(OR($E108="Recebido",$C108=""),"",MAX(0,TODAY()-$C108))</f>
        <v/>
      </c>
      <c r="G108" s="90" t="inlineStr">
        <is>
          <t>Recebido via Pix em 11/09/2026 — lançado em "Set 2026".</t>
        </is>
      </c>
    </row>
    <row r="109">
      <c r="A109" s="90" t="inlineStr">
        <is>
          <t>Topvel Tropical Veiculos e Pecas</t>
        </is>
      </c>
      <c r="B109" s="90" t="inlineStr">
        <is>
          <t>2x Refil Everest + 2x Pré Filtro</t>
        </is>
      </c>
      <c r="C109" s="89" t="n">
        <v>46276</v>
      </c>
      <c r="D109" s="91" t="n">
        <v>370</v>
      </c>
      <c r="E109" s="124" t="inlineStr">
        <is>
          <t>Pendente</t>
        </is>
      </c>
      <c r="F109" s="124">
        <f>IF(OR($E109="Recebido",$C109=""),"",MAX(0,TODAY()-$C109))</f>
        <v/>
      </c>
      <c r="G109" s="90" t="inlineStr">
        <is>
          <t>Troca do dia 11/09/2026 — dois purificadores.</t>
        </is>
      </c>
    </row>
    <row r="110">
      <c r="A110" s="90" t="inlineStr">
        <is>
          <t>J Diesel Motores e Reparos - Gilmara</t>
        </is>
      </c>
      <c r="B110" s="90" t="inlineStr">
        <is>
          <t>Refil Everest</t>
        </is>
      </c>
      <c r="C110" s="89" t="n">
        <v>46276</v>
      </c>
      <c r="D110" s="91" t="n">
        <v>140</v>
      </c>
      <c r="E110" s="124" t="inlineStr">
        <is>
          <t>Pendente</t>
        </is>
      </c>
      <c r="F110" s="124">
        <f>IF(OR($E110="Recebido",$C110=""),"",MAX(0,TODAY()-$C110))</f>
        <v/>
      </c>
      <c r="G110" s="90" t="inlineStr">
        <is>
          <t>Troca do dia 11/09/2026.</t>
        </is>
      </c>
    </row>
    <row r="111">
      <c r="A111" s="98" t="inlineStr">
        <is>
          <t>TOTAL EM ABERTO A RECEBER (detalhe)</t>
        </is>
      </c>
      <c r="B111" s="98" t="n"/>
      <c r="C111" s="126" t="n"/>
      <c r="D111" s="127">
        <f>SUMIF(E74:E110,"Pendente",D74:D110)</f>
        <v/>
      </c>
      <c r="E111" s="128" t="n"/>
      <c r="F111" s="128" t="n"/>
      <c r="G111" s="98" t="n"/>
    </row>
    <row r="112">
      <c r="A112" s="129" t="inlineStr">
        <is>
          <t>CONFERÊNCIA COM AS ABAS DOS MESES</t>
        </is>
      </c>
      <c r="B112" s="160" t="n"/>
      <c r="C112" s="160" t="n"/>
      <c r="D112" s="160" t="n"/>
      <c r="E112" s="160" t="n"/>
      <c r="F112" s="160" t="n"/>
      <c r="G112" s="161" t="n"/>
    </row>
    <row r="113">
      <c r="A113" s="200">
        <f>IF(ROUND(D111-C5,2)=0,"OK — o detalhe acima bate com as vendas marcadas como Aguardando Pagamento nas abas dos meses.","ATENÇÃO: diferença de R$ "&amp;TEXT(ABS(D111-C5),"#,##0.00")&amp;" entre este detalhe e as abas dos meses — alguma venda mudou de status em um lado só.")</f>
        <v/>
      </c>
    </row>
    <row r="114">
      <c r="A114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C5:D6"/>
    <mergeCell ref="A5:B6"/>
    <mergeCell ref="A2:G2"/>
    <mergeCell ref="E5:F6"/>
    <mergeCell ref="A72:G72"/>
    <mergeCell ref="A112:G11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3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26.89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38.23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18.23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CUSTOS: Refil Everest e Pré-Filtro = Eversoft (26/08). Pro Life, Carbon Tech, E3, Plissado = Filtros Planeta Água. C+3 = Culligan (22/04). Registro = Everest (19/05). Purificadores = Everest, última nota de cada modelo. Mangueira = R$ 1,72/m (rolo 50 m por R$ 86,01). Termostato: sem compra em 2026.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SUMIF(H5:H92,K5,G5:G92)</f>
        <v/>
      </c>
      <c r="N5" s="237">
        <f>D93-F93-T5</f>
        <v/>
      </c>
      <c r="P5" s="189">
        <f>L18-L19</f>
        <v/>
      </c>
      <c r="R5" s="204">
        <f>D94</f>
        <v/>
      </c>
      <c r="T5" s="203">
        <f>SUMIF(E5:E92,"Aguardando Pagamento",D5:D92)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SUMIF(H5:H92,K6,G5:G92)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SUMIF(H5:H92,K7,G5:G92)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SUMIF(H5:H92,K8,G5:G92)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SUMIF(H5:H92,K9,G5:G92)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SUMIF(H5:H92,K10,G5:G92)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SUMIF(H5:H92,K11,G5:G92)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SUMIF(H5:H92,K12,G5:G92)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SUMIF(H5:H92,K13,G5:G92)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SUMIF(H5:H92,K14,G5:G92)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SUMIF(H5:H92,K15,G5:G92)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SUMIF(H5:H92,K16,G5:G92)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SUMIF(H5:H92,K17,G5:G92)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46275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Pix</t>
        </is>
      </c>
      <c r="F47" s="91" t="n"/>
      <c r="G47" s="91" t="n"/>
      <c r="H47" s="90" t="n"/>
      <c r="I47" s="90" t="inlineStr">
        <is>
          <t>Venda de 04/09/2026 — pagamento recebido via Pix em 10/09/2026</t>
        </is>
      </c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93" t="n">
        <v>46275</v>
      </c>
      <c r="B80" s="94" t="inlineStr">
        <is>
          <t>Pamella Rodrigues Ribeiro de Oliveira</t>
        </is>
      </c>
      <c r="C80" s="94" t="inlineStr">
        <is>
          <t>Refil Everest + Mangueira</t>
        </is>
      </c>
      <c r="D80" s="95" t="n">
        <v>150</v>
      </c>
      <c r="E80" s="94" t="inlineStr">
        <is>
          <t>Crédito Parcelado</t>
        </is>
      </c>
      <c r="F80" s="95" t="n">
        <v>10.48</v>
      </c>
      <c r="G80" s="95" t="n"/>
      <c r="H80" s="94" t="n"/>
      <c r="I80" s="94" t="inlineStr">
        <is>
          <t>Crédito em 2x</t>
        </is>
      </c>
    </row>
    <row r="81">
      <c r="A81" s="89" t="n">
        <v>46275</v>
      </c>
      <c r="B81" s="90" t="inlineStr">
        <is>
          <t>Consumidor Final</t>
        </is>
      </c>
      <c r="C81" s="90" t="inlineStr">
        <is>
          <t>Refil BAG</t>
        </is>
      </c>
      <c r="D81" s="91" t="n">
        <v>50</v>
      </c>
      <c r="E81" s="90" t="inlineStr">
        <is>
          <t>Débito</t>
        </is>
      </c>
      <c r="F81" s="91" t="n">
        <v>0.72</v>
      </c>
      <c r="G81" s="91" t="n"/>
      <c r="H81" s="90" t="n"/>
      <c r="I81" s="90" t="n"/>
    </row>
    <row r="82">
      <c r="A82" s="93" t="n">
        <v>46276</v>
      </c>
      <c r="B82" s="94" t="inlineStr">
        <is>
          <t>Adriadne (Hotel Jovem Jota)</t>
        </is>
      </c>
      <c r="C82" s="94" t="inlineStr">
        <is>
          <t>Refil Everest</t>
        </is>
      </c>
      <c r="D82" s="95" t="n">
        <v>140</v>
      </c>
      <c r="E82" s="94" t="inlineStr">
        <is>
          <t>Pix</t>
        </is>
      </c>
      <c r="F82" s="95" t="n"/>
      <c r="G82" s="95" t="n"/>
      <c r="H82" s="94" t="n"/>
      <c r="I82" s="94" t="inlineStr">
        <is>
          <t>Venda de 10/09/2026 — pagamento recebido via Pix em 11/09/2026</t>
        </is>
      </c>
    </row>
    <row r="83">
      <c r="A83" s="89" t="n">
        <v>46276</v>
      </c>
      <c r="B83" s="90" t="inlineStr">
        <is>
          <t>Pousada Triunfo Ltda (Hotel Triunfo)</t>
        </is>
      </c>
      <c r="C83" s="90" t="inlineStr">
        <is>
          <t>Refil Everest + Pré Filtro</t>
        </is>
      </c>
      <c r="D83" s="91" t="n">
        <v>200</v>
      </c>
      <c r="E83" s="90" t="inlineStr">
        <is>
          <t>Pix</t>
        </is>
      </c>
      <c r="F83" s="91" t="n"/>
      <c r="G83" s="91" t="n"/>
      <c r="H83" s="90" t="n"/>
      <c r="I83" s="90" t="inlineStr">
        <is>
          <t>Venda de 10/09/2026 — pagamento recebido via Pix em 11/09/2026</t>
        </is>
      </c>
    </row>
    <row r="84">
      <c r="A84" s="93" t="n">
        <v>46276</v>
      </c>
      <c r="B84" s="94" t="inlineStr">
        <is>
          <t>Topvel Tropical Veiculos e Pecas</t>
        </is>
      </c>
      <c r="C84" s="94" t="inlineStr">
        <is>
          <t>2x Refil Everest + 2x Pré Filtro</t>
        </is>
      </c>
      <c r="D84" s="95" t="n">
        <v>370</v>
      </c>
      <c r="E84" s="94" t="inlineStr">
        <is>
          <t>Aguardando Pagamento</t>
        </is>
      </c>
      <c r="F84" s="95" t="n"/>
      <c r="G84" s="95" t="n"/>
      <c r="H84" s="94" t="n"/>
      <c r="I84" s="94" t="n"/>
    </row>
    <row r="85">
      <c r="A85" s="89" t="n">
        <v>46276</v>
      </c>
      <c r="B85" s="90" t="inlineStr">
        <is>
          <t>J Diesel Motores e Reparos - Gilmara</t>
        </is>
      </c>
      <c r="C85" s="90" t="inlineStr">
        <is>
          <t>Refil Everest</t>
        </is>
      </c>
      <c r="D85" s="91" t="n">
        <v>140</v>
      </c>
      <c r="E85" s="90" t="inlineStr">
        <is>
          <t>Aguardando Pagamento</t>
        </is>
      </c>
      <c r="F85" s="91" t="n"/>
      <c r="G85" s="91" t="n"/>
      <c r="H85" s="90" t="n"/>
      <c r="I85" s="90" t="n"/>
    </row>
    <row r="86">
      <c r="A86" s="93" t="n">
        <v>46276</v>
      </c>
      <c r="B86" s="94" t="inlineStr">
        <is>
          <t>Loja D Leles</t>
        </is>
      </c>
      <c r="C86" s="94" t="inlineStr">
        <is>
          <t>Refil Everest</t>
        </is>
      </c>
      <c r="D86" s="95" t="n">
        <v>140</v>
      </c>
      <c r="E86" s="94" t="inlineStr">
        <is>
          <t>Dinheiro</t>
        </is>
      </c>
      <c r="F86" s="95" t="n"/>
      <c r="G86" s="95" t="n"/>
      <c r="H86" s="94" t="n"/>
      <c r="I86" s="94" t="n"/>
    </row>
    <row r="87">
      <c r="A87" s="89" t="n">
        <v>46276</v>
      </c>
      <c r="B87" s="90" t="inlineStr">
        <is>
          <t>Atacadão da Limpeza</t>
        </is>
      </c>
      <c r="C87" s="90" t="n"/>
      <c r="D87" s="91" t="n"/>
      <c r="E87" s="90" t="n"/>
      <c r="F87" s="91" t="n"/>
      <c r="G87" s="91" t="n">
        <v>46</v>
      </c>
      <c r="H87" s="90" t="inlineStr">
        <is>
          <t>Material de Limpeza e Escritório</t>
        </is>
      </c>
      <c r="I87" s="90" t="inlineStr">
        <is>
          <t>Luva vinil G + saco de lixo 60L — venda nº 00021207 (total R$ 46,98, desconto R$ 0,98). Pago em dinheiro.</t>
        </is>
      </c>
    </row>
    <row r="88">
      <c r="A88" s="93" t="n">
        <v>46276</v>
      </c>
      <c r="B88" s="94" t="inlineStr">
        <is>
          <t>Faca Feira Supermercado</t>
        </is>
      </c>
      <c r="C88" s="94" t="n"/>
      <c r="D88" s="95" t="n"/>
      <c r="E88" s="94" t="n"/>
      <c r="F88" s="95" t="n"/>
      <c r="G88" s="95" t="n">
        <v>8.48</v>
      </c>
      <c r="H88" s="94" t="inlineStr">
        <is>
          <t>Material de Limpeza e Escritório</t>
        </is>
      </c>
      <c r="I88" s="94" t="inlineStr">
        <is>
          <t>Copo descartável 200 ml — NFC-e nº 208441. Pago em dinheiro.</t>
        </is>
      </c>
    </row>
    <row r="89">
      <c r="A89" s="89" t="n">
        <v>46276</v>
      </c>
      <c r="B89" s="90" t="inlineStr">
        <is>
          <t>Conserto do Controle do Alarme da Loja</t>
        </is>
      </c>
      <c r="C89" s="90" t="n"/>
      <c r="D89" s="91" t="n"/>
      <c r="E89" s="90" t="n"/>
      <c r="F89" s="91" t="n"/>
      <c r="G89" s="91" t="n">
        <v>20</v>
      </c>
      <c r="H89" s="90" t="inlineStr">
        <is>
          <t>Manutenção e Reparos</t>
        </is>
      </c>
      <c r="I89" s="90" t="n"/>
    </row>
    <row r="90">
      <c r="A90" s="93" t="n">
        <v>46276</v>
      </c>
      <c r="B90" s="94" t="inlineStr">
        <is>
          <t>Comissão Wiliam</t>
        </is>
      </c>
      <c r="C90" s="94" t="n"/>
      <c r="D90" s="95" t="n"/>
      <c r="E90" s="94" t="n"/>
      <c r="F90" s="95" t="n"/>
      <c r="G90" s="95" t="n">
        <v>30</v>
      </c>
      <c r="H90" s="94" t="inlineStr">
        <is>
          <t>Salários, Comissões e Encargos</t>
        </is>
      </c>
      <c r="I90" s="94" t="n"/>
    </row>
    <row r="91">
      <c r="A91" s="89" t="n">
        <v>46276</v>
      </c>
      <c r="B91" s="90" t="inlineStr">
        <is>
          <t>L K Abade Ltda</t>
        </is>
      </c>
      <c r="C91" s="90" t="n"/>
      <c r="D91" s="91" t="n"/>
      <c r="E91" s="90" t="n"/>
      <c r="F91" s="91" t="n"/>
      <c r="G91" s="91" t="n">
        <v>70</v>
      </c>
      <c r="H91" s="90" t="inlineStr">
        <is>
          <t>Material de Limpeza e Escritório</t>
        </is>
      </c>
      <c r="I91" s="90" t="inlineStr">
        <is>
          <t>4 caixas organizadoras rattan 28L + 2 panos multiuso + 1 forma descartável para air fryer — pedido nº 48303.</t>
        </is>
      </c>
    </row>
    <row r="92">
      <c r="A92" s="93" t="n">
        <v>46273</v>
      </c>
      <c r="B92" s="94" t="inlineStr">
        <is>
          <t>Moto Táxi</t>
        </is>
      </c>
      <c r="C92" s="94" t="n"/>
      <c r="D92" s="95" t="n"/>
      <c r="E92" s="94" t="n"/>
      <c r="F92" s="95" t="n"/>
      <c r="G92" s="95" t="n">
        <v>16</v>
      </c>
      <c r="H92" s="94" t="inlineStr">
        <is>
          <t>Transporte e Entregas</t>
        </is>
      </c>
      <c r="I92" s="94" t="n"/>
    </row>
    <row r="93">
      <c r="A93" s="102" t="n"/>
      <c r="B93" s="102" t="inlineStr">
        <is>
          <t>TOTAL DO MÊS</t>
        </is>
      </c>
      <c r="C93" s="102" t="n"/>
      <c r="D93" s="103">
        <f>SUM(D5:D92)</f>
        <v/>
      </c>
      <c r="E93" s="102" t="n"/>
      <c r="F93" s="103">
        <f>SUM(F5:F92)</f>
        <v/>
      </c>
      <c r="G93" s="103">
        <f>SUM(G5:G92)</f>
        <v/>
      </c>
      <c r="H93" s="102" t="n"/>
      <c r="I93" s="102" t="n"/>
    </row>
    <row r="94">
      <c r="A94" s="104" t="n"/>
      <c r="B94" s="104" t="inlineStr">
        <is>
          <t>SALDO DO MÊS (Entradas líquidas − Despesas da loja)</t>
        </is>
      </c>
      <c r="C94" s="104" t="n"/>
      <c r="D94" s="105">
        <f>(D93-F93-T5)-(L18-L19)</f>
        <v/>
      </c>
      <c r="E94" s="104" t="n"/>
      <c r="F94" s="105" t="n"/>
      <c r="G94" s="105" t="n"/>
      <c r="H94" s="104" t="n"/>
      <c r="I94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92" showDropDown="0" showInputMessage="0" showErrorMessage="0" allowBlank="1" type="list">
      <formula1>"Dinheiro,Pix,Débito,Crédito à Vista,Crédito Parcelado,Aguardando Pagamento"</formula1>
    </dataValidation>
    <dataValidation sqref="H5:H9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2026-09-11T20:40:01Z</dcterms:modified>
  <cp:lastModifiedBy>Planeta</cp:lastModifiedBy>
  <cp:revision>1</cp:revision>
</cp:coreProperties>
</file>