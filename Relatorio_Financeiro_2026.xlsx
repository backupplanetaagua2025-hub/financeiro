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38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.1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18.95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Equilíbrio'!B10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>
      <c r="B50" s="167" t="inlineStr">
        <is>
          <t>4. Despesa pessoal do casal paga pela loja: categoria "Pro Labore Edilânia" — fica registrada, mas fora do resultado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LUCRO LÍQUIDO</t>
        </is>
      </c>
      <c r="F4" s="160" t="n"/>
      <c r="G4" s="191" t="inlineStr">
        <is>
          <t>MARGEM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7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27" t="inlineStr">
        <is>
          <t>← Início</t>
        </is>
      </c>
      <c r="B3" s="94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IF($B$3=0,0,N8/$B$3)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IF($B$3=0,0,N9/$B$3)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IF($B$3=0,0,N10/$B$3)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IF($B$3=0,0,N11/$B$3)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IF(N5=0,"",N11/N5)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IF($B$3=0,0,N13/$B$3)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IF($B$3=0,0,N14/$B$3)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IF($B$3=0,0,N15/$B$3)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IF($B$3=0,0,N16/$B$3)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IF($B$3=0,0,N17/$B$3)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IF($B$3=0,0,N18/$B$3)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IF($B$3=0,0,N19/$B$3)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IF($B$3=0,0,N20/$B$3)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IF($B$3=0,0,N21/$B$3)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IF($B$3=0,0,N22/$B$3)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IF($B$3=0,0,N23/$B$3)</f>
        <v/>
      </c>
    </row>
    <row r="24" ht="15.75" customHeight="1" s="157">
      <c r="A24" s="103" t="inlineStr">
        <is>
          <t>(=) RESULTADO DO MÊS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IF($B$3=0,0,N24/$B$3)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IF(N5=0,"",N24/N5)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2026'!L17</f>
        <v/>
      </c>
      <c r="C27" s="108">
        <f>'Fev 2026'!L17</f>
        <v/>
      </c>
      <c r="D27" s="108">
        <f>'Mar 2026'!L17</f>
        <v/>
      </c>
      <c r="E27" s="108">
        <f>'Abr 2026'!L17</f>
        <v/>
      </c>
      <c r="F27" s="108">
        <f>'Mai 2026'!L17</f>
        <v/>
      </c>
      <c r="G27" s="108">
        <f>'Jun 2026'!L17</f>
        <v/>
      </c>
      <c r="H27" s="108">
        <f>'Jul 2026'!L17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>
        <f>'Jan 2026'!L19</f>
        <v/>
      </c>
      <c r="C28" s="108">
        <f>'Fev 2026'!L19</f>
        <v/>
      </c>
      <c r="D28" s="108">
        <f>'Mar 2026'!L19</f>
        <v/>
      </c>
      <c r="E28" s="108">
        <f>'Abr 2026'!L19</f>
        <v/>
      </c>
      <c r="F28" s="108">
        <f>'Mai 2026'!L19</f>
        <v/>
      </c>
      <c r="G28" s="108">
        <f>'Jun 2026'!L19</f>
        <v/>
      </c>
      <c r="H28" s="108">
        <f>'Jul 2026'!L19</f>
        <v/>
      </c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7">
      <c r="A30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1" ht="27.95" customHeight="1" s="157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7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7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55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D95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Pendente</t>
        </is>
      </c>
      <c r="F83" s="112">
        <f>IF(OR($E83="Pago",$C83=""),"",MAX(0,TODAY()-$C83))</f>
        <v/>
      </c>
      <c r="G83" s="78" t="inlineStr">
        <is>
          <t>Categoria quando pagar: Pro Labore Edilânia.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Pendente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Pendente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Pendente</t>
        </is>
      </c>
      <c r="F91" s="112">
        <f>IF(OR($E91="Pago",$C91=""),"",MAX(0,TODAY()-$C91))</f>
        <v/>
      </c>
      <c r="G91" s="78" t="inlineStr">
        <is>
          <t>Categoria quando pagar: Impostos e Taxas. Pagamento via QR Code Pix no documento original da guia (GFD).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Pendente</t>
        </is>
      </c>
      <c r="F92" s="113">
        <f>IF(OR($E92="Pago",$C92=""),"",MAX(0,TODAY()-$C92))</f>
        <v/>
      </c>
      <c r="G92" s="82" t="inlineStr">
        <is>
          <t>Categoria quando pagar: Impostos e Taxas. Código de barras 858300000033 069903852621 930716262672 196301377104.</t>
        </is>
      </c>
    </row>
    <row r="93" s="157">
      <c r="A93" s="86" t="inlineStr">
        <is>
          <t>TOTAL A PAGAR — COM BOLETO EM MÃOS</t>
        </is>
      </c>
      <c r="B93" s="86" t="n"/>
      <c r="C93" s="114" t="n"/>
      <c r="D93" s="115">
        <f>SUMIF(E11:E92,"Pendente",D11:D92)</f>
        <v/>
      </c>
      <c r="E93" s="116" t="n"/>
      <c r="F93" s="116" t="n"/>
      <c r="G93" s="86" t="n"/>
    </row>
    <row r="94" s="157">
      <c r="A94" s="144" t="inlineStr">
        <is>
          <t>PREVISTO — compromisso certo que ainda não está documentado</t>
        </is>
      </c>
      <c r="B94" s="144" t="n"/>
      <c r="C94" s="145" t="n"/>
      <c r="D94" s="146">
        <f>SUMIF(E11:E92,"Previsto",D11:D92)</f>
        <v/>
      </c>
      <c r="E94" s="142" t="n"/>
      <c r="F94" s="142" t="n"/>
      <c r="G94" s="144" t="n"/>
    </row>
    <row r="95" s="157">
      <c r="A95" s="86" t="inlineStr">
        <is>
          <t>TOTAL GERAL A PAGAR (boletos + previsão)</t>
        </is>
      </c>
      <c r="B95" s="86" t="n"/>
      <c r="C95" s="114" t="n"/>
      <c r="D95" s="115">
        <f>D93+D94</f>
        <v/>
      </c>
      <c r="E95" s="116" t="n"/>
      <c r="F95" s="116" t="n"/>
      <c r="G95" s="86" t="n"/>
    </row>
    <row r="96" s="157"/>
    <row r="97" ht="15.75" customHeight="1" s="157"/>
    <row r="98" ht="15.75" customHeight="1" s="157">
      <c r="A98" s="200" t="inlineStr">
        <is>
          <t>CONTAS A RECEBER  —  vendas feitas e ainda não pagas</t>
        </is>
      </c>
    </row>
    <row r="99" s="157">
      <c r="A99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0" s="157">
      <c r="A100" s="111" t="inlineStr">
        <is>
          <t>Cliente</t>
        </is>
      </c>
      <c r="B100" s="111" t="inlineStr">
        <is>
          <t>Produto / Referência</t>
        </is>
      </c>
      <c r="C100" s="111" t="inlineStr">
        <is>
          <t>Data da Venda</t>
        </is>
      </c>
      <c r="D100" s="111" t="inlineStr">
        <is>
          <t>Valor (R$)</t>
        </is>
      </c>
      <c r="E100" s="111" t="inlineStr">
        <is>
          <t>Status</t>
        </is>
      </c>
      <c r="F100" s="111" t="inlineStr">
        <is>
          <t>Dias em Atraso</t>
        </is>
      </c>
      <c r="G100" s="111" t="inlineStr">
        <is>
          <t>Observações</t>
        </is>
      </c>
    </row>
    <row r="101" s="157">
      <c r="A101" s="78" t="inlineStr">
        <is>
          <t>Centro de Especialidades Odontomédicas</t>
        </is>
      </c>
      <c r="B101" s="78" t="inlineStr">
        <is>
          <t>Refil Everest</t>
        </is>
      </c>
      <c r="C101" s="77" t="n">
        <v>46239</v>
      </c>
      <c r="D101" s="79" t="n">
        <v>140</v>
      </c>
      <c r="E101" s="112" t="inlineStr">
        <is>
          <t>Pendente</t>
        </is>
      </c>
      <c r="F101" s="112">
        <f>IF(OR($E101="Recebido",$C101=""),"",MAX(0,TODAY()-$C101))</f>
        <v/>
      </c>
      <c r="G101" s="78" t="n"/>
    </row>
    <row r="102" s="157">
      <c r="A102" s="82" t="inlineStr">
        <is>
          <t>Supermercado Brasil</t>
        </is>
      </c>
      <c r="B102" s="82" t="inlineStr">
        <is>
          <t>2x Refil Pro Life</t>
        </is>
      </c>
      <c r="C102" s="81" t="n">
        <v>46239</v>
      </c>
      <c r="D102" s="83" t="n">
        <v>280</v>
      </c>
      <c r="E102" s="113" t="inlineStr">
        <is>
          <t>Pendente</t>
        </is>
      </c>
      <c r="F102" s="113">
        <f>IF(OR($E102="Recebido",$C102=""),"",MAX(0,TODAY()-$C102))</f>
        <v/>
      </c>
      <c r="G102" s="82" t="n"/>
    </row>
    <row r="103" s="157">
      <c r="A103" s="78" t="inlineStr">
        <is>
          <t>Tropical Motos LTDA</t>
        </is>
      </c>
      <c r="B103" s="78" t="inlineStr">
        <is>
          <t>3x Refil Everest + Refil Pro Life + 3x Pré Filtro + Válvula Reguladora de Pressão</t>
        </is>
      </c>
      <c r="C103" s="77" t="n">
        <v>46245</v>
      </c>
      <c r="D103" s="79" t="n">
        <v>820</v>
      </c>
      <c r="E103" s="112" t="inlineStr">
        <is>
          <t>Recebido</t>
        </is>
      </c>
      <c r="F103" s="112">
        <f>IF(OR($E103="Recebido",$C103=""),"",MAX(0,TODAY()-$C103))</f>
        <v/>
      </c>
      <c r="G103" s="78" t="inlineStr">
        <is>
          <t>Recebido via TED em 25/08/2026. NF conferida: valor correto é R$820 (faltava a válvula no lançamento original de R$740).</t>
        </is>
      </c>
    </row>
    <row r="104" s="157">
      <c r="A104" s="82" t="inlineStr">
        <is>
          <t>Free Way</t>
        </is>
      </c>
      <c r="B104" s="82" t="inlineStr">
        <is>
          <t>5x Refil Everest</t>
        </is>
      </c>
      <c r="C104" s="81" t="n">
        <v>46251</v>
      </c>
      <c r="D104" s="83" t="n">
        <v>700</v>
      </c>
      <c r="E104" s="113" t="inlineStr">
        <is>
          <t>Recebido</t>
        </is>
      </c>
      <c r="F104" s="113">
        <f>IF(OR($E104="Recebido",$C104=""),"",MAX(0,TODAY()-$C104))</f>
        <v/>
      </c>
      <c r="G104" s="82" t="inlineStr">
        <is>
          <t>Recebido via TED em 02/09/2026.</t>
        </is>
      </c>
    </row>
    <row r="105" s="157">
      <c r="A105" s="78" t="inlineStr">
        <is>
          <t>Neli Sena Rego</t>
        </is>
      </c>
      <c r="B105" s="78" t="inlineStr">
        <is>
          <t>Refil Pro Life</t>
        </is>
      </c>
      <c r="C105" s="77" t="n">
        <v>46254</v>
      </c>
      <c r="D105" s="79" t="n">
        <v>140</v>
      </c>
      <c r="E105" s="112" t="inlineStr">
        <is>
          <t>Recebido</t>
        </is>
      </c>
      <c r="F105" s="112">
        <f>IF(OR($E105="Recebido",$C105=""),"",MAX(0,TODAY()-$C105))</f>
        <v/>
      </c>
      <c r="G105" s="78" t="inlineStr">
        <is>
          <t>Recebido em dinheiro em 01/09/2026 (R$ 170,00 pelas duas vendas)</t>
        </is>
      </c>
    </row>
    <row r="106" s="157">
      <c r="A106" s="82" t="inlineStr">
        <is>
          <t>Neli Sena Rego</t>
        </is>
      </c>
      <c r="B106" s="82" t="inlineStr">
        <is>
          <t>Conexão + Mangueira</t>
        </is>
      </c>
      <c r="C106" s="81" t="n">
        <v>46255</v>
      </c>
      <c r="D106" s="83" t="n">
        <v>40</v>
      </c>
      <c r="E106" s="113" t="inlineStr">
        <is>
          <t>Recebido</t>
        </is>
      </c>
      <c r="F106" s="113">
        <f>IF(OR($E106="Recebido",$C106=""),"",MAX(0,TODAY()-$C106))</f>
        <v/>
      </c>
      <c r="G106" s="82" t="inlineStr">
        <is>
          <t>Recebido em dinheiro em 01/09/2026 (R$ 170,00 pelas duas vendas)</t>
        </is>
      </c>
    </row>
    <row r="107" s="157">
      <c r="A107" s="78" t="inlineStr">
        <is>
          <t>Lapec</t>
        </is>
      </c>
      <c r="B107" s="78" t="inlineStr">
        <is>
          <t>4x Refil Everest</t>
        </is>
      </c>
      <c r="C107" s="77" t="n">
        <v>46258</v>
      </c>
      <c r="D107" s="79" t="n">
        <v>480</v>
      </c>
      <c r="E107" s="112" t="inlineStr">
        <is>
          <t>Recebido</t>
        </is>
      </c>
      <c r="F107" s="112">
        <f>IF(OR($E107="Recebido",$C107=""),"",MAX(0,TODAY()-$C107))</f>
        <v/>
      </c>
      <c r="G107" s="78" t="inlineStr">
        <is>
          <t>Recebido em dinheiro em 08/09/2026 — lançado em "Set 2026".</t>
        </is>
      </c>
    </row>
    <row r="108" s="157">
      <c r="A108" s="82" t="inlineStr">
        <is>
          <t>Cícero Lima</t>
        </is>
      </c>
      <c r="B108" s="82" t="inlineStr">
        <is>
          <t>Refil Everest</t>
        </is>
      </c>
      <c r="C108" s="81" t="n">
        <v>46261</v>
      </c>
      <c r="D108" s="83" t="n">
        <v>140</v>
      </c>
      <c r="E108" s="113" t="inlineStr">
        <is>
          <t>Recebido</t>
        </is>
      </c>
      <c r="F108" s="113">
        <f>IF(OR($E108="Recebido",$C108=""),"",MAX(0,TODAY()-$C108))</f>
        <v/>
      </c>
      <c r="G108" s="82" t="inlineStr">
        <is>
          <t>Recebido via Pix em 27/08/2026</t>
        </is>
      </c>
    </row>
    <row r="109" s="157">
      <c r="A109" s="78" t="inlineStr">
        <is>
          <t>Promotoria Regional de Jacobina</t>
        </is>
      </c>
      <c r="B109" s="78" t="inlineStr">
        <is>
          <t>2x Carcaça 9" + 2x Refil Plissado 9" + Conexão Reta Rosca</t>
        </is>
      </c>
      <c r="C109" s="77" t="n">
        <v>46261</v>
      </c>
      <c r="D109" s="79" t="n">
        <v>470</v>
      </c>
      <c r="E109" s="112" t="inlineStr">
        <is>
          <t>Recebido</t>
        </is>
      </c>
      <c r="F109" s="112">
        <f>IF(OR($E109="Recebido",$C109=""),"",MAX(0,TODAY()-$C109))</f>
        <v/>
      </c>
      <c r="G109" s="78" t="inlineStr">
        <is>
          <t>Pago em 28/08/2026 em duas formas: R$ 270,00 Pix + R$ 200,00 crédito 2x</t>
        </is>
      </c>
    </row>
    <row r="110" s="157">
      <c r="A110" s="82" t="inlineStr">
        <is>
          <t>Lucas Souza</t>
        </is>
      </c>
      <c r="B110" s="82" t="inlineStr">
        <is>
          <t>Refil Everest + Pré Filtro</t>
        </is>
      </c>
      <c r="C110" s="81" t="n">
        <v>46261</v>
      </c>
      <c r="D110" s="83" t="n">
        <v>200</v>
      </c>
      <c r="E110" s="113" t="inlineStr">
        <is>
          <t>Recebido</t>
        </is>
      </c>
      <c r="F110" s="113">
        <f>IF(OR($E110="Recebido",$C110=""),"",MAX(0,TODAY()-$C110))</f>
        <v/>
      </c>
      <c r="G110" s="82" t="inlineStr">
        <is>
          <t>Recebido em dinheiro em 03/09/2026 — lançado em "Set 2026".</t>
        </is>
      </c>
    </row>
    <row r="111" s="157">
      <c r="A111" s="78" t="inlineStr">
        <is>
          <t>FG Boa Vista (Recife/PE)</t>
        </is>
      </c>
      <c r="B111" s="78" t="inlineStr">
        <is>
          <t>Refis — troca de julho/2026</t>
        </is>
      </c>
      <c r="C111" s="77" t="n">
        <v>46261</v>
      </c>
      <c r="D111" s="79" t="n">
        <v>1008.8</v>
      </c>
      <c r="E111" s="112" t="inlineStr">
        <is>
          <t>Recebido</t>
        </is>
      </c>
      <c r="F111" s="112">
        <f>IF(OR($E111="Recebido",$C111=""),"",MAX(0,TODAY()-$C111))</f>
        <v/>
      </c>
      <c r="G111" s="78" t="inlineStr">
        <is>
          <t>Grupo Ânima — NF 000.004.280 · recebido em 30/08/2026 (Nota Paga no portal V360)</t>
        </is>
      </c>
    </row>
    <row r="112" s="157">
      <c r="A112" s="82" t="inlineStr">
        <is>
          <t>UNIFG Guanambi (Guanambi/BA)</t>
        </is>
      </c>
      <c r="B112" s="82" t="inlineStr">
        <is>
          <t>Refis — troca de julho/2026</t>
        </is>
      </c>
      <c r="C112" s="81" t="n">
        <v>46261</v>
      </c>
      <c r="D112" s="83" t="n">
        <v>4534.75</v>
      </c>
      <c r="E112" s="113" t="inlineStr">
        <is>
          <t>Recebido</t>
        </is>
      </c>
      <c r="F112" s="113">
        <f>IF(OR($E112="Recebido",$C112=""),"",MAX(0,TODAY()-$C112))</f>
        <v/>
      </c>
      <c r="G112" s="82" t="inlineStr">
        <is>
          <t>Grupo Ânima — NF 000.004.281 · recebido em 30/08/2026 (Nota Paga no portal V360)</t>
        </is>
      </c>
    </row>
    <row r="113" s="157">
      <c r="A113" s="78" t="inlineStr">
        <is>
          <t>UNP Zona Norte (Natal/RN)</t>
        </is>
      </c>
      <c r="B113" s="78" t="inlineStr">
        <is>
          <t>Refis — troca de julho/2026</t>
        </is>
      </c>
      <c r="C113" s="77" t="n">
        <v>46261</v>
      </c>
      <c r="D113" s="79" t="n">
        <v>870</v>
      </c>
      <c r="E113" s="112" t="inlineStr">
        <is>
          <t>Recebido</t>
        </is>
      </c>
      <c r="F113" s="112">
        <f>IF(OR($E113="Recebido",$C113=""),"",MAX(0,TODAY()-$C113))</f>
        <v/>
      </c>
      <c r="G113" s="78" t="inlineStr">
        <is>
          <t>Grupo Ânima — NF 000.004.282 · recebido em 30/08/2026 (Nota Paga no portal V360)</t>
        </is>
      </c>
    </row>
    <row r="114" s="157">
      <c r="A114" s="82" t="inlineStr">
        <is>
          <t>UNP Caicó (Caicó/RN)</t>
        </is>
      </c>
      <c r="B114" s="82" t="inlineStr">
        <is>
          <t>Refis — troca de julho/2026</t>
        </is>
      </c>
      <c r="C114" s="81" t="n">
        <v>46261</v>
      </c>
      <c r="D114" s="83" t="n">
        <v>440</v>
      </c>
      <c r="E114" s="113" t="inlineStr">
        <is>
          <t>Recebido</t>
        </is>
      </c>
      <c r="F114" s="113">
        <f>IF(OR($E114="Recebido",$C114=""),"",MAX(0,TODAY()-$C114))</f>
        <v/>
      </c>
      <c r="G114" s="82" t="inlineStr">
        <is>
          <t>Grupo Ânima — NF 000.004.283 · recebido via Pix em 27/08/2026</t>
        </is>
      </c>
    </row>
    <row r="115" s="157">
      <c r="A115" s="78" t="inlineStr">
        <is>
          <t>AGES Irecê (Irecê/BA)</t>
        </is>
      </c>
      <c r="B115" s="78" t="inlineStr">
        <is>
          <t>Refis — troca de julho/2026</t>
        </is>
      </c>
      <c r="C115" s="77" t="n">
        <v>46269</v>
      </c>
      <c r="D115" s="79" t="n">
        <v>1338.6</v>
      </c>
      <c r="E115" s="112" t="inlineStr">
        <is>
          <t>Recebido</t>
        </is>
      </c>
      <c r="F115" s="112">
        <f>IF(OR($E115="Recebido",$C115=""),"",MAX(0,TODAY()-$C115))</f>
        <v/>
      </c>
      <c r="G115" s="78" t="inlineStr">
        <is>
          <t>Grupo Ânima — NF 000.004.294 · recebido via Pix em 04/09/2026.</t>
        </is>
      </c>
    </row>
    <row r="116" s="157">
      <c r="A116" s="82" t="inlineStr">
        <is>
          <t>CIS Irecê (Irecê/BA)</t>
        </is>
      </c>
      <c r="B116" s="82" t="inlineStr">
        <is>
          <t>Refis — troca de julho/2026</t>
        </is>
      </c>
      <c r="C116" s="81" t="n">
        <v>46269</v>
      </c>
      <c r="D116" s="83" t="n">
        <v>1358</v>
      </c>
      <c r="E116" s="113" t="inlineStr">
        <is>
          <t>Recebido</t>
        </is>
      </c>
      <c r="F116" s="113">
        <f>IF(OR($E116="Recebido",$C116=""),"",MAX(0,TODAY()-$C116))</f>
        <v/>
      </c>
      <c r="G116" s="82" t="inlineStr">
        <is>
          <t>Grupo Ânima — NF 000.004.295 · recebido via Pix em 04/09/2026.</t>
        </is>
      </c>
    </row>
    <row r="117" s="157">
      <c r="A117" s="78" t="inlineStr">
        <is>
          <t>AGES Senhor do Bonfim (S. do Bonfim/BA)</t>
        </is>
      </c>
      <c r="B117" s="78" t="inlineStr">
        <is>
          <t>Refis — troca de julho/2026</t>
        </is>
      </c>
      <c r="C117" s="77" t="n">
        <v>46270</v>
      </c>
      <c r="D117" s="79" t="n">
        <v>649.9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Grupo Ânima — NF 000.004.298 · recebido via Pix em 08/09/2026.</t>
        </is>
      </c>
    </row>
    <row r="118" s="157">
      <c r="A118" s="82" t="inlineStr">
        <is>
          <t>CIS Senhor do Bonfim (S. do Bonfim/BA)</t>
        </is>
      </c>
      <c r="B118" s="82" t="inlineStr">
        <is>
          <t>Refis — troca de julho/2026</t>
        </is>
      </c>
      <c r="C118" s="81" t="n">
        <v>46270</v>
      </c>
      <c r="D118" s="83" t="n">
        <v>562.6</v>
      </c>
      <c r="E118" s="113" t="inlineStr">
        <is>
          <t>Recebido</t>
        </is>
      </c>
      <c r="F118" s="113">
        <f>IF(OR($E118="Recebido",$C118=""),"",MAX(0,TODAY()-$C118))</f>
        <v/>
      </c>
      <c r="G118" s="82" t="inlineStr">
        <is>
          <t>Grupo Ânima — NF 000.004.299 · recebido via Pix em 08/09/2026.</t>
        </is>
      </c>
    </row>
    <row r="119" s="157">
      <c r="A119" s="78" t="inlineStr">
        <is>
          <t>AGES Paripiranga (Paripiranga/BA)</t>
        </is>
      </c>
      <c r="B119" s="78" t="inlineStr">
        <is>
          <t>Refis — troca de julho/2026</t>
        </is>
      </c>
      <c r="C119" s="77" t="n">
        <v>46270</v>
      </c>
      <c r="D119" s="79" t="n">
        <v>1086.4</v>
      </c>
      <c r="E119" s="112" t="inlineStr">
        <is>
          <t>Recebido</t>
        </is>
      </c>
      <c r="F119" s="112">
        <f>IF(OR($E119="Recebido",$C119=""),"",MAX(0,TODAY()-$C119))</f>
        <v/>
      </c>
      <c r="G119" s="78" t="inlineStr">
        <is>
          <t>Grupo Ânima — NF 000.004.300 · recebido via Pix em 08/09/2026.</t>
        </is>
      </c>
    </row>
    <row r="120" s="157">
      <c r="A120" s="82" t="inlineStr">
        <is>
          <t>Clínica Veterinária Paripiranga (Paripiranga/BA)</t>
        </is>
      </c>
      <c r="B120" s="82" t="inlineStr">
        <is>
          <t>Refis — troca de julho/2026</t>
        </is>
      </c>
      <c r="C120" s="81" t="n">
        <v>46270</v>
      </c>
      <c r="D120" s="83" t="n">
        <v>1265.85</v>
      </c>
      <c r="E120" s="113" t="inlineStr">
        <is>
          <t>Recebido</t>
        </is>
      </c>
      <c r="F120" s="113">
        <f>IF(OR($E120="Recebido",$C120=""),"",MAX(0,TODAY()-$C120))</f>
        <v/>
      </c>
      <c r="G120" s="82" t="inlineStr">
        <is>
          <t>Grupo Ânima — NF 000.004.301 · recebido via Pix em 08/09/2026.</t>
        </is>
      </c>
    </row>
    <row r="121" s="157">
      <c r="A121" s="78" t="inlineStr">
        <is>
          <t>UNP Mossoró (Mossoró/RN)</t>
        </is>
      </c>
      <c r="B121" s="78" t="inlineStr">
        <is>
          <t>Refis — troca de julho/2026</t>
        </is>
      </c>
      <c r="C121" s="77" t="n">
        <v>46270</v>
      </c>
      <c r="D121" s="79" t="n">
        <v>1867.25</v>
      </c>
      <c r="E121" s="112" t="inlineStr">
        <is>
          <t>Recebido</t>
        </is>
      </c>
      <c r="F121" s="112">
        <f>IF(OR($E121="Recebido",$C121=""),"",MAX(0,TODAY()-$C121))</f>
        <v/>
      </c>
      <c r="G121" s="78" t="inlineStr">
        <is>
          <t>Grupo Ânima — NF 000.004.302 · recebido via Pix em 08/09/2026.</t>
        </is>
      </c>
    </row>
    <row r="122" s="157">
      <c r="A122" s="82" t="inlineStr">
        <is>
          <t>CIS Jacobina (Jacobina/BA)</t>
        </is>
      </c>
      <c r="B122" s="82" t="inlineStr">
        <is>
          <t>Refis — troca de julho/2026</t>
        </is>
      </c>
      <c r="C122" s="81" t="n">
        <v>46290</v>
      </c>
      <c r="D122" s="83" t="n">
        <v>2095.2</v>
      </c>
      <c r="E122" s="113" t="inlineStr">
        <is>
          <t>Recebido</t>
        </is>
      </c>
      <c r="F122" s="113">
        <f>IF(OR($E122="Recebido",$C122=""),"",MAX(0,TODAY()-$C122))</f>
        <v/>
      </c>
      <c r="G122" s="82" t="inlineStr">
        <is>
          <t>Grupo Ânima — NF 000.004.333 de 26/08/2026 · OC AEMPPO00004452 · 30 dias · recebido via Pix em 25/09/2026 (Nota Paga no portal V360).</t>
        </is>
      </c>
    </row>
    <row r="123" s="157">
      <c r="A123" s="78" t="inlineStr">
        <is>
          <t>AGES Jacobina (Jacobina/BA)</t>
        </is>
      </c>
      <c r="B123" s="78" t="inlineStr">
        <is>
          <t>Refis — troca de julho/2026</t>
        </is>
      </c>
      <c r="C123" s="77" t="n">
        <v>46305</v>
      </c>
      <c r="D123" s="79" t="n">
        <v>1188.25</v>
      </c>
      <c r="E123" s="112" t="inlineStr">
        <is>
          <t>Pendente</t>
        </is>
      </c>
      <c r="F123" s="112">
        <f>IF(OR($E123="Recebido",$C123=""),"",MAX(0,TODAY()-$C123))</f>
        <v/>
      </c>
      <c r="G123" s="78" t="inlineStr">
        <is>
          <t>Grupo Ânima — NF 000.004.332 de 26/08/2026 · OC AEMPPO00004453 · 45 dias</t>
        </is>
      </c>
    </row>
    <row r="124" s="157">
      <c r="A124" s="82" t="inlineStr">
        <is>
          <t>Instituto Paulo Leão</t>
        </is>
      </c>
      <c r="B124" s="82" t="inlineStr">
        <is>
          <t>Refil E3 + Pré Filtro</t>
        </is>
      </c>
      <c r="C124" s="81" t="n">
        <v>46265</v>
      </c>
      <c r="D124" s="83" t="n">
        <v>160</v>
      </c>
      <c r="E124" s="113" t="inlineStr">
        <is>
          <t>Recebido</t>
        </is>
      </c>
      <c r="F124" s="113">
        <f>IF(OR($E124="Recebido",$C124=""),"",MAX(0,TODAY()-$C124))</f>
        <v/>
      </c>
      <c r="G124" s="82" t="inlineStr">
        <is>
          <t>Recebido via Pix em 08/09/2026 — lançado em "Set 2026".</t>
        </is>
      </c>
    </row>
    <row r="125" s="157">
      <c r="A125" s="78" t="inlineStr">
        <is>
          <t>Eletronic Segurança Eletronica</t>
        </is>
      </c>
      <c r="B125" s="78" t="inlineStr">
        <is>
          <t>Pré Filtro</t>
        </is>
      </c>
      <c r="C125" s="77" t="n">
        <v>46265</v>
      </c>
      <c r="D125" s="79" t="n">
        <v>60</v>
      </c>
      <c r="E125" s="112" t="inlineStr">
        <is>
          <t>Recebido</t>
        </is>
      </c>
      <c r="F125" s="112">
        <f>IF(OR($E125="Recebido",$C125=""),"",MAX(0,TODAY()-$C125))</f>
        <v/>
      </c>
      <c r="G125" s="78" t="inlineStr">
        <is>
          <t>Recebido via Pix em 03/09/2026.</t>
        </is>
      </c>
    </row>
    <row r="126" s="157">
      <c r="A126" s="82" t="inlineStr">
        <is>
          <t>Clube dos Mineiros</t>
        </is>
      </c>
      <c r="B126" s="82" t="inlineStr">
        <is>
          <t>Refil Pro Life</t>
        </is>
      </c>
      <c r="C126" s="81" t="n">
        <v>46265</v>
      </c>
      <c r="D126" s="83" t="n">
        <v>150</v>
      </c>
      <c r="E126" s="113" t="inlineStr">
        <is>
          <t>Recebido</t>
        </is>
      </c>
      <c r="F126" s="113">
        <f>IF(OR($E126="Recebido",$C126=""),"",MAX(0,TODAY()-$C126))</f>
        <v/>
      </c>
      <c r="G126" s="82" t="inlineStr">
        <is>
          <t>Recebido via Pix em 01/09/2026 (pagador: Sindicato dos Mineiros de Jacobina).</t>
        </is>
      </c>
    </row>
    <row r="127" s="157">
      <c r="A127" s="78" t="inlineStr">
        <is>
          <t>Armazem Cecilio Mota</t>
        </is>
      </c>
      <c r="B127" s="78" t="inlineStr">
        <is>
          <t>Refil Everest + Refil Carbon 9"</t>
        </is>
      </c>
      <c r="C127" s="77" t="n">
        <v>46266</v>
      </c>
      <c r="D127" s="79" t="n">
        <v>225</v>
      </c>
      <c r="E127" s="112" t="inlineStr">
        <is>
          <t>Recebido</t>
        </is>
      </c>
      <c r="F127" s="112">
        <f>IF(OR($E127="Recebido",$C127=""),"",MAX(0,TODAY()-$C127))</f>
        <v/>
      </c>
      <c r="G127" s="78" t="inlineStr">
        <is>
          <t>Recebido via Pix em 10/09/2026 — lançado em "Set 2026".</t>
        </is>
      </c>
    </row>
    <row r="128" s="157">
      <c r="A128" s="82" t="inlineStr">
        <is>
          <t>Clebson Dantas Da Silva</t>
        </is>
      </c>
      <c r="B128" s="82" t="inlineStr">
        <is>
          <t>Refil Everest</t>
        </is>
      </c>
      <c r="C128" s="81" t="n">
        <v>46266</v>
      </c>
      <c r="D128" s="83" t="n">
        <v>140</v>
      </c>
      <c r="E128" s="113" t="inlineStr">
        <is>
          <t>Recebido</t>
        </is>
      </c>
      <c r="F128" s="113">
        <f>IF(OR($E128="Recebido",$C128=""),"",MAX(0,TODAY()-$C128))</f>
        <v/>
      </c>
      <c r="G128" s="82" t="inlineStr">
        <is>
          <t>Recebido via Pix em 02/09/2026</t>
        </is>
      </c>
    </row>
    <row r="129" s="157">
      <c r="A129" s="82" t="inlineStr">
        <is>
          <t>Tesla Imagem Medicina Diagnostica Ltda</t>
        </is>
      </c>
      <c r="B129" s="82" t="inlineStr">
        <is>
          <t>3x Refil Everest + 2x Pré Filtro</t>
        </is>
      </c>
      <c r="C129" s="81" t="n">
        <v>46267</v>
      </c>
      <c r="D129" s="83" t="n">
        <v>540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Troca do dia 02/09/2026 — 1º Andar, Térreo e Copa. Recebido via Pix em 08/09/2026 — lançado em "Set 2026".</t>
        </is>
      </c>
    </row>
    <row r="130" s="157">
      <c r="A130" s="78" t="inlineStr">
        <is>
          <t>Cecilio Mota Junior</t>
        </is>
      </c>
      <c r="B130" s="78" t="inlineStr">
        <is>
          <t>Refil Everest</t>
        </is>
      </c>
      <c r="C130" s="77" t="n">
        <v>46267</v>
      </c>
      <c r="D130" s="79" t="n">
        <v>140</v>
      </c>
      <c r="E130" s="112" t="inlineStr">
        <is>
          <t>Recebido</t>
        </is>
      </c>
      <c r="F130" s="112">
        <f>IF(OR($E130="Recebido",$C130=""),"",MAX(0,TODAY()-$C130))</f>
        <v/>
      </c>
      <c r="G130" s="78" t="inlineStr">
        <is>
          <t>Recebido via Pix em 10/09/2026 — lançado em "Set 2026".</t>
        </is>
      </c>
    </row>
    <row r="131" s="157">
      <c r="A131" s="78" t="inlineStr">
        <is>
          <t>Tereza Cristina Aquino Martins - Luiz Augusto</t>
        </is>
      </c>
      <c r="B131" s="78" t="inlineStr">
        <is>
          <t>Refil Everest + Pré Filtro</t>
        </is>
      </c>
      <c r="C131" s="77" t="n">
        <v>46268</v>
      </c>
      <c r="D131" s="79" t="n">
        <v>200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04/09/2026.</t>
        </is>
      </c>
    </row>
    <row r="132" s="157">
      <c r="A132" s="78" t="inlineStr">
        <is>
          <t>Samille Fiscina Lima Lordello - Tiago (Cartório)</t>
        </is>
      </c>
      <c r="B132" s="78" t="inlineStr">
        <is>
          <t>Refil Pro Life</t>
        </is>
      </c>
      <c r="C132" s="77" t="n">
        <v>46269</v>
      </c>
      <c r="D132" s="79" t="n">
        <v>140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10/09/2026 — lançado em "Set 2026".</t>
        </is>
      </c>
    </row>
    <row r="133" s="157">
      <c r="A133" s="78" t="inlineStr">
        <is>
          <t>Bomboniere Doce Mania - Veronildo Basilio</t>
        </is>
      </c>
      <c r="B133" s="78" t="inlineStr">
        <is>
          <t>Refil Plissado + Refil BAG</t>
        </is>
      </c>
      <c r="C133" s="77" t="n">
        <v>46274</v>
      </c>
      <c r="D133" s="79" t="n">
        <v>150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em dinheiro em 16/09/2026 — lançado em "Set 2026".</t>
        </is>
      </c>
    </row>
    <row r="134" s="157">
      <c r="A134" s="78" t="inlineStr">
        <is>
          <t>Adriadne (Hotel Jovem Jota)</t>
        </is>
      </c>
      <c r="B134" s="78" t="inlineStr">
        <is>
          <t>Refil Everest</t>
        </is>
      </c>
      <c r="C134" s="77" t="n">
        <v>46275</v>
      </c>
      <c r="D134" s="79" t="n">
        <v>140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via Pix em 11/09/2026 — lançado em "Set 2026".</t>
        </is>
      </c>
    </row>
    <row r="135" s="157">
      <c r="A135" s="78" t="inlineStr">
        <is>
          <t>Pousada Triunfo Ltda (Hotel Triunfo)</t>
        </is>
      </c>
      <c r="B135" s="78" t="inlineStr">
        <is>
          <t>Refil Everest + Pré Filtro</t>
        </is>
      </c>
      <c r="C135" s="77" t="n">
        <v>46275</v>
      </c>
      <c r="D135" s="79" t="n">
        <v>200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Topvel Tropical Veiculos e Pecas</t>
        </is>
      </c>
      <c r="B136" s="78" t="inlineStr">
        <is>
          <t>2x Refil Everest + 2x Pré Filtro</t>
        </is>
      </c>
      <c r="C136" s="77" t="n">
        <v>46276</v>
      </c>
      <c r="D136" s="79" t="n">
        <v>370</v>
      </c>
      <c r="E136" s="112" t="inlineStr">
        <is>
          <t>Pendente</t>
        </is>
      </c>
      <c r="F136" s="112">
        <f>IF(OR($E136="Recebido",$C136=""),"",MAX(0,TODAY()-$C136))</f>
        <v/>
      </c>
      <c r="G136" s="78" t="inlineStr">
        <is>
          <t>Troca do dia 11/09/2026 — dois purificadores.</t>
        </is>
      </c>
    </row>
    <row r="137" s="157">
      <c r="A137" s="78" t="inlineStr">
        <is>
          <t>J Diesel Motores e Reparos - Gilmara</t>
        </is>
      </c>
      <c r="B137" s="78" t="inlineStr">
        <is>
          <t>Refil Everest</t>
        </is>
      </c>
      <c r="C137" s="77" t="n">
        <v>46276</v>
      </c>
      <c r="D137" s="79" t="n">
        <v>140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11/09/2026.</t>
        </is>
      </c>
    </row>
    <row r="138" s="157">
      <c r="A138" s="78" t="inlineStr">
        <is>
          <t>IOB</t>
        </is>
      </c>
      <c r="B138" s="78" t="inlineStr">
        <is>
          <t>Refil Everest + Pré Filtro</t>
        </is>
      </c>
      <c r="C138" s="77" t="n">
        <v>46279</v>
      </c>
      <c r="D138" s="79" t="n">
        <v>200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14/09/2026.</t>
        </is>
      </c>
    </row>
    <row r="139" s="157">
      <c r="A139" s="78" t="inlineStr">
        <is>
          <t>Clínica Santa Cecília</t>
        </is>
      </c>
      <c r="B139" s="78" t="inlineStr">
        <is>
          <t>Refil Everest + Termostato</t>
        </is>
      </c>
      <c r="C139" s="77" t="n">
        <v>46281</v>
      </c>
      <c r="D139" s="79" t="n">
        <v>310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16/09/2026 — refil + troca de termostato. Recebido via Pix em 29/09/2026.</t>
        </is>
      </c>
    </row>
    <row r="140" s="157">
      <c r="A140" s="78" t="inlineStr">
        <is>
          <t>Marilda Macedo / José Luciano Costa</t>
        </is>
      </c>
      <c r="B140" s="78" t="inlineStr">
        <is>
          <t>Refil Everest + Pré Filtro</t>
        </is>
      </c>
      <c r="C140" s="77" t="n">
        <v>46283</v>
      </c>
      <c r="D140" s="79" t="n">
        <v>200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Recebido via Pix em 19/09/2026 — lançado em "Set 2026".</t>
        </is>
      </c>
    </row>
    <row r="141" s="157">
      <c r="A141" s="78" t="inlineStr">
        <is>
          <t>Tatiana Rocha</t>
        </is>
      </c>
      <c r="B141" s="78" t="inlineStr">
        <is>
          <t>Refil Everest</t>
        </is>
      </c>
      <c r="C141" s="77" t="n">
        <v>46286</v>
      </c>
      <c r="D141" s="79" t="n">
        <v>140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Troca do dia 21/09/2026. Recebido via Pix em 22/09/2026 — lançado em "Set 2026".</t>
        </is>
      </c>
    </row>
    <row r="142" s="157">
      <c r="A142" s="78" t="inlineStr">
        <is>
          <t>Cleone Gomes de Andrade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21/09/2026.</t>
        </is>
      </c>
    </row>
    <row r="143" s="157">
      <c r="A143" s="78" t="inlineStr">
        <is>
          <t>Centro de Especialidades Odontomédicas</t>
        </is>
      </c>
      <c r="B143" s="78" t="inlineStr">
        <is>
          <t>2x Refil Everest</t>
        </is>
      </c>
      <c r="C143" s="77" t="n">
        <v>46044</v>
      </c>
      <c r="D143" s="79" t="n">
        <v>280</v>
      </c>
      <c r="E143" s="112" t="inlineStr">
        <is>
          <t>Pendente</t>
        </is>
      </c>
      <c r="F143" s="112">
        <f>IF(OR($E143="Recebido",$C143=""),"",MAX(0,TODAY()-$C143))</f>
        <v/>
      </c>
      <c r="G143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4" s="157">
      <c r="A144" s="78" t="inlineStr">
        <is>
          <t>Igreja Messiânica Mundial do Brasil</t>
        </is>
      </c>
      <c r="B144" s="78" t="inlineStr">
        <is>
          <t>Mangueira</t>
        </is>
      </c>
      <c r="C144" s="77" t="n">
        <v>46073</v>
      </c>
      <c r="D144" s="79" t="n">
        <v>30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4075 de 20/02/2026 (CNPJ 62.647.383/0063-44). Conferido no DigiSat em 28/09/2026: não recebido.</t>
        </is>
      </c>
    </row>
    <row r="145" s="157">
      <c r="A145" s="78" t="inlineStr">
        <is>
          <t>Centro Médico de Jacobina</t>
        </is>
      </c>
      <c r="B145" s="78" t="inlineStr">
        <is>
          <t>2x Botão Completo</t>
        </is>
      </c>
      <c r="C145" s="77" t="n">
        <v>46203</v>
      </c>
      <c r="D145" s="79" t="n">
        <v>60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4242 de 30/06/2026 (CNPJ 13.228.432/0001-04). Conferido no DigiSat em 28/09/2026: não recebido.</t>
        </is>
      </c>
    </row>
    <row r="146" s="157">
      <c r="A146" s="78" t="inlineStr">
        <is>
          <t>Vivencie Turismo Agencia de Viagens - Aneildes Rios</t>
        </is>
      </c>
      <c r="B146" s="78" t="inlineStr">
        <is>
          <t>Refil Everest</t>
        </is>
      </c>
      <c r="C146" s="77" t="n">
        <v>46294</v>
      </c>
      <c r="D146" s="79" t="n">
        <v>140</v>
      </c>
      <c r="E146" s="112" t="inlineStr">
        <is>
          <t>Pendente</t>
        </is>
      </c>
      <c r="F146" s="112">
        <f>IF(OR($E146="Recebido",$C146=""),"",MAX(0,TODAY()-$C146))</f>
        <v/>
      </c>
      <c r="G146" s="78" t="inlineStr">
        <is>
          <t>Troca do dia 29/09/2026.</t>
        </is>
      </c>
    </row>
    <row r="147" s="157">
      <c r="A147" s="78" t="inlineStr">
        <is>
          <t>Lapec</t>
        </is>
      </c>
      <c r="B147" s="78" t="inlineStr">
        <is>
          <t>Refil C+3</t>
        </is>
      </c>
      <c r="C147" s="77" t="n">
        <v>46294</v>
      </c>
      <c r="D147" s="79" t="n">
        <v>100</v>
      </c>
      <c r="E147" s="112" t="inlineStr">
        <is>
          <t>Pendente</t>
        </is>
      </c>
      <c r="F147" s="112">
        <f>IF(OR($E147="Recebido",$C147=""),"",MAX(0,TODAY()-$C147))</f>
        <v/>
      </c>
      <c r="G147" s="78" t="inlineStr">
        <is>
          <t>Pagamento previsto para 30/09/2026.</t>
        </is>
      </c>
    </row>
    <row r="148" s="157">
      <c r="A148" s="78" t="inlineStr">
        <is>
          <t>PC Jacobina Administradora de Cartões LTDA</t>
        </is>
      </c>
      <c r="B148" s="78" t="inlineStr">
        <is>
          <t>Refil Everest</t>
        </is>
      </c>
      <c r="C148" s="77" t="n">
        <v>46295</v>
      </c>
      <c r="D148" s="79" t="n">
        <v>140</v>
      </c>
      <c r="E148" s="112" t="inlineStr">
        <is>
          <t>Pendente</t>
        </is>
      </c>
      <c r="F148" s="112">
        <f>IF(OR($E148="Recebido",$C148=""),"",MAX(0,TODAY()-$C148))</f>
        <v/>
      </c>
      <c r="G148" s="78" t="inlineStr">
        <is>
          <t>Troca do dia 30/09/2026.</t>
        </is>
      </c>
    </row>
    <row r="149" s="157">
      <c r="A149" s="78" t="inlineStr">
        <is>
          <t>Aneilde Rios de Oliveira</t>
        </is>
      </c>
      <c r="B149" s="78" t="inlineStr">
        <is>
          <t>Refil Everest</t>
        </is>
      </c>
      <c r="C149" s="77" t="n">
        <v>46296</v>
      </c>
      <c r="D149" s="79" t="n">
        <v>140</v>
      </c>
      <c r="E149" s="112" t="inlineStr">
        <is>
          <t>Pendente</t>
        </is>
      </c>
      <c r="F149" s="112">
        <f>IF(OR($E149="Recebido",$C149=""),"",MAX(0,TODAY()-$C149))</f>
        <v/>
      </c>
      <c r="G149" s="78" t="inlineStr">
        <is>
          <t>Troca do dia 01/10/2026 (casa, Caeira).</t>
        </is>
      </c>
    </row>
    <row r="150" s="157">
      <c r="A150" s="78" t="inlineStr">
        <is>
          <t>Centro Medico da Chapada Diamantina LTDA</t>
        </is>
      </c>
      <c r="B150" s="78" t="inlineStr">
        <is>
          <t>Refil Pro Life + 2x Botão Completo</t>
        </is>
      </c>
      <c r="C150" s="77" t="n">
        <v>46296</v>
      </c>
      <c r="D150" s="79" t="n">
        <v>200</v>
      </c>
      <c r="E150" s="112" t="inlineStr">
        <is>
          <t>Pendente</t>
        </is>
      </c>
      <c r="F150" s="112">
        <f>IF(OR($E150="Recebido",$C150=""),"",MAX(0,TODAY()-$C150))</f>
        <v/>
      </c>
      <c r="G150" s="78" t="inlineStr">
        <is>
          <t>Subsolo — troca do dia 01/10/2026 (refil + 2 botões).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46297</v>
      </c>
      <c r="D151" s="79" t="n">
        <v>200</v>
      </c>
      <c r="E151" s="112" t="inlineStr">
        <is>
          <t>Pendente</t>
        </is>
      </c>
      <c r="F151" s="112">
        <f>IF(OR($E151="Recebido",$C151=""),"",MAX(0,TODAY()-$C151))</f>
        <v/>
      </c>
      <c r="G151" s="78" t="inlineStr">
        <is>
          <t>1º Andar — troca do dia 02/10/2026 (refil + 2 botões).</t>
        </is>
      </c>
    </row>
    <row r="152" s="157">
      <c r="A152" s="86" t="inlineStr">
        <is>
          <t>TOTAL EM ABERTO A RECEBER (detalhe)</t>
        </is>
      </c>
      <c r="D152" s="115">
        <f>SUMIF(E101:E151,"Pendente",D101:D151)</f>
        <v/>
      </c>
    </row>
    <row r="153" s="157">
      <c r="A153" s="202" t="inlineStr">
        <is>
          <t>CONFERÊNCIA COM AS ABAS DOS MESES</t>
        </is>
      </c>
      <c r="B153" s="159" t="n"/>
      <c r="C153" s="159" t="n"/>
      <c r="D153" s="159" t="n"/>
      <c r="E153" s="159" t="n"/>
      <c r="F153" s="159" t="n"/>
      <c r="G153" s="160" t="n"/>
    </row>
    <row r="154" s="157">
      <c r="A154" s="203">
        <f>IF(ROUND(D152-C5,2)=0,"OK — o detalhe acima bate com as vendas marcadas como Aguardando Pagamento nas abas dos meses.","ATENÇÃO: diferença de R$ "&amp;TEXT(ABS(D152-C5),"#,##0.00")&amp;" entre este detalhe e as abas dos meses — alguma venda mudou de status em um lado só.")</f>
        <v/>
      </c>
    </row>
    <row r="155" s="157">
      <c r="A155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56" s="157"/>
    <row r="157" s="157"/>
    <row r="158" s="157"/>
    <row r="159" s="157"/>
    <row r="160" s="157"/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:G1"/>
    <mergeCell ref="A9:G9"/>
    <mergeCell ref="A154:G154"/>
    <mergeCell ref="C5:D6"/>
    <mergeCell ref="A5:B6"/>
    <mergeCell ref="A2:G2"/>
    <mergeCell ref="E5:F6"/>
    <mergeCell ref="A153:G153"/>
    <mergeCell ref="A98:G98"/>
    <mergeCell ref="A99:G99"/>
    <mergeCell ref="C4:D4"/>
  </mergeCells>
  <dataValidations count="2">
    <dataValidation sqref="E11:E92" showDropDown="0" showInputMessage="0" showErrorMessage="0" allowBlank="1" type="list">
      <formula1>"Pendente,Pago,Previsto"</formula1>
    </dataValidation>
    <dataValidation sqref="E101:E151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A Devolver</t>
        </is>
      </c>
      <c r="F16" s="40" t="n"/>
      <c r="G16" s="34" t="inlineStr">
        <is>
          <t>Pago pelo Adriano via Pix do Banco do Brasil com dinheiro da reserva — 30/09/2026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Simplificado'!O23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Simplificado'!O24</f>
        <v/>
      </c>
    </row>
    <row r="13">
      <c r="A13" s="130" t="inlineStr">
        <is>
          <t>Ticket médio da loja (preencha)</t>
        </is>
      </c>
      <c r="B13" s="65" t="n">
        <v>140</v>
      </c>
      <c r="C13" s="131" t="inlineStr">
        <is>
          <t>← valor médio de uma venda. Serve para converter R$ em nº de vendas.</t>
        </is>
      </c>
    </row>
    <row r="15" ht="15.75" customHeight="1" s="157">
      <c r="A15" s="66" t="inlineStr">
        <is>
          <t>QUANTO PRECISO VENDER PARA...</t>
        </is>
      </c>
    </row>
    <row r="16" ht="30" customHeight="1" s="157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Simplificado'!O23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22728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Total guardado: R$ 22.728,00.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>
        <v>46294</v>
      </c>
      <c r="B211" s="18" t="inlineStr">
        <is>
          <t>Vivencie Turismo Agencia de Viagens - Aneildes Rios</t>
        </is>
      </c>
      <c r="C211" s="18" t="inlineStr">
        <is>
          <t>Refil Everest</t>
        </is>
      </c>
      <c r="D211" s="27" t="n">
        <v>140</v>
      </c>
      <c r="E211" s="18" t="inlineStr">
        <is>
          <t>Aguardando Pagamento</t>
        </is>
      </c>
      <c r="F211" s="19" t="n"/>
      <c r="G211" s="19" t="n"/>
      <c r="H211" s="21" t="n"/>
      <c r="I211" s="18" t="n"/>
      <c r="J211" s="18" t="inlineStr">
        <is>
          <t>EMP-0032</t>
        </is>
      </c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Aguardando Pagamento</t>
        </is>
      </c>
      <c r="F212" s="47" t="n"/>
      <c r="G212" s="48" t="n"/>
      <c r="H212" s="49" t="n"/>
      <c r="I212" s="45" t="inlineStr">
        <is>
          <t>Preço com desconto de cliente. Pagamento previsto para 30/09/2026.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>
        <v>46295</v>
      </c>
      <c r="B242" s="45" t="inlineStr">
        <is>
          <t>PC Jacobina Administradora de Cartões LTDA</t>
        </is>
      </c>
      <c r="C242" s="45" t="inlineStr">
        <is>
          <t>Refil Everest</t>
        </is>
      </c>
      <c r="D242" s="46" t="n">
        <v>140</v>
      </c>
      <c r="E242" s="45" t="inlineStr">
        <is>
          <t>Aguardando Pagamento</t>
        </is>
      </c>
      <c r="F242" s="47" t="n"/>
      <c r="G242" s="48" t="n"/>
      <c r="H242" s="49" t="n"/>
      <c r="I242" s="45" t="n"/>
      <c r="J242" t="inlineStr">
        <is>
          <t>EMP-0244</t>
        </is>
      </c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</row>
    <row r="9">
      <c r="A9" s="17" t="n">
        <v>46296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140</v>
      </c>
      <c r="E9" s="18" t="inlineStr">
        <is>
          <t>Aguardando Pagamento</t>
        </is>
      </c>
      <c r="F9" s="19" t="n"/>
      <c r="G9" s="19" t="n"/>
      <c r="H9" s="21" t="n"/>
      <c r="I9" s="18" t="inlineStr">
        <is>
          <t>Troca na casa (Loteamento Morada Real, Caeira) — segundo purificador; o da Vivencie Turismo foi trocado em 29/09/2026.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46296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Aguardando Pagamento</t>
        </is>
      </c>
      <c r="F12" s="47" t="n"/>
      <c r="G12" s="48" t="n"/>
      <c r="H12" s="49" t="n"/>
      <c r="I12" s="45" t="inlineStr">
        <is>
          <t>Subsolo — troca do refil (R$ 140,00) + troca dos 2 botões do purificador (R$ 30,00 cada).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Valeriana Studio - Juscelia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46297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Aguardando Pagamento</t>
        </is>
      </c>
      <c r="F26" s="47" t="n"/>
      <c r="G26" s="48" t="n"/>
      <c r="H26" s="49" t="n"/>
      <c r="I26" s="45" t="inlineStr">
        <is>
          <t>1º Andar — troca do refil (R$ 140,00) + troca dos 2 botões do purificador (R$ 30,00 cada).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— Posto da Praça (Lubrinessa XVI Comércio de Petróleo LTDA, CNPJ 29.922.765/0002-41, Rua Dois de Julho, 70, Centro, Jacobina). Segundo abastecimento do dia.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2026-10-03T14:56:36Z</dcterms:modified>
  <cp:lastModifiedBy>Planeta</cp:lastModifiedBy>
  <cp:revision>1</cp:revision>
</cp:coreProperties>
</file>