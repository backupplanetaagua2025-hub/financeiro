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0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— boleto ainda NÃO recebido do fornecedor.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— boleto ainda NÃO recebido do fornecedor.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— boleto ainda NÃO recebido do fornecedor.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— boleto ainda NÃO recebido do fornecedor.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— boleto ainda NÃO recebido do fornecedor.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— boleto ainda NÃO recebido do fornecedor.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— boleto ainda NÃO recebido do fornecedor.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— boleto ainda NÃO recebido do fornecedor.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/>
    <row r="61"/>
    <row r="62"/>
    <row r="63"/>
    <row r="64"/>
    <row r="65"/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parcelas das notas, boleto ainda não emitido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69"/>
    <row r="70"/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Pendente</t>
        </is>
      </c>
      <c r="F100" s="124">
        <f>IF(OR($E100="Recebido",$C100=""),"",MAX(0,TODAY()-$C100))</f>
        <v/>
      </c>
      <c r="G100" s="90" t="n"/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Pendente</t>
        </is>
      </c>
      <c r="F103" s="124">
        <f>IF(OR($E103="Recebido",$C103=""),"",MAX(0,TODAY()-$C103))</f>
        <v/>
      </c>
      <c r="G103" s="90" t="n"/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Pendente</t>
        </is>
      </c>
      <c r="F105" s="124">
        <f>IF(OR($E105="Recebido",$C105=""),"",MAX(0,TODAY()-$C105))</f>
        <v/>
      </c>
      <c r="G105" s="90" t="n"/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8" t="inlineStr">
        <is>
          <t>TOTAL EM ABERTO A RECEBER (detalhe)</t>
        </is>
      </c>
      <c r="B107" s="98" t="n"/>
      <c r="C107" s="126" t="n"/>
      <c r="D107" s="127">
        <f>SUMIF(E74:E106,"Pendente",D74:D106)</f>
        <v/>
      </c>
      <c r="E107" s="128" t="n"/>
      <c r="F107" s="128" t="n"/>
      <c r="G107" s="98" t="n"/>
    </row>
    <row r="108">
      <c r="A108" s="129" t="inlineStr">
        <is>
          <t>CONFERÊNCIA COM AS ABAS DOS MESES</t>
        </is>
      </c>
      <c r="B108" s="160" t="n"/>
      <c r="C108" s="160" t="n"/>
      <c r="D108" s="160" t="n"/>
      <c r="E108" s="160" t="n"/>
      <c r="F108" s="160" t="n"/>
      <c r="G108" s="161" t="n"/>
    </row>
    <row r="109">
      <c r="A109" s="200">
        <f>IF(ROUND(D107-C5,2)=0,"OK — o detalhe acima bate com as vendas marcadas como Aguardando Pagamento nas abas dos meses.","ATENÇÃO: diferença de R$ "&amp;TEXT(ABS(D107-C5),"#,##0.00")&amp;" entre este detalhe e as abas dos meses — alguma venda mudou de status em um lado só.")</f>
        <v/>
      </c>
    </row>
    <row r="110">
      <c r="A110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09:G109"/>
    <mergeCell ref="C5:D6"/>
    <mergeCell ref="A5:B6"/>
    <mergeCell ref="A2:G2"/>
    <mergeCell ref="E5:F6"/>
    <mergeCell ref="A72:G72"/>
    <mergeCell ref="A71:G71"/>
    <mergeCell ref="A108:G108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0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5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Limpeza de Refil</t>
        </is>
      </c>
      <c r="B18" s="69" t="n">
        <v>40</v>
      </c>
      <c r="C18" s="121" t="n">
        <v>0</v>
      </c>
      <c r="D18" s="69" t="n">
        <v>10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/>
    </row>
    <row r="19">
      <c r="A19" s="64" t="inlineStr">
        <is>
          <t>Instalação de Purificador</t>
        </is>
      </c>
      <c r="B19" s="67" t="n">
        <v>100</v>
      </c>
      <c r="C19" s="121" t="n">
        <v>0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/>
    </row>
    <row r="20">
      <c r="A20" s="66" t="inlineStr">
        <is>
          <t>Purificador Everest Slim Branco</t>
        </is>
      </c>
      <c r="B20" s="69" t="n">
        <v>1429</v>
      </c>
      <c r="C20" s="121" t="n">
        <v>715.02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Slim Prata</t>
        </is>
      </c>
      <c r="B21" s="67" t="n">
        <v>1486</v>
      </c>
      <c r="C21" s="121" t="n">
        <v>784.97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Star Branco</t>
        </is>
      </c>
      <c r="B22" s="69" t="n">
        <v>1429</v>
      </c>
      <c r="C22" s="121" t="n">
        <v>756.73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Plus Branco</t>
        </is>
      </c>
      <c r="B23" s="67" t="n">
        <v>1529</v>
      </c>
      <c r="C23" s="121" t="n">
        <v>820.73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Plus Prata</t>
        </is>
      </c>
      <c r="B24" s="69" t="n">
        <v>1569</v>
      </c>
      <c r="C24" s="121" t="n">
        <v>906.9299999999999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Branco</t>
        </is>
      </c>
      <c r="B25" s="67" t="n">
        <v>1429</v>
      </c>
      <c r="C25" s="121" t="n">
        <v>756.73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Fit Preto</t>
        </is>
      </c>
      <c r="B26" s="69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4" t="inlineStr">
        <is>
          <t>Purificador Everest Fit Prata</t>
        </is>
      </c>
      <c r="B27" s="67" t="n">
        <v>1486</v>
      </c>
      <c r="C27" s="121" t="n">
        <v>739.37</v>
      </c>
      <c r="D27" s="67" t="n">
        <v>30</v>
      </c>
      <c r="E27" s="67">
        <f>IF(B27="","",B27*IF($J27="",$B$4,$J27))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  <c r="J27" s="239" t="n">
        <v>0.1399</v>
      </c>
    </row>
    <row r="28">
      <c r="A28" s="66" t="inlineStr">
        <is>
          <t>Purificador Everest Star Preto</t>
        </is>
      </c>
      <c r="B28" s="77" t="n">
        <v>1486</v>
      </c>
      <c r="C28" s="121" t="n">
        <v>784.96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Foz Branco</t>
        </is>
      </c>
      <c r="B29" s="77" t="n">
        <v>1589</v>
      </c>
      <c r="C29" s="121" t="n">
        <v>767.95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0.1399</v>
      </c>
    </row>
    <row r="30">
      <c r="A30" s="66" t="inlineStr">
        <is>
          <t>Purificador Everest Foz Cinza/Grafite</t>
        </is>
      </c>
      <c r="B30" s="77" t="n">
        <v>1689</v>
      </c>
      <c r="C30" s="121" t="n">
        <v>819.5700000000001</v>
      </c>
      <c r="D30" s="69" t="n">
        <v>30</v>
      </c>
      <c r="E30" s="69">
        <f>IF(B30="","",B30*IF($J30="",$B$4,$J30))</f>
        <v/>
      </c>
      <c r="F30" s="69">
        <f>IF(B30="","",B30*$D$4)</f>
        <v/>
      </c>
      <c r="G30" s="69">
        <f>IF(B30="","",SUM(C30:F30))</f>
        <v/>
      </c>
      <c r="H30" s="69">
        <f>IF(B30="","",B30-G30)</f>
        <v/>
      </c>
      <c r="I30" s="76">
        <f>IF(B30=0,"",H30/B30)</f>
        <v/>
      </c>
      <c r="J30" s="240" t="n">
        <v>0.1399</v>
      </c>
    </row>
    <row r="31">
      <c r="A31" s="66" t="inlineStr">
        <is>
          <t>Purificador Everest Baby (todas as cores)</t>
        </is>
      </c>
      <c r="B31" s="77" t="n">
        <v>420</v>
      </c>
      <c r="C31" s="121" t="n">
        <v>150.13</v>
      </c>
      <c r="D31" s="69" t="n">
        <v>30</v>
      </c>
      <c r="E31" s="69">
        <f>IF(B31="","",B31*IF($J31="",$B$4,$J31))</f>
        <v/>
      </c>
      <c r="F31" s="69">
        <f>IF(B31="","",B31*$D$4)</f>
        <v/>
      </c>
      <c r="G31" s="69">
        <f>IF(B31="","",SUM(C31:F31))</f>
        <v/>
      </c>
      <c r="H31" s="69">
        <f>IF(B31="","",B31-G31)</f>
        <v/>
      </c>
      <c r="I31" s="76">
        <f>IF(B31=0,"",H31/B31)</f>
        <v/>
      </c>
      <c r="J31" s="240" t="n">
        <v>0.11</v>
      </c>
    </row>
    <row r="33">
      <c r="A33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4">
      <c r="A34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5">
      <c r="A35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1:I1"/>
    <mergeCell ref="A34:I34"/>
    <mergeCell ref="A35:I35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SUMIF(H5:H79,K5,G5:G79)</f>
        <v/>
      </c>
      <c r="N5" s="237">
        <f>D80-F80-T5</f>
        <v/>
      </c>
      <c r="P5" s="189">
        <f>L18-L19</f>
        <v/>
      </c>
      <c r="R5" s="204">
        <f>D81</f>
        <v/>
      </c>
      <c r="T5" s="203">
        <f>SUMIF(E5:E79,"Aguardando Pagamento",D5:D79)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SUMIF(H5:H79,K6,G5:G79)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SUMIF(H5:H79,K7,G5:G79)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SUMIF(H5:H79,K8,G5:G79)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SUMIF(H5:H79,K9,G5:G79)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SUMIF(H5:H79,K10,G5:G79)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SUMIF(H5:H79,K11,G5:G79)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SUMIF(H5:H79,K12,G5:G79)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SUMIF(H5:H79,K13,G5:G79)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SUMIF(H5:H79,K14,G5:G79)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SUMIF(H5:H79,K15,G5:G79)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SUMIF(H5:H79,K16,G5:G79)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SUMIF(H5:H79,K17,G5:G79)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102" t="n"/>
      <c r="B80" s="102" t="inlineStr">
        <is>
          <t>TOTAL DO MÊS</t>
        </is>
      </c>
      <c r="C80" s="102" t="n"/>
      <c r="D80" s="103">
        <f>SUM(D5:D79)</f>
        <v/>
      </c>
      <c r="E80" s="102" t="n"/>
      <c r="F80" s="103">
        <f>SUM(F5:F79)</f>
        <v/>
      </c>
      <c r="G80" s="103">
        <f>SUM(G5:G79)</f>
        <v/>
      </c>
      <c r="H80" s="102" t="n"/>
      <c r="I80" s="102" t="n"/>
    </row>
    <row r="81">
      <c r="A81" s="104" t="n"/>
      <c r="B81" s="104" t="inlineStr">
        <is>
          <t>SALDO DO MÊS (Entradas líquidas − Despesas da loja)</t>
        </is>
      </c>
      <c r="C81" s="104" t="n"/>
      <c r="D81" s="105">
        <f>(D80-F80-T5)-(L18-L19)</f>
        <v/>
      </c>
      <c r="E81" s="104" t="n"/>
      <c r="F81" s="105" t="n"/>
      <c r="G81" s="105" t="n"/>
      <c r="H81" s="104" t="n"/>
      <c r="I81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79" showDropDown="0" showInputMessage="0" showErrorMessage="0" allowBlank="1" type="list">
      <formula1>"Dinheiro,Pix,Débito,Crédito à Vista,Crédito Parcelado,Aguardando Pagamento"</formula1>
    </dataValidation>
    <dataValidation sqref="H5:H79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2026-09-10T18:58:32Z</dcterms:modified>
  <cp:lastModifiedBy>Planeta</cp:lastModifiedBy>
  <cp:revision>1</cp:revision>
</cp:coreProperties>
</file>