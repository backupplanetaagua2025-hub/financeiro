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D77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>
      <c r="A76" s="144" t="inlineStr">
        <is>
          <t>PREVISTO — compromisso certo que ainda não está documentado</t>
        </is>
      </c>
      <c r="B76" s="144" t="n"/>
      <c r="C76" s="145" t="n"/>
      <c r="D76" s="146">
        <f>SUMIF(E11:E74,"Previsto",D11:D74)</f>
        <v/>
      </c>
      <c r="E76" s="142" t="n"/>
      <c r="F76" s="142" t="n"/>
      <c r="G76" s="144" t="n"/>
    </row>
    <row r="77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9" ht="15.75" customHeight="1" s="157"/>
    <row r="80" ht="15.75" customHeight="1" s="157">
      <c r="A80" s="200" t="inlineStr">
        <is>
          <t>CONTAS A RECEBER  —  vendas feitas e ainda não pagas</t>
        </is>
      </c>
    </row>
    <row r="81">
      <c r="A81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21/09/2026. Recebido via Pix em 21/09/2026.</t>
        </is>
      </c>
    </row>
    <row r="125">
      <c r="A125" s="86" t="inlineStr">
        <is>
          <t>TOTAL EM ABERTO A RECEBER (detalhe)</t>
        </is>
      </c>
      <c r="D125" s="115">
        <f>SUMIF(E83:E124,"Pendente",D83:D124)</f>
        <v/>
      </c>
    </row>
    <row r="126">
      <c r="A126" s="202" t="inlineStr">
        <is>
          <t>CONFERÊNCIA COM AS ABAS DOS MESES</t>
        </is>
      </c>
      <c r="B126" s="159" t="n"/>
      <c r="C126" s="159" t="n"/>
      <c r="D126" s="159" t="n"/>
      <c r="E126" s="159" t="n"/>
      <c r="F126" s="159" t="n"/>
      <c r="G126" s="160" t="n"/>
    </row>
    <row r="127">
      <c r="A127" s="203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>
      <c r="A12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80:G80"/>
    <mergeCell ref="A1:G1"/>
    <mergeCell ref="A127:G127"/>
    <mergeCell ref="A126:G126"/>
    <mergeCell ref="A9:G9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46286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Aguardando Pagamento</t>
        </is>
      </c>
      <c r="F162" s="83" t="n"/>
      <c r="G162" s="83" t="n"/>
      <c r="H162" s="82" t="n"/>
      <c r="I162" s="82" t="n"/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2026-09-23T21:00:59Z</dcterms:modified>
  <cp:lastModifiedBy>Planeta</cp:lastModifiedBy>
  <cp:revision>1</cp:revision>
</cp:coreProperties>
</file>