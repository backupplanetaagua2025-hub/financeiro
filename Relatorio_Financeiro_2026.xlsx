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7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Pendente</t>
        </is>
      </c>
      <c r="F93" s="113">
        <f>IF(OR($E93="Pago",$C93=""),"",MAX(0,TODAY()-$C93))</f>
        <v/>
      </c>
      <c r="G93" s="82" t="inlineStr">
        <is>
          <t>Categoria quando pagar: Água, Energia e Internet.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06/10/2026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86" t="inlineStr">
        <is>
          <t>TOTAL EM ABERTO A RECEBER (detalhe)</t>
        </is>
      </c>
      <c r="D154" s="115">
        <f>SUMIF(E102:E153,"Pendente",D102:D153)</f>
        <v/>
      </c>
    </row>
    <row r="155" s="157">
      <c r="A155" s="202" t="inlineStr">
        <is>
          <t>CONFERÊNCIA COM AS ABAS DOS MESES</t>
        </is>
      </c>
      <c r="B155" s="159" t="n"/>
      <c r="C155" s="159" t="n"/>
      <c r="D155" s="159" t="n"/>
      <c r="E155" s="159" t="n"/>
      <c r="F155" s="159" t="n"/>
      <c r="G155" s="160" t="n"/>
    </row>
    <row r="156" s="157">
      <c r="A156" s="203">
        <f>IF(ROUND(D154-C5,2)=0,"OK — o detalhe acima bate com as vendas marcadas como Aguardando Pagamento nas abas dos meses.","ATENÇÃO: diferença de R$ "&amp;TEXT(ABS(D154-C5),"#,##0.00")&amp;" entre este detalhe e as abas dos meses — alguma venda mudou de status em um lado só.")</f>
        <v/>
      </c>
    </row>
    <row r="157" s="157">
      <c r="A157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56:G156"/>
    <mergeCell ref="A99:G99"/>
    <mergeCell ref="A155:G155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3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46301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06/10/2026.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2026-10-08T11:32:40Z</dcterms:modified>
  <cp:lastModifiedBy>Planeta</cp:lastModifiedBy>
  <cp:revision>1</cp:revision>
</cp:coreProperties>
</file>