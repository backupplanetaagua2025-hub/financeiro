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208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D129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Comprado: 100x Refil Everest (NF-e 72153 de 02/04/2026, nota de R$ 4.394,61 em 5 boletos). 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Comprado: 100x Refil Everest + 50x Pré Filtro (NF-e 72869 de 07/05/2026, nota de R$ 4.904,13 em 5 boletos). 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Comprado: 100x Refil Everest (NF-e 73636 de 10/06/2026, nota de R$ 4.394,61 em 5 boletos). 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Pago</t>
        </is>
      </c>
      <c r="F33" s="112">
        <f>IF(OR($E33="Pago",$C33=""),"",MAX(0,TODAY()-$C33))</f>
        <v/>
      </c>
      <c r="G33" s="78" t="inlineStr">
        <is>
      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 | Pago em 26/10/2026 — lançado em "Out 2026".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Pago</t>
        </is>
      </c>
      <c r="F44" s="113">
        <f>IF(OR($E44="Pago",$C44=""),"",MAX(0,TODAY()-$C44))</f>
        <v/>
      </c>
      <c r="G44" s="82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Pago</t>
        </is>
      </c>
      <c r="F59" s="112">
        <f>IF(OR($E59="Pago",$C59=""),"",MAX(0,TODAY()-$C59))</f>
        <v/>
      </c>
      <c r="G59" s="7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 Pago antecipado em 20/10/2026 — lançado em "Out 2026" como "Filtros Planeta Água".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Pago</t>
        </is>
      </c>
      <c r="F75" s="113">
        <f>IF(OR($E75="Pago",$C75=""),"",MAX(0,TODAY()-$C75))</f>
        <v/>
      </c>
      <c r="G75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 Pago em 21/10/2026 — lançado em "Out 2026" como "Everest Refrigeração".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Pago</t>
        </is>
      </c>
      <c r="F91" s="112">
        <f>IF(OR($E91="Pago",$C91=""),"",MAX(0,TODAY()-$C91))</f>
        <v/>
      </c>
      <c r="G91" s="78" t="inlineStr">
        <is>
          <t>Categoria: Impostos e Taxas. Pagamento via QR Code Pix no documento original da guia (GFD). Pago em 20/10/2026 — lançado em "Out 2026" como "FGTS Digital (GFD)".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Pago</t>
        </is>
      </c>
      <c r="F92" s="113">
        <f>IF(OR($E92="Pago",$C92=""),"",MAX(0,TODAY()-$C92))</f>
        <v/>
      </c>
      <c r="G92" s="82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2" t="inlineStr">
        <is>
          <t>Everest Refrigeracao e Industria</t>
        </is>
      </c>
      <c r="B95" s="82" t="inlineStr">
        <is>
          <t>Mercadoria — doc. 388850 (emissão 19/10/2026) · parcela 1/5</t>
        </is>
      </c>
      <c r="C95" s="81" t="n">
        <v>46344</v>
      </c>
      <c r="D95" s="83" t="n">
        <v>874.67</v>
      </c>
      <c r="E95" s="113" t="inlineStr">
        <is>
          <t>Pendente</t>
        </is>
      </c>
      <c r="F95" s="113">
        <f>IF(OR($E95="Pago",$C95=""),"",MAX(0,TODAY()-$C95))</f>
        <v/>
      </c>
      <c r="G95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      </is>
      </c>
    </row>
    <row r="96" s="157">
      <c r="A96" s="78" t="inlineStr">
        <is>
          <t>Everest Refrigeracao e Industria</t>
        </is>
      </c>
      <c r="B96" s="78" t="inlineStr">
        <is>
          <t>Mercadoria — doc. 388850 (emissão 19/10/2026) · parcela 2/5</t>
        </is>
      </c>
      <c r="C96" s="77" t="n">
        <v>46374</v>
      </c>
      <c r="D96" s="79" t="n">
        <v>874.67</v>
      </c>
      <c r="E96" s="112" t="inlineStr">
        <is>
          <t>Pendente</t>
        </is>
      </c>
      <c r="F96" s="112">
        <f>IF(OR($E96="Pago",$C96=""),"",MAX(0,TODAY()-$C96))</f>
        <v/>
      </c>
      <c r="G96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      </is>
      </c>
    </row>
    <row r="97" s="157">
      <c r="A97" s="82" t="inlineStr">
        <is>
          <t>Everest Refrigeracao e Industria</t>
        </is>
      </c>
      <c r="B97" s="82" t="inlineStr">
        <is>
          <t>Mercadoria — doc. 388850 (emissão 19/10/2026) · parcela 3/5</t>
        </is>
      </c>
      <c r="C97" s="81" t="n">
        <v>46404</v>
      </c>
      <c r="D97" s="83" t="n">
        <v>874.67</v>
      </c>
      <c r="E97" s="113" t="inlineStr">
        <is>
          <t>Pendente</t>
        </is>
      </c>
      <c r="F97" s="113">
        <f>IF(OR($E97="Pago",$C97=""),"",MAX(0,TODAY()-$C97))</f>
        <v/>
      </c>
      <c r="G97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      </is>
      </c>
    </row>
    <row r="98" s="157">
      <c r="A98" s="78" t="inlineStr">
        <is>
          <t>Everest Refrigeracao e Industria</t>
        </is>
      </c>
      <c r="B98" s="78" t="inlineStr">
        <is>
          <t>Mercadoria — doc. 388850 (emissão 19/10/2026) · parcela 4/5</t>
        </is>
      </c>
      <c r="C98" s="77" t="n">
        <v>46434</v>
      </c>
      <c r="D98" s="79" t="n">
        <v>874.67</v>
      </c>
      <c r="E98" s="112" t="inlineStr">
        <is>
          <t>Pendente</t>
        </is>
      </c>
      <c r="F98" s="112">
        <f>IF(OR($E98="Pago",$C98=""),"",MAX(0,TODAY()-$C98))</f>
        <v/>
      </c>
      <c r="G98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      </is>
      </c>
    </row>
    <row r="99" s="157">
      <c r="A99" s="82" t="inlineStr">
        <is>
          <t>Everest Refrigeracao e Industria</t>
        </is>
      </c>
      <c r="B99" s="82" t="inlineStr">
        <is>
          <t>Mercadoria — doc. 388850 (emissão 19/10/2026) · parcela 5/5 (última)</t>
        </is>
      </c>
      <c r="C99" s="81" t="n">
        <v>46464</v>
      </c>
      <c r="D99" s="83" t="n">
        <v>874.6900000000001</v>
      </c>
      <c r="E99" s="113" t="inlineStr">
        <is>
          <t>Pendente</t>
        </is>
      </c>
      <c r="F99" s="113">
        <f>IF(OR($E99="Pago",$C99=""),"",MAX(0,TODAY()-$C99))</f>
        <v/>
      </c>
      <c r="G99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      </is>
      </c>
    </row>
    <row r="100" s="157">
      <c r="A100" s="82" t="inlineStr">
        <is>
          <t>Everest Refrigeracao e Industria</t>
        </is>
      </c>
      <c r="B100" s="82" t="inlineStr">
        <is>
          <t>Mercadoria — doc. 389424 (emissão 22/10/2026) · parcela 1/5</t>
        </is>
      </c>
      <c r="C100" s="81" t="n">
        <v>46347</v>
      </c>
      <c r="D100" s="83" t="n">
        <v>675.84</v>
      </c>
      <c r="E100" s="113" t="inlineStr">
        <is>
          <t>Pendente</t>
        </is>
      </c>
      <c r="F100" s="113">
        <f>IF(OR($E100="Pago",$C100=""),"",MAX(0,TODAY()-$C100))</f>
        <v/>
      </c>
      <c r="G100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112/40350414. Linha digitável 34191.12408 35041.480308 52238.850003 7 16370000067584. Boleto recebido por e-mail em 22/10/2026; PDF salvo em "03 - Despesas e Contas a Pagar/Boletos Everest NF 389424". Após o vencimento: multa de 2% + juros de R$ 0,23 ao dia.</t>
        </is>
      </c>
    </row>
    <row r="101" s="157">
      <c r="A101" s="82" t="inlineStr">
        <is>
          <t>Everest Refrigeracao e Industria</t>
        </is>
      </c>
      <c r="B101" s="82" t="inlineStr">
        <is>
          <t>Mercadoria — doc. 389424 (emissão 22/10/2026) · parcela 2/5</t>
        </is>
      </c>
      <c r="C101" s="81" t="n">
        <v>46377</v>
      </c>
      <c r="D101" s="83" t="n">
        <v>675.84</v>
      </c>
      <c r="E101" s="113" t="inlineStr">
        <is>
          <t>Pendente</t>
        </is>
      </c>
      <c r="F101" s="113">
        <f>IF(OR($E101="Pago",$C101=""),"",MAX(0,TODAY()-$C101))</f>
        <v/>
      </c>
      <c r="G101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112/40350342. Linha digitável 34191.12408 35034.210308 52238.850003 7 16670000067584. Boleto recebido por e-mail em 22/10/2026; PDF salvo em "03 - Despesas e Contas a Pagar/Boletos Everest NF 389424". Após o vencimento: multa de 2% + juros de R$ 0,23 ao dia.</t>
        </is>
      </c>
    </row>
    <row r="102" s="157">
      <c r="A102" s="82" t="inlineStr">
        <is>
          <t>Everest Refrigeracao e Industria</t>
        </is>
      </c>
      <c r="B102" s="82" t="inlineStr">
        <is>
          <t>Mercadoria — doc. 389424 (emissão 22/10/2026) · parcela 3/5</t>
        </is>
      </c>
      <c r="C102" s="81" t="n">
        <v>46407</v>
      </c>
      <c r="D102" s="83" t="n">
        <v>675.84</v>
      </c>
      <c r="E102" s="113" t="inlineStr">
        <is>
          <t>Pendente</t>
        </is>
      </c>
      <c r="F102" s="113">
        <f>IF(OR($E102="Pago",$C102=""),"",MAX(0,TODAY()-$C102))</f>
        <v/>
      </c>
      <c r="G102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112/40350264. Linha digitável 34191.12408 35026.470308 52238.850003 3 16970000067584. Boleto recebido por e-mail em 22/10/2026; PDF salvo em "03 - Despesas e Contas a Pagar/Boletos Everest NF 389424". Após o vencimento: multa de 2% + juros de R$ 0,23 ao dia.</t>
        </is>
      </c>
    </row>
    <row r="103" s="157">
      <c r="A103" s="82" t="inlineStr">
        <is>
          <t>Everest Refrigeracao e Industria</t>
        </is>
      </c>
      <c r="B103" s="82" t="inlineStr">
        <is>
          <t>Mercadoria — doc. 389424 (emissão 22/10/2026) · parcela 4/5</t>
        </is>
      </c>
      <c r="C103" s="81" t="n">
        <v>46437</v>
      </c>
      <c r="D103" s="83" t="n">
        <v>675.84</v>
      </c>
      <c r="E103" s="113" t="inlineStr">
        <is>
          <t>Pendente</t>
        </is>
      </c>
      <c r="F103" s="113">
        <f>IF(OR($E103="Pago",$C103=""),"",MAX(0,TODAY()-$C103))</f>
        <v/>
      </c>
      <c r="G103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112/40350393. Linha digitável 34191.12408 35039.340308 52238.850003 5 17270000067584. Boleto recebido por e-mail em 22/10/2026; PDF salvo em "03 - Despesas e Contas a Pagar/Boletos Everest NF 389424". Após o vencimento: multa de 2% + juros de R$ 0,23 ao dia.</t>
        </is>
      </c>
    </row>
    <row r="104" s="157">
      <c r="A104" s="82" t="inlineStr">
        <is>
          <t>Everest Refrigeracao e Industria</t>
        </is>
      </c>
      <c r="B104" s="82" t="inlineStr">
        <is>
          <t>Mercadoria — doc. 389424 (emissão 22/10/2026) · parcela 5/5 (última)</t>
        </is>
      </c>
      <c r="C104" s="81" t="n">
        <v>46467</v>
      </c>
      <c r="D104" s="83" t="n">
        <v>675.83</v>
      </c>
      <c r="E104" s="113" t="inlineStr">
        <is>
          <t>Pendente</t>
        </is>
      </c>
      <c r="F104" s="113">
        <f>IF(OR($E104="Pago",$C104=""),"",MAX(0,TODAY()-$C104))</f>
        <v/>
      </c>
      <c r="G104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112/40350359. Linha digitável 34191.12408 35035.950308 52238.850003 4 17570000067583. Boleto recebido por e-mail em 22/10/2026; PDF salvo em "03 - Despesas e Contas a Pagar/Boletos Everest NF 389424". Após o vencimento: multa de 2% + juros de R$ 0,23 ao dia.</t>
        </is>
      </c>
    </row>
    <row r="105" s="157">
      <c r="A105" s="82" t="inlineStr">
        <is>
          <t>SEFAZ-BA — DAE ICMS Antecipação Parcial</t>
        </is>
      </c>
      <c r="B105" s="82" t="inlineStr">
        <is>
          <t>ICMS Antecipação Parcial — referência 09/2026 (cód. receita 2175, nº 1971838234)</t>
        </is>
      </c>
      <c r="C105" s="81" t="n">
        <v>46320</v>
      </c>
      <c r="D105" s="83" t="n">
        <v>983.48</v>
      </c>
      <c r="E105" s="113" t="inlineStr">
        <is>
          <t>Pago</t>
        </is>
      </c>
      <c r="F105" s="113">
        <f>IF(OR($E105="Pago",$C105=""),"",MAX(0,TODAY()-$C105))</f>
        <v/>
      </c>
      <c r="G105" s="82" t="inlineStr">
        <is>
          <t>Categoria quando pagar: Impostos e Taxas. Inscrição Estadual 066.200.856 — Planeta Agua Ltda, CNPJ 07.341.784/0001-60. Notas fiscais da guia (4): 386188 // 134720 // 386838 // 387488. Código de barras 85820000009 0 83480005202 7 61026197183 8 82342175193 2. Pode pagar por código de barras ou Pix (QR Code). Guia emitida em 19/10/2026; vale para pagamento até 26/10/2026 — depois disso precisa emitir outro DAE. | Pago em 26/10/2026 — lançado em "Out 2026".</t>
        </is>
      </c>
    </row>
    <row r="106" s="157">
      <c r="A106" s="82" t="inlineStr">
        <is>
          <t>Empresa Baiana de Aguas e Saneamento SA (Embasa)</t>
        </is>
      </c>
      <c r="B106" s="82" t="inlineStr">
        <is>
          <t>Conta de água — despesa pessoal do dono (não é da loja) — ref. 11/2026</t>
        </is>
      </c>
      <c r="C106" s="81" t="n">
        <v>46327</v>
      </c>
      <c r="D106" s="83" t="n">
        <v>51.85</v>
      </c>
      <c r="E106" s="113" t="inlineStr">
        <is>
          <t>Pendente</t>
        </is>
      </c>
      <c r="F106" s="113">
        <f>IF(OR($E106="Pago",$C106=""),"",MAX(0,TODAY()-$C106))</f>
        <v/>
      </c>
      <c r="G106" s="82" t="inlineStr">
        <is>
          <t>Categoria quando pagar: Pro Labore Edilânia (despesa pessoal do dono). Conta em nome de Adriano Silva Fontes, matrícula 0531718-70, consumo 10 m³. Código de barras 82600000000-8 51850047820-2 53171870112-5 60000000000-7. Pode pagar por Pix (QR Code da conta).</t>
        </is>
      </c>
    </row>
    <row r="107" s="157">
      <c r="A107" s="82" t="inlineStr">
        <is>
          <t>Financiamento — carro da loja</t>
        </is>
      </c>
      <c r="B107" s="82" t="inlineStr">
        <is>
          <t>Prestação do carro da loja — parcela 1/20</t>
        </is>
      </c>
      <c r="C107" s="81" t="n">
        <v>46336</v>
      </c>
      <c r="D107" s="83" t="n">
        <v>1000</v>
      </c>
      <c r="E107" s="113" t="inlineStr">
        <is>
          <t>Previsto</t>
        </is>
      </c>
      <c r="F107" s="113">
        <f>IF(OR($E107="Pago",$C107=""),"",MAX(0,TODAY()-$C107))</f>
        <v/>
      </c>
      <c r="G107" s="82" t="inlineStr">
        <is>
          <t>PREVISÃO — prestação mensal do carro da loja: 20x R$ 1.000,00, todo dia 10, de 10/11/2026 a 10/06/2028. Categoria quando pagar: Transporte e Entregas.</t>
        </is>
      </c>
    </row>
    <row r="108" s="157">
      <c r="A108" s="82" t="inlineStr">
        <is>
          <t>Financiamento — carro da loja</t>
        </is>
      </c>
      <c r="B108" s="82" t="inlineStr">
        <is>
          <t>Prestação do carro da loja — parcela 2/20</t>
        </is>
      </c>
      <c r="C108" s="81" t="n">
        <v>46366</v>
      </c>
      <c r="D108" s="83" t="n">
        <v>1000</v>
      </c>
      <c r="E108" s="113" t="inlineStr">
        <is>
          <t>Previsto</t>
        </is>
      </c>
      <c r="F108" s="113">
        <f>IF(OR($E108="Pago",$C108=""),"",MAX(0,TODAY()-$C108))</f>
        <v/>
      </c>
      <c r="G108" s="82" t="inlineStr">
        <is>
          <t>PREVISÃO — prestação mensal do carro da loja: 20x R$ 1.000,00, todo dia 10, de 10/11/2026 a 10/06/2028. Categoria quando pagar: Transporte e Entregas.</t>
        </is>
      </c>
    </row>
    <row r="109" s="157">
      <c r="A109" s="82" t="inlineStr">
        <is>
          <t>Financiamento — carro da loja</t>
        </is>
      </c>
      <c r="B109" s="82" t="inlineStr">
        <is>
          <t>Prestação do carro da loja — parcela 3/20</t>
        </is>
      </c>
      <c r="C109" s="81" t="n">
        <v>46397</v>
      </c>
      <c r="D109" s="83" t="n">
        <v>1000</v>
      </c>
      <c r="E109" s="113" t="inlineStr">
        <is>
          <t>Previsto</t>
        </is>
      </c>
      <c r="F109" s="113">
        <f>IF(OR($E109="Pago",$C109=""),"",MAX(0,TODAY()-$C109))</f>
        <v/>
      </c>
      <c r="G109" s="82" t="inlineStr">
        <is>
          <t>PREVISÃO — prestação mensal do carro da loja: 20x R$ 1.000,00, todo dia 10, de 10/11/2026 a 10/06/2028. Categoria quando pagar: Transporte e Entregas.</t>
        </is>
      </c>
    </row>
    <row r="110" s="157">
      <c r="A110" s="82" t="inlineStr">
        <is>
          <t>Financiamento — carro da loja</t>
        </is>
      </c>
      <c r="B110" s="82" t="inlineStr">
        <is>
          <t>Prestação do carro da loja — parcela 4/20</t>
        </is>
      </c>
      <c r="C110" s="81" t="n">
        <v>46428</v>
      </c>
      <c r="D110" s="83" t="n">
        <v>1000</v>
      </c>
      <c r="E110" s="113" t="inlineStr">
        <is>
          <t>Previsto</t>
        </is>
      </c>
      <c r="F110" s="113">
        <f>IF(OR($E110="Pago",$C110=""),"",MAX(0,TODAY()-$C110))</f>
        <v/>
      </c>
      <c r="G110" s="82" t="inlineStr">
        <is>
          <t>PREVISÃO — prestação mensal do carro da loja: 20x R$ 1.000,00, todo dia 10, de 10/11/2026 a 10/06/2028. Categoria quando pagar: Transporte e Entregas.</t>
        </is>
      </c>
    </row>
    <row r="111" s="157">
      <c r="A111" s="82" t="inlineStr">
        <is>
          <t>Financiamento — carro da loja</t>
        </is>
      </c>
      <c r="B111" s="82" t="inlineStr">
        <is>
          <t>Prestação do carro da loja — parcela 5/20</t>
        </is>
      </c>
      <c r="C111" s="81" t="n">
        <v>46456</v>
      </c>
      <c r="D111" s="83" t="n">
        <v>1000</v>
      </c>
      <c r="E111" s="113" t="inlineStr">
        <is>
          <t>Previsto</t>
        </is>
      </c>
      <c r="F111" s="113">
        <f>IF(OR($E111="Pago",$C111=""),"",MAX(0,TODAY()-$C111))</f>
        <v/>
      </c>
      <c r="G111" s="82" t="inlineStr">
        <is>
          <t>PREVISÃO — prestação mensal do carro da loja: 20x R$ 1.000,00, todo dia 10, de 10/11/2026 a 10/06/2028. Categoria quando pagar: Transporte e Entregas.</t>
        </is>
      </c>
    </row>
    <row r="112" s="157">
      <c r="A112" s="82" t="inlineStr">
        <is>
          <t>Financiamento — carro da loja</t>
        </is>
      </c>
      <c r="B112" s="82" t="inlineStr">
        <is>
          <t>Prestação do carro da loja — parcela 6/20</t>
        </is>
      </c>
      <c r="C112" s="81" t="n">
        <v>46487</v>
      </c>
      <c r="D112" s="83" t="n">
        <v>1000</v>
      </c>
      <c r="E112" s="113" t="inlineStr">
        <is>
          <t>Previsto</t>
        </is>
      </c>
      <c r="F112" s="113">
        <f>IF(OR($E112="Pago",$C112=""),"",MAX(0,TODAY()-$C112))</f>
        <v/>
      </c>
      <c r="G112" s="82" t="inlineStr">
        <is>
          <t>PREVISÃO — prestação mensal do carro da loja: 20x R$ 1.000,00, todo dia 10, de 10/11/2026 a 10/06/2028. Categoria quando pagar: Transporte e Entregas.</t>
        </is>
      </c>
    </row>
    <row r="113" s="157">
      <c r="A113" s="82" t="inlineStr">
        <is>
          <t>Financiamento — carro da loja</t>
        </is>
      </c>
      <c r="B113" s="82" t="inlineStr">
        <is>
          <t>Prestação do carro da loja — parcela 7/20</t>
        </is>
      </c>
      <c r="C113" s="81" t="n">
        <v>46517</v>
      </c>
      <c r="D113" s="83" t="n">
        <v>1000</v>
      </c>
      <c r="E113" s="113" t="inlineStr">
        <is>
          <t>Previsto</t>
        </is>
      </c>
      <c r="F113" s="113">
        <f>IF(OR($E113="Pago",$C113=""),"",MAX(0,TODAY()-$C113))</f>
        <v/>
      </c>
      <c r="G113" s="82" t="inlineStr">
        <is>
          <t>PREVISÃO — prestação mensal do carro da loja: 20x R$ 1.000,00, todo dia 10, de 10/11/2026 a 10/06/2028. Categoria quando pagar: Transporte e Entregas.</t>
        </is>
      </c>
    </row>
    <row r="114" s="157">
      <c r="A114" s="82" t="inlineStr">
        <is>
          <t>Financiamento — carro da loja</t>
        </is>
      </c>
      <c r="B114" s="82" t="inlineStr">
        <is>
          <t>Prestação do carro da loja — parcela 8/20</t>
        </is>
      </c>
      <c r="C114" s="81" t="n">
        <v>46548</v>
      </c>
      <c r="D114" s="83" t="n">
        <v>1000</v>
      </c>
      <c r="E114" s="113" t="inlineStr">
        <is>
          <t>Previsto</t>
        </is>
      </c>
      <c r="F114" s="113">
        <f>IF(OR($E114="Pago",$C114=""),"",MAX(0,TODAY()-$C114))</f>
        <v/>
      </c>
      <c r="G114" s="82" t="inlineStr">
        <is>
          <t>PREVISÃO — prestação mensal do carro da loja: 20x R$ 1.000,00, todo dia 10, de 10/11/2026 a 10/06/2028. Categoria quando pagar: Transporte e Entregas.</t>
        </is>
      </c>
    </row>
    <row r="115" s="157">
      <c r="A115" s="82" t="inlineStr">
        <is>
          <t>Financiamento — carro da loja</t>
        </is>
      </c>
      <c r="B115" s="82" t="inlineStr">
        <is>
          <t>Prestação do carro da loja — parcela 9/20</t>
        </is>
      </c>
      <c r="C115" s="81" t="n">
        <v>46578</v>
      </c>
      <c r="D115" s="83" t="n">
        <v>1000</v>
      </c>
      <c r="E115" s="113" t="inlineStr">
        <is>
          <t>Previsto</t>
        </is>
      </c>
      <c r="F115" s="113">
        <f>IF(OR($E115="Pago",$C115=""),"",MAX(0,TODAY()-$C115))</f>
        <v/>
      </c>
      <c r="G115" s="82" t="inlineStr">
        <is>
          <t>PREVISÃO — prestação mensal do carro da loja: 20x R$ 1.000,00, todo dia 10, de 10/11/2026 a 10/06/2028. Categoria quando pagar: Transporte e Entregas.</t>
        </is>
      </c>
    </row>
    <row r="116" s="157">
      <c r="A116" s="82" t="inlineStr">
        <is>
          <t>Financiamento — carro da loja</t>
        </is>
      </c>
      <c r="B116" s="82" t="inlineStr">
        <is>
          <t>Prestação do carro da loja — parcela 10/20</t>
        </is>
      </c>
      <c r="C116" s="81" t="n">
        <v>46609</v>
      </c>
      <c r="D116" s="83" t="n">
        <v>1000</v>
      </c>
      <c r="E116" s="113" t="inlineStr">
        <is>
          <t>Previsto</t>
        </is>
      </c>
      <c r="F116" s="113">
        <f>IF(OR($E116="Pago",$C116=""),"",MAX(0,TODAY()-$C116))</f>
        <v/>
      </c>
      <c r="G116" s="82" t="inlineStr">
        <is>
          <t>PREVISÃO — prestação mensal do carro da loja: 20x R$ 1.000,00, todo dia 10, de 10/11/2026 a 10/06/2028. Categoria quando pagar: Transporte e Entregas.</t>
        </is>
      </c>
    </row>
    <row r="117" s="157">
      <c r="A117" s="82" t="inlineStr">
        <is>
          <t>Financiamento — carro da loja</t>
        </is>
      </c>
      <c r="B117" s="82" t="inlineStr">
        <is>
          <t>Prestação do carro da loja — parcela 11/20</t>
        </is>
      </c>
      <c r="C117" s="81" t="n">
        <v>46640</v>
      </c>
      <c r="D117" s="83" t="n">
        <v>1000</v>
      </c>
      <c r="E117" s="113" t="inlineStr">
        <is>
          <t>Previsto</t>
        </is>
      </c>
      <c r="F117" s="113">
        <f>IF(OR($E117="Pago",$C117=""),"",MAX(0,TODAY()-$C117))</f>
        <v/>
      </c>
      <c r="G117" s="82" t="inlineStr">
        <is>
          <t>PREVISÃO — prestação mensal do carro da loja: 20x R$ 1.000,00, todo dia 10, de 10/11/2026 a 10/06/2028. Categoria quando pagar: Transporte e Entregas.</t>
        </is>
      </c>
    </row>
    <row r="118" s="157">
      <c r="A118" s="82" t="inlineStr">
        <is>
          <t>Financiamento — carro da loja</t>
        </is>
      </c>
      <c r="B118" s="82" t="inlineStr">
        <is>
          <t>Prestação do carro da loja — parcela 12/20</t>
        </is>
      </c>
      <c r="C118" s="81" t="n">
        <v>46670</v>
      </c>
      <c r="D118" s="83" t="n">
        <v>1000</v>
      </c>
      <c r="E118" s="113" t="inlineStr">
        <is>
          <t>Previsto</t>
        </is>
      </c>
      <c r="F118" s="113">
        <f>IF(OR($E118="Pago",$C118=""),"",MAX(0,TODAY()-$C118))</f>
        <v/>
      </c>
      <c r="G118" s="82" t="inlineStr">
        <is>
          <t>PREVISÃO — prestação mensal do carro da loja: 20x R$ 1.000,00, todo dia 10, de 10/11/2026 a 10/06/2028. Categoria quando pagar: Transporte e Entregas.</t>
        </is>
      </c>
    </row>
    <row r="119" s="157">
      <c r="A119" s="82" t="inlineStr">
        <is>
          <t>Financiamento — carro da loja</t>
        </is>
      </c>
      <c r="B119" s="82" t="inlineStr">
        <is>
          <t>Prestação do carro da loja — parcela 13/20</t>
        </is>
      </c>
      <c r="C119" s="81" t="n">
        <v>46701</v>
      </c>
      <c r="D119" s="83" t="n">
        <v>1000</v>
      </c>
      <c r="E119" s="113" t="inlineStr">
        <is>
          <t>Previsto</t>
        </is>
      </c>
      <c r="F119" s="113">
        <f>IF(OR($E119="Pago",$C119=""),"",MAX(0,TODAY()-$C119))</f>
        <v/>
      </c>
      <c r="G119" s="82" t="inlineStr">
        <is>
          <t>PREVISÃO — prestação mensal do carro da loja: 20x R$ 1.000,00, todo dia 10, de 10/11/2026 a 10/06/2028. Categoria quando pagar: Transporte e Entregas.</t>
        </is>
      </c>
    </row>
    <row r="120" s="157">
      <c r="A120" s="82" t="inlineStr">
        <is>
          <t>Financiamento — carro da loja</t>
        </is>
      </c>
      <c r="B120" s="82" t="inlineStr">
        <is>
          <t>Prestação do carro da loja — parcela 14/20</t>
        </is>
      </c>
      <c r="C120" s="81" t="n">
        <v>46731</v>
      </c>
      <c r="D120" s="83" t="n">
        <v>1000</v>
      </c>
      <c r="E120" s="113" t="inlineStr">
        <is>
          <t>Previsto</t>
        </is>
      </c>
      <c r="F120" s="113">
        <f>IF(OR($E120="Pago",$C120=""),"",MAX(0,TODAY()-$C120))</f>
        <v/>
      </c>
      <c r="G120" s="82" t="inlineStr">
        <is>
          <t>PREVISÃO — prestação mensal do carro da loja: 20x R$ 1.000,00, todo dia 10, de 10/11/2026 a 10/06/2028. Categoria quando pagar: Transporte e Entregas.</t>
        </is>
      </c>
    </row>
    <row r="121" s="157">
      <c r="A121" s="82" t="inlineStr">
        <is>
          <t>Financiamento — carro da loja</t>
        </is>
      </c>
      <c r="B121" s="82" t="inlineStr">
        <is>
          <t>Prestação do carro da loja — parcela 15/20</t>
        </is>
      </c>
      <c r="C121" s="81" t="n">
        <v>46762</v>
      </c>
      <c r="D121" s="83" t="n">
        <v>1000</v>
      </c>
      <c r="E121" s="113" t="inlineStr">
        <is>
          <t>Previsto</t>
        </is>
      </c>
      <c r="F121" s="113">
        <f>IF(OR($E121="Pago",$C121=""),"",MAX(0,TODAY()-$C121))</f>
        <v/>
      </c>
      <c r="G121" s="82" t="inlineStr">
        <is>
          <t>PREVISÃO — prestação mensal do carro da loja: 20x R$ 1.000,00, todo dia 10, de 10/11/2026 a 10/06/2028. Categoria quando pagar: Transporte e Entregas.</t>
        </is>
      </c>
    </row>
    <row r="122" s="157">
      <c r="A122" s="82" t="inlineStr">
        <is>
          <t>Financiamento — carro da loja</t>
        </is>
      </c>
      <c r="B122" s="82" t="inlineStr">
        <is>
          <t>Prestação do carro da loja — parcela 16/20</t>
        </is>
      </c>
      <c r="C122" s="81" t="n">
        <v>46793</v>
      </c>
      <c r="D122" s="83" t="n">
        <v>1000</v>
      </c>
      <c r="E122" s="113" t="inlineStr">
        <is>
          <t>Previsto</t>
        </is>
      </c>
      <c r="F122" s="113">
        <f>IF(OR($E122="Pago",$C122=""),"",MAX(0,TODAY()-$C122))</f>
        <v/>
      </c>
      <c r="G122" s="82" t="inlineStr">
        <is>
          <t>PREVISÃO — prestação mensal do carro da loja: 20x R$ 1.000,00, todo dia 10, de 10/11/2026 a 10/06/2028. Categoria quando pagar: Transporte e Entregas.</t>
        </is>
      </c>
    </row>
    <row r="123" s="157">
      <c r="A123" s="82" t="inlineStr">
        <is>
          <t>Financiamento — carro da loja</t>
        </is>
      </c>
      <c r="B123" s="82" t="inlineStr">
        <is>
          <t>Prestação do carro da loja — parcela 17/20</t>
        </is>
      </c>
      <c r="C123" s="81" t="n">
        <v>46822</v>
      </c>
      <c r="D123" s="83" t="n">
        <v>1000</v>
      </c>
      <c r="E123" s="113" t="inlineStr">
        <is>
          <t>Previsto</t>
        </is>
      </c>
      <c r="F123" s="113">
        <f>IF(OR($E123="Pago",$C123=""),"",MAX(0,TODAY()-$C123))</f>
        <v/>
      </c>
      <c r="G123" s="82" t="inlineStr">
        <is>
          <t>PREVISÃO — prestação mensal do carro da loja: 20x R$ 1.000,00, todo dia 10, de 10/11/2026 a 10/06/2028. Categoria quando pagar: Transporte e Entregas.</t>
        </is>
      </c>
    </row>
    <row r="124" s="157">
      <c r="A124" s="82" t="inlineStr">
        <is>
          <t>Financiamento — carro da loja</t>
        </is>
      </c>
      <c r="B124" s="82" t="inlineStr">
        <is>
          <t>Prestação do carro da loja — parcela 18/20</t>
        </is>
      </c>
      <c r="C124" s="81" t="n">
        <v>46853</v>
      </c>
      <c r="D124" s="83" t="n">
        <v>1000</v>
      </c>
      <c r="E124" s="113" t="inlineStr">
        <is>
          <t>Previsto</t>
        </is>
      </c>
      <c r="F124" s="113">
        <f>IF(OR($E124="Pago",$C124=""),"",MAX(0,TODAY()-$C124))</f>
        <v/>
      </c>
      <c r="G124" s="82" t="inlineStr">
        <is>
          <t>PREVISÃO — prestação mensal do carro da loja: 20x R$ 1.000,00, todo dia 10, de 10/11/2026 a 10/06/2028. Categoria quando pagar: Transporte e Entregas.</t>
        </is>
      </c>
    </row>
    <row r="125" s="157">
      <c r="A125" s="82" t="inlineStr">
        <is>
          <t>Financiamento — carro da loja</t>
        </is>
      </c>
      <c r="B125" s="82" t="inlineStr">
        <is>
          <t>Prestação do carro da loja — parcela 19/20</t>
        </is>
      </c>
      <c r="C125" s="81" t="n">
        <v>46883</v>
      </c>
      <c r="D125" s="83" t="n">
        <v>1000</v>
      </c>
      <c r="E125" s="113" t="inlineStr">
        <is>
          <t>Previsto</t>
        </is>
      </c>
      <c r="F125" s="113">
        <f>IF(OR($E125="Pago",$C125=""),"",MAX(0,TODAY()-$C125))</f>
        <v/>
      </c>
      <c r="G125" s="82" t="inlineStr">
        <is>
          <t>PREVISÃO — prestação mensal do carro da loja: 20x R$ 1.000,00, todo dia 10, de 10/11/2026 a 10/06/2028. Categoria quando pagar: Transporte e Entregas.</t>
        </is>
      </c>
    </row>
    <row r="126" s="157">
      <c r="A126" s="82" t="inlineStr">
        <is>
          <t>Financiamento — carro da loja</t>
        </is>
      </c>
      <c r="B126" s="82" t="inlineStr">
        <is>
          <t>Prestação do carro da loja — parcela 20/20</t>
        </is>
      </c>
      <c r="C126" s="81" t="n">
        <v>46914</v>
      </c>
      <c r="D126" s="83" t="n">
        <v>1000</v>
      </c>
      <c r="E126" s="113" t="inlineStr">
        <is>
          <t>Previsto</t>
        </is>
      </c>
      <c r="F126" s="113">
        <f>IF(OR($E126="Pago",$C126=""),"",MAX(0,TODAY()-$C126))</f>
        <v/>
      </c>
      <c r="G126" s="82" t="inlineStr">
        <is>
          <t>PREVISÃO — prestação mensal do carro da loja: 20x R$ 1.000,00, todo dia 10, de 10/11/2026 a 10/06/2028. Categoria quando pagar: Transporte e Entregas.</t>
        </is>
      </c>
    </row>
    <row r="127" s="157">
      <c r="A127" s="86" t="inlineStr">
        <is>
          <t>TOTAL A PAGAR — COM BOLETO EM MÃOS</t>
        </is>
      </c>
      <c r="B127" s="86" t="n"/>
      <c r="C127" s="114" t="n"/>
      <c r="D127" s="115">
        <f>SUMIF(E11:E126,"Pendente",D11:D126)</f>
        <v/>
      </c>
      <c r="E127" s="116" t="n"/>
      <c r="F127" s="116" t="n"/>
      <c r="G127" s="86" t="n"/>
    </row>
    <row r="128" s="157">
      <c r="A128" s="144" t="inlineStr">
        <is>
          <t>PREVISTO — compromisso certo que ainda não está documentado</t>
        </is>
      </c>
      <c r="B128" s="144" t="n"/>
      <c r="C128" s="145" t="n"/>
      <c r="D128" s="146">
        <f>SUMIF(E11:E126,"Previsto",D11:D126)</f>
        <v/>
      </c>
      <c r="E128" s="142" t="n"/>
      <c r="F128" s="142" t="n"/>
      <c r="G128" s="144" t="n"/>
    </row>
    <row r="129" s="157">
      <c r="A129" s="86" t="inlineStr">
        <is>
          <t>TOTAL GERAL A PAGAR (boletos + previsão)</t>
        </is>
      </c>
      <c r="B129" s="86" t="n"/>
      <c r="C129" s="114" t="n"/>
      <c r="D129" s="115">
        <f>D127+D128</f>
        <v/>
      </c>
      <c r="E129" s="116" t="n"/>
      <c r="F129" s="116" t="n"/>
      <c r="G129" s="86" t="n"/>
    </row>
    <row r="130" ht="15.75" customHeight="1" s="157"/>
    <row r="131" ht="15.75" customHeight="1" s="157">
      <c r="A131" s="200" t="inlineStr">
        <is>
          <t>CONTAS A RECEBER  —  vendas feitas e ainda não pagas</t>
        </is>
      </c>
    </row>
    <row r="132" s="157">
      <c r="A132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33" s="157">
      <c r="A133" s="111" t="inlineStr">
        <is>
          <t>Cliente</t>
        </is>
      </c>
      <c r="B133" s="111" t="inlineStr">
        <is>
          <t>Produto / Referência</t>
        </is>
      </c>
      <c r="C133" s="111" t="inlineStr">
        <is>
          <t>Data da Venda</t>
        </is>
      </c>
      <c r="D133" s="111" t="inlineStr">
        <is>
          <t>Valor (R$)</t>
        </is>
      </c>
      <c r="E133" s="111" t="inlineStr">
        <is>
          <t>Status</t>
        </is>
      </c>
      <c r="F133" s="111" t="inlineStr">
        <is>
          <t>Dias em Atraso</t>
        </is>
      </c>
      <c r="G133" s="111" t="inlineStr">
        <is>
          <t>Observações</t>
        </is>
      </c>
    </row>
    <row r="134" s="157">
      <c r="A134" s="78" t="inlineStr">
        <is>
          <t>Centro de Especialidades Odontomédicas</t>
        </is>
      </c>
      <c r="B134" s="78" t="inlineStr">
        <is>
          <t>Refil Everest</t>
        </is>
      </c>
      <c r="C134" s="77" t="n">
        <v>46239</v>
      </c>
      <c r="D134" s="79" t="n">
        <v>140</v>
      </c>
      <c r="E134" s="112" t="inlineStr">
        <is>
          <t>Pendente</t>
        </is>
      </c>
      <c r="F134" s="112">
        <f>IF(OR($E134="Recebido",$C134=""),"",MAX(0,TODAY()-$C134))</f>
        <v/>
      </c>
      <c r="G134" s="78" t="n"/>
    </row>
    <row r="135" s="157">
      <c r="A135" s="82" t="inlineStr">
        <is>
          <t>Supermercado Brasil</t>
        </is>
      </c>
      <c r="B135" s="82" t="inlineStr">
        <is>
          <t>2x Refil Pro Life</t>
        </is>
      </c>
      <c r="C135" s="81" t="n">
        <v>46239</v>
      </c>
      <c r="D135" s="83" t="n">
        <v>280</v>
      </c>
      <c r="E135" s="113" t="inlineStr">
        <is>
          <t>Recebido</t>
        </is>
      </c>
      <c r="F135" s="113">
        <f>IF(OR($E135="Recebido",$C135=""),"",MAX(0,TODAY()-$C135))</f>
        <v/>
      </c>
      <c r="G135" s="82" t="inlineStr">
        <is>
          <t>Recebido via Pix em 22/10/2026 — lançado em "Out 2026".</t>
        </is>
      </c>
    </row>
    <row r="136" s="157">
      <c r="A136" s="78" t="inlineStr">
        <is>
          <t>Tropical Motos LTDA</t>
        </is>
      </c>
      <c r="B136" s="78" t="inlineStr">
        <is>
          <t>3x Refil Everest + Refil Pro Life + 3x Pré Filtro + Válvula Reguladora de Pressão</t>
        </is>
      </c>
      <c r="C136" s="77" t="n">
        <v>46245</v>
      </c>
      <c r="D136" s="79" t="n">
        <v>820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TED em 25/08/2026. NF conferida: valor correto é R$820 (faltava a válvula no lançamento original de R$740).</t>
        </is>
      </c>
    </row>
    <row r="137" s="157">
      <c r="A137" s="82" t="inlineStr">
        <is>
          <t>Free Way</t>
        </is>
      </c>
      <c r="B137" s="82" t="inlineStr">
        <is>
          <t>5x Refil Everest</t>
        </is>
      </c>
      <c r="C137" s="81" t="n">
        <v>46251</v>
      </c>
      <c r="D137" s="83" t="n">
        <v>700</v>
      </c>
      <c r="E137" s="113" t="inlineStr">
        <is>
          <t>Recebido</t>
        </is>
      </c>
      <c r="F137" s="113">
        <f>IF(OR($E137="Recebido",$C137=""),"",MAX(0,TODAY()-$C137))</f>
        <v/>
      </c>
      <c r="G137" s="82" t="inlineStr">
        <is>
          <t>Recebido via TED em 02/09/2026.</t>
        </is>
      </c>
    </row>
    <row r="138" s="157">
      <c r="A138" s="78" t="inlineStr">
        <is>
          <t>Neli Sena Rego</t>
        </is>
      </c>
      <c r="B138" s="78" t="inlineStr">
        <is>
          <t>Refil Pro Life</t>
        </is>
      </c>
      <c r="C138" s="77" t="n">
        <v>46254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Recebido em dinheiro em 01/09/2026 (R$ 170,00 pelas duas vendas)</t>
        </is>
      </c>
    </row>
    <row r="139" s="157">
      <c r="A139" s="82" t="inlineStr">
        <is>
          <t>Neli Sena Rego</t>
        </is>
      </c>
      <c r="B139" s="82" t="inlineStr">
        <is>
          <t>Conexão + Mangueira</t>
        </is>
      </c>
      <c r="C139" s="81" t="n">
        <v>46255</v>
      </c>
      <c r="D139" s="83" t="n">
        <v>40</v>
      </c>
      <c r="E139" s="113" t="inlineStr">
        <is>
          <t>Recebido</t>
        </is>
      </c>
      <c r="F139" s="113">
        <f>IF(OR($E139="Recebido",$C139=""),"",MAX(0,TODAY()-$C139))</f>
        <v/>
      </c>
      <c r="G139" s="82" t="inlineStr">
        <is>
          <t>Recebido em dinheiro em 01/09/2026 (R$ 170,00 pelas duas vendas)</t>
        </is>
      </c>
    </row>
    <row r="140" s="157">
      <c r="A140" s="78" t="inlineStr">
        <is>
          <t>Lapec</t>
        </is>
      </c>
      <c r="B140" s="78" t="inlineStr">
        <is>
          <t>4x Refil Everest</t>
        </is>
      </c>
      <c r="C140" s="77" t="n">
        <v>46258</v>
      </c>
      <c r="D140" s="79" t="n">
        <v>480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em dinheiro em 08/09/2026 — lançado em "Set 2026".</t>
        </is>
      </c>
    </row>
    <row r="141" s="157">
      <c r="A141" s="82" t="inlineStr">
        <is>
          <t>Cícero Lima</t>
        </is>
      </c>
      <c r="B141" s="82" t="inlineStr">
        <is>
          <t>Refil Everest</t>
        </is>
      </c>
      <c r="C141" s="81" t="n">
        <v>46261</v>
      </c>
      <c r="D141" s="83" t="n">
        <v>140</v>
      </c>
      <c r="E141" s="113" t="inlineStr">
        <is>
          <t>Recebido</t>
        </is>
      </c>
      <c r="F141" s="113">
        <f>IF(OR($E141="Recebido",$C141=""),"",MAX(0,TODAY()-$C141))</f>
        <v/>
      </c>
      <c r="G141" s="82" t="inlineStr">
        <is>
          <t>Recebido via Pix em 27/08/2026</t>
        </is>
      </c>
    </row>
    <row r="142" s="157">
      <c r="A142" s="78" t="inlineStr">
        <is>
          <t>Promotoria Regional de Jacobina</t>
        </is>
      </c>
      <c r="B142" s="78" t="inlineStr">
        <is>
          <t>2x Carcaça 9" + 2x Refil Plissado 9" + Conexão Reta Rosca</t>
        </is>
      </c>
      <c r="C142" s="77" t="n">
        <v>46261</v>
      </c>
      <c r="D142" s="79" t="n">
        <v>470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Pago em 28/08/2026 em duas formas: R$ 270,00 Pix + R$ 200,00 crédito 2x</t>
        </is>
      </c>
    </row>
    <row r="143" s="157">
      <c r="A143" s="82" t="inlineStr">
        <is>
          <t>Lucas Souza</t>
        </is>
      </c>
      <c r="B143" s="82" t="inlineStr">
        <is>
          <t>Refil Everest + Pré Filtro</t>
        </is>
      </c>
      <c r="C143" s="81" t="n">
        <v>46261</v>
      </c>
      <c r="D143" s="83" t="n">
        <v>200</v>
      </c>
      <c r="E143" s="113" t="inlineStr">
        <is>
          <t>Recebido</t>
        </is>
      </c>
      <c r="F143" s="113">
        <f>IF(OR($E143="Recebido",$C143=""),"",MAX(0,TODAY()-$C143))</f>
        <v/>
      </c>
      <c r="G143" s="82" t="inlineStr">
        <is>
          <t>Recebido em dinheiro em 03/09/2026 — lançado em "Set 2026".</t>
        </is>
      </c>
    </row>
    <row r="144" s="157">
      <c r="A144" s="78" t="inlineStr">
        <is>
          <t>FG Boa Vista (Recife/PE)</t>
        </is>
      </c>
      <c r="B144" s="78" t="inlineStr">
        <is>
          <t>Refis — troca de julho/2026</t>
        </is>
      </c>
      <c r="C144" s="77" t="n">
        <v>46261</v>
      </c>
      <c r="D144" s="79" t="n">
        <v>1008.8</v>
      </c>
      <c r="E144" s="112" t="inlineStr">
        <is>
          <t>Recebido</t>
        </is>
      </c>
      <c r="F144" s="112">
        <f>IF(OR($E144="Recebido",$C144=""),"",MAX(0,TODAY()-$C144))</f>
        <v/>
      </c>
      <c r="G144" s="78" t="inlineStr">
        <is>
          <t>Grupo Ânima — NF 000.004.280 · recebido em 30/08/2026 (Nota Paga no portal V360)</t>
        </is>
      </c>
    </row>
    <row r="145" s="157">
      <c r="A145" s="82" t="inlineStr">
        <is>
          <t>UNIFG Guanambi (Guanambi/BA)</t>
        </is>
      </c>
      <c r="B145" s="82" t="inlineStr">
        <is>
          <t>Refis — troca de julho/2026</t>
        </is>
      </c>
      <c r="C145" s="81" t="n">
        <v>46261</v>
      </c>
      <c r="D145" s="83" t="n">
        <v>4534.75</v>
      </c>
      <c r="E145" s="113" t="inlineStr">
        <is>
          <t>Recebido</t>
        </is>
      </c>
      <c r="F145" s="113">
        <f>IF(OR($E145="Recebido",$C145=""),"",MAX(0,TODAY()-$C145))</f>
        <v/>
      </c>
      <c r="G145" s="82" t="inlineStr">
        <is>
          <t>Grupo Ânima — NF 000.004.281 · recebido em 30/08/2026 (Nota Paga no portal V360)</t>
        </is>
      </c>
    </row>
    <row r="146" s="157">
      <c r="A146" s="78" t="inlineStr">
        <is>
          <t>UNP Zona Norte (Natal/RN)</t>
        </is>
      </c>
      <c r="B146" s="78" t="inlineStr">
        <is>
          <t>Refis — troca de julho/2026</t>
        </is>
      </c>
      <c r="C146" s="77" t="n">
        <v>46261</v>
      </c>
      <c r="D146" s="79" t="n">
        <v>870</v>
      </c>
      <c r="E146" s="112" t="inlineStr">
        <is>
          <t>Recebido</t>
        </is>
      </c>
      <c r="F146" s="112">
        <f>IF(OR($E146="Recebido",$C146=""),"",MAX(0,TODAY()-$C146))</f>
        <v/>
      </c>
      <c r="G146" s="78" t="inlineStr">
        <is>
          <t>Grupo Ânima — NF 000.004.282 · recebido em 30/08/2026 (Nota Paga no portal V360)</t>
        </is>
      </c>
    </row>
    <row r="147" s="157">
      <c r="A147" s="82" t="inlineStr">
        <is>
          <t>UNP Caicó (Caicó/RN)</t>
        </is>
      </c>
      <c r="B147" s="82" t="inlineStr">
        <is>
          <t>Refis — troca de julho/2026</t>
        </is>
      </c>
      <c r="C147" s="81" t="n">
        <v>46261</v>
      </c>
      <c r="D147" s="83" t="n">
        <v>440</v>
      </c>
      <c r="E147" s="113" t="inlineStr">
        <is>
          <t>Recebido</t>
        </is>
      </c>
      <c r="F147" s="113">
        <f>IF(OR($E147="Recebido",$C147=""),"",MAX(0,TODAY()-$C147))</f>
        <v/>
      </c>
      <c r="G147" s="82" t="inlineStr">
        <is>
          <t>Grupo Ânima — NF 000.004.283 · recebido via Pix em 27/08/2026</t>
        </is>
      </c>
    </row>
    <row r="148" s="157">
      <c r="A148" s="78" t="inlineStr">
        <is>
          <t>AGES Irecê (Irecê/BA)</t>
        </is>
      </c>
      <c r="B148" s="78" t="inlineStr">
        <is>
          <t>Refis — troca de julho/2026</t>
        </is>
      </c>
      <c r="C148" s="77" t="n">
        <v>46269</v>
      </c>
      <c r="D148" s="79" t="n">
        <v>1338.6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Grupo Ânima — NF 000.004.294 · recebido via Pix em 04/09/2026.</t>
        </is>
      </c>
    </row>
    <row r="149" s="157">
      <c r="A149" s="82" t="inlineStr">
        <is>
          <t>CIS Irecê (Irecê/BA)</t>
        </is>
      </c>
      <c r="B149" s="82" t="inlineStr">
        <is>
          <t>Refis — troca de julho/2026</t>
        </is>
      </c>
      <c r="C149" s="81" t="n">
        <v>46269</v>
      </c>
      <c r="D149" s="83" t="n">
        <v>1358</v>
      </c>
      <c r="E149" s="113" t="inlineStr">
        <is>
          <t>Recebido</t>
        </is>
      </c>
      <c r="F149" s="113">
        <f>IF(OR($E149="Recebido",$C149=""),"",MAX(0,TODAY()-$C149))</f>
        <v/>
      </c>
      <c r="G149" s="82" t="inlineStr">
        <is>
          <t>Grupo Ânima — NF 000.004.295 · recebido via Pix em 04/09/2026.</t>
        </is>
      </c>
    </row>
    <row r="150" s="157">
      <c r="A150" s="78" t="inlineStr">
        <is>
          <t>AGES Senhor do Bonfim (S. do Bonfim/BA)</t>
        </is>
      </c>
      <c r="B150" s="78" t="inlineStr">
        <is>
          <t>Refis — troca de julho/2026</t>
        </is>
      </c>
      <c r="C150" s="77" t="n">
        <v>46270</v>
      </c>
      <c r="D150" s="79" t="n">
        <v>649.9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Grupo Ânima — NF 000.004.298 · recebido via Pix em 08/09/2026.</t>
        </is>
      </c>
    </row>
    <row r="151" s="157">
      <c r="A151" s="82" t="inlineStr">
        <is>
          <t>CIS Senhor do Bonfim (S. do Bonfim/BA)</t>
        </is>
      </c>
      <c r="B151" s="82" t="inlineStr">
        <is>
          <t>Refis — troca de julho/2026</t>
        </is>
      </c>
      <c r="C151" s="81" t="n">
        <v>46270</v>
      </c>
      <c r="D151" s="83" t="n">
        <v>562.6</v>
      </c>
      <c r="E151" s="113" t="inlineStr">
        <is>
          <t>Recebido</t>
        </is>
      </c>
      <c r="F151" s="113">
        <f>IF(OR($E151="Recebido",$C151=""),"",MAX(0,TODAY()-$C151))</f>
        <v/>
      </c>
      <c r="G151" s="82" t="inlineStr">
        <is>
          <t>Grupo Ânima — NF 000.004.299 · recebido via Pix em 08/09/2026.</t>
        </is>
      </c>
    </row>
    <row r="152" s="157">
      <c r="A152" s="78" t="inlineStr">
        <is>
          <t>AGES Paripiranga (Paripiranga/BA)</t>
        </is>
      </c>
      <c r="B152" s="78" t="inlineStr">
        <is>
          <t>Refis — troca de julho/2026</t>
        </is>
      </c>
      <c r="C152" s="77" t="n">
        <v>46270</v>
      </c>
      <c r="D152" s="79" t="n">
        <v>1086.4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Grupo Ânima — NF 000.004.300 · recebido via Pix em 08/09/2026.</t>
        </is>
      </c>
    </row>
    <row r="153" s="157">
      <c r="A153" s="82" t="inlineStr">
        <is>
          <t>Clínica Veterinária Paripiranga (Paripiranga/BA)</t>
        </is>
      </c>
      <c r="B153" s="82" t="inlineStr">
        <is>
          <t>Refis — troca de julho/2026</t>
        </is>
      </c>
      <c r="C153" s="81" t="n">
        <v>46270</v>
      </c>
      <c r="D153" s="83" t="n">
        <v>1265.85</v>
      </c>
      <c r="E153" s="113" t="inlineStr">
        <is>
          <t>Recebido</t>
        </is>
      </c>
      <c r="F153" s="113">
        <f>IF(OR($E153="Recebido",$C153=""),"",MAX(0,TODAY()-$C153))</f>
        <v/>
      </c>
      <c r="G153" s="82" t="inlineStr">
        <is>
          <t>Grupo Ânima — NF 000.004.301 · recebido via Pix em 08/09/2026.</t>
        </is>
      </c>
    </row>
    <row r="154" s="157">
      <c r="A154" s="78" t="inlineStr">
        <is>
          <t>UNP Mossoró (Mossoró/RN)</t>
        </is>
      </c>
      <c r="B154" s="78" t="inlineStr">
        <is>
          <t>Refis — troca de julho/2026</t>
        </is>
      </c>
      <c r="C154" s="77" t="n">
        <v>46270</v>
      </c>
      <c r="D154" s="79" t="n">
        <v>1867.25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Grupo Ânima — NF 000.004.302 · recebido via Pix em 08/09/2026.</t>
        </is>
      </c>
    </row>
    <row r="155" s="157">
      <c r="A155" s="82" t="inlineStr">
        <is>
          <t>CIS Jacobina (Jacobina/BA)</t>
        </is>
      </c>
      <c r="B155" s="82" t="inlineStr">
        <is>
          <t>Refis — troca de julho/2026</t>
        </is>
      </c>
      <c r="C155" s="81" t="n">
        <v>46290</v>
      </c>
      <c r="D155" s="83" t="n">
        <v>2095.2</v>
      </c>
      <c r="E155" s="113" t="inlineStr">
        <is>
          <t>Recebido</t>
        </is>
      </c>
      <c r="F155" s="113">
        <f>IF(OR($E155="Recebido",$C155=""),"",MAX(0,TODAY()-$C155))</f>
        <v/>
      </c>
      <c r="G155" s="82" t="inlineStr">
        <is>
          <t>Grupo Ânima — NF 000.004.333 de 26/08/2026 · OC AEMPPO00004452 · 30 dias · recebido via Pix em 25/09/2026 (Nota Paga no portal V360).</t>
        </is>
      </c>
    </row>
    <row r="156" s="157">
      <c r="A156" s="78" t="inlineStr">
        <is>
          <t>AGES Jacobina (Jacobina/BA)</t>
        </is>
      </c>
      <c r="B156" s="78" t="inlineStr">
        <is>
          <t>Refis — troca de julho/2026</t>
        </is>
      </c>
      <c r="C156" s="77" t="n">
        <v>46305</v>
      </c>
      <c r="D156" s="79" t="n">
        <v>1188.25</v>
      </c>
      <c r="E156" s="112" t="inlineStr">
        <is>
          <t>Recebido</t>
        </is>
      </c>
      <c r="F156" s="112">
        <f>IF(OR($E156="Recebido",$C156=""),"",MAX(0,TODAY()-$C156))</f>
        <v/>
      </c>
      <c r="G156" s="78" t="inlineStr">
        <is>
          <t>Grupo Ânima — NF 000.004.332 de 26/08/2026 · OC AEMPPO00004453 · 45 dias · Recebido em 13/10/2026 no BNB (Nota Paga no portal V360).</t>
        </is>
      </c>
    </row>
    <row r="157" s="157">
      <c r="A157" s="82" t="inlineStr">
        <is>
          <t>Instituto Paulo Leão</t>
        </is>
      </c>
      <c r="B157" s="82" t="inlineStr">
        <is>
          <t>Refil E3 + Pré Filtro</t>
        </is>
      </c>
      <c r="C157" s="81" t="n">
        <v>46265</v>
      </c>
      <c r="D157" s="83" t="n">
        <v>160</v>
      </c>
      <c r="E157" s="113" t="inlineStr">
        <is>
          <t>Recebido</t>
        </is>
      </c>
      <c r="F157" s="113">
        <f>IF(OR($E157="Recebido",$C157=""),"",MAX(0,TODAY()-$C157))</f>
        <v/>
      </c>
      <c r="G157" s="82" t="inlineStr">
        <is>
          <t>Recebido via Pix em 08/09/2026 — lançado em "Set 2026".</t>
        </is>
      </c>
    </row>
    <row r="158" s="157">
      <c r="A158" s="78" t="inlineStr">
        <is>
          <t>Eletronic Segurança Eletronica</t>
        </is>
      </c>
      <c r="B158" s="78" t="inlineStr">
        <is>
          <t>Pré Filtro</t>
        </is>
      </c>
      <c r="C158" s="77" t="n">
        <v>46265</v>
      </c>
      <c r="D158" s="79" t="n">
        <v>60</v>
      </c>
      <c r="E158" s="112" t="inlineStr">
        <is>
          <t>Recebido</t>
        </is>
      </c>
      <c r="F158" s="112">
        <f>IF(OR($E158="Recebido",$C158=""),"",MAX(0,TODAY()-$C158))</f>
        <v/>
      </c>
      <c r="G158" s="78" t="inlineStr">
        <is>
          <t>Recebido via Pix em 03/09/2026.</t>
        </is>
      </c>
    </row>
    <row r="159" s="157">
      <c r="A159" s="82" t="inlineStr">
        <is>
          <t>Clube dos Mineiros</t>
        </is>
      </c>
      <c r="B159" s="82" t="inlineStr">
        <is>
          <t>Refil Pro Life</t>
        </is>
      </c>
      <c r="C159" s="81" t="n">
        <v>46265</v>
      </c>
      <c r="D159" s="83" t="n">
        <v>150</v>
      </c>
      <c r="E159" s="113" t="inlineStr">
        <is>
          <t>Recebido</t>
        </is>
      </c>
      <c r="F159" s="113">
        <f>IF(OR($E159="Recebido",$C159=""),"",MAX(0,TODAY()-$C159))</f>
        <v/>
      </c>
      <c r="G159" s="82" t="inlineStr">
        <is>
          <t>Recebido via Pix em 01/09/2026 (pagador: Sindicato dos Mineiros de Jacobina).</t>
        </is>
      </c>
    </row>
    <row r="160" s="157">
      <c r="A160" s="78" t="inlineStr">
        <is>
          <t>Armazem Cecilio Mota</t>
        </is>
      </c>
      <c r="B160" s="78" t="inlineStr">
        <is>
          <t>Refil Everest + Refil Carbon 9"</t>
        </is>
      </c>
      <c r="C160" s="77" t="n">
        <v>46266</v>
      </c>
      <c r="D160" s="79" t="n">
        <v>225</v>
      </c>
      <c r="E160" s="112" t="inlineStr">
        <is>
          <t>Recebido</t>
        </is>
      </c>
      <c r="F160" s="112">
        <f>IF(OR($E160="Recebido",$C160=""),"",MAX(0,TODAY()-$C160))</f>
        <v/>
      </c>
      <c r="G160" s="78" t="inlineStr">
        <is>
          <t>Recebido via Pix em 10/09/2026 — lançado em "Set 2026".</t>
        </is>
      </c>
    </row>
    <row r="161" s="157">
      <c r="A161" s="82" t="inlineStr">
        <is>
          <t>Clebson Dantas Da Silva</t>
        </is>
      </c>
      <c r="B161" s="82" t="inlineStr">
        <is>
          <t>Refil Everest</t>
        </is>
      </c>
      <c r="C161" s="81" t="n">
        <v>46266</v>
      </c>
      <c r="D161" s="83" t="n">
        <v>140</v>
      </c>
      <c r="E161" s="113" t="inlineStr">
        <is>
          <t>Recebido</t>
        </is>
      </c>
      <c r="F161" s="113">
        <f>IF(OR($E161="Recebido",$C161=""),"",MAX(0,TODAY()-$C161))</f>
        <v/>
      </c>
      <c r="G161" s="82" t="inlineStr">
        <is>
          <t>Recebido via Pix em 02/09/2026</t>
        </is>
      </c>
    </row>
    <row r="162" s="157">
      <c r="A162" s="82" t="inlineStr">
        <is>
          <t>Tesla Imagem Medicina Diagnostica Ltda</t>
        </is>
      </c>
      <c r="B162" s="82" t="inlineStr">
        <is>
          <t>3x Refil Everest + 2x Pré Filtro</t>
        </is>
      </c>
      <c r="C162" s="81" t="n">
        <v>46267</v>
      </c>
      <c r="D162" s="83" t="n">
        <v>540</v>
      </c>
      <c r="E162" s="113" t="inlineStr">
        <is>
          <t>Recebido</t>
        </is>
      </c>
      <c r="F162" s="113">
        <f>IF(OR($E162="Recebido",$C162=""),"",MAX(0,TODAY()-$C162))</f>
        <v/>
      </c>
      <c r="G162" s="82" t="inlineStr">
        <is>
          <t>Troca do dia 02/09/2026 — 1º Andar, Térreo e Copa. Recebido via Pix em 08/09/2026 — lançado em "Set 2026".</t>
        </is>
      </c>
    </row>
    <row r="163" s="157">
      <c r="A163" s="78" t="inlineStr">
        <is>
          <t>Cecilio Mota Junior</t>
        </is>
      </c>
      <c r="B163" s="78" t="inlineStr">
        <is>
          <t>Refil Everest</t>
        </is>
      </c>
      <c r="C163" s="77" t="n">
        <v>46267</v>
      </c>
      <c r="D163" s="79" t="n">
        <v>140</v>
      </c>
      <c r="E163" s="112" t="inlineStr">
        <is>
          <t>Recebido</t>
        </is>
      </c>
      <c r="F163" s="112">
        <f>IF(OR($E163="Recebido",$C163=""),"",MAX(0,TODAY()-$C163))</f>
        <v/>
      </c>
      <c r="G163" s="78" t="inlineStr">
        <is>
          <t>Recebido via Pix em 10/09/2026 — lançado em "Set 2026".</t>
        </is>
      </c>
    </row>
    <row r="164" s="157">
      <c r="A164" s="78" t="inlineStr">
        <is>
          <t>Tereza Cristina Aquino Martins - Luiz Augusto</t>
        </is>
      </c>
      <c r="B164" s="78" t="inlineStr">
        <is>
          <t>Refil Everest + Pré Filtro</t>
        </is>
      </c>
      <c r="C164" s="77" t="n">
        <v>46268</v>
      </c>
      <c r="D164" s="79" t="n">
        <v>200</v>
      </c>
      <c r="E164" s="112" t="inlineStr">
        <is>
          <t>Recebido</t>
        </is>
      </c>
      <c r="F164" s="112">
        <f>IF(OR($E164="Recebido",$C164=""),"",MAX(0,TODAY()-$C164))</f>
        <v/>
      </c>
      <c r="G164" s="78" t="inlineStr">
        <is>
          <t>Recebido via Pix em 04/09/2026.</t>
        </is>
      </c>
    </row>
    <row r="165" s="157">
      <c r="A165" s="78" t="inlineStr">
        <is>
          <t>Samille Fiscina Lima Lordello - Tiago (Cartório)</t>
        </is>
      </c>
      <c r="B165" s="78" t="inlineStr">
        <is>
          <t>Refil Pro Life</t>
        </is>
      </c>
      <c r="C165" s="77" t="n">
        <v>46269</v>
      </c>
      <c r="D165" s="79" t="n">
        <v>140</v>
      </c>
      <c r="E165" s="112" t="inlineStr">
        <is>
          <t>Recebido</t>
        </is>
      </c>
      <c r="F165" s="112">
        <f>IF(OR($E165="Recebido",$C165=""),"",MAX(0,TODAY()-$C165))</f>
        <v/>
      </c>
      <c r="G165" s="78" t="inlineStr">
        <is>
          <t>Recebido via Pix em 10/09/2026 — lançado em "Set 2026".</t>
        </is>
      </c>
    </row>
    <row r="166" s="157">
      <c r="A166" s="78" t="inlineStr">
        <is>
          <t>Bomboniere Doce Mania - Veronildo Basilio</t>
        </is>
      </c>
      <c r="B166" s="78" t="inlineStr">
        <is>
          <t>Refil Plissado + Refil BAG</t>
        </is>
      </c>
      <c r="C166" s="77" t="n">
        <v>46274</v>
      </c>
      <c r="D166" s="79" t="n">
        <v>150</v>
      </c>
      <c r="E166" s="112" t="inlineStr">
        <is>
          <t>Recebido</t>
        </is>
      </c>
      <c r="F166" s="112">
        <f>IF(OR($E166="Recebido",$C166=""),"",MAX(0,TODAY()-$C166))</f>
        <v/>
      </c>
      <c r="G166" s="78" t="inlineStr">
        <is>
          <t>Recebido em dinheiro em 16/09/2026 — lançado em "Set 2026".</t>
        </is>
      </c>
    </row>
    <row r="167" s="157">
      <c r="A167" s="78" t="inlineStr">
        <is>
          <t>Adriadne (Hotel Jovem Jota)</t>
        </is>
      </c>
      <c r="B167" s="78" t="inlineStr">
        <is>
          <t>Refil Everest</t>
        </is>
      </c>
      <c r="C167" s="77" t="n">
        <v>46275</v>
      </c>
      <c r="D167" s="79" t="n">
        <v>140</v>
      </c>
      <c r="E167" s="112" t="inlineStr">
        <is>
          <t>Recebido</t>
        </is>
      </c>
      <c r="F167" s="112">
        <f>IF(OR($E167="Recebido",$C167=""),"",MAX(0,TODAY()-$C167))</f>
        <v/>
      </c>
      <c r="G167" s="78" t="inlineStr">
        <is>
          <t>Recebido via Pix em 11/09/2026 — lançado em "Set 2026".</t>
        </is>
      </c>
    </row>
    <row r="168" s="157">
      <c r="A168" s="78" t="inlineStr">
        <is>
          <t>Pousada Triunfo Ltda (Hotel Triunfo)</t>
        </is>
      </c>
      <c r="B168" s="78" t="inlineStr">
        <is>
          <t>Refil Everest + Pré Filtro</t>
        </is>
      </c>
      <c r="C168" s="77" t="n">
        <v>46275</v>
      </c>
      <c r="D168" s="79" t="n">
        <v>200</v>
      </c>
      <c r="E168" s="112" t="inlineStr">
        <is>
          <t>Recebido</t>
        </is>
      </c>
      <c r="F168" s="112">
        <f>IF(OR($E168="Recebido",$C168=""),"",MAX(0,TODAY()-$C168))</f>
        <v/>
      </c>
      <c r="G168" s="78" t="inlineStr">
        <is>
          <t>Recebido via Pix em 11/09/2026 — lançado em "Set 2026".</t>
        </is>
      </c>
    </row>
    <row r="169" s="157">
      <c r="A169" s="78" t="inlineStr">
        <is>
          <t>Topvel Tropical Veiculos e Pecas</t>
        </is>
      </c>
      <c r="B169" s="78" t="inlineStr">
        <is>
          <t>2x Refil Everest + 2x Pré Filtro</t>
        </is>
      </c>
      <c r="C169" s="77" t="n">
        <v>46276</v>
      </c>
      <c r="D169" s="79" t="n">
        <v>370</v>
      </c>
      <c r="E169" s="112" t="inlineStr">
        <is>
          <t>Recebido</t>
        </is>
      </c>
      <c r="F169" s="112">
        <f>IF(OR($E169="Recebido",$C169=""),"",MAX(0,TODAY()-$C169))</f>
        <v/>
      </c>
      <c r="G169" s="78" t="inlineStr">
        <is>
          <t>Troca do dia 11/09/2026 — dois purificadores. Recebido via TED no BNB em 05/10/2026 — lançado em "Out 2026".</t>
        </is>
      </c>
    </row>
    <row r="170" s="157">
      <c r="A170" s="78" t="inlineStr">
        <is>
          <t>J Diesel Motores e Reparos - Gilmara</t>
        </is>
      </c>
      <c r="B170" s="78" t="inlineStr">
        <is>
          <t>Refil Everest</t>
        </is>
      </c>
      <c r="C170" s="77" t="n">
        <v>46276</v>
      </c>
      <c r="D170" s="79" t="n">
        <v>140</v>
      </c>
      <c r="E170" s="112" t="inlineStr">
        <is>
          <t>Recebido</t>
        </is>
      </c>
      <c r="F170" s="112">
        <f>IF(OR($E170="Recebido",$C170=""),"",MAX(0,TODAY()-$C170))</f>
        <v/>
      </c>
      <c r="G170" s="78" t="inlineStr">
        <is>
          <t>Troca do dia 11/09/2026.</t>
        </is>
      </c>
    </row>
    <row r="171" s="157">
      <c r="A171" s="78" t="inlineStr">
        <is>
          <t>IOB</t>
        </is>
      </c>
      <c r="B171" s="78" t="inlineStr">
        <is>
          <t>Refil Everest + Pré Filtro</t>
        </is>
      </c>
      <c r="C171" s="77" t="n">
        <v>46279</v>
      </c>
      <c r="D171" s="79" t="n">
        <v>200</v>
      </c>
      <c r="E171" s="112" t="inlineStr">
        <is>
          <t>Recebido</t>
        </is>
      </c>
      <c r="F171" s="112">
        <f>IF(OR($E171="Recebido",$C171=""),"",MAX(0,TODAY()-$C171))</f>
        <v/>
      </c>
      <c r="G171" s="78" t="inlineStr">
        <is>
          <t>Troca do dia 14/09/2026.</t>
        </is>
      </c>
    </row>
    <row r="172" s="157">
      <c r="A172" s="78" t="inlineStr">
        <is>
          <t>Clínica Santa Cecília</t>
        </is>
      </c>
      <c r="B172" s="78" t="inlineStr">
        <is>
          <t>Refil Everest + Termostato</t>
        </is>
      </c>
      <c r="C172" s="77" t="n">
        <v>46281</v>
      </c>
      <c r="D172" s="79" t="n">
        <v>310</v>
      </c>
      <c r="E172" s="112" t="inlineStr">
        <is>
          <t>Recebido</t>
        </is>
      </c>
      <c r="F172" s="112">
        <f>IF(OR($E172="Recebido",$C172=""),"",MAX(0,TODAY()-$C172))</f>
        <v/>
      </c>
      <c r="G172" s="78" t="inlineStr">
        <is>
          <t>Troca do dia 16/09/2026 — refil + troca de termostato. Recebido via Pix em 29/09/2026.</t>
        </is>
      </c>
    </row>
    <row r="173" s="157">
      <c r="A173" s="78" t="inlineStr">
        <is>
          <t>Marilda Macedo / José Luciano Costa</t>
        </is>
      </c>
      <c r="B173" s="78" t="inlineStr">
        <is>
          <t>Refil Everest + Pré Filtro</t>
        </is>
      </c>
      <c r="C173" s="77" t="n">
        <v>46283</v>
      </c>
      <c r="D173" s="79" t="n">
        <v>200</v>
      </c>
      <c r="E173" s="112" t="inlineStr">
        <is>
          <t>Recebido</t>
        </is>
      </c>
      <c r="F173" s="112">
        <f>IF(OR($E173="Recebido",$C173=""),"",MAX(0,TODAY()-$C173))</f>
        <v/>
      </c>
      <c r="G173" s="78" t="inlineStr">
        <is>
          <t>Recebido via Pix em 19/09/2026 — lançado em "Set 2026".</t>
        </is>
      </c>
    </row>
    <row r="174" s="157">
      <c r="A174" s="78" t="inlineStr">
        <is>
          <t>Tatiana Rocha</t>
        </is>
      </c>
      <c r="B174" s="78" t="inlineStr">
        <is>
          <t>Refil Everest</t>
        </is>
      </c>
      <c r="C174" s="77" t="n">
        <v>46286</v>
      </c>
      <c r="D174" s="79" t="n">
        <v>140</v>
      </c>
      <c r="E174" s="112" t="inlineStr">
        <is>
          <t>Recebido</t>
        </is>
      </c>
      <c r="F174" s="112">
        <f>IF(OR($E174="Recebido",$C174=""),"",MAX(0,TODAY()-$C174))</f>
        <v/>
      </c>
      <c r="G174" s="78" t="inlineStr">
        <is>
          <t>Troca do dia 21/09/2026. Recebido via Pix em 22/09/2026 — lançado em "Set 2026".</t>
        </is>
      </c>
    </row>
    <row r="175" s="157">
      <c r="A175" s="78" t="inlineStr">
        <is>
          <t>Cleone Gomes de Andrade</t>
        </is>
      </c>
      <c r="B175" s="78" t="inlineStr">
        <is>
          <t>Refil Everest</t>
        </is>
      </c>
      <c r="C175" s="77" t="n">
        <v>46286</v>
      </c>
      <c r="D175" s="79" t="n">
        <v>140</v>
      </c>
      <c r="E175" s="112" t="inlineStr">
        <is>
          <t>Recebido</t>
        </is>
      </c>
      <c r="F175" s="112">
        <f>IF(OR($E175="Recebido",$C175=""),"",MAX(0,TODAY()-$C175))</f>
        <v/>
      </c>
      <c r="G175" s="78" t="inlineStr">
        <is>
          <t>Troca do dia 21/09/2026. Recebido via Pix em 21/09/2026.</t>
        </is>
      </c>
    </row>
    <row r="176" s="157">
      <c r="A176" s="78" t="inlineStr">
        <is>
          <t>Centro de Especialidades Odontomédicas</t>
        </is>
      </c>
      <c r="B176" s="78" t="inlineStr">
        <is>
          <t>2x Refil Everest</t>
        </is>
      </c>
      <c r="C176" s="77" t="n">
        <v>46044</v>
      </c>
      <c r="D176" s="79" t="n">
        <v>280</v>
      </c>
      <c r="E176" s="112" t="inlineStr">
        <is>
          <t>Pendente</t>
        </is>
      </c>
      <c r="F176" s="112">
        <f>IF(OR($E176="Recebido",$C176=""),"",MAX(0,TODAY()-$C176))</f>
        <v/>
      </c>
      <c r="G176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77" s="157">
      <c r="A177" s="78" t="inlineStr">
        <is>
          <t>Igreja Messiânica Mundial do Brasil</t>
        </is>
      </c>
      <c r="B177" s="78" t="inlineStr">
        <is>
          <t>Mangueira</t>
        </is>
      </c>
      <c r="C177" s="77" t="n">
        <v>46073</v>
      </c>
      <c r="D177" s="79" t="n">
        <v>30</v>
      </c>
      <c r="E177" s="112" t="inlineStr">
        <is>
          <t>Pendente</t>
        </is>
      </c>
      <c r="F177" s="112">
        <f>IF(OR($E177="Recebido",$C177=""),"",MAX(0,TODAY()-$C177))</f>
        <v/>
      </c>
      <c r="G177" s="78" t="inlineStr">
        <is>
          <t>NF-e 4075 de 20/02/2026 (CNPJ 62.647.383/0063-44). Conferido no DigiSat em 28/09/2026: não recebido.</t>
        </is>
      </c>
    </row>
    <row r="178" s="157">
      <c r="A178" s="78" t="inlineStr">
        <is>
          <t>Centro Médico de Jacobina</t>
        </is>
      </c>
      <c r="B178" s="78" t="inlineStr">
        <is>
          <t>2x Botão Completo</t>
        </is>
      </c>
      <c r="C178" s="77" t="n">
        <v>46203</v>
      </c>
      <c r="D178" s="79" t="n">
        <v>60</v>
      </c>
      <c r="E178" s="112" t="inlineStr">
        <is>
          <t>Pendente</t>
        </is>
      </c>
      <c r="F178" s="112">
        <f>IF(OR($E178="Recebido",$C178=""),"",MAX(0,TODAY()-$C178))</f>
        <v/>
      </c>
      <c r="G178" s="78" t="inlineStr">
        <is>
          <t>NF-e 4242 de 30/06/2026 (CNPJ 13.228.432/0001-04). Conferido no DigiSat em 28/09/2026: não recebido.</t>
        </is>
      </c>
    </row>
    <row r="179" s="157">
      <c r="A179" s="78" t="inlineStr">
        <is>
          <t>Vivencie Turismo Agencia de Viagens - Aneildes Rios</t>
        </is>
      </c>
      <c r="B179" s="78" t="inlineStr">
        <is>
          <t>Refil Everest</t>
        </is>
      </c>
      <c r="C179" s="77" t="n">
        <v>46294</v>
      </c>
      <c r="D179" s="79" t="n">
        <v>140</v>
      </c>
      <c r="E179" s="112" t="inlineStr">
        <is>
          <t>Recebido</t>
        </is>
      </c>
      <c r="F179" s="112">
        <f>IF(OR($E179="Recebido",$C179=""),"",MAX(0,TODAY()-$C179))</f>
        <v/>
      </c>
      <c r="G179" s="78" t="inlineStr">
        <is>
          <t>Troca do dia 29/09/2026. Recebido via Pix em 05/10/2026 — R$ 135,00 (Pix único de R$ 270,00 com as duas trocas; R$ 10,00 de desconto dividido).</t>
        </is>
      </c>
    </row>
    <row r="180" s="157">
      <c r="A180" s="78" t="inlineStr">
        <is>
          <t>Lapec</t>
        </is>
      </c>
      <c r="B180" s="78" t="inlineStr">
        <is>
          <t>Refil C+3</t>
        </is>
      </c>
      <c r="C180" s="77" t="n">
        <v>46294</v>
      </c>
      <c r="D180" s="79" t="n">
        <v>100</v>
      </c>
      <c r="E180" s="112" t="inlineStr">
        <is>
          <t>Recebido</t>
        </is>
      </c>
      <c r="F180" s="112">
        <f>IF(OR($E180="Recebido",$C180=""),"",MAX(0,TODAY()-$C180))</f>
        <v/>
      </c>
      <c r="G180" s="78" t="inlineStr">
        <is>
          <t>Pagamento previsto para 30/09/2026. Recebido em dinheiro em 14/10/2026 — lançado em "Set 2026".</t>
        </is>
      </c>
    </row>
    <row r="181" s="157">
      <c r="A181" s="78" t="inlineStr">
        <is>
          <t>PC Jacobina Administradora de Cartões LTDA - Cartão de Todos</t>
        </is>
      </c>
      <c r="B181" s="78" t="inlineStr">
        <is>
          <t>Refil Everest</t>
        </is>
      </c>
      <c r="C181" s="77" t="n">
        <v>46295</v>
      </c>
      <c r="D181" s="79" t="n">
        <v>140</v>
      </c>
      <c r="E181" s="112" t="inlineStr">
        <is>
          <t>Recebido</t>
        </is>
      </c>
      <c r="F181" s="112">
        <f>IF(OR($E181="Recebido",$C181=""),"",MAX(0,TODAY()-$C181))</f>
        <v/>
      </c>
      <c r="G181" s="78" t="inlineStr">
        <is>
          <t>Troca do dia 30/09/2026. Recebido via Pix em 01/10/2026 (comprovante enviado em 06/10/2026) — lançado em "Out 2026".</t>
        </is>
      </c>
    </row>
    <row r="182" s="157">
      <c r="A182" s="78" t="inlineStr">
        <is>
          <t>Aneilde Rios de Oliveira</t>
        </is>
      </c>
      <c r="B182" s="78" t="inlineStr">
        <is>
          <t>Refil Everest</t>
        </is>
      </c>
      <c r="C182" s="77" t="n">
        <v>46296</v>
      </c>
      <c r="D182" s="79" t="n">
        <v>140</v>
      </c>
      <c r="E182" s="112" t="inlineStr">
        <is>
          <t>Recebido</t>
        </is>
      </c>
      <c r="F182" s="112">
        <f>IF(OR($E182="Recebido",$C182=""),"",MAX(0,TODAY()-$C182))</f>
        <v/>
      </c>
      <c r="G182" s="78" t="inlineStr">
        <is>
          <t>Troca do dia 01/10/2026 (casa, Caeira). Recebido via Pix em 05/10/2026 — R$ 135,00 (Pix único de R$ 270,00 com as duas trocas; R$ 10,00 de desconto dividido).</t>
        </is>
      </c>
    </row>
    <row r="183" s="157">
      <c r="A183" s="78" t="inlineStr">
        <is>
          <t>Centro Medico da Chapada Diamantina LTDA</t>
        </is>
      </c>
      <c r="B183" s="78" t="inlineStr">
        <is>
          <t>Refil Pro Life + 2x Botão Completo</t>
        </is>
      </c>
      <c r="C183" s="77" t="n">
        <v>46296</v>
      </c>
      <c r="D183" s="79" t="n">
        <v>200</v>
      </c>
      <c r="E183" s="112" t="inlineStr">
        <is>
          <t>Recebido</t>
        </is>
      </c>
      <c r="F183" s="112">
        <f>IF(OR($E183="Recebido",$C183=""),"",MAX(0,TODAY()-$C183))</f>
        <v/>
      </c>
      <c r="G183" s="78" t="inlineStr">
        <is>
          <t>Subsolo — troca do dia 01/10/2026 (refil + 2 botões). Recebido em 05/10/2026 no crédito em 3x (pagamento único de R$ 400,00 pelas duas trocas).</t>
        </is>
      </c>
    </row>
    <row r="184" s="157">
      <c r="A184" s="78" t="inlineStr">
        <is>
          <t>Centro Medico da Chapada Diamantina LTDA</t>
        </is>
      </c>
      <c r="B184" s="78" t="inlineStr">
        <is>
          <t>Refil Pro Life + 2x Botão Completo</t>
        </is>
      </c>
      <c r="C184" s="77" t="n">
        <v>46297</v>
      </c>
      <c r="D184" s="79" t="n">
        <v>200</v>
      </c>
      <c r="E184" s="112" t="inlineStr">
        <is>
          <t>Recebido</t>
        </is>
      </c>
      <c r="F184" s="112">
        <f>IF(OR($E184="Recebido",$C184=""),"",MAX(0,TODAY()-$C184))</f>
        <v/>
      </c>
      <c r="G184" s="78" t="inlineStr">
        <is>
          <t>1º Andar — troca do dia 02/10/2026 (refil + 2 botões). Recebido em 05/10/2026 no crédito em 3x (pagamento único de R$ 400,00 pelas duas trocas).</t>
        </is>
      </c>
    </row>
    <row r="185" s="157">
      <c r="A185" s="78" t="inlineStr">
        <is>
          <t>Igreja Messiânica Mundial do Brasil</t>
        </is>
      </c>
      <c r="B185" s="78" t="inlineStr">
        <is>
          <t>Refil Everest</t>
        </is>
      </c>
      <c r="C185" s="77" t="n">
        <v>46300</v>
      </c>
      <c r="D185" s="79" t="n">
        <v>140</v>
      </c>
      <c r="E185" s="112" t="inlineStr">
        <is>
          <t>Pendente</t>
        </is>
      </c>
      <c r="F185" s="112">
        <f>IF(OR($E185="Recebido",$C185=""),"",MAX(0,TODAY()-$C185))</f>
        <v/>
      </c>
      <c r="G185" s="78" t="inlineStr">
        <is>
          <t>Troca do dia 05/10/2026. Mesmo cliente tem pendência de 20/02/2026 (Mangueira, R$ 30,00).</t>
        </is>
      </c>
    </row>
    <row r="186" s="157">
      <c r="A186" s="78" t="inlineStr">
        <is>
          <t>Rafael Landin Ribeiro</t>
        </is>
      </c>
      <c r="B186" s="78" t="inlineStr">
        <is>
          <t>Refil Everest</t>
        </is>
      </c>
      <c r="C186" s="77" t="n">
        <v>46304</v>
      </c>
      <c r="D186" s="79" t="n">
        <v>140</v>
      </c>
      <c r="E186" s="112" t="inlineStr">
        <is>
          <t>Recebido</t>
        </is>
      </c>
      <c r="F186" s="112">
        <f>IF(OR($E186="Recebido",$C186=""),"",MAX(0,TODAY()-$C186))</f>
        <v/>
      </c>
      <c r="G186" s="78" t="inlineStr">
        <is>
          <t>Troca do dia 09/10/2026. Recebido via Pix em 09/10/2026.</t>
        </is>
      </c>
    </row>
    <row r="187" s="157">
      <c r="A187" s="78" t="inlineStr">
        <is>
          <t>Restaurante Bonzão Bode - Aloisio Queiroz</t>
        </is>
      </c>
      <c r="B187" s="78" t="inlineStr">
        <is>
          <t>Refil Pro Life + Refil Universal (restante)</t>
        </is>
      </c>
      <c r="C187" s="77" t="n">
        <v>46304</v>
      </c>
      <c r="D187" s="79" t="n">
        <v>85</v>
      </c>
      <c r="E187" s="112" t="inlineStr">
        <is>
          <t>Pendente</t>
        </is>
      </c>
      <c r="F187" s="112">
        <f>IF(OR($E187="Recebido",$C187=""),"",MAX(0,TODAY()-$C187))</f>
        <v/>
      </c>
      <c r="G187" s="78" t="inlineStr">
        <is>
          <t>Venda de R$ 170,00 — R$ 85,00 pagos no débito em 09/10/2026; restante via Pix previsto para 16/10/2026.</t>
        </is>
      </c>
    </row>
    <row r="188" s="157">
      <c r="A188" s="78" t="inlineStr">
        <is>
          <t>Tropical Motos LTDA</t>
        </is>
      </c>
      <c r="B188" s="78" t="inlineStr">
        <is>
          <t>Refil Pro Life</t>
        </is>
      </c>
      <c r="C188" s="77" t="n">
        <v>46304</v>
      </c>
      <c r="D188" s="79" t="n">
        <v>140</v>
      </c>
      <c r="E188" s="112" t="inlineStr">
        <is>
          <t>Pendente</t>
        </is>
      </c>
      <c r="F188" s="112">
        <f>IF(OR($E188="Recebido",$C188=""),"",MAX(0,TODAY()-$C188))</f>
        <v/>
      </c>
      <c r="G188" s="78" t="inlineStr">
        <is>
          <t>Troca do dia 09/10/2026 — purificador do andar de cima.</t>
        </is>
      </c>
    </row>
    <row r="189" s="157">
      <c r="A189" s="78" t="inlineStr">
        <is>
          <t>Casa do Construtor</t>
        </is>
      </c>
      <c r="B189" s="78" t="inlineStr">
        <is>
          <t>Refil Everest</t>
        </is>
      </c>
      <c r="C189" s="77" t="n">
        <v>46310</v>
      </c>
      <c r="D189" s="79" t="n">
        <v>140</v>
      </c>
      <c r="E189" s="112" t="inlineStr">
        <is>
          <t>Recebido</t>
        </is>
      </c>
      <c r="F189" s="112">
        <f>IF(OR($E189="Recebido",$C189=""),"",MAX(0,TODAY()-$C189))</f>
        <v/>
      </c>
      <c r="G189" s="78" t="inlineStr">
        <is>
          <t>Troca do dia 15/10/2026. Recebido via Pix em 21/10/2026.</t>
        </is>
      </c>
    </row>
    <row r="190" s="157">
      <c r="A190" s="78" t="inlineStr">
        <is>
          <t>Lapec</t>
        </is>
      </c>
      <c r="B190" s="78" t="inlineStr">
        <is>
          <t>Refil E3 + Refil Everest</t>
        </is>
      </c>
      <c r="C190" s="77" t="n">
        <v>46310</v>
      </c>
      <c r="D190" s="79" t="n">
        <v>200</v>
      </c>
      <c r="E190" s="112" t="inlineStr">
        <is>
          <t>Pendente</t>
        </is>
      </c>
      <c r="F190" s="112">
        <f>IF(OR($E190="Recebido",$C190=""),"",MAX(0,TODAY()-$C190))</f>
        <v/>
      </c>
      <c r="G190" s="78" t="inlineStr">
        <is>
          <t>Compra do dia 15/10/2026 — Refil E3 R$ 80,00 + Refil Everest R$ 120,00.</t>
        </is>
      </c>
    </row>
    <row r="191" s="157">
      <c r="A191" s="78" t="inlineStr">
        <is>
          <t>Primeiro Tabelionato de Notas - Tatiana Miranda Siqueira</t>
        </is>
      </c>
      <c r="B191" s="78" t="inlineStr">
        <is>
          <t>Refil Everest</t>
        </is>
      </c>
      <c r="C191" s="77" t="n">
        <v>46310</v>
      </c>
      <c r="D191" s="79" t="n">
        <v>140</v>
      </c>
      <c r="E191" s="112" t="inlineStr">
        <is>
          <t>Recebido</t>
        </is>
      </c>
      <c r="F191" s="112">
        <f>IF(OR($E191="Recebido",$C191=""),"",MAX(0,TODAY()-$C191))</f>
        <v/>
      </c>
      <c r="G191" s="78" t="inlineStr">
        <is>
          <t>Troca do dia 15/10/2026. Recebido via Pix em 16/10/2026 — lançado em "Out 2026".</t>
        </is>
      </c>
    </row>
    <row r="192" s="157">
      <c r="A192" s="78" t="inlineStr">
        <is>
          <t>Colegio Oasis de Jacobina - Unopar</t>
        </is>
      </c>
      <c r="B192" s="78" t="inlineStr">
        <is>
          <t>2x Refil Plissado + 2x Carcaça 9"</t>
        </is>
      </c>
      <c r="C192" s="77" t="n">
        <v>46305</v>
      </c>
      <c r="D192" s="79" t="n">
        <v>400</v>
      </c>
      <c r="E192" s="112" t="inlineStr">
        <is>
          <t>Pendente</t>
        </is>
      </c>
      <c r="F192" s="112">
        <f>IF(OR($E192="Recebido",$C192=""),"",MAX(0,TODAY()-$C192))</f>
        <v/>
      </c>
      <c r="G192" s="78" t="inlineStr">
        <is>
          <t>2x Refil Plissado R$ 80,00 cada + 2x Carcaça 9" R$ 120,00 cada. Cláudio assinou para pagar depois. Falta enviar a NF.</t>
        </is>
      </c>
    </row>
    <row r="193" s="157">
      <c r="A193" s="78" t="inlineStr">
        <is>
          <t>DFLL Serviços Medicos Ltda - ImCardio - Instituto Materno Cardiologico</t>
        </is>
      </c>
      <c r="B193" s="78" t="inlineStr">
        <is>
          <t>Refil Everest + Pré Filtro (restante)</t>
        </is>
      </c>
      <c r="C193" s="77" t="n">
        <v>46311</v>
      </c>
      <c r="D193" s="79" t="n">
        <v>60</v>
      </c>
      <c r="E193" s="112" t="inlineStr">
        <is>
          <t>Recebido</t>
        </is>
      </c>
      <c r="F193" s="112">
        <f>IF(OR($E193="Recebido",$C193=""),"",MAX(0,TODAY()-$C193))</f>
        <v/>
      </c>
      <c r="G193" s="78" t="inlineStr">
        <is>
          <t>Troca do dia 16/10/2026 — bebedouro da recepção. Venda de R$ 200,00: R$ 140,00 pagos em dinheiro em 16/10/2026; falta R$ 60,00. Recebido em dinheiro em 20/10/2026.</t>
        </is>
      </c>
    </row>
    <row r="194" s="157">
      <c r="A194" s="78" t="inlineStr">
        <is>
          <t>Contabilidade Abreu</t>
        </is>
      </c>
      <c r="B194" s="78" t="inlineStr">
        <is>
          <t>Termostato</t>
        </is>
      </c>
      <c r="C194" s="77" t="n">
        <v>46311</v>
      </c>
      <c r="D194" s="79" t="n">
        <v>170</v>
      </c>
      <c r="E194" s="112" t="inlineStr">
        <is>
          <t>Pendente</t>
        </is>
      </c>
      <c r="F194" s="112">
        <f>IF(OR($E194="Recebido",$C194=""),"",MAX(0,TODAY()-$C194))</f>
        <v/>
      </c>
      <c r="G194" s="78" t="inlineStr">
        <is>
          <t>Troca de termostato do dia 16/10/2026.</t>
        </is>
      </c>
    </row>
    <row r="195" s="157">
      <c r="A195" s="78" t="inlineStr">
        <is>
          <t>Studio Malena Lorrane</t>
        </is>
      </c>
      <c r="B195" s="78" t="inlineStr">
        <is>
          <t>Refil Everest + Pré Filtro (restante)</t>
        </is>
      </c>
      <c r="C195" s="77" t="n">
        <v>46316</v>
      </c>
      <c r="D195" s="79" t="n">
        <v>150</v>
      </c>
      <c r="E195" s="112" t="inlineStr">
        <is>
          <t>Pendente</t>
        </is>
      </c>
      <c r="F195" s="112">
        <f>IF(OR($E195="Recebido",$C195=""),"",MAX(0,TODAY()-$C195))</f>
        <v/>
      </c>
      <c r="G195" s="78" t="inlineStr">
        <is>
          <t>Troca do dia 21/10/2026. Venda de R$ 190,00; R$ 40,00 pagos com serviço de sobrancelha para a Edilânia. Deve R$ 90,00 do refil + R$ 60,00 do pré-filtro.</t>
        </is>
      </c>
    </row>
    <row r="196" s="157">
      <c r="A196" s="78" t="inlineStr">
        <is>
          <t>Marsilia Marmores e Granitos Erelli</t>
        </is>
      </c>
      <c r="B196" s="78" t="inlineStr">
        <is>
          <t>Refil Everest</t>
        </is>
      </c>
      <c r="C196" s="77" t="n">
        <v>46314</v>
      </c>
      <c r="D196" s="79" t="n">
        <v>140</v>
      </c>
      <c r="E196" s="112" t="inlineStr">
        <is>
          <t>Pendente</t>
        </is>
      </c>
      <c r="F196" s="112">
        <f>IF(OR($E196="Recebido",$C196=""),"",MAX(0,TODAY()-$C196))</f>
        <v/>
      </c>
      <c r="G196" s="78" t="inlineStr">
        <is>
          <t>Venda de 19/10/2026.</t>
        </is>
      </c>
    </row>
    <row r="197" s="157">
      <c r="A197" s="78" t="inlineStr">
        <is>
          <t>Banco do Nordeste do Brasil</t>
        </is>
      </c>
      <c r="B197" s="78" t="inlineStr">
        <is>
          <t>Refil Everest + Pré Filtro</t>
        </is>
      </c>
      <c r="C197" s="77" t="n">
        <v>46315</v>
      </c>
      <c r="D197" s="79" t="n">
        <v>200</v>
      </c>
      <c r="E197" s="112" t="inlineStr">
        <is>
          <t>Pendente</t>
        </is>
      </c>
      <c r="F197" s="112">
        <f>IF(OR($E197="Recebido",$C197=""),"",MAX(0,TODAY()-$C197))</f>
        <v/>
      </c>
      <c r="G197" s="78" t="inlineStr">
        <is>
          <t>Venda de 20/10/2026.</t>
        </is>
      </c>
    </row>
    <row r="198" s="157">
      <c r="A198" s="78" t="inlineStr">
        <is>
          <t>Magna dos Santos Carneiro Goncalves - Mirna</t>
        </is>
      </c>
      <c r="B198" s="78" t="inlineStr">
        <is>
          <t>Refil Everest</t>
        </is>
      </c>
      <c r="C198" s="77" t="n">
        <v>46315</v>
      </c>
      <c r="D198" s="79" t="n">
        <v>140</v>
      </c>
      <c r="E198" s="112" t="inlineStr">
        <is>
          <t>Pendente</t>
        </is>
      </c>
      <c r="F198" s="112">
        <f>IF(OR($E198="Recebido",$C198=""),"",MAX(0,TODAY()-$C198))</f>
        <v/>
      </c>
      <c r="G198" s="78" t="inlineStr">
        <is>
          <t>Venda de 20/10/2026.</t>
        </is>
      </c>
    </row>
    <row r="199" s="157">
      <c r="A199" s="78" t="inlineStr">
        <is>
          <t>Loja da Claro</t>
        </is>
      </c>
      <c r="B199" s="78" t="inlineStr">
        <is>
          <t>Refil Lacqua</t>
        </is>
      </c>
      <c r="C199" s="77" t="n">
        <v>46315</v>
      </c>
      <c r="D199" s="79" t="n">
        <v>80</v>
      </c>
      <c r="E199" s="112" t="inlineStr">
        <is>
          <t>Pendente</t>
        </is>
      </c>
      <c r="F199" s="112">
        <f>IF(OR($E199="Recebido",$C199=""),"",MAX(0,TODAY()-$C199))</f>
        <v/>
      </c>
      <c r="G199" s="78" t="inlineStr">
        <is>
          <t>Venda de 20/10/2026.</t>
        </is>
      </c>
    </row>
    <row r="200" s="157">
      <c r="A200" s="78" t="inlineStr">
        <is>
          <t>Leda Goretti Andrade Alves</t>
        </is>
      </c>
      <c r="B200" s="78" t="inlineStr">
        <is>
          <t>Limpeza de Refil</t>
        </is>
      </c>
      <c r="C200" s="77" t="n">
        <v>46319</v>
      </c>
      <c r="D200" s="79" t="n">
        <v>40</v>
      </c>
      <c r="E200" s="112" t="inlineStr">
        <is>
          <t>Pendente</t>
        </is>
      </c>
      <c r="F200" s="112">
        <f>IF(OR($E200="Recebido",$C200=""),"",MAX(0,TODAY()-$C200))</f>
        <v/>
      </c>
      <c r="G200" s="78" t="inlineStr">
        <is>
          <t>Limpeza do dia 24/10/2026. Vai pagar na semana que vem.</t>
        </is>
      </c>
    </row>
    <row r="201" s="157">
      <c r="A201" s="78" t="n"/>
      <c r="B201" s="78" t="n"/>
      <c r="C201" s="77" t="n"/>
      <c r="D201" s="79" t="n"/>
      <c r="E201" s="112" t="n"/>
      <c r="F201" s="112">
        <f>IF(OR($E201="Recebido",$C201=""),"",MAX(0,TODAY()-$C201))</f>
        <v/>
      </c>
      <c r="G201" s="78" t="n"/>
    </row>
    <row r="202" s="157">
      <c r="A202" s="78" t="n"/>
      <c r="B202" s="78" t="n"/>
      <c r="C202" s="77" t="n"/>
      <c r="D202" s="79" t="n"/>
      <c r="E202" s="112" t="n"/>
      <c r="F202" s="112">
        <f>IF(OR($E202="Recebido",$C202=""),"",MAX(0,TODAY()-$C202))</f>
        <v/>
      </c>
      <c r="G202" s="78" t="n"/>
    </row>
    <row r="203" s="157">
      <c r="A203" s="78" t="n"/>
      <c r="B203" s="78" t="n"/>
      <c r="C203" s="77" t="n"/>
      <c r="D203" s="79" t="n"/>
      <c r="E203" s="112" t="n"/>
      <c r="F203" s="112">
        <f>IF(OR($E203="Recebido",$C203=""),"",MAX(0,TODAY()-$C203))</f>
        <v/>
      </c>
      <c r="G203" s="78" t="n"/>
    </row>
    <row r="204" s="157">
      <c r="A204" s="78" t="n"/>
      <c r="B204" s="78" t="n"/>
      <c r="C204" s="77" t="n"/>
      <c r="D204" s="79" t="n"/>
      <c r="E204" s="112" t="n"/>
      <c r="F204" s="112">
        <f>IF(OR($E204="Recebido",$C204=""),"",MAX(0,TODAY()-$C204))</f>
        <v/>
      </c>
      <c r="G204" s="78" t="n"/>
    </row>
    <row r="205" s="157">
      <c r="A205" s="86" t="inlineStr">
        <is>
          <t>TOTAL EM ABERTO A RECEBER (detalhe)</t>
        </is>
      </c>
      <c r="D205" s="115">
        <f>SUMIF(E134:E204,"Pendente",D134:D204)</f>
        <v/>
      </c>
    </row>
    <row r="206" s="157">
      <c r="A206" s="202" t="inlineStr">
        <is>
          <t>CONFERÊNCIA COM AS ABAS DOS MESES</t>
        </is>
      </c>
      <c r="B206" s="159" t="n"/>
      <c r="C206" s="159" t="n"/>
      <c r="D206" s="159" t="n"/>
      <c r="E206" s="159" t="n"/>
      <c r="F206" s="159" t="n"/>
      <c r="G206" s="160" t="n"/>
    </row>
    <row r="207" s="157">
      <c r="A207" s="203">
        <f>IF(ROUND(D205-C5,2)=0,"OK — o detalhe acima bate com as vendas marcadas como Aguardando Pagamento nas abas dos meses.","ATENÇÃO: diferença de R$ "&amp;TEXT(ABS(D205-C5),"#,##0.00")&amp;" entre este detalhe e as abas dos meses — alguma venda mudou de status em um lado só.")</f>
        <v/>
      </c>
    </row>
    <row r="208" s="157">
      <c r="A208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209" s="157"/>
    <row r="210" s="157"/>
    <row r="211" s="157"/>
    <row r="212" s="157"/>
    <row r="213" s="157"/>
    <row r="214" s="157"/>
    <row r="215" s="157"/>
    <row r="216" s="157"/>
    <row r="217" s="157"/>
    <row r="218" s="157"/>
    <row r="219" s="157"/>
  </sheetData>
  <mergeCells count="13">
    <mergeCell ref="A4:B4"/>
    <mergeCell ref="E4:F4"/>
    <mergeCell ref="A1:G1"/>
    <mergeCell ref="A132:G132"/>
    <mergeCell ref="A9:G9"/>
    <mergeCell ref="A131:G131"/>
    <mergeCell ref="A206:G206"/>
    <mergeCell ref="C5:D6"/>
    <mergeCell ref="A5:B6"/>
    <mergeCell ref="A2:G2"/>
    <mergeCell ref="E5:F6"/>
    <mergeCell ref="A207:G207"/>
    <mergeCell ref="C4:D4"/>
  </mergeCells>
  <dataValidations count="2">
    <dataValidation sqref="E11:E126" showDropDown="0" showInputMessage="0" showErrorMessage="0" allowBlank="1" type="list">
      <formula1>"Pendente,Pago,Previsto"</formula1>
    </dataValidation>
    <dataValidation sqref="E134:E204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Marcio Itamar</t>
        </is>
      </c>
      <c r="C26" s="45" t="inlineStr">
        <is>
          <t>Refil Everest</t>
        </is>
      </c>
      <c r="D26" s="46" t="n">
        <v>140</v>
      </c>
      <c r="E26" s="45" t="inlineStr">
        <is>
          <t>Dinheiro</t>
        </is>
      </c>
      <c r="F26" s="47" t="n"/>
      <c r="G26" s="48" t="n"/>
      <c r="H26" s="49" t="n"/>
      <c r="I26" s="45" t="n"/>
      <c r="J26" s="45" t="inlineStr">
        <is>
          <t>CLI-0501</t>
        </is>
      </c>
    </row>
    <row r="27">
      <c r="A27" s="17" t="n">
        <v>46239</v>
      </c>
      <c r="B27" s="18" t="inlineStr">
        <is>
          <t>Arena Jacobina Society</t>
        </is>
      </c>
      <c r="C27" s="18" t="inlineStr">
        <is>
          <t>Refil Carbon Tech 9"</t>
        </is>
      </c>
      <c r="D27" s="27" t="n">
        <v>90</v>
      </c>
      <c r="E27" s="18" t="inlineStr">
        <is>
          <t>Pix</t>
        </is>
      </c>
      <c r="F27" s="19" t="n"/>
      <c r="G27" s="19" t="n"/>
      <c r="H27" s="21" t="n"/>
      <c r="I27" s="18" t="n"/>
      <c r="J27" s="18" t="inlineStr">
        <is>
          <t>EMP-0004</t>
        </is>
      </c>
    </row>
    <row r="28">
      <c r="A28" s="44" t="n">
        <v>46239</v>
      </c>
      <c r="B28" s="45" t="inlineStr">
        <is>
          <t>Verdes Mares Tintas</t>
        </is>
      </c>
      <c r="C28" s="45" t="inlineStr">
        <is>
          <t>Botão do Purificador + Limpeza de Refil</t>
        </is>
      </c>
      <c r="D28" s="46" t="n">
        <v>70</v>
      </c>
      <c r="E28" s="45" t="inlineStr">
        <is>
          <t>Dinheiro</t>
        </is>
      </c>
      <c r="F28" s="47" t="n"/>
      <c r="G28" s="48" t="n"/>
      <c r="H28" s="49" t="n"/>
      <c r="I28" s="45" t="n"/>
      <c r="J28" s="45" t="inlineStr">
        <is>
          <t>EMP-0303</t>
        </is>
      </c>
    </row>
    <row r="29" ht="15.75" customHeight="1" s="157">
      <c r="A29" s="17" t="n">
        <v>46239</v>
      </c>
      <c r="B29" s="18" t="inlineStr">
        <is>
          <t>Filtros Planeta Água</t>
        </is>
      </c>
      <c r="C29" s="18" t="n"/>
      <c r="D29" s="27" t="n"/>
      <c r="E29" s="18" t="n"/>
      <c r="F29" s="19" t="n"/>
      <c r="G29" s="19" t="n">
        <v>1674.12</v>
      </c>
      <c r="H29" s="21" t="inlineStr">
        <is>
          <t>Fornecedores / Mercadoria</t>
        </is>
      </c>
      <c r="I29" s="18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  <c r="J29" s="18" t="n"/>
    </row>
    <row r="30">
      <c r="A30" s="44" t="n">
        <v>46239</v>
      </c>
      <c r="B30" s="45" t="inlineStr">
        <is>
          <t>Eversoft</t>
        </is>
      </c>
      <c r="C30" s="45" t="n"/>
      <c r="D30" s="46" t="n"/>
      <c r="E30" s="45" t="n"/>
      <c r="F30" s="47" t="n"/>
      <c r="G30" s="48" t="n">
        <v>980.83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R$ 4.904,13: 100x Refil Everest + 50x Pré Filtro</t>
        </is>
      </c>
    </row>
    <row r="31">
      <c r="A31" s="17" t="n">
        <v>46239</v>
      </c>
      <c r="B31" s="18" t="inlineStr">
        <is>
          <t>Tarifa Pix</t>
        </is>
      </c>
      <c r="C31" s="18" t="n"/>
      <c r="D31" s="27" t="n"/>
      <c r="E31" s="18" t="n"/>
      <c r="F31" s="19" t="n"/>
      <c r="G31" s="19" t="n">
        <v>6.99</v>
      </c>
      <c r="H31" s="21" t="inlineStr">
        <is>
          <t>Tarifas Bancárias e Cartão</t>
        </is>
      </c>
      <c r="I31" s="18" t="n"/>
    </row>
    <row r="32">
      <c r="A32" s="44" t="n">
        <v>46239</v>
      </c>
      <c r="B32" s="45" t="inlineStr">
        <is>
          <t>Tarifa Pacote de Tarifas</t>
        </is>
      </c>
      <c r="C32" s="45" t="n"/>
      <c r="D32" s="46" t="n"/>
      <c r="E32" s="45" t="n"/>
      <c r="F32" s="47" t="n"/>
      <c r="G32" s="48" t="n">
        <v>52.5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Correios</t>
        </is>
      </c>
      <c r="C33" s="18" t="n"/>
      <c r="D33" s="27" t="n"/>
      <c r="E33" s="18" t="n"/>
      <c r="F33" s="19" t="n"/>
      <c r="G33" s="19" t="n">
        <v>52</v>
      </c>
      <c r="H33" s="21" t="inlineStr">
        <is>
          <t>Transporte e Entregas</t>
        </is>
      </c>
      <c r="I33" s="18" t="n"/>
    </row>
    <row r="34">
      <c r="A34" s="44" t="n">
        <v>46240</v>
      </c>
      <c r="B34" s="45" t="inlineStr">
        <is>
          <t>Silvania Mota</t>
        </is>
      </c>
      <c r="C34" s="45" t="inlineStr">
        <is>
          <t>Refil Pro Life</t>
        </is>
      </c>
      <c r="D34" s="46" t="n">
        <v>140</v>
      </c>
      <c r="E34" s="45" t="inlineStr">
        <is>
          <t>Pix</t>
        </is>
      </c>
      <c r="F34" s="47" t="n"/>
      <c r="G34" s="48" t="n"/>
      <c r="H34" s="49" t="n"/>
      <c r="I34" s="45" t="n"/>
      <c r="J34" t="inlineStr">
        <is>
          <t>CLI-0259</t>
        </is>
      </c>
    </row>
    <row r="35">
      <c r="A35" s="17" t="n">
        <v>46240</v>
      </c>
      <c r="B35" s="18" t="inlineStr">
        <is>
          <t>Ariosvaldo Mendes</t>
        </is>
      </c>
      <c r="C35" s="18" t="inlineStr">
        <is>
          <t>Reinstalação de Purificador + Registro + Refil Everest</t>
        </is>
      </c>
      <c r="D35" s="27" t="n">
        <v>200</v>
      </c>
      <c r="E35" s="18" t="inlineStr">
        <is>
          <t>Pix</t>
        </is>
      </c>
      <c r="F35" s="19" t="n"/>
      <c r="G35" s="19" t="n"/>
      <c r="H35" s="21" t="n"/>
      <c r="I35" s="18" t="n"/>
      <c r="J35" s="18" t="n"/>
    </row>
    <row r="36">
      <c r="A36" s="44" t="n">
        <v>46240</v>
      </c>
      <c r="B36" s="45" t="inlineStr">
        <is>
          <t>Correios</t>
        </is>
      </c>
      <c r="C36" s="45" t="n"/>
      <c r="D36" s="46" t="n"/>
      <c r="E36" s="45" t="n"/>
      <c r="F36" s="47" t="n"/>
      <c r="G36" s="48" t="n">
        <v>167.8</v>
      </c>
      <c r="H36" s="49" t="inlineStr">
        <is>
          <t>Transporte e Entregas</t>
        </is>
      </c>
      <c r="I36" s="45" t="n"/>
    </row>
    <row r="37">
      <c r="A37" s="17" t="n">
        <v>46240</v>
      </c>
      <c r="B37" s="18" t="inlineStr">
        <is>
          <t>Comissão Wiliam</t>
        </is>
      </c>
      <c r="C37" s="18" t="n"/>
      <c r="D37" s="27" t="n"/>
      <c r="E37" s="18" t="n"/>
      <c r="F37" s="19" t="n"/>
      <c r="G37" s="19" t="n">
        <v>150</v>
      </c>
      <c r="H37" s="21" t="inlineStr">
        <is>
          <t>Salários, Comissões e Encargos</t>
        </is>
      </c>
      <c r="I37" s="18" t="n"/>
    </row>
    <row r="38">
      <c r="A38" s="44" t="n">
        <v>46241</v>
      </c>
      <c r="B38" s="45" t="inlineStr">
        <is>
          <t>Cliente Consumidor Final</t>
        </is>
      </c>
      <c r="C38" s="45" t="inlineStr">
        <is>
          <t>Refil Everest</t>
        </is>
      </c>
      <c r="D38" s="46" t="n">
        <v>130</v>
      </c>
      <c r="E38" s="45" t="inlineStr">
        <is>
          <t>Crédito Parcelado</t>
        </is>
      </c>
      <c r="F38" s="47" t="n">
        <v>9.08</v>
      </c>
      <c r="G38" s="48" t="n"/>
      <c r="H38" s="49" t="n"/>
      <c r="I38" s="45" t="n"/>
    </row>
    <row r="39" ht="15.75" customHeight="1" s="157">
      <c r="A39" s="17" t="n">
        <v>46241</v>
      </c>
      <c r="B39" s="18" t="inlineStr">
        <is>
          <t>Comissão Wiliam</t>
        </is>
      </c>
      <c r="C39" s="18" t="n"/>
      <c r="D39" s="27" t="n"/>
      <c r="E39" s="18" t="n"/>
      <c r="F39" s="19" t="n"/>
      <c r="G39" s="19" t="n">
        <v>210</v>
      </c>
      <c r="H39" s="21" t="inlineStr">
        <is>
          <t>Salários, Comissões e Encargos</t>
        </is>
      </c>
      <c r="I39" s="18" t="n"/>
    </row>
    <row r="40">
      <c r="A40" s="44" t="n">
        <v>46244</v>
      </c>
      <c r="B40" s="45" t="inlineStr">
        <is>
          <t>Andrea Lopes dos Santos</t>
        </is>
      </c>
      <c r="C40" s="45" t="inlineStr">
        <is>
          <t>Refil Pro Life + Mangueira + Registro</t>
        </is>
      </c>
      <c r="D40" s="46" t="n">
        <v>180</v>
      </c>
      <c r="E40" s="45" t="inlineStr">
        <is>
          <t>Débito</t>
        </is>
      </c>
      <c r="F40" s="47" t="n">
        <v>2.61</v>
      </c>
      <c r="G40" s="48" t="n"/>
      <c r="H40" s="49" t="n"/>
      <c r="I40" s="45" t="n"/>
      <c r="J40" t="inlineStr">
        <is>
          <t>CLI-0433</t>
        </is>
      </c>
    </row>
    <row r="41">
      <c r="A41" s="17" t="n">
        <v>46251</v>
      </c>
      <c r="B41" s="18" t="inlineStr">
        <is>
          <t>Marsilia Marmores e Granitos Erelli</t>
        </is>
      </c>
      <c r="C41" s="18" t="inlineStr">
        <is>
          <t>Refil Pro Life</t>
        </is>
      </c>
      <c r="D41" s="27" t="n">
        <v>140</v>
      </c>
      <c r="E41" s="18" t="inlineStr">
        <is>
          <t>Pix</t>
        </is>
      </c>
      <c r="F41" s="19" t="n"/>
      <c r="G41" s="19" t="n"/>
      <c r="H41" s="21" t="n"/>
      <c r="I41" s="18" t="inlineStr">
        <is>
          <t>Venda de 10/08/2026 — pagamento recebido em 17/08/2026</t>
        </is>
      </c>
      <c r="J41" s="18" t="inlineStr">
        <is>
          <t>EMP-0216</t>
        </is>
      </c>
    </row>
    <row r="42" ht="15.75" customHeight="1" s="157">
      <c r="A42" s="44" t="n">
        <v>46254</v>
      </c>
      <c r="B42" s="45" t="inlineStr">
        <is>
          <t>Clinica da Mulher - MR Valois Serviços</t>
        </is>
      </c>
      <c r="C42" s="45" t="inlineStr">
        <is>
          <t>3x Refil Everest</t>
        </is>
      </c>
      <c r="D42" s="46" t="n">
        <v>420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20/08/2026</t>
        </is>
      </c>
      <c r="J42" s="45" t="inlineStr">
        <is>
          <t>EMP-0073</t>
        </is>
      </c>
    </row>
    <row r="43">
      <c r="A43" s="17" t="n">
        <v>46244</v>
      </c>
      <c r="B43" s="18" t="inlineStr">
        <is>
          <t>Acerto de Armando</t>
        </is>
      </c>
      <c r="C43" s="18" t="n"/>
      <c r="D43" s="27" t="n">
        <v>900</v>
      </c>
      <c r="E43" s="18" t="inlineStr">
        <is>
          <t>Dinheiro</t>
        </is>
      </c>
      <c r="F43" s="19" t="n"/>
      <c r="G43" s="19" t="n"/>
      <c r="H43" s="21" t="n"/>
      <c r="I43" s="18" t="n"/>
      <c r="J43" s="18" t="n"/>
    </row>
    <row r="44">
      <c r="A44" s="44" t="n">
        <v>46244</v>
      </c>
      <c r="B44" s="45" t="inlineStr">
        <is>
          <t>Cliente Consumidor Final</t>
        </is>
      </c>
      <c r="C44" s="45" t="inlineStr">
        <is>
          <t>Refil C+3</t>
        </is>
      </c>
      <c r="D44" s="46" t="n">
        <v>115</v>
      </c>
      <c r="E44" s="45" t="inlineStr">
        <is>
          <t>Débito</t>
        </is>
      </c>
      <c r="F44" s="47" t="n">
        <v>1.67</v>
      </c>
      <c r="G44" s="48" t="n"/>
      <c r="H44" s="49" t="n"/>
      <c r="I44" s="45" t="n"/>
    </row>
    <row r="45">
      <c r="A45" s="17" t="n">
        <v>46244</v>
      </c>
      <c r="B45" s="18" t="inlineStr">
        <is>
          <t>Audioclin Clinca Médica LTDA - Tarcisio Nascimento</t>
        </is>
      </c>
      <c r="C45" s="18" t="inlineStr">
        <is>
          <t>2x Refil Everest + Refil Pro Life</t>
        </is>
      </c>
      <c r="D45" s="27" t="n">
        <v>399</v>
      </c>
      <c r="E45" s="18" t="inlineStr">
        <is>
          <t>Pix</t>
        </is>
      </c>
      <c r="F45" s="19" t="n"/>
      <c r="G45" s="19" t="n"/>
      <c r="H45" s="21" t="n"/>
      <c r="I45" s="18" t="inlineStr">
        <is>
          <t>Pago via Pix em 11/08/2026 (venda de 10/08)</t>
        </is>
      </c>
      <c r="J45" t="inlineStr">
        <is>
          <t>EMP-0138</t>
        </is>
      </c>
    </row>
    <row r="46">
      <c r="A46" s="44" t="n">
        <v>46244</v>
      </c>
      <c r="B46" s="45" t="inlineStr">
        <is>
          <t>Everest Refrigeração</t>
        </is>
      </c>
      <c r="C46" s="45" t="n"/>
      <c r="D46" s="46" t="n"/>
      <c r="E46" s="45" t="n"/>
      <c r="F46" s="47" t="n"/>
      <c r="G46" s="48" t="n">
        <v>725.5</v>
      </c>
      <c r="H46" s="49" t="inlineStr">
        <is>
          <t>Fornecedores / Mercadoria</t>
        </is>
      </c>
      <c r="I46" s="45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  <c r="J46" s="45" t="n"/>
    </row>
    <row r="47">
      <c r="A47" s="17" t="n">
        <v>46244</v>
      </c>
      <c r="B47" s="18" t="inlineStr">
        <is>
          <t>Eversoft</t>
        </is>
      </c>
      <c r="C47" s="18" t="n"/>
      <c r="D47" s="27" t="n"/>
      <c r="E47" s="18" t="n"/>
      <c r="F47" s="19" t="n"/>
      <c r="G47" s="19" t="n">
        <v>878.92</v>
      </c>
      <c r="H47" s="21" t="inlineStr">
        <is>
          <t>Fornecedores / Mercadoria</t>
        </is>
      </c>
      <c r="I47" s="18" t="inlineStr">
        <is>
          <t>NF 73636 de 10/06/2026 · parcela 2/5 (venc. 09/08/2026) · compra total R$ 4.394,61: 100x Refil Everest</t>
        </is>
      </c>
    </row>
    <row r="48" ht="15.75" customHeight="1" s="157">
      <c r="A48" s="44" t="n">
        <v>46254</v>
      </c>
      <c r="B48" s="45" t="inlineStr">
        <is>
          <t>Clinica da Mulher - MR Valois Serviços</t>
        </is>
      </c>
      <c r="C48" s="45" t="inlineStr">
        <is>
          <t>Refil Plissado + Carcaça 9" 3/4</t>
        </is>
      </c>
      <c r="D48" s="46" t="n">
        <v>180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11/08/2026 — pagamento recebido em 20/08/2026</t>
        </is>
      </c>
      <c r="J48" t="inlineStr">
        <is>
          <t>EMP-0073</t>
        </is>
      </c>
    </row>
    <row r="49">
      <c r="A49" s="17" t="n">
        <v>46245</v>
      </c>
      <c r="B49" s="18" t="inlineStr">
        <is>
          <t>Maria das Dores e Reje Celia</t>
        </is>
      </c>
      <c r="C49" s="18" t="inlineStr">
        <is>
          <t>2x Refil Everest</t>
        </is>
      </c>
      <c r="D49" s="27" t="n">
        <v>280</v>
      </c>
      <c r="E49" s="18" t="inlineStr">
        <is>
          <t>Crédito Parcelado</t>
        </is>
      </c>
      <c r="F49" s="19" t="n">
        <v>19.57</v>
      </c>
      <c r="G49" s="19" t="n"/>
      <c r="H49" s="21" t="n"/>
      <c r="I49" s="18" t="n"/>
      <c r="J49" s="18" t="inlineStr">
        <is>
          <t>CLI-0222</t>
        </is>
      </c>
    </row>
    <row r="50">
      <c r="A50" s="44" t="n">
        <v>46245</v>
      </c>
      <c r="B50" s="45" t="inlineStr">
        <is>
          <t>Nlx Comercio e Serviços Subway - Alexandre Neder</t>
        </is>
      </c>
      <c r="C50" s="45" t="inlineStr">
        <is>
          <t>Refil Everest</t>
        </is>
      </c>
      <c r="D50" s="46" t="n">
        <v>140</v>
      </c>
      <c r="E50" s="45" t="inlineStr">
        <is>
          <t>Dinheiro</t>
        </is>
      </c>
      <c r="F50" s="47" t="n"/>
      <c r="G50" s="48" t="n"/>
      <c r="H50" s="49" t="n"/>
      <c r="I50" s="45" t="n"/>
      <c r="J50" s="45" t="inlineStr">
        <is>
          <t>EMP-0231</t>
        </is>
      </c>
    </row>
    <row r="51">
      <c r="A51" s="17" t="n">
        <v>46245</v>
      </c>
      <c r="B51" s="18" t="inlineStr">
        <is>
          <t>Bucha Redução 3/4 x 1/2 (2 unidades)</t>
        </is>
      </c>
      <c r="C51" s="18" t="n"/>
      <c r="D51" s="27" t="n"/>
      <c r="E51" s="18" t="n"/>
      <c r="F51" s="19" t="n"/>
      <c r="G51" s="19" t="n">
        <v>3</v>
      </c>
      <c r="H51" s="21" t="inlineStr">
        <is>
          <t>Fornecedores / Mercadoria</t>
        </is>
      </c>
      <c r="I51" s="18" t="n"/>
      <c r="J51" s="18" t="n"/>
    </row>
    <row r="52">
      <c r="A52" s="44" t="n">
        <v>46259</v>
      </c>
      <c r="B52" s="45" t="inlineStr">
        <is>
          <t>Tropical Motos LTDA</t>
        </is>
      </c>
      <c r="C52" s="45" t="inlineStr">
        <is>
          <t>3x Refil Everest + Refil Pro Life + 3x Pré Filtro + Válvula Reguladora de Pressão</t>
        </is>
      </c>
      <c r="D52" s="46" t="n">
        <v>820</v>
      </c>
      <c r="E52" s="45" t="inlineStr">
        <is>
          <t>Pix</t>
        </is>
      </c>
      <c r="F52" s="47" t="n"/>
      <c r="G52" s="48" t="n"/>
      <c r="H52" s="49" t="n"/>
      <c r="I52" s="45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2" t="inlineStr">
        <is>
          <t>EMP-0296</t>
        </is>
      </c>
    </row>
    <row r="53" ht="15.75" customHeight="1" s="157">
      <c r="A53" s="17" t="n">
        <v>46245</v>
      </c>
      <c r="B53" s="18" t="inlineStr">
        <is>
          <t>Ivanir Carneiro de Oliveira</t>
        </is>
      </c>
      <c r="C53" s="18" t="inlineStr">
        <is>
          <t>Refil Pro Life + Mangueira</t>
        </is>
      </c>
      <c r="D53" s="27" t="n">
        <v>150</v>
      </c>
      <c r="E53" s="18" t="inlineStr">
        <is>
          <t>Crédito Parcelado</t>
        </is>
      </c>
      <c r="F53" s="19" t="n">
        <v>10.48</v>
      </c>
      <c r="G53" s="19" t="n"/>
      <c r="H53" s="21" t="n"/>
      <c r="I53" s="18" t="n"/>
      <c r="J53" s="18" t="inlineStr">
        <is>
          <t>CLI-0454</t>
        </is>
      </c>
    </row>
    <row r="54">
      <c r="A54" s="44" t="n">
        <v>46253</v>
      </c>
      <c r="B54" s="45" t="inlineStr">
        <is>
          <t>Condominio Ilha do Ouro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Venda de 11/08/2026 — pagamento recebido em 19/08/2026</t>
        </is>
      </c>
      <c r="J54" s="45" t="inlineStr">
        <is>
          <t>EMP-0085</t>
        </is>
      </c>
    </row>
    <row r="55">
      <c r="A55" s="17" t="n">
        <v>46245</v>
      </c>
      <c r="B55" s="18" t="inlineStr">
        <is>
          <t>Bucha Redução 3/4 x 1/2 (2 unidades)</t>
        </is>
      </c>
      <c r="C55" s="18" t="n"/>
      <c r="D55" s="27" t="n"/>
      <c r="E55" s="18" t="n"/>
      <c r="F55" s="19" t="n"/>
      <c r="G55" s="19" t="n">
        <v>3</v>
      </c>
      <c r="H55" s="21" t="inlineStr">
        <is>
          <t>Fornecedores / Mercadoria</t>
        </is>
      </c>
      <c r="I55" s="18" t="n"/>
      <c r="J55" s="18" t="n"/>
    </row>
    <row r="56">
      <c r="A56" s="44" t="n">
        <v>46245</v>
      </c>
      <c r="B56" s="45" t="inlineStr">
        <is>
          <t>Crédito Celular da Loja</t>
        </is>
      </c>
      <c r="C56" s="45" t="n"/>
      <c r="D56" s="46" t="n"/>
      <c r="E56" s="45" t="n"/>
      <c r="F56" s="47" t="n"/>
      <c r="G56" s="48" t="n">
        <v>25</v>
      </c>
      <c r="H56" s="49" t="inlineStr">
        <is>
          <t>Outras Despesas</t>
        </is>
      </c>
      <c r="I56" s="45" t="n"/>
    </row>
    <row r="57">
      <c r="A57" s="17" t="n">
        <v>46245</v>
      </c>
      <c r="B57" s="18" t="inlineStr">
        <is>
          <t>Crédito Celular de Edilânia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Pro Labore Edilânia</t>
        </is>
      </c>
      <c r="I57" s="18" t="n"/>
    </row>
    <row r="58">
      <c r="A58" s="44" t="n">
        <v>46245</v>
      </c>
      <c r="B58" s="45" t="inlineStr">
        <is>
          <t>Acerto de Armando</t>
        </is>
      </c>
      <c r="C58" s="45" t="n"/>
      <c r="D58" s="46" t="n">
        <v>2000</v>
      </c>
      <c r="E58" s="45" t="inlineStr">
        <is>
          <t>Pix</t>
        </is>
      </c>
      <c r="F58" s="47" t="n"/>
      <c r="G58" s="48" t="n"/>
      <c r="H58" s="49" t="n"/>
      <c r="I58" s="45" t="n"/>
    </row>
    <row r="59">
      <c r="A59" s="17" t="n">
        <v>46245</v>
      </c>
      <c r="B59" s="18" t="inlineStr">
        <is>
          <t>Pro Labore Edilânia</t>
        </is>
      </c>
      <c r="C59" s="18" t="n"/>
      <c r="D59" s="27" t="n"/>
      <c r="E59" s="18" t="n"/>
      <c r="F59" s="19" t="n"/>
      <c r="G59" s="19" t="n">
        <v>1000</v>
      </c>
      <c r="H59" s="21" t="inlineStr">
        <is>
          <t>Pro Labore Edilânia</t>
        </is>
      </c>
      <c r="I59" s="18" t="n"/>
    </row>
    <row r="60">
      <c r="A60" s="44" t="n">
        <v>46245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504.34</v>
      </c>
      <c r="H60" s="49" t="inlineStr">
        <is>
          <t>Fornecedores / Mercadoria</t>
        </is>
      </c>
      <c r="I60" s="45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1">
      <c r="A61" s="17" t="n">
        <v>46246</v>
      </c>
      <c r="B61" s="18" t="inlineStr">
        <is>
          <t>Angelo Marcio Bispo</t>
        </is>
      </c>
      <c r="C61" s="18" t="inlineStr">
        <is>
          <t>Refil Everest + Pré Filtro</t>
        </is>
      </c>
      <c r="D61" s="27" t="n">
        <v>200</v>
      </c>
      <c r="E61" s="18" t="inlineStr">
        <is>
          <t>Dinheiro</t>
        </is>
      </c>
      <c r="F61" s="19" t="n"/>
      <c r="G61" s="19" t="n"/>
      <c r="H61" s="21" t="n"/>
      <c r="I61" s="18" t="n"/>
      <c r="J61" t="inlineStr">
        <is>
          <t>CLI-0023</t>
        </is>
      </c>
    </row>
    <row r="62">
      <c r="A62" s="44" t="n">
        <v>46247</v>
      </c>
      <c r="B62" s="45" t="inlineStr">
        <is>
          <t>Cliente Consumidor Final</t>
        </is>
      </c>
      <c r="C62" s="45" t="inlineStr">
        <is>
          <t>Mangueira</t>
        </is>
      </c>
      <c r="D62" s="46" t="n">
        <v>20</v>
      </c>
      <c r="E62" s="45" t="inlineStr">
        <is>
          <t>Dinheiro</t>
        </is>
      </c>
      <c r="F62" s="47" t="n"/>
      <c r="G62" s="48" t="n"/>
      <c r="H62" s="49" t="n"/>
      <c r="I62" s="45" t="n"/>
      <c r="J62" s="45" t="n"/>
    </row>
    <row r="63" ht="15.75" customHeight="1" s="157">
      <c r="A63" s="17" t="n">
        <v>46247</v>
      </c>
      <c r="B63" s="18" t="inlineStr">
        <is>
          <t>Acerto de Armando</t>
        </is>
      </c>
      <c r="C63" s="18" t="n"/>
      <c r="D63" s="27" t="n">
        <v>140</v>
      </c>
      <c r="E63" s="18" t="inlineStr">
        <is>
          <t>Crédito à Vista</t>
        </is>
      </c>
      <c r="F63" s="19" t="n">
        <v>4.91</v>
      </c>
      <c r="G63" s="19" t="n"/>
      <c r="H63" s="21" t="n"/>
      <c r="I63" s="18" t="n"/>
    </row>
    <row r="64">
      <c r="A64" s="44" t="n">
        <v>46247</v>
      </c>
      <c r="B64" s="45" t="inlineStr">
        <is>
          <t>Elio Pereira dos Santos</t>
        </is>
      </c>
      <c r="C64" s="45" t="inlineStr">
        <is>
          <t>Refil Everest</t>
        </is>
      </c>
      <c r="D64" s="46" t="n">
        <v>135</v>
      </c>
      <c r="E64" s="45" t="inlineStr">
        <is>
          <t>Pix</t>
        </is>
      </c>
      <c r="F64" s="47" t="n"/>
      <c r="G64" s="48" t="n"/>
      <c r="H64" s="49" t="n"/>
      <c r="I64" s="45" t="n"/>
      <c r="J64" t="inlineStr">
        <is>
          <t>CLI-0024</t>
        </is>
      </c>
    </row>
    <row r="65">
      <c r="A65" s="17" t="n">
        <v>46254</v>
      </c>
      <c r="B65" s="18" t="inlineStr">
        <is>
          <t>Maria Madalena de Santana Santos</t>
        </is>
      </c>
      <c r="C65" s="18" t="inlineStr">
        <is>
          <t>Refil Everest</t>
        </is>
      </c>
      <c r="D65" s="27" t="n">
        <v>130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Venda de 13/08/2026 — pagamento recebido em 20/08/2026 (desconto de R$ 10,00)</t>
        </is>
      </c>
      <c r="J65" s="18" t="inlineStr">
        <is>
          <t>CLI-0018</t>
        </is>
      </c>
    </row>
    <row r="66">
      <c r="A66" s="44" t="n">
        <v>46248</v>
      </c>
      <c r="B66" s="45" t="inlineStr">
        <is>
          <t>Marsilia Marmores e Granitos Erelli</t>
        </is>
      </c>
      <c r="C66" s="45" t="inlineStr">
        <is>
          <t>Refil E3</t>
        </is>
      </c>
      <c r="D66" s="46" t="n">
        <v>110</v>
      </c>
      <c r="E66" s="45" t="inlineStr">
        <is>
          <t>Pix</t>
        </is>
      </c>
      <c r="F66" s="47" t="n"/>
      <c r="G66" s="48" t="n"/>
      <c r="H66" s="49" t="n"/>
      <c r="I66" s="45" t="n"/>
      <c r="J66" s="45" t="inlineStr">
        <is>
          <t>EMP-0216</t>
        </is>
      </c>
    </row>
    <row r="67">
      <c r="A67" s="17" t="n">
        <v>46247</v>
      </c>
      <c r="B67" s="18" t="inlineStr">
        <is>
          <t>SESC Administração Regional do Estado da Bahia</t>
        </is>
      </c>
      <c r="C67" s="18" t="inlineStr">
        <is>
          <t>4x Refil Carbon Tech 5"</t>
        </is>
      </c>
      <c r="D67" s="27" t="n">
        <v>240</v>
      </c>
      <c r="E67" s="18" t="inlineStr">
        <is>
          <t>Crédito à Vista</t>
        </is>
      </c>
      <c r="F67" s="19" t="n">
        <v>8.42</v>
      </c>
      <c r="G67" s="19" t="n"/>
      <c r="H67" s="21" t="n"/>
      <c r="I67" s="18" t="n"/>
      <c r="J67" s="18" t="n"/>
    </row>
    <row r="68">
      <c r="A68" s="44" t="n">
        <v>46247</v>
      </c>
      <c r="B68" s="45" t="inlineStr">
        <is>
          <t>Lilian Patrícia</t>
        </is>
      </c>
      <c r="C68" s="45" t="inlineStr">
        <is>
          <t>2x Refil Everest</t>
        </is>
      </c>
      <c r="D68" s="46" t="n">
        <v>280</v>
      </c>
      <c r="E68" s="45" t="inlineStr">
        <is>
          <t>Crédito Parcelado</t>
        </is>
      </c>
      <c r="F68" s="47" t="n">
        <v>22.37</v>
      </c>
      <c r="G68" s="48" t="n"/>
      <c r="H68" s="49" t="n"/>
      <c r="I68" s="45" t="n"/>
    </row>
    <row r="69">
      <c r="A69" s="17" t="n">
        <v>46247</v>
      </c>
      <c r="B69" s="18" t="inlineStr">
        <is>
          <t>Natalice da Silva Masquarenhas</t>
        </is>
      </c>
      <c r="C69" s="18" t="inlineStr">
        <is>
          <t>Refil Everest + Mangueira</t>
        </is>
      </c>
      <c r="D69" s="27" t="n">
        <v>150</v>
      </c>
      <c r="E69" s="18" t="inlineStr">
        <is>
          <t>Crédito Parcelado</t>
        </is>
      </c>
      <c r="F69" s="19" t="n">
        <v>10.48</v>
      </c>
      <c r="G69" s="19" t="n"/>
      <c r="H69" s="21" t="n"/>
      <c r="I69" s="18" t="n"/>
      <c r="J69" t="inlineStr">
        <is>
          <t>CLI-0051</t>
        </is>
      </c>
    </row>
    <row r="70">
      <c r="A70" s="44" t="n">
        <v>46247</v>
      </c>
      <c r="B70" s="45" t="inlineStr">
        <is>
          <t>Joelma Almeida</t>
        </is>
      </c>
      <c r="C70" s="45" t="inlineStr">
        <is>
          <t>Refil Everest + Pré Filtro</t>
        </is>
      </c>
      <c r="D70" s="46" t="n">
        <v>200</v>
      </c>
      <c r="E70" s="45" t="inlineStr">
        <is>
          <t>Crédito Parcelado</t>
        </is>
      </c>
      <c r="F70" s="47" t="n">
        <v>13.98</v>
      </c>
      <c r="G70" s="48" t="n"/>
      <c r="H70" s="49" t="n"/>
      <c r="I70" s="45" t="n"/>
      <c r="J70" s="45" t="inlineStr">
        <is>
          <t>CLI-0450</t>
        </is>
      </c>
    </row>
    <row r="71">
      <c r="A71" s="17" t="n">
        <v>46253</v>
      </c>
      <c r="B71" s="18" t="inlineStr">
        <is>
          <t>Ten Internet</t>
        </is>
      </c>
      <c r="C71" s="18" t="inlineStr">
        <is>
          <t>Refil Carbon Tech 5" + Refil Plissado</t>
        </is>
      </c>
      <c r="D71" s="27" t="n">
        <v>160</v>
      </c>
      <c r="E71" s="18" t="inlineStr">
        <is>
          <t>Pix</t>
        </is>
      </c>
      <c r="F71" s="19" t="n"/>
      <c r="G71" s="19" t="n"/>
      <c r="H71" s="21" t="n"/>
      <c r="I71" s="18" t="inlineStr">
        <is>
          <t>Venda de 14/08/2026 — pagamento recebido em 19/08/2026</t>
        </is>
      </c>
      <c r="J71" s="18" t="n"/>
    </row>
    <row r="72">
      <c r="A72" s="44" t="n">
        <v>46248</v>
      </c>
      <c r="B72" s="45" t="inlineStr">
        <is>
          <t>Ivanilton</t>
        </is>
      </c>
      <c r="C72" s="45" t="inlineStr">
        <is>
          <t>Refil Everest + Engate + Serviço</t>
        </is>
      </c>
      <c r="D72" s="46" t="n">
        <v>240</v>
      </c>
      <c r="E72" s="45" t="inlineStr">
        <is>
          <t>Débito</t>
        </is>
      </c>
      <c r="F72" s="47" t="n">
        <v>6.34</v>
      </c>
      <c r="G72" s="48" t="n"/>
      <c r="H72" s="49" t="n"/>
      <c r="I72" s="45" t="n"/>
      <c r="J72" t="inlineStr">
        <is>
          <t>CLI-0401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Mangueira</t>
        </is>
      </c>
      <c r="D73" s="27" t="n">
        <v>10</v>
      </c>
      <c r="E73" s="18" t="inlineStr">
        <is>
          <t>Débito</t>
        </is>
      </c>
      <c r="F73" s="19" t="n"/>
      <c r="G73" s="19" t="n"/>
      <c r="H73" s="21" t="n"/>
      <c r="I73" s="18" t="n"/>
      <c r="J73" s="18" t="inlineStr">
        <is>
          <t>CLI-0401</t>
        </is>
      </c>
    </row>
    <row r="74">
      <c r="A74" s="44" t="n">
        <v>46249</v>
      </c>
      <c r="B74" s="45" t="inlineStr">
        <is>
          <t>Maria Conceição Dias Da Silva</t>
        </is>
      </c>
      <c r="C74" s="45" t="inlineStr">
        <is>
          <t>Termostato</t>
        </is>
      </c>
      <c r="D74" s="46" t="n">
        <v>160</v>
      </c>
      <c r="E74" s="45" t="inlineStr">
        <is>
          <t>Pix</t>
        </is>
      </c>
      <c r="F74" s="47" t="n"/>
      <c r="G74" s="48" t="n"/>
      <c r="H74" s="49" t="n"/>
      <c r="I74" s="45" t="n"/>
      <c r="J74" s="45" t="inlineStr">
        <is>
          <t>CLI-0731</t>
        </is>
      </c>
    </row>
    <row r="75">
      <c r="A75" s="17" t="n">
        <v>46251</v>
      </c>
      <c r="B75" s="18" t="inlineStr">
        <is>
          <t>Acerto de Armando</t>
        </is>
      </c>
      <c r="C75" s="18" t="n"/>
      <c r="D75" s="27" t="n">
        <v>1200</v>
      </c>
      <c r="E75" s="18" t="inlineStr">
        <is>
          <t>Dinheiro</t>
        </is>
      </c>
      <c r="F75" s="19" t="n"/>
      <c r="G75" s="19" t="n"/>
      <c r="H75" s="21" t="n"/>
      <c r="I75" s="18" t="n"/>
      <c r="J75" s="18" t="n"/>
    </row>
    <row r="76">
      <c r="A76" s="44" t="n">
        <v>46251</v>
      </c>
      <c r="B76" s="45" t="inlineStr">
        <is>
          <t>Fracione Transportes</t>
        </is>
      </c>
      <c r="C76" s="45" t="n"/>
      <c r="D76" s="46" t="n"/>
      <c r="E76" s="45" t="n"/>
      <c r="F76" s="47" t="n"/>
      <c r="G76" s="48" t="n">
        <v>400.01</v>
      </c>
      <c r="H76" s="49" t="inlineStr">
        <is>
          <t>Transporte e Entregas</t>
        </is>
      </c>
      <c r="I76" s="45" t="n"/>
    </row>
    <row r="77">
      <c r="A77" s="17" t="n">
        <v>46251</v>
      </c>
      <c r="B77" s="18" t="inlineStr">
        <is>
          <t>Everest Refrigeração</t>
        </is>
      </c>
      <c r="C77" s="18" t="n"/>
      <c r="D77" s="27" t="n"/>
      <c r="E77" s="18" t="n"/>
      <c r="F77" s="19" t="n"/>
      <c r="G77" s="19" t="n">
        <v>139.31</v>
      </c>
      <c r="H77" s="21" t="inlineStr">
        <is>
          <t>Fornecedores / Mercadoria</t>
        </is>
      </c>
      <c r="I77" s="18" t="inlineStr">
        <is>
          <t>NF 377737 de 19/05/2026 · parcela 3/5 (venc. 17/08/2026) · compra total R$ 725,16 (IPI R$ 28,60): 12x Conexão T + 30x Registro + 20x Botao Completo Purificador (N) + 30x Suporte</t>
        </is>
      </c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865.5</v>
      </c>
      <c r="H78" s="49" t="inlineStr">
        <is>
          <t>Fornecedores / Mercadoria</t>
        </is>
      </c>
      <c r="I78" s="45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856.35</v>
      </c>
      <c r="H79" s="21" t="inlineStr">
        <is>
          <t>Fornecedores / Mercadoria</t>
        </is>
      </c>
      <c r="I79" s="18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0">
      <c r="A80" s="44" t="n">
        <v>46251</v>
      </c>
      <c r="B80" s="45" t="inlineStr">
        <is>
          <t>Eversoft</t>
        </is>
      </c>
      <c r="C80" s="45" t="n"/>
      <c r="D80" s="46" t="n"/>
      <c r="E80" s="45" t="n"/>
      <c r="F80" s="47" t="n"/>
      <c r="G80" s="48" t="n">
        <v>980.83</v>
      </c>
      <c r="H80" s="49" t="inlineStr">
        <is>
          <t>Fornecedores / Mercadoria</t>
        </is>
      </c>
      <c r="I80" s="45" t="inlineStr">
        <is>
          <t>NF 74454 de 17/07/2026 · parcela 1/5 (venc. 16/08/2026) · compra total R$ 4.904,13: 100x Refil Everest + 50x Pré Filtro</t>
        </is>
      </c>
    </row>
    <row r="81">
      <c r="A81" s="17" t="n">
        <v>46251</v>
      </c>
      <c r="B81" s="18" t="inlineStr">
        <is>
          <t>Everest Refrigeração</t>
        </is>
      </c>
      <c r="C81" s="18" t="n"/>
      <c r="D81" s="27" t="n"/>
      <c r="E81" s="18" t="n"/>
      <c r="F81" s="19" t="n"/>
      <c r="G81" s="19" t="n">
        <v>892.3</v>
      </c>
      <c r="H81" s="21" t="inlineStr">
        <is>
          <t>Fornecedores / Mercadoria</t>
        </is>
      </c>
      <c r="I81" s="18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2">
      <c r="A82" s="44" t="n">
        <v>46251</v>
      </c>
      <c r="B82" s="45" t="inlineStr">
        <is>
          <t>Tarcisio Oliveira Lima</t>
        </is>
      </c>
      <c r="C82" s="45" t="n"/>
      <c r="D82" s="46" t="n"/>
      <c r="E82" s="45" t="n"/>
      <c r="F82" s="47" t="n"/>
      <c r="G82" s="48" t="n">
        <v>486.32</v>
      </c>
      <c r="H82" s="49" t="inlineStr">
        <is>
          <t>Contabilidade</t>
        </is>
      </c>
      <c r="I82" s="45" t="n"/>
    </row>
    <row r="83">
      <c r="A83" s="17" t="n">
        <v>46253</v>
      </c>
      <c r="B83" s="18" t="inlineStr">
        <is>
          <t>Abrigo São Vicente Miguel Calmon</t>
        </is>
      </c>
      <c r="C83" s="18" t="inlineStr">
        <is>
          <t>Refil Everest</t>
        </is>
      </c>
      <c r="D83" s="27" t="n">
        <v>150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Venda de 18/08/2026 — pagamento recebido em 19/08/2026</t>
        </is>
      </c>
    </row>
    <row r="84">
      <c r="A84" s="44" t="n">
        <v>46252</v>
      </c>
      <c r="B84" s="45" t="inlineStr">
        <is>
          <t>Caroline Rios</t>
        </is>
      </c>
      <c r="C84" s="45" t="inlineStr">
        <is>
          <t>Refil Everest</t>
        </is>
      </c>
      <c r="D84" s="46" t="n">
        <v>150</v>
      </c>
      <c r="E84" s="45" t="inlineStr">
        <is>
          <t>Crédito Parcelado</t>
        </is>
      </c>
      <c r="F84" s="47" t="n">
        <v>10.48</v>
      </c>
      <c r="G84" s="48" t="n"/>
      <c r="H84" s="49" t="n"/>
      <c r="I84" s="45" t="n"/>
      <c r="J84" t="inlineStr">
        <is>
          <t>OUT-0054</t>
        </is>
      </c>
    </row>
    <row r="85">
      <c r="A85" s="17" t="n">
        <v>46252</v>
      </c>
      <c r="B85" s="18" t="inlineStr">
        <is>
          <t>Marinez Bráulio</t>
        </is>
      </c>
      <c r="C85" s="18" t="inlineStr">
        <is>
          <t>Refil Everest</t>
        </is>
      </c>
      <c r="D85" s="27" t="n">
        <v>150</v>
      </c>
      <c r="E85" s="18" t="inlineStr">
        <is>
          <t>Dinheiro</t>
        </is>
      </c>
      <c r="F85" s="19" t="n"/>
      <c r="G85" s="19" t="n"/>
      <c r="H85" s="21" t="n"/>
      <c r="I85" s="18" t="n"/>
      <c r="J85" s="18" t="inlineStr">
        <is>
          <t>OUT-0078</t>
        </is>
      </c>
    </row>
    <row r="86">
      <c r="A86" s="44" t="n">
        <v>46252</v>
      </c>
      <c r="B86" s="45" t="inlineStr">
        <is>
          <t>Orlanete Souza</t>
        </is>
      </c>
      <c r="C86" s="45" t="inlineStr">
        <is>
          <t>Refil Everest</t>
        </is>
      </c>
      <c r="D86" s="46" t="n">
        <v>150</v>
      </c>
      <c r="E86" s="45" t="inlineStr">
        <is>
          <t>Crédito à Vista</t>
        </is>
      </c>
      <c r="F86" s="47" t="n">
        <v>5.27</v>
      </c>
      <c r="G86" s="48" t="n"/>
      <c r="H86" s="49" t="n"/>
      <c r="I86" s="45" t="n"/>
      <c r="J86" s="45" t="inlineStr">
        <is>
          <t>OUT-0016</t>
        </is>
      </c>
    </row>
    <row r="87">
      <c r="A87" s="17" t="n">
        <v>46252</v>
      </c>
      <c r="B87" s="18" t="inlineStr">
        <is>
          <t>Vitor Gabriel</t>
        </is>
      </c>
      <c r="C87" s="18" t="inlineStr">
        <is>
          <t>Refil Everest</t>
        </is>
      </c>
      <c r="D87" s="27" t="n">
        <v>120</v>
      </c>
      <c r="E87" s="18" t="inlineStr">
        <is>
          <t>Dinheiro</t>
        </is>
      </c>
      <c r="F87" s="19" t="n"/>
      <c r="G87" s="19" t="n"/>
      <c r="H87" s="21" t="n"/>
      <c r="I87" s="18" t="n"/>
      <c r="J87" s="18" t="n"/>
    </row>
    <row r="88">
      <c r="A88" s="44" t="n">
        <v>46252</v>
      </c>
      <c r="B88" s="45" t="inlineStr">
        <is>
          <t>Maria Madalena Nunes de Oliveira - Marijane</t>
        </is>
      </c>
      <c r="C88" s="45" t="inlineStr">
        <is>
          <t>Refil Pro Life + Pré Filtro</t>
        </is>
      </c>
      <c r="D88" s="46" t="n">
        <v>200</v>
      </c>
      <c r="E88" s="45" t="inlineStr">
        <is>
          <t>Crédito Parcelado</t>
        </is>
      </c>
      <c r="F88" s="47" t="n">
        <v>13.98</v>
      </c>
      <c r="G88" s="48" t="n"/>
      <c r="H88" s="49" t="n"/>
      <c r="I88" s="45" t="inlineStr">
        <is>
          <t>Crédito em 3x.</t>
        </is>
      </c>
      <c r="J88" t="inlineStr">
        <is>
          <t>CLI-0362</t>
        </is>
      </c>
    </row>
    <row r="89">
      <c r="A89" s="17" t="n">
        <v>46254</v>
      </c>
      <c r="B89" s="18" t="inlineStr">
        <is>
          <t>Edivaldo Jonas de Oliveira</t>
        </is>
      </c>
      <c r="C89" s="18" t="inlineStr">
        <is>
          <t>Refil Pro Life</t>
        </is>
      </c>
      <c r="D89" s="27" t="n">
        <v>140</v>
      </c>
      <c r="E89" s="18" t="inlineStr">
        <is>
          <t>Crédito Parcelado</t>
        </is>
      </c>
      <c r="F89" s="19" t="n">
        <v>9.970000000000001</v>
      </c>
      <c r="G89" s="19" t="n"/>
      <c r="H89" s="21" t="n"/>
      <c r="I89" s="18" t="inlineStr">
        <is>
          <t>Venda de 19/08/2026 — pagamento recebido em 20/08/2026 (crédito 3x)</t>
        </is>
      </c>
      <c r="J89" s="18" t="inlineStr">
        <is>
          <t>CLI-0211</t>
        </is>
      </c>
    </row>
    <row r="90">
      <c r="A90" s="44" t="n">
        <v>46253</v>
      </c>
      <c r="B90" s="45" t="inlineStr">
        <is>
          <t>Roup Mania</t>
        </is>
      </c>
      <c r="C90" s="45" t="inlineStr">
        <is>
          <t>2x Refil Everest</t>
        </is>
      </c>
      <c r="D90" s="46" t="n">
        <v>270</v>
      </c>
      <c r="E90" s="45" t="inlineStr">
        <is>
          <t>Pix</t>
        </is>
      </c>
      <c r="F90" s="47" t="n"/>
      <c r="G90" s="48" t="n"/>
      <c r="H90" s="49" t="n"/>
      <c r="I90" s="45" t="n"/>
      <c r="J90" s="45" t="inlineStr">
        <is>
          <t>EMP-0263</t>
        </is>
      </c>
    </row>
    <row r="91">
      <c r="A91" s="17" t="n">
        <v>46253</v>
      </c>
      <c r="B91" s="18" t="inlineStr">
        <is>
          <t>Cliente Consumidor Final</t>
        </is>
      </c>
      <c r="C91" s="18" t="inlineStr">
        <is>
          <t>Mangueira</t>
        </is>
      </c>
      <c r="D91" s="27" t="n">
        <v>10</v>
      </c>
      <c r="E91" s="18" t="inlineStr">
        <is>
          <t>Dinheiro</t>
        </is>
      </c>
      <c r="F91" s="19" t="n"/>
      <c r="G91" s="19" t="n"/>
      <c r="H91" s="21" t="n"/>
      <c r="I91" s="18" t="n"/>
      <c r="J91" s="18" t="n"/>
    </row>
    <row r="92">
      <c r="A92" s="44" t="n">
        <v>46253</v>
      </c>
      <c r="B92" s="45" t="inlineStr">
        <is>
          <t>Dona Rute (Limpeza)</t>
        </is>
      </c>
      <c r="C92" s="45" t="n"/>
      <c r="D92" s="46" t="n"/>
      <c r="E92" s="45" t="n"/>
      <c r="F92" s="47" t="n"/>
      <c r="G92" s="48" t="n">
        <v>50</v>
      </c>
      <c r="H92" s="49" t="inlineStr">
        <is>
          <t>Salários, Comissões e Encargos</t>
        </is>
      </c>
      <c r="I92" s="45" t="n"/>
    </row>
    <row r="93">
      <c r="A93" s="17" t="n">
        <v>46253</v>
      </c>
      <c r="B93" s="18" t="inlineStr">
        <is>
          <t>Gasolina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Transporte e Entregas</t>
        </is>
      </c>
      <c r="I93" s="18" t="n"/>
    </row>
    <row r="94">
      <c r="A94" s="44" t="n">
        <v>46253</v>
      </c>
      <c r="B94" s="45" t="inlineStr">
        <is>
          <t>Dm Contabilidade Acessoria e Consultoria</t>
        </is>
      </c>
      <c r="C94" s="45" t="inlineStr">
        <is>
          <t>Refil Pro Life</t>
        </is>
      </c>
      <c r="D94" s="46" t="n">
        <v>140</v>
      </c>
      <c r="E94" s="45" t="inlineStr">
        <is>
          <t>Crédito à Vista</t>
        </is>
      </c>
      <c r="F94" s="47" t="n"/>
      <c r="G94" s="48" t="n"/>
      <c r="H94" s="49" t="n"/>
      <c r="I94" s="45" t="n"/>
      <c r="J94" t="inlineStr">
        <is>
          <t>EMP-0120</t>
        </is>
      </c>
    </row>
    <row r="95">
      <c r="A95" s="17" t="n">
        <v>46253</v>
      </c>
      <c r="B95" s="18" t="inlineStr">
        <is>
          <t>Atacadão Lojão dos Calçados</t>
        </is>
      </c>
      <c r="C95" s="18" t="inlineStr">
        <is>
          <t>Refil Everest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n"/>
      <c r="J95" s="18" t="inlineStr">
        <is>
          <t>EMP-0309</t>
        </is>
      </c>
    </row>
    <row r="96">
      <c r="A96" s="44" t="n">
        <v>46253</v>
      </c>
      <c r="B96" s="45" t="inlineStr">
        <is>
          <t>Filtros Planeta Água</t>
        </is>
      </c>
      <c r="C96" s="45" t="n"/>
      <c r="D96" s="46" t="n"/>
      <c r="E96" s="45" t="n"/>
      <c r="F96" s="47" t="n"/>
      <c r="G96" s="48" t="n">
        <v>1385.85</v>
      </c>
      <c r="H96" s="49" t="inlineStr">
        <is>
          <t>Fornecedores / Mercadoria</t>
        </is>
      </c>
      <c r="I96" s="45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  <c r="J96" s="45" t="n"/>
    </row>
    <row r="97">
      <c r="A97" s="17" t="n">
        <v>46253</v>
      </c>
      <c r="B97" s="18" t="inlineStr">
        <is>
          <t>Lapec</t>
        </is>
      </c>
      <c r="C97" s="18" t="inlineStr">
        <is>
          <t>Refil C+3</t>
        </is>
      </c>
      <c r="D97" s="27" t="n">
        <v>100</v>
      </c>
      <c r="E97" s="18" t="inlineStr">
        <is>
          <t>Dinheiro</t>
        </is>
      </c>
      <c r="F97" s="19" t="n"/>
      <c r="G97" s="19" t="n"/>
      <c r="H97" s="21" t="n"/>
      <c r="I97" s="18" t="n"/>
      <c r="J97" t="inlineStr">
        <is>
          <t>EMP-0199</t>
        </is>
      </c>
    </row>
    <row r="98">
      <c r="A98" s="44" t="n">
        <v>46253</v>
      </c>
      <c r="B98" s="45" t="inlineStr">
        <is>
          <t>Canetas e Tesoura</t>
        </is>
      </c>
      <c r="C98" s="45" t="n"/>
      <c r="D98" s="46" t="n"/>
      <c r="E98" s="45" t="n"/>
      <c r="F98" s="47" t="n"/>
      <c r="G98" s="48" t="n">
        <v>10</v>
      </c>
      <c r="H98" s="49" t="inlineStr">
        <is>
          <t>Material de Limpeza e Escritório</t>
        </is>
      </c>
      <c r="I98" s="45" t="n"/>
      <c r="J98" s="45" t="n"/>
    </row>
    <row r="99">
      <c r="A99" s="17" t="n">
        <v>46254</v>
      </c>
      <c r="B99" s="18" t="inlineStr">
        <is>
          <t>Elvira Rocha Magalhães</t>
        </is>
      </c>
      <c r="C99" s="18" t="inlineStr">
        <is>
          <t>Refil Everest</t>
        </is>
      </c>
      <c r="D99" s="27" t="n">
        <v>140</v>
      </c>
      <c r="E99" s="18" t="inlineStr">
        <is>
          <t>Débito</t>
        </is>
      </c>
      <c r="F99" s="19" t="n">
        <v>2.03</v>
      </c>
      <c r="G99" s="19" t="n"/>
      <c r="H99" s="21" t="n"/>
      <c r="I99" s="18" t="n"/>
      <c r="J99" t="inlineStr">
        <is>
          <t>CLI-0885</t>
        </is>
      </c>
    </row>
    <row r="100" ht="15.75" customHeight="1" s="157">
      <c r="A100" s="44" t="n">
        <v>46254</v>
      </c>
      <c r="B100" s="45" t="inlineStr">
        <is>
          <t>Pedro Sangalo</t>
        </is>
      </c>
      <c r="C100" s="45" t="inlineStr">
        <is>
          <t>Refil Everest + Mangueira + Revisão/Manutenção</t>
        </is>
      </c>
      <c r="D100" s="46" t="n">
        <v>210</v>
      </c>
      <c r="E100" s="45" t="inlineStr">
        <is>
          <t>Pix</t>
        </is>
      </c>
      <c r="F100" s="47" t="n"/>
      <c r="G100" s="48" t="n"/>
      <c r="H100" s="49" t="n"/>
      <c r="I100" s="45" t="inlineStr">
        <is>
          <t>Recebido via Pix de Arena Daniel 73 LTDA — DOC 71208662 (20/08/2026)</t>
        </is>
      </c>
      <c r="J100" s="45" t="n"/>
    </row>
    <row r="101">
      <c r="A101" s="17" t="n">
        <v>46254</v>
      </c>
      <c r="B101" s="18" t="inlineStr">
        <is>
          <t>Endalba</t>
        </is>
      </c>
      <c r="C101" s="18" t="inlineStr">
        <is>
          <t>Refil Pro Life</t>
        </is>
      </c>
      <c r="D101" s="27" t="n">
        <v>135</v>
      </c>
      <c r="E101" s="18" t="inlineStr">
        <is>
          <t>Dinheiro</t>
        </is>
      </c>
      <c r="F101" s="19" t="n"/>
      <c r="G101" s="19" t="n"/>
      <c r="H101" s="21" t="n"/>
      <c r="I101" s="18" t="n"/>
      <c r="J101" t="inlineStr">
        <is>
          <t>CLI-0219</t>
        </is>
      </c>
    </row>
    <row r="102" ht="15.75" customHeight="1" s="157">
      <c r="A102" s="44" t="n">
        <v>46255</v>
      </c>
      <c r="B102" s="45" t="inlineStr">
        <is>
          <t>Salão de Luciana</t>
        </is>
      </c>
      <c r="C102" s="45" t="inlineStr">
        <is>
          <t>Refil Everest + Refil Carbon 9"</t>
        </is>
      </c>
      <c r="D102" s="46" t="n">
        <v>225</v>
      </c>
      <c r="E102" s="45" t="inlineStr">
        <is>
          <t>Crédito Parcelado</t>
        </is>
      </c>
      <c r="F102" s="47" t="n">
        <v>17.98</v>
      </c>
      <c r="G102" s="48" t="n"/>
      <c r="H102" s="49" t="n"/>
      <c r="I102" s="45" t="n"/>
      <c r="J102" s="45" t="inlineStr">
        <is>
          <t>EMP-0268</t>
        </is>
      </c>
    </row>
    <row r="103">
      <c r="A103" s="17" t="n">
        <v>46254</v>
      </c>
      <c r="B103" s="18" t="inlineStr">
        <is>
          <t>DAS — Documento de Arrecadação do Simples Nacional</t>
        </is>
      </c>
      <c r="C103" s="18" t="n"/>
      <c r="D103" s="27" t="n"/>
      <c r="E103" s="18" t="n"/>
      <c r="F103" s="19" t="n"/>
      <c r="G103" s="19" t="n">
        <v>2330.53</v>
      </c>
      <c r="H103" s="21" t="inlineStr">
        <is>
          <t>Impostos e Taxas</t>
        </is>
      </c>
      <c r="I103" s="18" t="inlineStr">
        <is>
          <t>Financiado por Capital de Giro (BB) — ver aba "Capital de Giro (BB)"</t>
        </is>
      </c>
      <c r="J103" s="18" t="n"/>
    </row>
    <row r="104" ht="15.75" customHeight="1" s="157">
      <c r="A104" s="44" t="n">
        <v>46254</v>
      </c>
      <c r="B104" s="45" t="inlineStr">
        <is>
          <t>FGTS</t>
        </is>
      </c>
      <c r="C104" s="45" t="n"/>
      <c r="D104" s="46" t="n"/>
      <c r="E104" s="45" t="n"/>
      <c r="F104" s="47" t="n"/>
      <c r="G104" s="48" t="n">
        <v>136</v>
      </c>
      <c r="H104" s="49" t="inlineStr">
        <is>
          <t>Impostos e Taxas</t>
        </is>
      </c>
      <c r="I104" s="45" t="inlineStr">
        <is>
          <t>Pago via Pix à Caixa Econômica Federal — DOC 70916805 (20/08/2026)</t>
        </is>
      </c>
    </row>
    <row r="105">
      <c r="A105" s="17" t="n">
        <v>46254</v>
      </c>
      <c r="B105" s="18" t="inlineStr">
        <is>
          <t>Pagamento de Tributos — Internet Banking</t>
        </is>
      </c>
      <c r="C105" s="18" t="n"/>
      <c r="D105" s="27" t="n"/>
      <c r="E105" s="18" t="n"/>
      <c r="F105" s="19" t="n"/>
      <c r="G105" s="19" t="n">
        <v>306.99</v>
      </c>
      <c r="H105" s="21" t="inlineStr">
        <is>
          <t>Impostos e Taxas</t>
        </is>
      </c>
      <c r="I105" s="18" t="inlineStr">
        <is>
          <t>Extrato: PGTO TRIBUTOS INTERNBANK — DOC 70953537 (20/08/2026)</t>
        </is>
      </c>
    </row>
    <row r="106">
      <c r="A106" s="44" t="n">
        <v>46255</v>
      </c>
      <c r="B106" s="45" t="inlineStr">
        <is>
          <t>Luana Mesquita Victoria</t>
        </is>
      </c>
      <c r="C106" s="45" t="inlineStr">
        <is>
          <t>Purificador Everest Foz Grafite</t>
        </is>
      </c>
      <c r="D106" s="46" t="n">
        <v>1689</v>
      </c>
      <c r="E106" s="45" t="inlineStr">
        <is>
          <t>Crédito Parcelado</t>
        </is>
      </c>
      <c r="F106" s="47" t="n">
        <v>236.29</v>
      </c>
      <c r="G106" s="48" t="n"/>
      <c r="H106" s="49" t="n"/>
      <c r="I106" s="45" t="n"/>
      <c r="J106" t="inlineStr">
        <is>
          <t>CLI-0887</t>
        </is>
      </c>
    </row>
    <row r="107">
      <c r="A107" s="17" t="n">
        <v>46255</v>
      </c>
      <c r="B107" s="18" t="inlineStr">
        <is>
          <t>Amélia Pinho</t>
        </is>
      </c>
      <c r="C107" s="18" t="inlineStr">
        <is>
          <t>Refil Pro Life + Pré Filtro</t>
        </is>
      </c>
      <c r="D107" s="27" t="n">
        <v>200</v>
      </c>
      <c r="E107" s="18" t="inlineStr">
        <is>
          <t>Débito</t>
        </is>
      </c>
      <c r="F107" s="19" t="n">
        <v>2.9</v>
      </c>
      <c r="G107" s="19" t="n"/>
      <c r="H107" s="21" t="n"/>
      <c r="I107" s="18" t="n"/>
      <c r="J107" s="18" t="n"/>
    </row>
    <row r="108">
      <c r="A108" s="44" t="n">
        <v>46255</v>
      </c>
      <c r="B108" s="45" t="inlineStr">
        <is>
          <t>Colégio Armando Xavier de Oliveira</t>
        </is>
      </c>
      <c r="C108" s="45" t="inlineStr">
        <is>
          <t>Refil Plissado + Refil Carbon 9"</t>
        </is>
      </c>
      <c r="D108" s="46" t="n">
        <v>150</v>
      </c>
      <c r="E108" s="45" t="inlineStr">
        <is>
          <t>Dinheiro</t>
        </is>
      </c>
      <c r="F108" s="47" t="n"/>
      <c r="G108" s="48" t="n"/>
      <c r="H108" s="49" t="n"/>
      <c r="I108" s="45" t="n"/>
    </row>
    <row r="109">
      <c r="A109" s="17" t="n">
        <v>46255</v>
      </c>
      <c r="B109" s="18" t="inlineStr">
        <is>
          <t>Diarista Eva</t>
        </is>
      </c>
      <c r="C109" s="18" t="n"/>
      <c r="D109" s="27" t="n"/>
      <c r="E109" s="18" t="n"/>
      <c r="F109" s="19" t="n"/>
      <c r="G109" s="19" t="n">
        <v>250</v>
      </c>
      <c r="H109" s="21" t="inlineStr">
        <is>
          <t>Pro Labore Edilânia</t>
        </is>
      </c>
      <c r="I109" s="18" t="n"/>
    </row>
    <row r="110">
      <c r="A110" s="44" t="n">
        <v>46255</v>
      </c>
      <c r="B110" s="45" t="inlineStr">
        <is>
          <t>Gasolina</t>
        </is>
      </c>
      <c r="C110" s="45" t="n"/>
      <c r="D110" s="46" t="n"/>
      <c r="E110" s="45" t="n"/>
      <c r="F110" s="47" t="n"/>
      <c r="G110" s="48" t="n">
        <v>20</v>
      </c>
      <c r="H110" s="49" t="inlineStr">
        <is>
          <t>Transporte e Entregas</t>
        </is>
      </c>
      <c r="I110" s="45" t="n"/>
    </row>
    <row r="111">
      <c r="A111" s="17" t="n">
        <v>46255</v>
      </c>
      <c r="B111" s="18" t="inlineStr">
        <is>
          <t>Everest</t>
        </is>
      </c>
      <c r="C111" s="18" t="n"/>
      <c r="D111" s="27" t="n"/>
      <c r="E111" s="18" t="n"/>
      <c r="F111" s="19" t="n"/>
      <c r="G111" s="19" t="n">
        <v>874.6799999999999</v>
      </c>
      <c r="H111" s="21" t="inlineStr">
        <is>
          <t>Fornecedores / Mercadoria</t>
        </is>
      </c>
      <c r="I111" s="18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2">
      <c r="A112" s="44" t="n">
        <v>46261</v>
      </c>
      <c r="B112" s="45" t="inlineStr">
        <is>
          <t>Hospital e Clinica Santa Barbara</t>
        </is>
      </c>
      <c r="C112" s="45" t="inlineStr">
        <is>
          <t>Purificador Everest Foz Branco</t>
        </is>
      </c>
      <c r="D112" s="46" t="n">
        <v>1489</v>
      </c>
      <c r="E112" s="45" t="inlineStr">
        <is>
          <t>Pix</t>
        </is>
      </c>
      <c r="F112" s="47" t="n"/>
      <c r="G112" s="48" t="n"/>
      <c r="H112" s="49" t="n"/>
      <c r="I112" s="45" t="n"/>
      <c r="J112" t="inlineStr">
        <is>
          <t>EMP-0172</t>
        </is>
      </c>
    </row>
    <row r="113">
      <c r="A113" s="17" t="n">
        <v>46256</v>
      </c>
      <c r="B113" s="18" t="inlineStr">
        <is>
          <t>Cliente Consumidor Final</t>
        </is>
      </c>
      <c r="C113" s="18" t="inlineStr">
        <is>
          <t>Refil FP4</t>
        </is>
      </c>
      <c r="D113" s="27" t="n">
        <v>80</v>
      </c>
      <c r="E113" s="18" t="inlineStr">
        <is>
          <t>Dinheiro</t>
        </is>
      </c>
      <c r="F113" s="19" t="n"/>
      <c r="G113" s="19" t="n"/>
      <c r="H113" s="21" t="n"/>
      <c r="I113" s="18" t="n"/>
      <c r="J113" s="18" t="n"/>
    </row>
    <row r="114">
      <c r="A114" s="44" t="n">
        <v>46256</v>
      </c>
      <c r="B114" s="45" t="inlineStr">
        <is>
          <t>Academia Diego Cesar</t>
        </is>
      </c>
      <c r="C114" s="45" t="inlineStr">
        <is>
          <t>Refil Carbon Tech 9"</t>
        </is>
      </c>
      <c r="D114" s="46" t="n">
        <v>90</v>
      </c>
      <c r="E114" s="45" t="inlineStr">
        <is>
          <t>Pix</t>
        </is>
      </c>
      <c r="F114" s="47" t="n"/>
      <c r="G114" s="48" t="n"/>
      <c r="H114" s="49" t="n"/>
      <c r="I114" s="45" t="n"/>
      <c r="J114" t="inlineStr">
        <is>
          <t>EMP-0310</t>
        </is>
      </c>
    </row>
    <row r="115">
      <c r="A115" s="17" t="n">
        <v>46256</v>
      </c>
      <c r="B115" s="18" t="inlineStr">
        <is>
          <t>Pedras e Pisos Depósito</t>
        </is>
      </c>
      <c r="C115" s="18" t="inlineStr">
        <is>
          <t>Refil E3</t>
        </is>
      </c>
      <c r="D115" s="27" t="n">
        <v>100</v>
      </c>
      <c r="E115" s="18" t="inlineStr">
        <is>
          <t>Dinheiro</t>
        </is>
      </c>
      <c r="F115" s="19" t="n"/>
      <c r="G115" s="19" t="n"/>
      <c r="H115" s="21" t="n"/>
      <c r="I115" s="18" t="n"/>
      <c r="J115" s="18" t="inlineStr">
        <is>
          <t>EMP-0245</t>
        </is>
      </c>
    </row>
    <row r="116">
      <c r="A116" s="44" t="n">
        <v>46254</v>
      </c>
      <c r="B116" s="45" t="inlineStr">
        <is>
          <t>Tarifa Pix</t>
        </is>
      </c>
      <c r="C116" s="45" t="n"/>
      <c r="D116" s="46" t="n"/>
      <c r="E116" s="45" t="n"/>
      <c r="F116" s="47" t="n"/>
      <c r="G116" s="48" t="n">
        <v>1</v>
      </c>
      <c r="H116" s="49" t="inlineStr">
        <is>
          <t>Tarifas Bancárias e Cartão</t>
        </is>
      </c>
      <c r="I116" s="45" t="inlineStr">
        <is>
          <t>Extrato: TAR PIX PAGTO TRANSFERENC — DOC 70819916 (20/08/2026)</t>
        </is>
      </c>
      <c r="J116" s="45" t="n"/>
    </row>
    <row r="117">
      <c r="A117" s="17" t="n">
        <v>46256</v>
      </c>
      <c r="B117" s="18" t="inlineStr">
        <is>
          <t>Comissão Wiliam</t>
        </is>
      </c>
      <c r="C117" s="18" t="n"/>
      <c r="D117" s="27" t="n"/>
      <c r="E117" s="18" t="n"/>
      <c r="F117" s="19" t="n"/>
      <c r="G117" s="19" t="n">
        <v>590</v>
      </c>
      <c r="H117" s="21" t="inlineStr">
        <is>
          <t>Salários, Comissões e Encargos</t>
        </is>
      </c>
      <c r="I117" s="18" t="inlineStr">
        <is>
          <t>Comissões da quinzena de 10/08 a 22/08/2026 — 53 serviços</t>
        </is>
      </c>
    </row>
    <row r="118">
      <c r="A118" s="44" t="n">
        <v>46258</v>
      </c>
      <c r="B118" s="45" t="inlineStr">
        <is>
          <t>UNIFG Brumado (Brumado/BA)</t>
        </is>
      </c>
      <c r="C118" s="45" t="inlineStr">
        <is>
          <t>3x Refil E3 + 3x Refil Pré E3 + 2x Refil Carbon Tech 5" + 2x Refil FP4 + 2x Refil Multifilter</t>
        </is>
      </c>
      <c r="D118" s="46" t="n">
        <v>1358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Grupo Ânima — OC PO_CESGPO00006007_0 · orçamento de 07/07/2026 (desc. 3%) · pago via Pix pela CESG em 24/08/2026</t>
        </is>
      </c>
    </row>
    <row r="119">
      <c r="A119" s="17" t="n">
        <v>46258</v>
      </c>
      <c r="B119" s="18" t="inlineStr">
        <is>
          <t>UNIFG Vasco da Gama (Guanambi/BA)</t>
        </is>
      </c>
      <c r="C119" s="18" t="inlineStr">
        <is>
          <t>11x Refil E3 + 6x Refil Pré E3</t>
        </is>
      </c>
      <c r="D119" s="27" t="n">
        <v>2320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PO_CESGPO00006009_1 · orçamento de 07/07/2026 · pago via Pix pela CESG em 24/08/2026</t>
        </is>
      </c>
    </row>
    <row r="120">
      <c r="A120" s="44" t="n">
        <v>46258</v>
      </c>
      <c r="B120" s="45" t="inlineStr">
        <is>
          <t>UNP Salgado Filho (Natal/RN)</t>
        </is>
      </c>
      <c r="C120" s="45" t="inlineStr">
        <is>
          <t>8x Refil E3 + 8x Refil Pré E3 + 6x Refil Carbon Tech 9"</t>
        </is>
      </c>
      <c r="D120" s="46" t="n">
        <v>2948.8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PO_APECPO00019433_0 · orçamento de 08/07/2026 (desc. 3%) · pago via Pix pela APEC em 24/08/2026</t>
        </is>
      </c>
    </row>
    <row r="121">
      <c r="A121" s="17" t="n">
        <v>46258</v>
      </c>
      <c r="B121" s="18" t="inlineStr">
        <is>
          <t>FG Piedade (Jaboatão/PE)</t>
        </is>
      </c>
      <c r="C121" s="18" t="inlineStr">
        <is>
          <t>10x Refil E3 + 10x Refil Pré E3</t>
        </is>
      </c>
      <c r="D121" s="27" t="n">
        <v>2600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PO_SOCECPO00006536_0 · orçamento de 08/07/2026 · pago via Pix pela SOCEC em 24/08/2026</t>
        </is>
      </c>
    </row>
    <row r="122">
      <c r="A122" s="44" t="n">
        <v>46258</v>
      </c>
      <c r="B122" s="45" t="inlineStr">
        <is>
          <t>FPB João Pessoa (João Pessoa/PB)</t>
        </is>
      </c>
      <c r="C122" s="45" t="inlineStr">
        <is>
          <t>10x Refil E3 + 10x Refil Pré E3 + 4x Refil BAG + 2x Refil Pro Life</t>
        </is>
      </c>
      <c r="D122" s="46" t="n">
        <v>3181.6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PO_ASPECPO00004346_0 · orçamento de 08/07/2026 (desc. 3%) · pago via Pix pela ASPEC em 24/08/2026</t>
        </is>
      </c>
    </row>
    <row r="123">
      <c r="A123" s="17" t="n">
        <v>46238</v>
      </c>
      <c r="B123" s="18" t="inlineStr">
        <is>
          <t>Click Comércio e Distribuição</t>
        </is>
      </c>
      <c r="C123" s="18" t="n"/>
      <c r="D123" s="27" t="n"/>
      <c r="E123" s="18" t="n"/>
      <c r="F123" s="19" t="n"/>
      <c r="G123" s="19" t="n">
        <v>3</v>
      </c>
      <c r="H123" s="21" t="inlineStr">
        <is>
          <t>Pro Labore Edilânia</t>
        </is>
      </c>
      <c r="I123" s="18" t="inlineStr">
        <is>
          <t>Extrato Stone — Pix de 04/08/2026</t>
        </is>
      </c>
    </row>
    <row r="124">
      <c r="A124" s="44" t="n">
        <v>46238</v>
      </c>
      <c r="B124" s="45" t="inlineStr">
        <is>
          <t>Vaz Comércio de Cosméticos</t>
        </is>
      </c>
      <c r="C124" s="45" t="n"/>
      <c r="D124" s="46" t="n"/>
      <c r="E124" s="45" t="n"/>
      <c r="F124" s="47" t="n"/>
      <c r="G124" s="48" t="n">
        <v>10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Estacionamento (Pagar.me)</t>
        </is>
      </c>
      <c r="C125" s="18" t="n"/>
      <c r="D125" s="27" t="n"/>
      <c r="E125" s="18" t="n"/>
      <c r="F125" s="19" t="n"/>
      <c r="G125" s="19" t="n">
        <v>4.8</v>
      </c>
      <c r="H125" s="21" t="inlineStr">
        <is>
          <t>Transporte e Entregas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2.4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46239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05/08/2026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1.2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46244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2.4</v>
      </c>
      <c r="H129" s="21" t="inlineStr">
        <is>
          <t>Transporte e Entregas</t>
        </is>
      </c>
      <c r="I129" s="18" t="inlineStr">
        <is>
          <t>Extrato Stone — Pix de 10/08/2026</t>
        </is>
      </c>
    </row>
    <row r="130">
      <c r="A130" s="44" t="n">
        <v>46245</v>
      </c>
      <c r="B130" s="45" t="inlineStr">
        <is>
          <t>Claudina dos Santos Morais</t>
        </is>
      </c>
      <c r="C130" s="45" t="n"/>
      <c r="D130" s="46" t="n"/>
      <c r="E130" s="45" t="n"/>
      <c r="F130" s="47" t="n"/>
      <c r="G130" s="48" t="n">
        <v>120</v>
      </c>
      <c r="H130" s="49" t="inlineStr">
        <is>
          <t>Pro Labore Edilânia</t>
        </is>
      </c>
      <c r="I130" s="45" t="inlineStr">
        <is>
          <t>Extrato Stone — Pix de 11/08/2026</t>
        </is>
      </c>
    </row>
    <row r="131">
      <c r="A131" s="17" t="n">
        <v>46245</v>
      </c>
      <c r="B131" s="18" t="inlineStr">
        <is>
          <t>Gerlaine Vieira Santos Costa</t>
        </is>
      </c>
      <c r="C131" s="18" t="n"/>
      <c r="D131" s="27" t="n"/>
      <c r="E131" s="18" t="n"/>
      <c r="F131" s="19" t="n"/>
      <c r="G131" s="19" t="n">
        <v>50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46246</v>
      </c>
      <c r="B132" s="45" t="inlineStr">
        <is>
          <t>Malena Lorrane Santos do Nascimento</t>
        </is>
      </c>
      <c r="C132" s="45" t="n"/>
      <c r="D132" s="46" t="n"/>
      <c r="E132" s="45" t="n"/>
      <c r="F132" s="47" t="n"/>
      <c r="G132" s="48" t="n">
        <v>40</v>
      </c>
      <c r="H132" s="49" t="inlineStr">
        <is>
          <t>Pro Labore Edilânia</t>
        </is>
      </c>
      <c r="I132" s="45" t="inlineStr">
        <is>
          <t>Extrato Stone — Pix de 12/08/2026</t>
        </is>
      </c>
    </row>
    <row r="133">
      <c r="A133" s="17" t="n">
        <v>46247</v>
      </c>
      <c r="B133" s="18" t="inlineStr">
        <is>
          <t>Evanice Ferreira da Silva</t>
        </is>
      </c>
      <c r="C133" s="18" t="n"/>
      <c r="D133" s="27" t="n"/>
      <c r="E133" s="18" t="n"/>
      <c r="F133" s="19" t="n"/>
      <c r="G133" s="19" t="n">
        <v>90</v>
      </c>
      <c r="H133" s="21" t="inlineStr">
        <is>
          <t>Pro Labore Edilânia</t>
        </is>
      </c>
      <c r="I133" s="18" t="inlineStr">
        <is>
          <t>Extrato Stone — Pix de 13/08/2026</t>
        </is>
      </c>
    </row>
    <row r="134">
      <c r="A134" s="44" t="n">
        <v>46247</v>
      </c>
      <c r="B134" s="45" t="inlineStr">
        <is>
          <t>Luciana Cruz Freire Santos</t>
        </is>
      </c>
      <c r="C134" s="45" t="n"/>
      <c r="D134" s="46" t="n"/>
      <c r="E134" s="45" t="n"/>
      <c r="F134" s="47" t="n"/>
      <c r="G134" s="48" t="n">
        <v>130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46249</v>
      </c>
      <c r="B135" s="18" t="inlineStr">
        <is>
          <t>Teresinha Almeida Silva Costa</t>
        </is>
      </c>
      <c r="C135" s="18" t="n"/>
      <c r="D135" s="27" t="n"/>
      <c r="E135" s="18" t="n"/>
      <c r="F135" s="19" t="n"/>
      <c r="G135" s="19" t="n">
        <v>73</v>
      </c>
      <c r="H135" s="21" t="inlineStr">
        <is>
          <t>Pro Labore Edilânia</t>
        </is>
      </c>
      <c r="I135" s="18" t="inlineStr">
        <is>
          <t>Extrato Stone — Pix de 15/08/2026</t>
        </is>
      </c>
    </row>
    <row r="136">
      <c r="A136" s="44" t="n">
        <v>46251</v>
      </c>
      <c r="B136" s="45" t="inlineStr">
        <is>
          <t>Daniel Barbosa dos Santos (Moto Táxi)</t>
        </is>
      </c>
      <c r="C136" s="45" t="n"/>
      <c r="D136" s="46" t="n"/>
      <c r="E136" s="45" t="n"/>
      <c r="F136" s="47" t="n"/>
      <c r="G136" s="48" t="n">
        <v>16</v>
      </c>
      <c r="H136" s="49" t="inlineStr">
        <is>
          <t>Transporte e Entregas</t>
        </is>
      </c>
      <c r="I136" s="45" t="inlineStr">
        <is>
          <t>Extrato Stone — Pix de 17/08/2026</t>
        </is>
      </c>
    </row>
    <row r="137">
      <c r="A137" s="17" t="n">
        <v>46252</v>
      </c>
      <c r="B137" s="18" t="inlineStr">
        <is>
          <t>Japedido Software</t>
        </is>
      </c>
      <c r="C137" s="18" t="n"/>
      <c r="D137" s="27" t="n"/>
      <c r="E137" s="18" t="n"/>
      <c r="F137" s="19" t="n"/>
      <c r="G137" s="19" t="n">
        <v>49.49</v>
      </c>
      <c r="H137" s="21" t="inlineStr">
        <is>
          <t>Pro Labore Edilânia</t>
        </is>
      </c>
      <c r="I137" s="18" t="inlineStr">
        <is>
          <t>Extrato Stone — Pix de 18/08/2026</t>
        </is>
      </c>
    </row>
    <row r="138">
      <c r="A138" s="44" t="n">
        <v>46252</v>
      </c>
      <c r="B138" s="45" t="inlineStr">
        <is>
          <t>L. A. Moreira Gráfica e Informática</t>
        </is>
      </c>
      <c r="C138" s="45" t="n"/>
      <c r="D138" s="46" t="n"/>
      <c r="E138" s="45" t="n"/>
      <c r="F138" s="47" t="n"/>
      <c r="G138" s="48" t="n">
        <v>18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Antonia Bizerra Neta</t>
        </is>
      </c>
      <c r="C139" s="18" t="n"/>
      <c r="D139" s="27" t="n"/>
      <c r="E139" s="18" t="n"/>
      <c r="F139" s="19" t="n"/>
      <c r="G139" s="19" t="n">
        <v>51.6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46253</v>
      </c>
      <c r="B140" s="45" t="inlineStr">
        <is>
          <t>Pampet Club</t>
        </is>
      </c>
      <c r="C140" s="45" t="n"/>
      <c r="D140" s="46" t="n"/>
      <c r="E140" s="45" t="n"/>
      <c r="F140" s="47" t="n"/>
      <c r="G140" s="48" t="n">
        <v>28</v>
      </c>
      <c r="H140" s="49" t="inlineStr">
        <is>
          <t>Pro Labore Edilânia</t>
        </is>
      </c>
      <c r="I140" s="45" t="inlineStr">
        <is>
          <t>Extrato Stone — Pix de 19/08/2026</t>
        </is>
      </c>
    </row>
    <row r="141">
      <c r="A141" s="17" t="n">
        <v>46255</v>
      </c>
      <c r="B141" s="18" t="inlineStr">
        <is>
          <t>Laura Christina Pecanhuk Hutson Schwenker Arcara Sales</t>
        </is>
      </c>
      <c r="C141" s="18" t="n"/>
      <c r="D141" s="27" t="n"/>
      <c r="E141" s="18" t="n"/>
      <c r="F141" s="19" t="n"/>
      <c r="G141" s="19" t="n">
        <v>50</v>
      </c>
      <c r="H141" s="21" t="inlineStr">
        <is>
          <t>Pro Labore Edilânia</t>
        </is>
      </c>
      <c r="I141" s="18" t="inlineStr">
        <is>
          <t>Extrato Stone — Pix de 21/08/2026</t>
        </is>
      </c>
    </row>
    <row r="142">
      <c r="A142" s="44" t="n">
        <v>46258</v>
      </c>
      <c r="B142" s="45" t="inlineStr">
        <is>
          <t>Estacionamento (Pagar.me)</t>
        </is>
      </c>
      <c r="C142" s="45" t="n"/>
      <c r="D142" s="46" t="n"/>
      <c r="E142" s="45" t="n"/>
      <c r="F142" s="47" t="n"/>
      <c r="G142" s="48" t="n">
        <v>2.4</v>
      </c>
      <c r="H142" s="49" t="inlineStr">
        <is>
          <t>Transporte e Entregas</t>
        </is>
      </c>
      <c r="I142" s="45" t="inlineStr">
        <is>
          <t>Extrato Stone — Pix de 24/08/2026</t>
        </is>
      </c>
    </row>
    <row r="143">
      <c r="A143" s="17" t="n">
        <v>46258</v>
      </c>
      <c r="B143" s="18" t="inlineStr">
        <is>
          <t>Comercial de Estivas e Cereais Rio do Ouro</t>
        </is>
      </c>
      <c r="C143" s="18" t="n"/>
      <c r="D143" s="27" t="n"/>
      <c r="E143" s="18" t="n"/>
      <c r="F143" s="19" t="n"/>
      <c r="G143" s="19" t="n">
        <v>58.1</v>
      </c>
      <c r="H143" s="21" t="inlineStr">
        <is>
          <t>Pro Labore Edilânia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Cliente Consumidor Final</t>
        </is>
      </c>
      <c r="C144" s="45" t="inlineStr">
        <is>
          <t>Refil Universal</t>
        </is>
      </c>
      <c r="D144" s="46" t="n">
        <v>30</v>
      </c>
      <c r="E144" s="45" t="inlineStr">
        <is>
          <t>Crédito à Vista</t>
        </is>
      </c>
      <c r="F144" s="47" t="n">
        <v>1.05</v>
      </c>
      <c r="G144" s="48" t="n"/>
      <c r="H144" s="49" t="n"/>
      <c r="I144" s="45" t="n"/>
    </row>
    <row r="145">
      <c r="A145" s="17" t="n">
        <v>46258</v>
      </c>
      <c r="B145" s="18" t="inlineStr">
        <is>
          <t>Papelaria Castro</t>
        </is>
      </c>
      <c r="C145" s="18" t="inlineStr">
        <is>
          <t>Refil Pro Life + Pré Filtro</t>
        </is>
      </c>
      <c r="D145" s="27" t="n">
        <v>185</v>
      </c>
      <c r="E145" s="18" t="inlineStr">
        <is>
          <t>Dinheiro</t>
        </is>
      </c>
      <c r="F145" s="19" t="n"/>
      <c r="G145" s="19" t="n"/>
      <c r="H145" s="21" t="n"/>
      <c r="I145" s="18" t="n"/>
      <c r="J145" t="inlineStr">
        <is>
          <t>EMP-0243</t>
        </is>
      </c>
    </row>
    <row r="146">
      <c r="A146" s="44" t="n">
        <v>46259</v>
      </c>
      <c r="B146" s="45" t="inlineStr">
        <is>
          <t>Cristiane Lima Procopio</t>
        </is>
      </c>
      <c r="C146" s="45" t="inlineStr">
        <is>
          <t>Refil Everest + Pré Filtro</t>
        </is>
      </c>
      <c r="D146" s="50" t="n">
        <v>200</v>
      </c>
      <c r="E146" s="45" t="inlineStr">
        <is>
          <t>Pix</t>
        </is>
      </c>
      <c r="F146" s="47" t="n"/>
      <c r="G146" s="47" t="n"/>
      <c r="H146" s="49" t="n"/>
      <c r="I146" s="45" t="inlineStr">
        <is>
          <t>Venda de 24/08/2026 — pagamento recebido via Pix em 25/08/2026</t>
        </is>
      </c>
      <c r="J146" s="45" t="inlineStr">
        <is>
          <t>CLI-0471</t>
        </is>
      </c>
    </row>
    <row r="147">
      <c r="A147" s="17" t="n">
        <v>46258</v>
      </c>
      <c r="B147" s="18" t="inlineStr">
        <is>
          <t>ICMS Antecipação Parcial</t>
        </is>
      </c>
      <c r="C147" s="18" t="n"/>
      <c r="D147" s="134" t="n"/>
      <c r="E147" s="18" t="n"/>
      <c r="F147" s="19" t="n"/>
      <c r="G147" s="20" t="n">
        <v>2135.72</v>
      </c>
      <c r="H147" s="21" t="inlineStr">
        <is>
          <t>Impostos e Taxas</t>
        </is>
      </c>
      <c r="I147" s="18" t="n"/>
      <c r="J147" s="18" t="n"/>
    </row>
    <row r="148">
      <c r="A148" s="44" t="n">
        <v>46259</v>
      </c>
      <c r="B148" s="45" t="inlineStr">
        <is>
          <t>Clinica Sao Lucas (Caém)</t>
        </is>
      </c>
      <c r="C148" s="45" t="inlineStr">
        <is>
          <t>Refil Pro Life + Mangueira</t>
        </is>
      </c>
      <c r="D148" s="50" t="n">
        <v>130</v>
      </c>
      <c r="E148" s="45" t="inlineStr">
        <is>
          <t>Crédito Parcelado</t>
        </is>
      </c>
      <c r="F148" s="47" t="n">
        <v>9.09</v>
      </c>
      <c r="G148" s="47" t="n"/>
      <c r="H148" s="49" t="n"/>
      <c r="I148" s="45" t="n"/>
    </row>
    <row r="149" ht="15.75" customHeight="1" s="157">
      <c r="A149" s="17" t="n">
        <v>46259</v>
      </c>
      <c r="B149" s="18" t="inlineStr">
        <is>
          <t>Luciano de Matos Nascimento</t>
        </is>
      </c>
      <c r="C149" s="18" t="inlineStr">
        <is>
          <t>Purificador Everest Star Prata</t>
        </is>
      </c>
      <c r="D149" s="134" t="n">
        <v>1486</v>
      </c>
      <c r="E149" s="18" t="inlineStr">
        <is>
          <t>Crédito Parcelado</t>
        </is>
      </c>
      <c r="F149" s="19" t="n">
        <v>207.89</v>
      </c>
      <c r="G149" s="20" t="n"/>
      <c r="H149" s="21" t="n"/>
      <c r="I149" s="18" t="inlineStr">
        <is>
          <t>Crédito em 10x</t>
        </is>
      </c>
      <c r="J149" t="inlineStr">
        <is>
          <t>CLI-0886</t>
        </is>
      </c>
    </row>
    <row r="150">
      <c r="A150" s="44" t="n">
        <v>46259</v>
      </c>
      <c r="B150" s="45" t="inlineStr">
        <is>
          <t>Filtros Planeta Água</t>
        </is>
      </c>
      <c r="C150" s="45" t="n"/>
      <c r="D150" s="50" t="n"/>
      <c r="E150" s="45" t="n"/>
      <c r="F150" s="47" t="n"/>
      <c r="G150" s="47" t="n">
        <v>504.34</v>
      </c>
      <c r="H150" s="49" t="inlineStr">
        <is>
          <t>Fornecedores / Mercadoria</t>
        </is>
      </c>
      <c r="I150" s="45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  <c r="J150" s="45" t="n"/>
    </row>
    <row r="151">
      <c r="A151" s="17" t="n">
        <v>46259</v>
      </c>
      <c r="B151" s="18" t="inlineStr">
        <is>
          <t>Fix English School</t>
        </is>
      </c>
      <c r="C151" s="18" t="n"/>
      <c r="D151" s="134" t="n"/>
      <c r="E151" s="18" t="n"/>
      <c r="F151" s="19" t="n"/>
      <c r="G151" s="20" t="n">
        <v>137</v>
      </c>
      <c r="H151" s="21" t="inlineStr">
        <is>
          <t>Pro Labore Edilânia</t>
        </is>
      </c>
      <c r="I151" s="18" t="n"/>
    </row>
    <row r="152">
      <c r="A152" s="44" t="n">
        <v>46251</v>
      </c>
      <c r="B152" s="45" t="inlineStr">
        <is>
          <t>Retirada Complementar — Despesas de 17/08</t>
        </is>
      </c>
      <c r="C152" s="45" t="n"/>
      <c r="D152" s="50" t="n"/>
      <c r="E152" s="45" t="n"/>
      <c r="F152" s="47" t="n"/>
      <c r="G152" s="47" t="n">
        <v>250</v>
      </c>
      <c r="H152" s="49" t="inlineStr">
        <is>
          <t>Outras Despesas</t>
        </is>
      </c>
      <c r="I152" s="45" t="inlineStr">
        <is>
          <t>Financiado por Capital de Giro (BB) — ver aba "Capital de Giro (BB)"</t>
        </is>
      </c>
    </row>
    <row r="153">
      <c r="A153" s="17" t="n">
        <v>46260</v>
      </c>
      <c r="B153" s="18" t="inlineStr">
        <is>
          <t>Cliente Consumidor Final</t>
        </is>
      </c>
      <c r="C153" s="18" t="inlineStr">
        <is>
          <t>Refil Carbon Tech 9"</t>
        </is>
      </c>
      <c r="D153" s="134" t="n">
        <v>80</v>
      </c>
      <c r="E153" s="18" t="inlineStr">
        <is>
          <t>Dinheiro</t>
        </is>
      </c>
      <c r="F153" s="19" t="n"/>
      <c r="G153" s="20" t="n"/>
      <c r="H153" s="21" t="n"/>
      <c r="I153" s="18" t="n"/>
    </row>
    <row r="154">
      <c r="A154" s="44" t="n">
        <v>46260</v>
      </c>
      <c r="B154" s="45" t="inlineStr">
        <is>
          <t>Luana Mesquita Victoria</t>
        </is>
      </c>
      <c r="C154" s="45" t="inlineStr">
        <is>
          <t>Pré Filtro</t>
        </is>
      </c>
      <c r="D154" s="50" t="n">
        <v>60</v>
      </c>
      <c r="E154" s="45" t="inlineStr">
        <is>
          <t>Pix</t>
        </is>
      </c>
      <c r="F154" s="47" t="n"/>
      <c r="G154" s="47" t="n"/>
      <c r="H154" s="49" t="n"/>
      <c r="I154" s="45" t="n"/>
      <c r="J154" t="inlineStr">
        <is>
          <t>CLI-0887</t>
        </is>
      </c>
    </row>
    <row r="155">
      <c r="A155" s="17" t="n">
        <v>46261</v>
      </c>
      <c r="B155" s="18" t="inlineStr">
        <is>
          <t>Cícero Lima</t>
        </is>
      </c>
      <c r="C155" s="18" t="inlineStr">
        <is>
          <t>Refil Everest</t>
        </is>
      </c>
      <c r="D155" s="134" t="n">
        <v>140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CLI-0738</t>
        </is>
      </c>
    </row>
    <row r="156">
      <c r="A156" s="44" t="n">
        <v>46262</v>
      </c>
      <c r="B156" s="45" t="inlineStr">
        <is>
          <t>Promotoria Regional de Jacobina</t>
        </is>
      </c>
      <c r="C156" s="45" t="inlineStr">
        <is>
          <t>2x Carcaça 9" + 2x Refil Plissado 9" + Conexão Reta Rosca</t>
        </is>
      </c>
      <c r="D156" s="50" t="n">
        <v>270</v>
      </c>
      <c r="E156" s="45" t="inlineStr">
        <is>
          <t>Pix</t>
        </is>
      </c>
      <c r="F156" s="47" t="n"/>
      <c r="G156" s="47" t="n"/>
      <c r="H156" s="49" t="n"/>
      <c r="I156" s="45" t="inlineStr">
        <is>
          <t>Venda única de R$ 470,00 (27/08/2026), paga em 28/08/2026 em duas formas: R$ 270,00 Pix (esta linha) + R$ 200,00 crédito 2x (linha seguinte). Os produtos estão listados só aqui.</t>
        </is>
      </c>
      <c r="J156" s="45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(Mesma venda acima — 2ª forma de pagamento, sem produtos novos)</t>
        </is>
      </c>
      <c r="D157" s="134" t="n">
        <v>200</v>
      </c>
      <c r="E157" s="18" t="inlineStr">
        <is>
          <t>Crédito Parcelado</t>
        </is>
      </c>
      <c r="F157" s="19" t="n">
        <v>16.76</v>
      </c>
      <c r="G157" s="20" t="n"/>
      <c r="H157" s="21" t="n"/>
      <c r="I157" s="18" t="inlineStr">
        <is>
          <t>Parte 2/2 da venda de R$ 470,00 da Promotoria Regional de Jacobina — R$ 200,00 no crédito 2x. NÃO é uma venda nova; os itens já constam na linha anterior.</t>
        </is>
      </c>
    </row>
    <row r="158">
      <c r="A158" s="44" t="n">
        <v>46261</v>
      </c>
      <c r="B158" s="45" t="inlineStr">
        <is>
          <t>Acerto de Armando</t>
        </is>
      </c>
      <c r="C158" s="45" t="n"/>
      <c r="D158" s="50" t="n">
        <v>1000</v>
      </c>
      <c r="E158" s="45" t="inlineStr">
        <is>
          <t>Dinheiro</t>
        </is>
      </c>
      <c r="F158" s="47" t="n"/>
      <c r="G158" s="47" t="n"/>
      <c r="H158" s="49" t="n"/>
      <c r="I158" s="45" t="n"/>
    </row>
    <row r="159">
      <c r="A159" s="17" t="n">
        <v>46261</v>
      </c>
      <c r="B159" s="18" t="inlineStr">
        <is>
          <t>A E G Calçados LTDA</t>
        </is>
      </c>
      <c r="C159" s="18" t="n"/>
      <c r="D159" s="134" t="n"/>
      <c r="E159" s="18" t="n"/>
      <c r="F159" s="19" t="n"/>
      <c r="G159" s="20" t="n">
        <v>127.42</v>
      </c>
      <c r="H159" s="21" t="inlineStr">
        <is>
          <t>Pro Labore Edilânia</t>
        </is>
      </c>
      <c r="I159" s="18" t="inlineStr">
        <is>
          <t>Extrato Stone — Pix de 27/08/2026</t>
        </is>
      </c>
    </row>
    <row r="160">
      <c r="A160" s="44" t="n">
        <v>46261</v>
      </c>
      <c r="B160" s="45" t="inlineStr">
        <is>
          <t>Queite Almeida Duarte</t>
        </is>
      </c>
      <c r="C160" s="45" t="n"/>
      <c r="D160" s="50" t="n"/>
      <c r="E160" s="45" t="n"/>
      <c r="F160" s="47" t="n"/>
      <c r="G160" s="47" t="n">
        <v>100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46260</v>
      </c>
      <c r="B161" s="18" t="inlineStr">
        <is>
          <t>Edilania Almeida Silva Costa Fontes</t>
        </is>
      </c>
      <c r="C161" s="18" t="n"/>
      <c r="D161" s="134" t="n"/>
      <c r="E161" s="18" t="n"/>
      <c r="F161" s="19" t="n"/>
      <c r="G161" s="20" t="n">
        <v>230</v>
      </c>
      <c r="H161" s="21" t="inlineStr">
        <is>
          <t>Pro Labore Edilânia</t>
        </is>
      </c>
      <c r="I161" s="18" t="inlineStr">
        <is>
          <t>Extrato Stone — Pix de 26/08/2026</t>
        </is>
      </c>
    </row>
    <row r="162">
      <c r="A162" s="44" t="n">
        <v>46260</v>
      </c>
      <c r="B162" s="45" t="inlineStr">
        <is>
          <t>Estacionamento (Pagar.me)</t>
        </is>
      </c>
      <c r="C162" s="45" t="n"/>
      <c r="D162" s="50" t="n"/>
      <c r="E162" s="45" t="n"/>
      <c r="F162" s="47" t="n"/>
      <c r="G162" s="47" t="n">
        <v>1.2</v>
      </c>
      <c r="H162" s="49" t="inlineStr">
        <is>
          <t>Transporte e Entregas</t>
        </is>
      </c>
      <c r="I162" s="45" t="inlineStr">
        <is>
          <t>Extrato Stone — Pix de 26/08/2026</t>
        </is>
      </c>
    </row>
    <row r="163">
      <c r="A163" s="17" t="n">
        <v>46261</v>
      </c>
      <c r="B163" s="18" t="inlineStr">
        <is>
          <t>4x Parafuso</t>
        </is>
      </c>
      <c r="C163" s="18" t="n"/>
      <c r="D163" s="134" t="n"/>
      <c r="E163" s="18" t="n"/>
      <c r="F163" s="19" t="n"/>
      <c r="G163" s="20" t="n">
        <v>4</v>
      </c>
      <c r="H163" s="21" t="inlineStr">
        <is>
          <t>Manutenção e Reparos</t>
        </is>
      </c>
      <c r="I163" s="18" t="n"/>
    </row>
    <row r="164">
      <c r="A164" s="44" t="n">
        <v>46261</v>
      </c>
      <c r="B164" s="45" t="inlineStr">
        <is>
          <t>FG Boa Vista (Recife/PE)</t>
        </is>
      </c>
      <c r="C164" s="45" t="inlineStr">
        <is>
          <t>Refis — troca de julho/2026</t>
        </is>
      </c>
      <c r="D164" s="46" t="n">
        <v>1008.8</v>
      </c>
      <c r="E164" s="45" t="inlineStr">
        <is>
          <t>Pix</t>
        </is>
      </c>
      <c r="F164" s="47" t="n"/>
      <c r="G164" s="48" t="n"/>
      <c r="H164" s="49" t="n"/>
      <c r="I164" s="45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</row>
    <row r="165">
      <c r="A165" s="17" t="n">
        <v>46261</v>
      </c>
      <c r="B165" s="18" t="inlineStr">
        <is>
          <t>UNIFG Guanambi (Guanambi/BA)</t>
        </is>
      </c>
      <c r="C165" s="18" t="inlineStr">
        <is>
          <t>Refis — troca de julho/2026</t>
        </is>
      </c>
      <c r="D165" s="27" t="n">
        <v>4534.75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CESGPO00006036 · NF 000.004.281 de 28/07/2026 · prazo 30 dias · vencimento 27/08/2026 (desc. 3%) · Pago em 27/08/2026 (confirmado via Pix CESG no extrato bancário)</t>
        </is>
      </c>
      <c r="K165" s="13" t="n"/>
      <c r="L165" s="14" t="n"/>
    </row>
    <row r="166">
      <c r="A166" s="44" t="n">
        <v>46261</v>
      </c>
      <c r="B166" s="45" t="inlineStr">
        <is>
          <t>UNP Zona Norte (Natal/RN)</t>
        </is>
      </c>
      <c r="C166" s="45" t="inlineStr">
        <is>
          <t>Refis — troca de julho/2026</t>
        </is>
      </c>
      <c r="D166" s="46" t="n">
        <v>870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APECPO00019432 · NF 000.004.282 de 28/07/2026 · prazo 30 dias · vencimento 27/08/2026 · Pago em 27/08/2026 (confirmado via Pix APEC no extrato bancário)</t>
        </is>
      </c>
      <c r="K166" s="42" t="n"/>
      <c r="L166" s="8" t="n"/>
    </row>
    <row r="167">
      <c r="A167" s="17" t="n">
        <v>46262</v>
      </c>
      <c r="B167" s="18" t="inlineStr">
        <is>
          <t>UNP Caicó (Caicó/RN)</t>
        </is>
      </c>
      <c r="C167" s="18" t="inlineStr">
        <is>
          <t>Refis — troca de julho/2026</t>
        </is>
      </c>
      <c r="D167" s="27" t="n">
        <v>440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APECPO00019405 · NF 000.004.283 de 28/07/2026 · pago via Pix pela APEC em 27/08/2026 (após o fechamento do relatório do dia)</t>
        </is>
      </c>
      <c r="K167" s="31" t="n"/>
      <c r="L167" s="31" t="n"/>
    </row>
    <row r="168">
      <c r="A168" s="44" t="n">
        <v>46262</v>
      </c>
      <c r="B168" s="45" t="inlineStr">
        <is>
          <t>Produtos de Higiene</t>
        </is>
      </c>
      <c r="C168" s="45" t="n"/>
      <c r="D168" s="46" t="n"/>
      <c r="E168" s="45" t="n"/>
      <c r="F168" s="47" t="n"/>
      <c r="G168" s="48" t="n">
        <v>19.85</v>
      </c>
      <c r="H168" s="49" t="inlineStr">
        <is>
          <t>Material de Limpeza e Escritório</t>
        </is>
      </c>
      <c r="I168" s="45" t="n"/>
      <c r="K168" s="31" t="n"/>
      <c r="L168" s="31" t="n"/>
    </row>
    <row r="169">
      <c r="A169" s="17" t="n">
        <v>46265</v>
      </c>
      <c r="B169" s="18" t="inlineStr">
        <is>
          <t>Katiane</t>
        </is>
      </c>
      <c r="C169" s="18" t="inlineStr">
        <is>
          <t>Refil Everest + Mangueira</t>
        </is>
      </c>
      <c r="D169" s="27" t="n">
        <v>150</v>
      </c>
      <c r="E169" s="18" t="inlineStr">
        <is>
          <t>Dinheiro</t>
        </is>
      </c>
      <c r="F169" s="19" t="n"/>
      <c r="G169" s="19" t="n"/>
      <c r="H169" s="21" t="n"/>
      <c r="I169" s="18" t="n"/>
      <c r="J169" t="inlineStr">
        <is>
          <t>CLI-0449</t>
        </is>
      </c>
    </row>
    <row r="170">
      <c r="A170" s="44" t="n">
        <v>46265</v>
      </c>
      <c r="B170" s="45" t="inlineStr">
        <is>
          <t>Eversoft</t>
        </is>
      </c>
      <c r="C170" s="45" t="n"/>
      <c r="D170" s="46" t="n"/>
      <c r="E170" s="45" t="n"/>
      <c r="F170" s="47" t="n"/>
      <c r="G170" s="48" t="n">
        <v>878.9299999999999</v>
      </c>
      <c r="H170" s="49" t="inlineStr">
        <is>
          <t>Fornecedores / Mercadoria</t>
        </is>
      </c>
      <c r="I170" s="45" t="inlineStr">
        <is>
          <t>NF 72153 de 02/04/2026 · parcela 5/5 (venc. 30/08/2026) · compra total R$ 4.394,61: 100x Refil Everest</t>
        </is>
      </c>
      <c r="J170" s="45" t="n"/>
    </row>
    <row r="171">
      <c r="A171" s="17" t="n">
        <v>46265</v>
      </c>
      <c r="B171" s="18" t="inlineStr">
        <is>
          <t>Cliente Consumidor Final</t>
        </is>
      </c>
      <c r="C171" s="18" t="inlineStr">
        <is>
          <t>Refil E3</t>
        </is>
      </c>
      <c r="D171" s="27" t="n">
        <v>80</v>
      </c>
      <c r="E171" s="18" t="inlineStr">
        <is>
          <t>Dinheiro</t>
        </is>
      </c>
      <c r="F171" s="19" t="n"/>
      <c r="G171" s="19" t="n"/>
      <c r="H171" s="21" t="n"/>
      <c r="I171" s="18" t="n"/>
    </row>
    <row r="172">
      <c r="A172" s="44" t="n">
        <v>46265</v>
      </c>
      <c r="B172" s="45" t="inlineStr">
        <is>
          <t>Salário Erick (Estagiário)</t>
        </is>
      </c>
      <c r="C172" s="45" t="n"/>
      <c r="D172" s="46" t="n"/>
      <c r="E172" s="45" t="n"/>
      <c r="F172" s="47" t="n"/>
      <c r="G172" s="48" t="n">
        <v>600</v>
      </c>
      <c r="H172" s="49" t="inlineStr">
        <is>
          <t>Salários, Comissões e Encargos</t>
        </is>
      </c>
      <c r="I172" s="45" t="n"/>
    </row>
    <row r="173" ht="15.75" customHeight="1" s="157">
      <c r="A173" s="17" t="n">
        <v>46265</v>
      </c>
      <c r="B173" s="18" t="inlineStr">
        <is>
          <t>Marcelo Pioverzan Pinheiro</t>
        </is>
      </c>
      <c r="C173" s="18" t="inlineStr">
        <is>
          <t>Bebedouro Industrial 50L + Engate</t>
        </is>
      </c>
      <c r="D173" s="27" t="n">
        <v>2020</v>
      </c>
      <c r="E173" s="18" t="inlineStr">
        <is>
          <t>Pix</t>
        </is>
      </c>
      <c r="F173" s="19" t="n"/>
      <c r="G173" s="19" t="n"/>
      <c r="H173" s="21" t="n"/>
      <c r="I173" s="18" t="n"/>
    </row>
    <row r="174">
      <c r="A174" s="44" t="n">
        <v>46265</v>
      </c>
      <c r="B174" s="45" t="inlineStr">
        <is>
          <t>Raiane Melo do Rosario</t>
        </is>
      </c>
      <c r="C174" s="45" t="inlineStr">
        <is>
          <t>Refil Everest + Pré Filtro</t>
        </is>
      </c>
      <c r="D174" s="50" t="n">
        <v>200</v>
      </c>
      <c r="E174" s="45" t="inlineStr">
        <is>
          <t>Crédito Parcelado</t>
        </is>
      </c>
      <c r="F174" s="47" t="n">
        <v>15.98</v>
      </c>
      <c r="G174" s="47" t="n"/>
      <c r="H174" s="49" t="n"/>
      <c r="I174" s="45" t="inlineStr">
        <is>
          <t>Crédito em 4x</t>
        </is>
      </c>
      <c r="J174" t="inlineStr">
        <is>
          <t>CLI-0405</t>
        </is>
      </c>
    </row>
    <row r="175">
      <c r="A175" s="17" t="n">
        <v>46265</v>
      </c>
      <c r="B175" s="18" t="inlineStr">
        <is>
          <t>Salário Wiliam</t>
        </is>
      </c>
      <c r="C175" s="18" t="n"/>
      <c r="D175" s="134" t="n"/>
      <c r="E175" s="18" t="n"/>
      <c r="F175" s="19" t="n"/>
      <c r="G175" s="20" t="n">
        <v>1571.32</v>
      </c>
      <c r="H175" s="21" t="inlineStr">
        <is>
          <t>Salários, Comissões e Encargos</t>
        </is>
      </c>
      <c r="I175" s="18" t="n"/>
      <c r="J175" s="18" t="n"/>
    </row>
    <row r="176" ht="15.75" customHeight="1" s="157">
      <c r="A176" s="44" t="n">
        <v>46265</v>
      </c>
      <c r="B176" s="45" t="inlineStr">
        <is>
          <t>Tarifa Pix (14 lançamentos)</t>
        </is>
      </c>
      <c r="C176" s="45" t="n"/>
      <c r="D176" s="50" t="n"/>
      <c r="E176" s="45" t="n"/>
      <c r="F176" s="47" t="n"/>
      <c r="G176" s="47" t="n">
        <v>48.25</v>
      </c>
      <c r="H176" s="49" t="inlineStr">
        <is>
          <t>Tarifas Bancárias e Cartão</t>
        </is>
      </c>
      <c r="I176" s="45" t="inlineStr">
        <is>
          <t>Extrato BNB agosto/2026 — soma de 14 tarifas Pix individuais</t>
        </is>
      </c>
    </row>
    <row r="177">
      <c r="A177" s="17" t="n">
        <v>46265</v>
      </c>
      <c r="B177" s="18" t="inlineStr">
        <is>
          <t>Pix Pessoal (4 lançamentos)</t>
        </is>
      </c>
      <c r="C177" s="18" t="n"/>
      <c r="D177" s="134" t="n"/>
      <c r="E177" s="18" t="n"/>
      <c r="F177" s="19" t="n"/>
      <c r="G177" s="20" t="n">
        <v>221.5</v>
      </c>
      <c r="H177" s="21" t="inlineStr">
        <is>
          <t>Pro Labore Edilânia</t>
        </is>
      </c>
      <c r="I177" s="18" t="inlineStr">
        <is>
          <t>Extrato BNB agosto/2026 — soma de 4 Pix pessoais de Adriano/Edilânia</t>
        </is>
      </c>
    </row>
    <row r="178">
      <c r="A178" s="44" t="n">
        <v>46265</v>
      </c>
      <c r="B178" s="45" t="inlineStr">
        <is>
          <t>Compras p/Loja (2 lançamentos)</t>
        </is>
      </c>
      <c r="C178" s="45" t="n"/>
      <c r="D178" s="50" t="n"/>
      <c r="E178" s="45" t="n"/>
      <c r="F178" s="47" t="n"/>
      <c r="G178" s="47" t="n">
        <v>131.29</v>
      </c>
      <c r="H178" s="49" t="inlineStr">
        <is>
          <t>Fornecedores / Mercadoria</t>
        </is>
      </c>
      <c r="I178" s="45" t="inlineStr">
        <is>
          <t>Extrato BNB agosto/2026 — soma de 2 compras para a loja</t>
        </is>
      </c>
    </row>
    <row r="179">
      <c r="A179" s="17" t="n">
        <v>46265</v>
      </c>
      <c r="B179" s="18" t="inlineStr">
        <is>
          <t>Estacionamento (2 lançamentos)</t>
        </is>
      </c>
      <c r="C179" s="18" t="n"/>
      <c r="D179" s="134" t="n"/>
      <c r="E179" s="18" t="n"/>
      <c r="F179" s="19" t="n"/>
      <c r="G179" s="20" t="n">
        <v>6</v>
      </c>
      <c r="H179" s="21" t="inlineStr">
        <is>
          <t>Transporte e Entregas</t>
        </is>
      </c>
      <c r="I179" s="18" t="inlineStr">
        <is>
          <t>Extrato BNB agosto/2026 — soma de 2 lançamentos de estacionamento</t>
        </is>
      </c>
    </row>
    <row r="180">
      <c r="A180" s="44" t="n">
        <v>46265</v>
      </c>
      <c r="B180" s="45" t="inlineStr">
        <is>
          <t>Gasolina</t>
        </is>
      </c>
      <c r="C180" s="45" t="n"/>
      <c r="D180" s="50" t="n"/>
      <c r="E180" s="45" t="n"/>
      <c r="F180" s="47" t="n"/>
      <c r="G180" s="47" t="n">
        <v>30</v>
      </c>
      <c r="H180" s="49" t="inlineStr">
        <is>
          <t>Transporte e Entregas</t>
        </is>
      </c>
      <c r="I180" s="45" t="n"/>
    </row>
    <row r="181">
      <c r="A181" s="17" t="n">
        <v>46251</v>
      </c>
      <c r="B181" s="18" t="inlineStr">
        <is>
          <t>Cliente de Armando</t>
        </is>
      </c>
      <c r="C181" s="18" t="n"/>
      <c r="D181" s="134" t="n">
        <v>160</v>
      </c>
      <c r="E181" s="18" t="inlineStr">
        <is>
          <t>Crédito Parcelado</t>
        </is>
      </c>
      <c r="F181" s="19" t="n">
        <v>11.18</v>
      </c>
      <c r="G181" s="20" t="n"/>
      <c r="H181" s="21" t="n"/>
      <c r="I181" s="18" t="inlineStr">
        <is>
          <t>Crédito em 3x. Venda do relatório de prestação de contas do Armando (14/09/2026) — lançada em 21/09/2026.</t>
        </is>
      </c>
    </row>
    <row r="182">
      <c r="A182" s="44" t="n">
        <v>46252</v>
      </c>
      <c r="B182" s="45" t="inlineStr">
        <is>
          <t>Cliente de Armando</t>
        </is>
      </c>
      <c r="C182" s="45" t="n"/>
      <c r="D182" s="50" t="n">
        <v>200</v>
      </c>
      <c r="E182" s="45" t="inlineStr">
        <is>
          <t>Crédito Parcelado</t>
        </is>
      </c>
      <c r="F182" s="47" t="n">
        <v>13.98</v>
      </c>
      <c r="G182" s="47" t="n"/>
      <c r="H182" s="49" t="n"/>
      <c r="I182" s="45" t="inlineStr">
        <is>
          <t>Crédito em 2x. Venda do relatório de prestação de contas do Armando (14/09/2026) — lançada em 21/09/2026.</t>
        </is>
      </c>
    </row>
    <row r="183">
      <c r="A183" s="17" t="n"/>
      <c r="B183" s="18" t="n"/>
      <c r="C183" s="18" t="n"/>
      <c r="D183" s="134" t="n"/>
      <c r="E183" s="18" t="n"/>
      <c r="F183" s="19" t="n"/>
      <c r="G183" s="20" t="n"/>
      <c r="H183" s="21" t="n"/>
      <c r="I183" s="18" t="n"/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Comprado: 100x Refil Everest + 50x Pré Filtro (NF-e 72869 de 07/05/2026, nota de R$ 4.904,13 em 5 boletos). 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Comprado: 100x Refil Everest (NF-e 73636 de 10/06/2026, nota de R$ 4.394,61 em 5 boletos). 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46316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Venda de 15/10/2026 — pagamento recebido em 21/10/2026</t>
        </is>
      </c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Comprado: 100x Refil Everest + 50x Pré Filtro (NF-e 74454 de 17/07/2026, nota de R$ 4.904,13 em 5 boletos). 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46315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Venda de 16/10/2026 — pagamento recebido em dinheiro em 20/10/2026. Restante da venda de R$ 200,00 (R$ 140,00 pagos em dinheiro no dia 16/10).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Tania Dourado - Eduardo Dourado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CLI-0525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 Pago em dinheiro (confirmado em 21/10/2026: é diferente do Pix de R$ 350,00 de 20/10).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>
        <v>46314</v>
      </c>
      <c r="B128" s="45" t="inlineStr">
        <is>
          <t>Carneiro Ultra Drogaria LTDA - Filial 02</t>
        </is>
      </c>
      <c r="C128" s="45" t="inlineStr">
        <is>
          <t>Refil Everest</t>
        </is>
      </c>
      <c r="D128" s="46" t="n">
        <v>140</v>
      </c>
      <c r="E128" s="45" t="inlineStr">
        <is>
          <t>Dinheiro</t>
        </is>
      </c>
      <c r="F128" s="47" t="n"/>
      <c r="G128" s="48" t="n"/>
      <c r="H128" s="49" t="n"/>
      <c r="I128" s="45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7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44" t="n">
        <v>46314</v>
      </c>
      <c r="B130" s="45" t="inlineStr">
        <is>
          <t>Otica Imagem - José Luciano Viera Costa 1 Andar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7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44" t="n">
        <v>46314</v>
      </c>
      <c r="B132" s="45" t="inlineStr">
        <is>
          <t>Marsilia Marmores e Granitos Erelli</t>
        </is>
      </c>
      <c r="C132" s="45" t="inlineStr">
        <is>
          <t>Refil Everest</t>
        </is>
      </c>
      <c r="D132" s="46" t="n">
        <v>140</v>
      </c>
      <c r="E132" s="45" t="inlineStr">
        <is>
          <t>Aguardando Pagamento</t>
        </is>
      </c>
      <c r="F132" s="47" t="n"/>
      <c r="G132" s="48" t="n"/>
      <c r="H132" s="49" t="n"/>
      <c r="I132" s="45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7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44" t="n">
        <v>46314</v>
      </c>
      <c r="B134" s="45" t="inlineStr">
        <is>
          <t>A. S. Supermercado</t>
        </is>
      </c>
      <c r="C134" s="45" t="inlineStr">
        <is>
          <t>Refil Pro Life + Pré Filtro</t>
        </is>
      </c>
      <c r="D134" s="46" t="n">
        <v>190</v>
      </c>
      <c r="E134" s="45" t="inlineStr">
        <is>
          <t>Dinheiro</t>
        </is>
      </c>
      <c r="F134" s="47" t="n"/>
      <c r="G134" s="48" t="n"/>
      <c r="H134" s="49" t="n"/>
      <c r="I134" s="45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7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44" t="n">
        <v>46314</v>
      </c>
      <c r="B136" s="45" t="inlineStr">
        <is>
          <t>Larissa Sena</t>
        </is>
      </c>
      <c r="C136" s="45" t="inlineStr">
        <is>
          <t>Refil FPA14</t>
        </is>
      </c>
      <c r="D136" s="46" t="n">
        <v>110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7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44" t="n">
        <v>46314</v>
      </c>
      <c r="B138" s="45" t="inlineStr">
        <is>
          <t>Combustível</t>
        </is>
      </c>
      <c r="C138" s="45" t="n"/>
      <c r="D138" s="46" t="n"/>
      <c r="E138" s="45" t="n"/>
      <c r="F138" s="47" t="n"/>
      <c r="G138" s="48" t="n">
        <v>30</v>
      </c>
      <c r="H138" s="49" t="inlineStr">
        <is>
          <t>Transporte e Entregas</t>
        </is>
      </c>
      <c r="I138" s="45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7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44" t="n">
        <v>46315</v>
      </c>
      <c r="B140" s="45" t="inlineStr">
        <is>
          <t>Banco do Nordeste do Brasil</t>
        </is>
      </c>
      <c r="C140" s="45" t="inlineStr">
        <is>
          <t>Refil Everest + Pré Filtro</t>
        </is>
      </c>
      <c r="D140" s="46" t="n">
        <v>200</v>
      </c>
      <c r="E140" s="45" t="inlineStr">
        <is>
          <t>Aguardando Pagamento</t>
        </is>
      </c>
      <c r="F140" s="47" t="n"/>
      <c r="G140" s="48" t="n"/>
      <c r="H140" s="49" t="n"/>
      <c r="I140" s="45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7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44" t="n">
        <v>46315</v>
      </c>
      <c r="B142" s="45" t="inlineStr">
        <is>
          <t>Sindicato dos Trabalhadores Rurais</t>
        </is>
      </c>
      <c r="C142" s="45" t="inlineStr">
        <is>
          <t>2x Refil Everest</t>
        </is>
      </c>
      <c r="D142" s="46" t="n">
        <v>280</v>
      </c>
      <c r="E142" s="45" t="inlineStr">
        <is>
          <t>Dinheiro</t>
        </is>
      </c>
      <c r="F142" s="47" t="n"/>
      <c r="G142" s="48" t="n"/>
      <c r="H142" s="49" t="n"/>
      <c r="I142" s="45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7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44" t="n">
        <v>46315</v>
      </c>
      <c r="B144" s="45" t="inlineStr">
        <is>
          <t>Real Calçados Loja 1</t>
        </is>
      </c>
      <c r="C144" s="45" t="inlineStr">
        <is>
          <t>2x Refil Everest + Refil Pro Life + 2x Pré Filtro</t>
        </is>
      </c>
      <c r="D144" s="46" t="n">
        <v>515</v>
      </c>
      <c r="E144" s="45" t="inlineStr">
        <is>
          <t>Dinheiro</t>
        </is>
      </c>
      <c r="F144" s="47" t="n"/>
      <c r="G144" s="48" t="n"/>
      <c r="H144" s="49" t="n"/>
      <c r="I144" s="45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7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      </is>
      </c>
      <c r="J145" s="18" t="n"/>
    </row>
    <row r="146">
      <c r="A146" s="44" t="n">
        <v>46315</v>
      </c>
      <c r="B146" s="45" t="inlineStr">
        <is>
          <t>FGTS Digital (GFD)</t>
        </is>
      </c>
      <c r="C146" s="45" t="n"/>
      <c r="D146" s="46" t="n"/>
      <c r="E146" s="45" t="n"/>
      <c r="F146" s="47" t="n"/>
      <c r="G146" s="48" t="n">
        <v>136</v>
      </c>
      <c r="H146" s="49" t="inlineStr">
        <is>
          <t>Impostos e Taxas</t>
        </is>
      </c>
      <c r="I146" s="45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7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44" t="n">
        <v>46315</v>
      </c>
      <c r="B148" s="45" t="inlineStr">
        <is>
          <t>Loja da Claro</t>
        </is>
      </c>
      <c r="C148" s="45" t="inlineStr">
        <is>
          <t>Refil Lacqua</t>
        </is>
      </c>
      <c r="D148" s="46" t="n">
        <v>80</v>
      </c>
      <c r="E148" s="45" t="inlineStr">
        <is>
          <t>Aguardando Pagamento</t>
        </is>
      </c>
      <c r="F148" s="47" t="n"/>
      <c r="G148" s="48" t="n"/>
      <c r="H148" s="49" t="n"/>
      <c r="I148" s="45" t="inlineStr">
        <is>
          <t>Cliente ainda não cadastrado na Planilha de Clientes.</t>
        </is>
      </c>
    </row>
    <row r="149">
      <c r="A149" s="17" t="n">
        <v>46316</v>
      </c>
      <c r="B149" s="18" t="inlineStr">
        <is>
          <t>Eliane Lisboa Silva</t>
        </is>
      </c>
      <c r="C149" s="18" t="inlineStr">
        <is>
          <t>Refil Everest + Pré Filtro</t>
        </is>
      </c>
      <c r="D149" s="27" t="n">
        <v>200</v>
      </c>
      <c r="E149" s="18" t="inlineStr">
        <is>
          <t>Dinheiro</t>
        </is>
      </c>
      <c r="F149" s="19" t="n"/>
      <c r="G149" s="19" t="n"/>
      <c r="H149" s="21" t="n"/>
      <c r="I149" s="18" t="n"/>
      <c r="J149" s="18" t="inlineStr">
        <is>
          <t>CLI-0908</t>
        </is>
      </c>
    </row>
    <row r="150">
      <c r="A150" s="44" t="n">
        <v>46316</v>
      </c>
      <c r="B150" s="45" t="inlineStr">
        <is>
          <t>Studio Malena Lorrane</t>
        </is>
      </c>
      <c r="C150" s="45" t="inlineStr">
        <is>
          <t>Refil Everest + Pré Filtro</t>
        </is>
      </c>
      <c r="D150" s="46" t="n">
        <v>150</v>
      </c>
      <c r="E150" s="45" t="inlineStr">
        <is>
          <t>Aguardando Pagamento</t>
        </is>
      </c>
      <c r="F150" s="47" t="n"/>
      <c r="G150" s="48" t="n"/>
      <c r="H150" s="49" t="n"/>
      <c r="I150" s="45" t="inlineStr">
        <is>
          <t>Venda de R$ 190,00: Refil Everest R$ 130,00 + Pré Filtro R$ 60,00 (o pré-filtro antigo, de 2020, da saída de água foi trocado na hora). R$ 40,00 do refil foram pagos com serviço de sobrancelha feito para a Edilânia; ficou devendo R$ 150,00 (R$ 90,00 do refil + R$ 60,00 do pré-filtro).</t>
        </is>
      </c>
      <c r="J150" t="inlineStr">
        <is>
          <t>EMP-0283</t>
        </is>
      </c>
    </row>
    <row r="151">
      <c r="A151" s="17" t="n">
        <v>46316</v>
      </c>
      <c r="B151" s="18" t="inlineStr">
        <is>
          <t>Edivandro De Jesus Bispo</t>
        </is>
      </c>
      <c r="C151" s="18" t="n"/>
      <c r="D151" s="27" t="n"/>
      <c r="E151" s="18" t="n"/>
      <c r="F151" s="19" t="n"/>
      <c r="G151" s="19" t="n">
        <v>200</v>
      </c>
      <c r="H151" s="21" t="inlineStr">
        <is>
          <t>Manutenção e Reparos</t>
        </is>
      </c>
      <c r="I151" s="18" t="inlineStr">
        <is>
          <t>Colocação de piso vinílico na loja, na área perto do banheiro. Pix de R$ 200,00 em 21/10/2026 09:56 pelo Banco do Nordeste (ID E07237373202610211255VN1BQCN2DOB).</t>
        </is>
      </c>
      <c r="J151" s="18" t="n"/>
    </row>
    <row r="152">
      <c r="A152" s="44" t="n">
        <v>46316</v>
      </c>
      <c r="B152" s="45" t="inlineStr">
        <is>
          <t>Miralva Lopes da Silva</t>
        </is>
      </c>
      <c r="C152" s="45" t="inlineStr">
        <is>
          <t>Refil Everest</t>
        </is>
      </c>
      <c r="D152" s="46" t="n">
        <v>140</v>
      </c>
      <c r="E152" s="45" t="inlineStr">
        <is>
          <t>Débito</t>
        </is>
      </c>
      <c r="F152" s="47" t="n">
        <v>2.03</v>
      </c>
      <c r="G152" s="48" t="n"/>
      <c r="H152" s="49" t="n"/>
      <c r="I152" s="45" t="n"/>
      <c r="J152" t="inlineStr">
        <is>
          <t>CLI-0390</t>
        </is>
      </c>
    </row>
    <row r="153">
      <c r="A153" s="17" t="n">
        <v>46311</v>
      </c>
      <c r="B153" s="18" t="inlineStr">
        <is>
          <t>Cezar Silva Atacado e Varejo (Iene Quedila Nunes Dourado)</t>
        </is>
      </c>
      <c r="C153" s="18" t="n"/>
      <c r="D153" s="27" t="n"/>
      <c r="E153" s="18" t="n"/>
      <c r="F153" s="19" t="n"/>
      <c r="G153" s="19" t="n">
        <v>40</v>
      </c>
      <c r="H153" s="21" t="inlineStr">
        <is>
          <t>Pro Labore Edilânia</t>
        </is>
      </c>
      <c r="I153" s="18" t="inlineStr">
        <is>
          <t>Extrato Stone — saída de 16/10/2026.</t>
        </is>
      </c>
      <c r="J153" s="18" t="n"/>
    </row>
    <row r="154">
      <c r="A154" s="44" t="n">
        <v>46314</v>
      </c>
      <c r="B154" s="45" t="inlineStr">
        <is>
          <t>Thiago de Jesus Nascimento</t>
        </is>
      </c>
      <c r="C154" s="45" t="n"/>
      <c r="D154" s="46" t="n"/>
      <c r="E154" s="45" t="n"/>
      <c r="F154" s="47" t="n"/>
      <c r="G154" s="48" t="n">
        <v>28</v>
      </c>
      <c r="H154" s="49" t="inlineStr">
        <is>
          <t>Pro Labore Edilânia</t>
        </is>
      </c>
      <c r="I154" s="45" t="inlineStr">
        <is>
          <t>Extrato Stone — saída de 19/10/2026.</t>
        </is>
      </c>
    </row>
    <row r="155">
      <c r="A155" s="17" t="n">
        <v>46315</v>
      </c>
      <c r="B155" s="18" t="inlineStr">
        <is>
          <t>Japedido Software</t>
        </is>
      </c>
      <c r="C155" s="18" t="n"/>
      <c r="D155" s="27" t="n"/>
      <c r="E155" s="18" t="n"/>
      <c r="F155" s="19" t="n"/>
      <c r="G155" s="19" t="n">
        <v>38.99</v>
      </c>
      <c r="H155" s="21" t="inlineStr">
        <is>
          <t>Pro Labore Edilânia</t>
        </is>
      </c>
      <c r="I155" s="18" t="inlineStr">
        <is>
          <t>Extrato Stone — saída de 20/10/2026.</t>
        </is>
      </c>
      <c r="J155" s="18" t="n"/>
    </row>
    <row r="156">
      <c r="A156" s="44" t="n">
        <v>46315</v>
      </c>
      <c r="B156" s="45" t="inlineStr">
        <is>
          <t>Maria Eva dos Santos</t>
        </is>
      </c>
      <c r="C156" s="45" t="n"/>
      <c r="D156" s="46" t="n"/>
      <c r="E156" s="45" t="n"/>
      <c r="F156" s="47" t="n"/>
      <c r="G156" s="48" t="n">
        <v>350</v>
      </c>
      <c r="H156" s="49" t="inlineStr">
        <is>
          <t>Pro Labore Edilânia</t>
        </is>
      </c>
      <c r="I156" s="45" t="inlineStr">
        <is>
          <t>Extrato Stone — Pix de 20/10/2026. Diarista — pagamento diferente do de 17/10 (R$ 400,00 em dinheiro); confirmado pela Edilânia em 21/10/2026.</t>
        </is>
      </c>
    </row>
    <row r="157">
      <c r="A157" s="17" t="n">
        <v>46315</v>
      </c>
      <c r="B157" s="18" t="inlineStr">
        <is>
          <t>Mensalidade Academia (Uellinton Silva de Jesus)</t>
        </is>
      </c>
      <c r="C157" s="18" t="n"/>
      <c r="D157" s="27" t="n"/>
      <c r="E157" s="18" t="n"/>
      <c r="F157" s="19" t="n"/>
      <c r="G157" s="19" t="n">
        <v>80</v>
      </c>
      <c r="H157" s="21" t="inlineStr">
        <is>
          <t>Pro Labore Edilânia</t>
        </is>
      </c>
      <c r="I157" s="18" t="inlineStr">
        <is>
          <t>Extrato Stone — Pix de 20/10/2026 18:58 (CNPJ 18.097.008/0001-83). Mensalidade da academia — despesa pessoal (confirmado pela Edilânia em 21/10/2026).</t>
        </is>
      </c>
      <c r="J157" s="18" t="n"/>
    </row>
    <row r="158">
      <c r="A158" s="44" t="n">
        <v>46316</v>
      </c>
      <c r="B158" s="45" t="inlineStr">
        <is>
          <t>Fatura Claro TV (Embratel)</t>
        </is>
      </c>
      <c r="C158" s="45" t="n"/>
      <c r="D158" s="46" t="n"/>
      <c r="E158" s="45" t="n"/>
      <c r="F158" s="47" t="n"/>
      <c r="G158" s="48" t="n">
        <v>249.7</v>
      </c>
      <c r="H158" s="49" t="inlineStr">
        <is>
          <t>Pro Labore Edilânia</t>
        </is>
      </c>
      <c r="I158" s="45" t="inlineStr">
        <is>
          <t>TV de casa — despesa pessoal. Pix de R$ 249,70 em 21/10/2026 14:26 pelo Banco do Nordeste para Embratel (ID E07237373202610211726RDWOGZX74RT).</t>
        </is>
      </c>
    </row>
    <row r="159">
      <c r="A159" s="17" t="n">
        <v>46314</v>
      </c>
      <c r="B159" s="18" t="inlineStr">
        <is>
          <t>Marmoraria Pedra Bella LTDA</t>
        </is>
      </c>
      <c r="C159" s="18" t="inlineStr">
        <is>
          <t>Refil Everest</t>
        </is>
      </c>
      <c r="D159" s="27" t="n">
        <v>135</v>
      </c>
      <c r="E159" s="18" t="inlineStr">
        <is>
          <t>Pix</t>
        </is>
      </c>
      <c r="F159" s="19" t="n"/>
      <c r="G159" s="19" t="n"/>
      <c r="H159" s="21" t="n"/>
      <c r="I159" s="18" t="inlineStr">
        <is>
          <t>Cliente comprou o refil e fez a troca por conta própria em 19/10/2026 (sem serviço da loja).</t>
        </is>
      </c>
      <c r="J159" s="18" t="inlineStr">
        <is>
          <t>EMP-0215</t>
        </is>
      </c>
    </row>
    <row r="160">
      <c r="A160" s="44" t="n">
        <v>46315</v>
      </c>
      <c r="B160" s="45" t="inlineStr">
        <is>
          <t>Filtros Planeta Água</t>
        </is>
      </c>
      <c r="C160" s="45" t="n"/>
      <c r="D160" s="46" t="n"/>
      <c r="E160" s="45" t="n"/>
      <c r="F160" s="47" t="n"/>
      <c r="G160" s="48" t="n">
        <v>537.9299999999999</v>
      </c>
      <c r="H160" s="49" t="inlineStr">
        <is>
          <t>Fornecedores / Mercadoria</t>
        </is>
      </c>
      <c r="I160" s="45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Boleto doc. 133138/4 (emissão 12/08/2026) · parcela 4/4 (última) — venc. 21/10/2026. Pago antecipado em 20/10/2026.</t>
        </is>
      </c>
    </row>
    <row r="161">
      <c r="A161" s="17" t="n">
        <v>46316</v>
      </c>
      <c r="B161" s="18" t="inlineStr">
        <is>
          <t>Everest Refrigeração</t>
        </is>
      </c>
      <c r="C161" s="18" t="n"/>
      <c r="D161" s="27" t="n"/>
      <c r="E161" s="18" t="n"/>
      <c r="F161" s="19" t="n"/>
      <c r="G161" s="19" t="n">
        <v>613.12</v>
      </c>
      <c r="H161" s="21" t="inlineStr">
        <is>
          <t>Fornecedores / Mercadoria</t>
        </is>
      </c>
      <c r="I161" s="18" t="inlineStr">
        <is>
          <t>Comprado: Purificador Everest Fit Prata + Purificador Everest Slim Preto + Purificador Everest Star Preto + Purificador Everest Plus Preto (NF-e 386838 de 23/09/2026, nota de R$ 3.065,60 em 5 boletos). Boleto doc. 386838 (emissão 23/09/2026) · parcela 1/5 — venc. 23/10/2026. Pago antecipado em 21/10/2026.</t>
        </is>
      </c>
      <c r="J161" s="18" t="n"/>
    </row>
    <row r="162">
      <c r="A162" s="44" t="n">
        <v>46316</v>
      </c>
      <c r="B162" s="45" t="inlineStr">
        <is>
          <t>Consumidor Final</t>
        </is>
      </c>
      <c r="C162" s="45" t="inlineStr">
        <is>
          <t>Conexão Reta Rosca</t>
        </is>
      </c>
      <c r="D162" s="46" t="n">
        <v>25</v>
      </c>
      <c r="E162" s="45" t="inlineStr">
        <is>
          <t>Pix</t>
        </is>
      </c>
      <c r="F162" s="47" t="n"/>
      <c r="G162" s="48" t="n"/>
      <c r="H162" s="49" t="n"/>
      <c r="I162" s="45" t="n"/>
    </row>
    <row r="163">
      <c r="A163" s="17" t="n">
        <v>46317</v>
      </c>
      <c r="B163" s="18" t="inlineStr">
        <is>
          <t>Supermercado Brasil</t>
        </is>
      </c>
      <c r="C163" s="18" t="inlineStr">
        <is>
          <t>2x Refil Pro Life</t>
        </is>
      </c>
      <c r="D163" s="27" t="n">
        <v>280</v>
      </c>
      <c r="E163" s="18" t="inlineStr">
        <is>
          <t>Pix</t>
        </is>
      </c>
      <c r="F163" s="19" t="n"/>
      <c r="G163" s="19" t="n"/>
      <c r="H163" s="21" t="n"/>
      <c r="I163" s="18" t="inlineStr">
        <is>
          <t>Venda de 05/08/2026 — pagamento recebido em 22/10/2026 via Pix</t>
        </is>
      </c>
      <c r="J163" s="18" t="inlineStr">
        <is>
          <t>EMP-0261</t>
        </is>
      </c>
    </row>
    <row r="164">
      <c r="A164" s="44" t="n">
        <v>46318</v>
      </c>
      <c r="B164" s="45" t="inlineStr">
        <is>
          <t>Alessandra Carvalho Vieira - Paulo Sergio</t>
        </is>
      </c>
      <c r="C164" s="45" t="inlineStr">
        <is>
          <t>Refil Everest + Mangueira</t>
        </is>
      </c>
      <c r="D164" s="46" t="n">
        <v>150</v>
      </c>
      <c r="E164" s="45" t="inlineStr">
        <is>
          <t>Pix</t>
        </is>
      </c>
      <c r="F164" s="47" t="n"/>
      <c r="G164" s="48" t="n"/>
      <c r="H164" s="49" t="n"/>
      <c r="I164" s="45" t="n"/>
      <c r="J164" t="inlineStr">
        <is>
          <t>CLI-0586</t>
        </is>
      </c>
    </row>
    <row r="165">
      <c r="A165" s="17" t="n">
        <v>46318</v>
      </c>
      <c r="B165" s="18" t="inlineStr">
        <is>
          <t>Rita Mesquita</t>
        </is>
      </c>
      <c r="C165" s="18" t="inlineStr">
        <is>
          <t>Refil Everest</t>
        </is>
      </c>
      <c r="D165" s="27" t="n">
        <v>140</v>
      </c>
      <c r="E165" s="18" t="inlineStr">
        <is>
          <t>Crédito à Vista</t>
        </is>
      </c>
      <c r="F165" s="19" t="n">
        <v>4.91</v>
      </c>
      <c r="G165" s="19" t="n"/>
      <c r="H165" s="21" t="n"/>
      <c r="I165" s="18" t="n"/>
      <c r="J165" s="18" t="inlineStr">
        <is>
          <t>CLI-0554</t>
        </is>
      </c>
    </row>
    <row r="166">
      <c r="A166" s="44" t="n">
        <v>46316</v>
      </c>
      <c r="B166" s="45" t="inlineStr">
        <is>
          <t>Condominio Ilha do Ouro</t>
        </is>
      </c>
      <c r="C166" s="45" t="inlineStr">
        <is>
          <t>2x Refil Everest</t>
        </is>
      </c>
      <c r="D166" s="46" t="n">
        <v>280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Só compra dos refis — sem troca de refil</t>
        </is>
      </c>
      <c r="J166" t="inlineStr">
        <is>
          <t>EMP-0085</t>
        </is>
      </c>
    </row>
    <row r="167">
      <c r="A167" s="17" t="n">
        <v>46319</v>
      </c>
      <c r="B167" s="18" t="inlineStr">
        <is>
          <t>Leda Goretti Andrade Alves</t>
        </is>
      </c>
      <c r="C167" s="18" t="inlineStr">
        <is>
          <t>Limpeza de Refil</t>
        </is>
      </c>
      <c r="D167" s="27" t="n">
        <v>40</v>
      </c>
      <c r="E167" s="18" t="inlineStr">
        <is>
          <t>Aguardando Pagamento</t>
        </is>
      </c>
      <c r="F167" s="19" t="n"/>
      <c r="G167" s="19" t="n"/>
      <c r="H167" s="21" t="n"/>
      <c r="I167" s="18" t="inlineStr">
        <is>
          <t>Vai pagar na semana que vem</t>
        </is>
      </c>
      <c r="J167" s="18" t="inlineStr">
        <is>
          <t>CLI-0617</t>
        </is>
      </c>
    </row>
    <row r="168">
      <c r="A168" s="44" t="n">
        <v>46318</v>
      </c>
      <c r="B168" s="45" t="inlineStr">
        <is>
          <t>Capa de Proteção — Carro da Loja</t>
        </is>
      </c>
      <c r="C168" s="45" t="n"/>
      <c r="D168" s="46" t="n"/>
      <c r="E168" s="45" t="n"/>
      <c r="F168" s="47" t="n"/>
      <c r="G168" s="48" t="n">
        <v>103.78</v>
      </c>
      <c r="H168" s="49" t="inlineStr">
        <is>
          <t>Transporte e Entregas</t>
        </is>
      </c>
      <c r="I168" s="45" t="inlineStr">
        <is>
          <t>Pago via Pix (QR Code) em 23/10/2026 12:15 pela conta Stone/Ton — Mercado Pago (PIX Marketplace, CNPJ 10.573.521/0001-91). ID da transação E16501555202610231514d4f8ecb0e4b.</t>
        </is>
      </c>
    </row>
    <row r="169">
      <c r="A169" s="17" t="n">
        <v>46319</v>
      </c>
      <c r="B169" s="18" t="inlineStr">
        <is>
          <t>Mercado</t>
        </is>
      </c>
      <c r="C169" s="18" t="n"/>
      <c r="D169" s="27" t="n"/>
      <c r="E169" s="18" t="n"/>
      <c r="F169" s="19" t="n"/>
      <c r="G169" s="19" t="n">
        <v>200</v>
      </c>
      <c r="H169" s="21" t="inlineStr">
        <is>
          <t>Pro Labore Edilânia</t>
        </is>
      </c>
      <c r="I169" s="18" t="inlineStr">
        <is>
          <t>Despesa pessoal — lançada a pedido da Edilânia em 24/10/2026.</t>
        </is>
      </c>
      <c r="J169" s="18" t="n"/>
    </row>
    <row r="170">
      <c r="A170" s="44" t="n">
        <v>46321</v>
      </c>
      <c r="B170" s="45" t="inlineStr">
        <is>
          <t>Zelia Bernadete de Jesus</t>
        </is>
      </c>
      <c r="C170" s="45" t="inlineStr">
        <is>
          <t>Refil Everest</t>
        </is>
      </c>
      <c r="D170" s="46" t="n">
        <v>140</v>
      </c>
      <c r="E170" s="45" t="inlineStr">
        <is>
          <t>Dinheiro</t>
        </is>
      </c>
      <c r="F170" s="47" t="n"/>
      <c r="G170" s="48" t="n"/>
      <c r="H170" s="49" t="n"/>
      <c r="I170" s="45" t="n"/>
      <c r="J170" t="inlineStr">
        <is>
          <t>CLI-0427</t>
        </is>
      </c>
    </row>
    <row r="171">
      <c r="A171" s="17" t="n">
        <v>46321</v>
      </c>
      <c r="B171" s="18" t="inlineStr">
        <is>
          <t>Patricio Rodrigues de Melo</t>
        </is>
      </c>
      <c r="C171" s="18" t="inlineStr">
        <is>
          <t>Refil Everest + Pré Filtro</t>
        </is>
      </c>
      <c r="D171" s="27" t="n">
        <v>180</v>
      </c>
      <c r="E171" s="18" t="inlineStr">
        <is>
          <t>Pix</t>
        </is>
      </c>
      <c r="F171" s="19" t="n"/>
      <c r="G171" s="19" t="n"/>
      <c r="H171" s="21" t="n"/>
      <c r="I171" s="18" t="inlineStr">
        <is>
          <t>Desconto de R$ 20,00 (valor normal R$ 200,00)</t>
        </is>
      </c>
      <c r="J171" s="18" t="inlineStr">
        <is>
          <t>CLI-0440</t>
        </is>
      </c>
    </row>
    <row r="172">
      <c r="A172" s="44" t="n">
        <v>46321</v>
      </c>
      <c r="B172" s="45" t="inlineStr">
        <is>
          <t>Erlene Mendes</t>
        </is>
      </c>
      <c r="C172" s="45" t="inlineStr">
        <is>
          <t>Refil Everest</t>
        </is>
      </c>
      <c r="D172" s="46" t="n">
        <v>135</v>
      </c>
      <c r="E172" s="45" t="inlineStr">
        <is>
          <t>Débito</t>
        </is>
      </c>
      <c r="F172" s="47" t="n">
        <v>1.96</v>
      </c>
      <c r="G172" s="48" t="n"/>
      <c r="H172" s="49" t="n"/>
      <c r="I172" s="45" t="n"/>
      <c r="J172" t="inlineStr">
        <is>
          <t>CLI-0500</t>
        </is>
      </c>
    </row>
    <row r="173">
      <c r="A173" s="17" t="n">
        <v>46321</v>
      </c>
      <c r="B173" s="18" t="inlineStr">
        <is>
          <t>Fernanda Barreto - Marjore Barreto</t>
        </is>
      </c>
      <c r="C173" s="18" t="inlineStr">
        <is>
          <t>Refil Pro Life</t>
        </is>
      </c>
      <c r="D173" s="27" t="n">
        <v>140</v>
      </c>
      <c r="E173" s="18" t="inlineStr">
        <is>
          <t>Crédito Parcelado</t>
        </is>
      </c>
      <c r="F173" s="19" t="n">
        <v>9.789999999999999</v>
      </c>
      <c r="G173" s="19" t="n"/>
      <c r="H173" s="21" t="n"/>
      <c r="I173" s="18" t="inlineStr">
        <is>
          <t>Crédito em 2x</t>
        </is>
      </c>
      <c r="J173" s="18" t="inlineStr">
        <is>
          <t>CLI-0221</t>
        </is>
      </c>
    </row>
    <row r="174">
      <c r="A174" s="44" t="n">
        <v>46321</v>
      </c>
      <c r="B174" s="45" t="inlineStr">
        <is>
          <t>Eversoft</t>
        </is>
      </c>
      <c r="C174" s="45" t="n"/>
      <c r="D174" s="46" t="n"/>
      <c r="E174" s="45" t="n"/>
      <c r="F174" s="47" t="n"/>
      <c r="G174" s="48" t="n">
        <v>940.0599999999999</v>
      </c>
      <c r="H174" s="49" t="inlineStr">
        <is>
          <t>Fornecedores / Mercadoria</t>
        </is>
      </c>
      <c r="I174" s="45" t="inlineStr">
        <is>
          <t>Comprado: 100x Refil Everest + 30x Pré Filtro (NF-e 75472 de 26/08/2026, nota de R$ 4.700,32 em 5 boletos). Boleto Itaú — doc. 75472 (emissão 26/08/2026) · parcela 2/5 — venc. 25/10/2026 (domingo). Pago em 26/10/2026.</t>
        </is>
      </c>
    </row>
    <row r="175">
      <c r="A175" s="17" t="n">
        <v>46321</v>
      </c>
      <c r="B175" s="18" t="inlineStr">
        <is>
          <t>SEFAZ-BA — DAE ICMS Antecipação Parcial</t>
        </is>
      </c>
      <c r="C175" s="18" t="n"/>
      <c r="D175" s="27" t="n"/>
      <c r="E175" s="18" t="n"/>
      <c r="F175" s="19" t="n"/>
      <c r="G175" s="19" t="n">
        <v>983.48</v>
      </c>
      <c r="H175" s="21" t="inlineStr">
        <is>
          <t>Impostos e Taxas</t>
        </is>
      </c>
      <c r="I175" s="18" t="inlineStr">
        <is>
          <t>ICMS Antecipação Parcial — referência 09/2026 (cód. receita 2175, DAE nº 1971838234). Notas da guia: 386188, 134720, 386838, 387488. Venc. 25/10/2026 (válida até 26/10/2026). Pago em 26/10/2026.</t>
        </is>
      </c>
      <c r="J175" s="18" t="n"/>
    </row>
    <row r="176">
      <c r="A176" s="44" t="n">
        <v>46322</v>
      </c>
      <c r="B176" s="45" t="inlineStr">
        <is>
          <t>Consumidor Final</t>
        </is>
      </c>
      <c r="C176" s="45" t="inlineStr">
        <is>
          <t>Refil FPA18</t>
        </is>
      </c>
      <c r="D176" s="46" t="n">
        <v>60</v>
      </c>
      <c r="E176" s="45" t="inlineStr">
        <is>
          <t>Crédito Parcelado</t>
        </is>
      </c>
      <c r="F176" s="47" t="n">
        <v>4.19</v>
      </c>
      <c r="G176" s="48" t="n"/>
      <c r="H176" s="49" t="n"/>
      <c r="I176" s="45" t="inlineStr">
        <is>
          <t>Crédito em 2x</t>
        </is>
      </c>
    </row>
    <row r="177">
      <c r="A177" s="17" t="n">
        <v>46322</v>
      </c>
      <c r="B177" s="18" t="inlineStr">
        <is>
          <t>Dm Contabilidade Acessoria e Consultoria</t>
        </is>
      </c>
      <c r="C177" s="18" t="inlineStr">
        <is>
          <t>Mangueira (5,5m)</t>
        </is>
      </c>
      <c r="D177" s="27" t="n">
        <v>55</v>
      </c>
      <c r="E177" s="18" t="inlineStr">
        <is>
          <t>Crédito à Vista</t>
        </is>
      </c>
      <c r="F177" s="19" t="n">
        <v>1.93</v>
      </c>
      <c r="G177" s="19" t="n"/>
      <c r="H177" s="21" t="n"/>
      <c r="I177" s="18" t="n"/>
      <c r="J177" s="18" t="inlineStr">
        <is>
          <t>EMP-0120</t>
        </is>
      </c>
    </row>
    <row r="178">
      <c r="A178" s="44" t="n">
        <v>46322</v>
      </c>
      <c r="B178" s="45" t="inlineStr">
        <is>
          <t>Dm Contabilidade Acessoria e Consultoria</t>
        </is>
      </c>
      <c r="C178" s="45" t="inlineStr">
        <is>
          <t>Refil Pro Life</t>
        </is>
      </c>
      <c r="D178" s="46" t="n">
        <v>140</v>
      </c>
      <c r="E178" s="45" t="inlineStr">
        <is>
          <t>Crédito Parcelado</t>
        </is>
      </c>
      <c r="F178" s="47" t="n">
        <v>9.789999999999999</v>
      </c>
      <c r="G178" s="48" t="n"/>
      <c r="H178" s="49" t="n"/>
      <c r="I178" s="45" t="inlineStr">
        <is>
          <t>Crédito em 2x. Cliente mesmo trocou o refil.</t>
        </is>
      </c>
      <c r="J178" t="inlineStr">
        <is>
          <t>EMP-0120</t>
        </is>
      </c>
    </row>
    <row r="179">
      <c r="A179" s="17" t="n">
        <v>46322</v>
      </c>
      <c r="B179" s="18" t="inlineStr">
        <is>
          <t>Adriana Carvalho Sampaio - Jacobina Automoveis</t>
        </is>
      </c>
      <c r="C179" s="18" t="inlineStr">
        <is>
          <t>Purificador Everest Foz Grafite</t>
        </is>
      </c>
      <c r="D179" s="27" t="n">
        <v>1470</v>
      </c>
      <c r="E179" s="18" t="inlineStr">
        <is>
          <t>Pix</t>
        </is>
      </c>
      <c r="F179" s="19" t="n"/>
      <c r="G179" s="19" t="n"/>
      <c r="H179" s="21" t="n"/>
      <c r="I179" s="18" t="inlineStr">
        <is>
          <t>Instalação na cozinha marcada para 27/10/2026 à tarde (segundo purificador da cliente; o primeiro fica na área externa).</t>
        </is>
      </c>
      <c r="J179" s="18" t="inlineStr">
        <is>
          <t>CLI-0479</t>
        </is>
      </c>
    </row>
    <row r="180">
      <c r="A180" s="44" t="n">
        <v>46321</v>
      </c>
      <c r="B180" s="45" t="inlineStr">
        <is>
          <t>Combustível</t>
        </is>
      </c>
      <c r="C180" s="45" t="n"/>
      <c r="D180" s="46" t="n"/>
      <c r="E180" s="45" t="n"/>
      <c r="F180" s="47" t="n"/>
      <c r="G180" s="48" t="n">
        <v>30</v>
      </c>
      <c r="H180" s="49" t="inlineStr">
        <is>
          <t>Transporte e Entregas</t>
        </is>
      </c>
      <c r="I180" s="45" t="inlineStr">
        <is>
          <t>Gasolina comum 4,445 L a R$ 6,75/L — Posto da Praça (Lubrinessa XVI Comércio de Petróleo LTDA, CNPJ 29.922.765/0002-41, Praça 2 de Julho, 70, Centro, Jacobina), NFC-e nº 000392452 série 011 de 26/10/2026 09:50. Pago R$ 30,00 em dinheiro.</t>
        </is>
      </c>
    </row>
    <row r="181">
      <c r="A181" s="17" t="n">
        <v>46322</v>
      </c>
      <c r="B181" s="18" t="inlineStr">
        <is>
          <t>Vivencie Turismo Agencia de Viagens - Aneildes Rios</t>
        </is>
      </c>
      <c r="C181" s="18" t="inlineStr">
        <is>
          <t>Válvula Reguladora de Pressão</t>
        </is>
      </c>
      <c r="D181" s="27" t="n">
        <v>80</v>
      </c>
      <c r="E181" s="18" t="inlineStr">
        <is>
          <t>Dinheiro</t>
        </is>
      </c>
      <c r="F181" s="19" t="n"/>
      <c r="G181" s="19" t="n"/>
      <c r="H181" s="21" t="n"/>
      <c r="I181" s="18" t="inlineStr">
        <is>
          <t>Instalação feita em 27/10/2026.</t>
        </is>
      </c>
      <c r="J181" s="18" t="inlineStr">
        <is>
          <t>EMP-0032</t>
        </is>
      </c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2026-10-27T15:07:59Z</dcterms:modified>
  <cp:lastModifiedBy>Planeta</cp:lastModifiedBy>
  <cp:revision>1</cp:revision>
</cp:coreProperties>
</file>