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2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 que ainda não está documentado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Recebido</t>
        </is>
      </c>
      <c r="F100" s="124">
        <f>IF(OR($E100="Recebido",$C100=""),"",MAX(0,TODAY()-$C100))</f>
        <v/>
      </c>
      <c r="G100" s="90" t="inlineStr">
        <is>
          <t>Recebido via Pix em 10/09/2026 — lançado em "Set 2026".</t>
        </is>
      </c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Recebido</t>
        </is>
      </c>
      <c r="F103" s="124">
        <f>IF(OR($E103="Recebido",$C103=""),"",MAX(0,TODAY()-$C103))</f>
        <v/>
      </c>
      <c r="G103" s="90" t="inlineStr">
        <is>
          <t>Recebido via Pix em 10/09/2026 — lançado em "Set 2026".</t>
        </is>
      </c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Pendente</t>
        </is>
      </c>
      <c r="F105" s="124">
        <f>IF(OR($E105="Recebido",$C105=""),"",MAX(0,TODAY()-$C105))</f>
        <v/>
      </c>
      <c r="G105" s="90" t="n"/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0" t="inlineStr">
        <is>
          <t>Adriadne (Hotel Jovem Jota)</t>
        </is>
      </c>
      <c r="B107" s="90" t="inlineStr">
        <is>
          <t>Refil Everest</t>
        </is>
      </c>
      <c r="C107" s="89" t="n">
        <v>46275</v>
      </c>
      <c r="D107" s="91" t="n">
        <v>140</v>
      </c>
      <c r="E107" s="124" t="inlineStr">
        <is>
          <t>Pendente</t>
        </is>
      </c>
      <c r="F107" s="124">
        <f>IF(OR($E107="Recebido",$C107=""),"",MAX(0,TODAY()-$C107))</f>
        <v/>
      </c>
      <c r="G107" s="90" t="inlineStr">
        <is>
          <t>Troca do dia 10/09/2026.</t>
        </is>
      </c>
    </row>
    <row r="108">
      <c r="A108" s="90" t="inlineStr">
        <is>
          <t>Pousada Triunfo Ltda (Hotel Triunfo)</t>
        </is>
      </c>
      <c r="B108" s="90" t="inlineStr">
        <is>
          <t>Refil Everest + Pré Filtro</t>
        </is>
      </c>
      <c r="C108" s="89" t="n">
        <v>46275</v>
      </c>
      <c r="D108" s="91" t="n">
        <v>200</v>
      </c>
      <c r="E108" s="124" t="inlineStr">
        <is>
          <t>Pendente</t>
        </is>
      </c>
      <c r="F108" s="124">
        <f>IF(OR($E108="Recebido",$C108=""),"",MAX(0,TODAY()-$C108))</f>
        <v/>
      </c>
      <c r="G108" s="90" t="inlineStr">
        <is>
          <t>Troca do dia 10/09/2026.</t>
        </is>
      </c>
    </row>
    <row r="109">
      <c r="A109" s="98" t="inlineStr">
        <is>
          <t>TOTAL EM ABERTO A RECEBER (detalhe)</t>
        </is>
      </c>
      <c r="B109" s="98" t="n"/>
      <c r="C109" s="126" t="n"/>
      <c r="D109" s="127">
        <f>SUMIF(E74:E108,"Pendente",D74:D108)</f>
        <v/>
      </c>
      <c r="E109" s="128" t="n"/>
      <c r="F109" s="128" t="n"/>
      <c r="G109" s="98" t="n"/>
    </row>
    <row r="110">
      <c r="A110" s="129" t="inlineStr">
        <is>
          <t>CONFERÊNCIA COM AS ABAS DOS MESES</t>
        </is>
      </c>
      <c r="B110" s="160" t="n"/>
      <c r="C110" s="160" t="n"/>
      <c r="D110" s="160" t="n"/>
      <c r="E110" s="160" t="n"/>
      <c r="F110" s="160" t="n"/>
      <c r="G110" s="161" t="n"/>
    </row>
    <row r="111">
      <c r="A111" s="200">
        <f>IF(ROUND(D109-C5,2)=0,"OK — o detalhe acima bate com as vendas marcadas como Aguardando Pagamento nas abas dos meses.","ATENÇÃO: diferença de R$ "&amp;TEXT(ABS(D109-C5),"#,##0.00")&amp;" entre este detalhe e as abas dos meses — alguma venda mudou de status em um lado só.")</f>
        <v/>
      </c>
    </row>
    <row r="112">
      <c r="A112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A111:G111"/>
    <mergeCell ref="E4:F4"/>
    <mergeCell ref="A1:G1"/>
    <mergeCell ref="A9:G9"/>
    <mergeCell ref="A110:G110"/>
    <mergeCell ref="C5:D6"/>
    <mergeCell ref="A5:B6"/>
    <mergeCell ref="A2:G2"/>
    <mergeCell ref="E5:F6"/>
    <mergeCell ref="A72:G72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08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3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Purificador Everest Slim Branco</t>
        </is>
      </c>
      <c r="B18" s="69" t="n">
        <v>1429</v>
      </c>
      <c r="C18" s="121" t="n">
        <v>715.02</v>
      </c>
      <c r="D18" s="69" t="n">
        <v>30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>
        <v>0.1399</v>
      </c>
    </row>
    <row r="19">
      <c r="A19" s="64" t="inlineStr">
        <is>
          <t>Purificador Everest Slim Prata</t>
        </is>
      </c>
      <c r="B19" s="67" t="n">
        <v>1486</v>
      </c>
      <c r="C19" s="121" t="n">
        <v>784.97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>
        <v>0.1399</v>
      </c>
    </row>
    <row r="20">
      <c r="A20" s="66" t="inlineStr">
        <is>
          <t>Purificador Everest Star Branco</t>
        </is>
      </c>
      <c r="B20" s="69" t="n">
        <v>1429</v>
      </c>
      <c r="C20" s="121" t="n">
        <v>756.73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Plus Branco</t>
        </is>
      </c>
      <c r="B21" s="67" t="n">
        <v>1529</v>
      </c>
      <c r="C21" s="121" t="n">
        <v>820.73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Plus Prata</t>
        </is>
      </c>
      <c r="B22" s="69" t="n">
        <v>1569</v>
      </c>
      <c r="C22" s="121" t="n">
        <v>906.9299999999999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Fit Branco</t>
        </is>
      </c>
      <c r="B23" s="67" t="n">
        <v>1429</v>
      </c>
      <c r="C23" s="121" t="n">
        <v>756.73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Fit Preto</t>
        </is>
      </c>
      <c r="B24" s="69" t="n">
        <v>1486</v>
      </c>
      <c r="C24" s="121" t="n">
        <v>784.96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Prata</t>
        </is>
      </c>
      <c r="B25" s="67" t="n">
        <v>1486</v>
      </c>
      <c r="C25" s="121" t="n">
        <v>739.37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Star Preto</t>
        </is>
      </c>
      <c r="B26" s="77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6" t="inlineStr">
        <is>
          <t>Purificador Everest Foz Branco</t>
        </is>
      </c>
      <c r="B27" s="77" t="n">
        <v>1589</v>
      </c>
      <c r="C27" s="121" t="n">
        <v>767.95</v>
      </c>
      <c r="D27" s="69" t="n">
        <v>30</v>
      </c>
      <c r="E27" s="69">
        <f>IF(B27="","",B27*IF($J27="",$B$4,$J27))</f>
        <v/>
      </c>
      <c r="F27" s="69">
        <f>IF(B27="","",B27*$D$4)</f>
        <v/>
      </c>
      <c r="G27" s="69">
        <f>IF(B27="","",SUM(C27:F27))</f>
        <v/>
      </c>
      <c r="H27" s="69">
        <f>IF(B27="","",B27-G27)</f>
        <v/>
      </c>
      <c r="I27" s="76">
        <f>IF(B27=0,"",H27/B27)</f>
        <v/>
      </c>
      <c r="J27" s="240" t="n">
        <v>0.1399</v>
      </c>
    </row>
    <row r="28">
      <c r="A28" s="66" t="inlineStr">
        <is>
          <t>Purificador Everest Foz Cinza/Grafite</t>
        </is>
      </c>
      <c r="B28" s="77" t="n">
        <v>1689</v>
      </c>
      <c r="C28" s="121" t="n">
        <v>819.5700000000001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Baby (todas as cores)</t>
        </is>
      </c>
      <c r="B29" s="77" t="n">
        <v>420</v>
      </c>
      <c r="C29" s="121" t="n">
        <v>150.13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0.11</v>
      </c>
    </row>
    <row r="31">
      <c r="A31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2">
      <c r="A32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6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SUMIF(H5:H83,K5,G5:G83)</f>
        <v/>
      </c>
      <c r="N5" s="237">
        <f>D84-F84-T5</f>
        <v/>
      </c>
      <c r="P5" s="189">
        <f>L18-L19</f>
        <v/>
      </c>
      <c r="R5" s="204">
        <f>D85</f>
        <v/>
      </c>
      <c r="T5" s="203">
        <f>SUMIF(E5:E83,"Aguardando Pagamento",D5:D83)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SUMIF(H5:H83,K6,G5:G83)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SUMIF(H5:H83,K7,G5:G83)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SUMIF(H5:H83,K8,G5:G83)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SUMIF(H5:H83,K9,G5:G83)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SUMIF(H5:H83,K10,G5:G83)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SUMIF(H5:H83,K11,G5:G83)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SUMIF(H5:H83,K12,G5:G83)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SUMIF(H5:H83,K13,G5:G83)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SUMIF(H5:H83,K14,G5:G83)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SUMIF(H5:H83,K15,G5:G83)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SUMIF(H5:H83,K16,G5:G83)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SUMIF(H5:H83,K17,G5:G83)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93" t="n">
        <v>46275</v>
      </c>
      <c r="B80" s="94" t="inlineStr">
        <is>
          <t>Pamella Rodrigues Ribeiro de Oliveira</t>
        </is>
      </c>
      <c r="C80" s="94" t="inlineStr">
        <is>
          <t>Refil Everest + Mangueira</t>
        </is>
      </c>
      <c r="D80" s="95" t="n">
        <v>150</v>
      </c>
      <c r="E80" s="94" t="inlineStr">
        <is>
          <t>Crédito Parcelado</t>
        </is>
      </c>
      <c r="F80" s="95" t="n">
        <v>10.48</v>
      </c>
      <c r="G80" s="95" t="n"/>
      <c r="H80" s="94" t="n"/>
      <c r="I80" s="94" t="inlineStr">
        <is>
          <t>Crédito em 2x</t>
        </is>
      </c>
    </row>
    <row r="81">
      <c r="A81" s="89" t="n">
        <v>46275</v>
      </c>
      <c r="B81" s="90" t="inlineStr">
        <is>
          <t>Consumidor Final</t>
        </is>
      </c>
      <c r="C81" s="90" t="inlineStr">
        <is>
          <t>Refil BAG</t>
        </is>
      </c>
      <c r="D81" s="91" t="n">
        <v>50</v>
      </c>
      <c r="E81" s="90" t="inlineStr">
        <is>
          <t>Débito</t>
        </is>
      </c>
      <c r="F81" s="91" t="n">
        <v>0.72</v>
      </c>
      <c r="G81" s="91" t="n"/>
      <c r="H81" s="90" t="n"/>
      <c r="I81" s="90" t="n"/>
    </row>
    <row r="82">
      <c r="A82" s="93" t="n">
        <v>46275</v>
      </c>
      <c r="B82" s="94" t="inlineStr">
        <is>
          <t>Adriadne (Hotel Jovem Jota)</t>
        </is>
      </c>
      <c r="C82" s="94" t="inlineStr">
        <is>
          <t>Refil Everest</t>
        </is>
      </c>
      <c r="D82" s="95" t="n">
        <v>140</v>
      </c>
      <c r="E82" s="94" t="inlineStr">
        <is>
          <t>Aguardando Pagamento</t>
        </is>
      </c>
      <c r="F82" s="95" t="n"/>
      <c r="G82" s="95" t="n"/>
      <c r="H82" s="94" t="n"/>
      <c r="I82" s="94" t="n"/>
    </row>
    <row r="83">
      <c r="A83" s="93" t="n">
        <v>46275</v>
      </c>
      <c r="B83" s="94" t="inlineStr">
        <is>
          <t>Pousada Triunfo Ltda (Hotel Triunfo)</t>
        </is>
      </c>
      <c r="C83" s="94" t="inlineStr">
        <is>
          <t>Refil Everest + Pré Filtro</t>
        </is>
      </c>
      <c r="D83" s="95" t="n">
        <v>200</v>
      </c>
      <c r="E83" s="94" t="inlineStr">
        <is>
          <t>Aguardando Pagamento</t>
        </is>
      </c>
      <c r="F83" s="95" t="n"/>
      <c r="G83" s="95" t="n"/>
      <c r="H83" s="94" t="n"/>
      <c r="I83" s="94" t="n"/>
    </row>
    <row r="84">
      <c r="A84" s="102" t="n"/>
      <c r="B84" s="102" t="inlineStr">
        <is>
          <t>TOTAL DO MÊS</t>
        </is>
      </c>
      <c r="C84" s="102" t="n"/>
      <c r="D84" s="103">
        <f>SUM(D5:D83)</f>
        <v/>
      </c>
      <c r="E84" s="102" t="n"/>
      <c r="F84" s="103">
        <f>SUM(F5:F83)</f>
        <v/>
      </c>
      <c r="G84" s="103">
        <f>SUM(G5:G83)</f>
        <v/>
      </c>
      <c r="H84" s="102" t="n"/>
      <c r="I84" s="102" t="n"/>
    </row>
    <row r="85">
      <c r="A85" s="104" t="n"/>
      <c r="B85" s="104" t="inlineStr">
        <is>
          <t>SALDO DO MÊS (Entradas líquidas − Despesas da loja)</t>
        </is>
      </c>
      <c r="C85" s="104" t="n"/>
      <c r="D85" s="105">
        <f>(D84-F84-T5)-(L18-L19)</f>
        <v/>
      </c>
      <c r="E85" s="104" t="n"/>
      <c r="F85" s="105" t="n"/>
      <c r="G85" s="105" t="n"/>
      <c r="H85" s="104" t="n"/>
      <c r="I85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83" showDropDown="0" showInputMessage="0" showErrorMessage="0" allowBlank="1" type="list">
      <formula1>"Dinheiro,Pix,Débito,Crédito à Vista,Crédito Parcelado,Aguardando Pagamento"</formula1>
    </dataValidation>
    <dataValidation sqref="H5:H8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2026-09-10T21:12:34Z</dcterms:modified>
  <cp:lastModifiedBy>Planeta</cp:lastModifiedBy>
  <cp:revision>1</cp:revision>
</cp:coreProperties>
</file>