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  <xf numFmtId="0" fontId="76" fillId="23" borderId="8" pivotButton="0" quotePrefix="0" xfId="0"/>
    <xf numFmtId="14" fontId="76" fillId="23" borderId="8" applyAlignment="1" pivotButton="0" quotePrefix="0" xfId="0">
      <alignment horizontal="center"/>
    </xf>
    <xf numFmtId="164" fontId="76" fillId="23" borderId="8" applyAlignment="1" pivotButton="0" quotePrefix="0" xfId="0">
      <alignment horizontal="right"/>
    </xf>
    <xf numFmtId="0" fontId="77" fillId="23" borderId="8" applyAlignment="1" pivotButton="0" quotePrefix="0" xfId="0">
      <alignment horizontal="center"/>
    </xf>
    <xf numFmtId="0" fontId="76" fillId="23" borderId="8" applyAlignment="1" pivotButton="0" quotePrefix="0" xfId="0">
      <alignment horizontal="center"/>
    </xf>
    <xf numFmtId="0" fontId="77" fillId="23" borderId="8" pivotButton="0" quotePrefix="0" xfId="0"/>
    <xf numFmtId="14" fontId="77" fillId="23" borderId="8" applyAlignment="1" pivotButton="0" quotePrefix="0" xfId="0">
      <alignment horizontal="center"/>
    </xf>
    <xf numFmtId="164" fontId="77" fillId="23" borderId="8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1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Patrus Transportes Ltda</t>
        </is>
      </c>
      <c r="B25" s="90" t="inlineStr">
        <is>
          <t>Frete — fatura 26-08-913041 (CT-e 2117850, remetente Eversoft, NF 75472)</t>
        </is>
      </c>
      <c r="C25" s="89" t="n">
        <v>46281</v>
      </c>
      <c r="D25" s="91" t="n">
        <v>292.68</v>
      </c>
      <c r="E25" s="124" t="inlineStr">
        <is>
          <t>Pendente</t>
        </is>
      </c>
      <c r="F25" s="125">
        <f>IF(OR($E25="Pago",$C25=""),"",MAX(0,TODAY()-$C25))</f>
        <v/>
      </c>
      <c r="G25" s="90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4" t="inlineStr">
        <is>
          <t>FGTS Digital (GFD)</t>
        </is>
      </c>
      <c r="B26" s="94" t="inlineStr">
        <is>
          <t>FGTS mensal — competência 08/2026</t>
        </is>
      </c>
      <c r="C26" s="93" t="n">
        <v>46283</v>
      </c>
      <c r="D26" s="95" t="n">
        <v>136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inlineStr">
        <is>
          <t>Receita Federal</t>
        </is>
      </c>
      <c r="B27" s="90" t="inlineStr">
        <is>
          <t>DARF / INSS — período de apuração agosto/2026</t>
        </is>
      </c>
      <c r="C27" s="89" t="n">
        <v>46283</v>
      </c>
      <c r="D27" s="91" t="n">
        <v>306.99</v>
      </c>
      <c r="E27" s="124" t="inlineStr">
        <is>
          <t>Pendente</t>
        </is>
      </c>
      <c r="F27" s="124">
        <f>IF(OR($E27="Pago",$C27=""),"",MAX(0,TODAY()-$C27))</f>
        <v/>
      </c>
      <c r="G27" s="90" t="inlineStr">
        <is>
          <t>Categoria quando pagar: Impostos e Taxas.</t>
        </is>
      </c>
    </row>
    <row r="28">
      <c r="A28" s="94" t="inlineStr">
        <is>
          <t>Eversoft Ind e Com de Plasticos Ltda</t>
        </is>
      </c>
      <c r="B28" s="94" t="inlineStr">
        <is>
          <t>Mercadoria — doc. 74454 (emissão 17/07/2026) · parcela 2/5</t>
        </is>
      </c>
      <c r="C28" s="93" t="n">
        <v>46280</v>
      </c>
      <c r="D28" s="95" t="n">
        <v>980.83</v>
      </c>
      <c r="E28" s="125" t="inlineStr">
        <is>
          <t>Pendente</t>
        </is>
      </c>
      <c r="F28" s="125">
        <f>IF(OR($E28="Pago",$C28=""),"",MAX(0,TODAY()-$C28))</f>
        <v/>
      </c>
      <c r="G28" s="94" t="inlineStr">
        <is>
          <t>Categoria quando pagar: Fornecedores / Mercadoria. Boleto Itaú 341-7 (Eversoft, CNPJ 08.782.043/0001-88). Nosso número 112/28638767-8. Linha digitável 34191.12283 63876.780303 55679.010003 5 15700000098083. Após o vencimento: juros ao dia + multa de 2%.</t>
        </is>
      </c>
    </row>
    <row r="29">
      <c r="A29" s="90" t="inlineStr">
        <is>
          <t>Eversoft Ind e Com de Plasticos Ltda</t>
        </is>
      </c>
      <c r="B29" s="90" t="inlineStr">
        <is>
          <t>Mercadoria — doc. 75472 (emissão 26/08/2026) · parcela 1/5</t>
        </is>
      </c>
      <c r="C29" s="89" t="n">
        <v>46290</v>
      </c>
      <c r="D29" s="91" t="n">
        <v>940.0599999999999</v>
      </c>
      <c r="E29" s="124" t="inlineStr">
        <is>
          <t>Pendente</t>
        </is>
      </c>
      <c r="F29" s="124">
        <f>IF(OR($E29="Pago",$C29=""),"",MAX(0,TODAY()-$C29))</f>
        <v/>
      </c>
      <c r="G29" s="90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94" t="inlineStr">
        <is>
          <t>Eversoft Ind e Com de Plasticos Ltda</t>
        </is>
      </c>
      <c r="B30" s="94" t="inlineStr">
        <is>
          <t>Mercadoria — doc. 72869 (emissão 07/05/2026) · parcela 5/5 (última)</t>
        </is>
      </c>
      <c r="C30" s="93" t="n">
        <v>46299</v>
      </c>
      <c r="D30" s="95" t="n">
        <v>980.8099999999999</v>
      </c>
      <c r="E30" s="125" t="inlineStr">
        <is>
          <t>Pendente</t>
        </is>
      </c>
      <c r="F30" s="125">
        <f>IF(OR($E30="Pago",$C30=""),"",MAX(0,TODAY()-$C30))</f>
        <v/>
      </c>
      <c r="G30" s="94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90" t="inlineStr">
        <is>
          <t>Eversoft Ind e Com de Plasticos Ltda</t>
        </is>
      </c>
      <c r="B31" s="90" t="inlineStr">
        <is>
          <t>Mercadoria — doc. 73636 (emissão 10/06/2026) · parcela 4/5</t>
        </is>
      </c>
      <c r="C31" s="89" t="n">
        <v>46303</v>
      </c>
      <c r="D31" s="91" t="n">
        <v>878.92</v>
      </c>
      <c r="E31" s="124" t="inlineStr">
        <is>
          <t>Pendente</t>
        </is>
      </c>
      <c r="F31" s="124">
        <f>IF(OR($E31="Pago",$C31=""),"",MAX(0,TODAY()-$C31))</f>
        <v/>
      </c>
      <c r="G31" s="90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94" t="inlineStr">
        <is>
          <t>Eversoft Ind e Com de Plasticos Ltda</t>
        </is>
      </c>
      <c r="B32" s="94" t="inlineStr">
        <is>
          <t>Mercadoria — doc. 74454 (emissão 17/07/2026) · parcela 3/5</t>
        </is>
      </c>
      <c r="C32" s="93" t="n">
        <v>46310</v>
      </c>
      <c r="D32" s="95" t="n">
        <v>980.83</v>
      </c>
      <c r="E32" s="125" t="inlineStr">
        <is>
          <t>Pendente</t>
        </is>
      </c>
      <c r="F32" s="125">
        <f>IF(OR($E32="Pago",$C32=""),"",MAX(0,TODAY()-$C32))</f>
        <v/>
      </c>
      <c r="G32" s="94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90" t="inlineStr">
        <is>
          <t>Eversoft Ind e Com de Plasticos Ltda</t>
        </is>
      </c>
      <c r="B33" s="90" t="inlineStr">
        <is>
          <t>Mercadoria — doc. 75472 (emissão 26/08/2026) · parcela 2/5</t>
        </is>
      </c>
      <c r="C33" s="89" t="n">
        <v>46320</v>
      </c>
      <c r="D33" s="91" t="n">
        <v>940.0599999999999</v>
      </c>
      <c r="E33" s="124" t="inlineStr">
        <is>
          <t>Pendente</t>
        </is>
      </c>
      <c r="F33" s="124">
        <f>IF(OR($E33="Pago",$C33=""),"",MAX(0,TODAY()-$C33))</f>
        <v/>
      </c>
      <c r="G33" s="90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94" t="inlineStr">
        <is>
          <t>Eversoft Ind e Com de Plasticos Ltda</t>
        </is>
      </c>
      <c r="B34" s="94" t="inlineStr">
        <is>
          <t>Mercadoria — doc. 73636 (emissão 10/06/2026) · parcela 5/5 (última)</t>
        </is>
      </c>
      <c r="C34" s="93" t="n">
        <v>46333</v>
      </c>
      <c r="D34" s="95" t="n">
        <v>878.9299999999999</v>
      </c>
      <c r="E34" s="125" t="inlineStr">
        <is>
          <t>Pendente</t>
        </is>
      </c>
      <c r="F34" s="125">
        <f>IF(OR($E34="Pago",$C34=""),"",MAX(0,TODAY()-$C34))</f>
        <v/>
      </c>
      <c r="G34" s="94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90" t="inlineStr">
        <is>
          <t>Everest Refrigeracao e Industria</t>
        </is>
      </c>
      <c r="B35" s="90" t="inlineStr">
        <is>
          <t>Mercadoria — doc. 381554 (emissão 17/07/2026) · parcela 2/5</t>
        </is>
      </c>
      <c r="C35" s="89" t="n">
        <v>46280</v>
      </c>
      <c r="D35" s="91" t="n">
        <v>892.3</v>
      </c>
      <c r="E35" s="124" t="inlineStr">
        <is>
          <t>Pendente</t>
        </is>
      </c>
      <c r="F35" s="124">
        <f>IF(OR($E35="Pago",$C35=""),"",MAX(0,TODAY()-$C35))</f>
        <v/>
      </c>
      <c r="G35" s="90" t="inlineStr">
        <is>
          <t>Categoria quando pagar: Fornecedores / Mercadoria. Boleto Itaú 341-7. Nosso número 112/28638136-6. Linha digitável 34191.12283 63813.660303 52238.850003 1 15700000089230. Após o vencimento: juros ao dia + multa de 2%.</t>
        </is>
      </c>
    </row>
    <row r="36">
      <c r="A36" s="94" t="inlineStr">
        <is>
          <t>Everest Refrigeracao e Industria</t>
        </is>
      </c>
      <c r="B36" s="94" t="inlineStr">
        <is>
          <t>Mercadoria — doc. 377737 (emissão 19/05/2026) · parcela 4/5</t>
        </is>
      </c>
      <c r="C36" s="93" t="n">
        <v>46281</v>
      </c>
      <c r="D36" s="95" t="n">
        <v>139.31</v>
      </c>
      <c r="E36" s="125" t="inlineStr">
        <is>
          <t>Pendente</t>
        </is>
      </c>
      <c r="F36" s="125">
        <f>IF(OR($E36="Pago",$C36=""),"",MAX(0,TODAY()-$C36))</f>
        <v/>
      </c>
      <c r="G36" s="94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90" t="inlineStr">
        <is>
          <t>Everest Refrigeracao e Industria</t>
        </is>
      </c>
      <c r="B37" s="90" t="inlineStr">
        <is>
          <t>Mercadoria — doc. 377738 (emissão 19/05/2026) · parcela 4/5</t>
        </is>
      </c>
      <c r="C37" s="89" t="n">
        <v>46281</v>
      </c>
      <c r="D37" s="91" t="n">
        <v>865.5</v>
      </c>
      <c r="E37" s="124" t="inlineStr">
        <is>
          <t>Pendente</t>
        </is>
      </c>
      <c r="F37" s="124">
        <f>IF(OR($E37="Pago",$C37=""),"",MAX(0,TODAY()-$C37))</f>
        <v/>
      </c>
      <c r="G37" s="90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94" t="inlineStr">
        <is>
          <t>Everest Refrigeracao e Industria</t>
        </is>
      </c>
      <c r="B38" s="94" t="inlineStr">
        <is>
          <t>Mercadoria — doc. 377739 (emissão 19/05/2026) · parcela 4/5</t>
        </is>
      </c>
      <c r="C38" s="93" t="n">
        <v>46281</v>
      </c>
      <c r="D38" s="95" t="n">
        <v>856.35</v>
      </c>
      <c r="E38" s="125" t="inlineStr">
        <is>
          <t>Pendente</t>
        </is>
      </c>
      <c r="F38" s="125">
        <f>IF(OR($E38="Pago",$C38=""),"",MAX(0,TODAY()-$C38))</f>
        <v/>
      </c>
      <c r="G38" s="94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90" t="inlineStr">
        <is>
          <t>Everest Refrigeracao e Industria</t>
        </is>
      </c>
      <c r="B39" s="90" t="inlineStr">
        <is>
          <t>Mercadoria — doc. 379826 (emissão 22/06/2026) · parcela 3/5</t>
        </is>
      </c>
      <c r="C39" s="89" t="n">
        <v>46285</v>
      </c>
      <c r="D39" s="91" t="n">
        <v>874.6799999999999</v>
      </c>
      <c r="E39" s="124" t="inlineStr">
        <is>
          <t>Pendente</t>
        </is>
      </c>
      <c r="F39" s="124">
        <f>IF(OR($E39="Pago",$C39=""),"",MAX(0,TODAY()-$C39))</f>
        <v/>
      </c>
      <c r="G39" s="90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94" t="inlineStr">
        <is>
          <t>Everest Refrigeracao e Industria</t>
        </is>
      </c>
      <c r="B40" s="94" t="inlineStr">
        <is>
          <t>Mercadoria — doc. 381554 (emissão 17/07/2026) · parcela 3/5</t>
        </is>
      </c>
      <c r="C40" s="93" t="n">
        <v>46310</v>
      </c>
      <c r="D40" s="95" t="n">
        <v>892.3</v>
      </c>
      <c r="E40" s="125" t="inlineStr">
        <is>
          <t>Pendente</t>
        </is>
      </c>
      <c r="F40" s="125">
        <f>IF(OR($E40="Pago",$C40=""),"",MAX(0,TODAY()-$C40))</f>
        <v/>
      </c>
      <c r="G40" s="94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90" t="inlineStr">
        <is>
          <t>Everest Refrigeracao e Industria</t>
        </is>
      </c>
      <c r="B41" s="90" t="inlineStr">
        <is>
          <t>Mercadoria — doc. 377737 (emissão 19/05/2026) · parcela 5/5 (última)</t>
        </is>
      </c>
      <c r="C41" s="89" t="n">
        <v>46311</v>
      </c>
      <c r="D41" s="91" t="n">
        <v>139.32</v>
      </c>
      <c r="E41" s="124" t="inlineStr">
        <is>
          <t>Pendente</t>
        </is>
      </c>
      <c r="F41" s="124">
        <f>IF(OR($E41="Pago",$C41=""),"",MAX(0,TODAY()-$C41))</f>
        <v/>
      </c>
      <c r="G41" s="90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94" t="inlineStr">
        <is>
          <t>Everest Refrigeracao e Industria</t>
        </is>
      </c>
      <c r="B42" s="94" t="inlineStr">
        <is>
          <t>Mercadoria — doc. 377738 (emissão 19/05/2026) · parcela 5/5 (última)</t>
        </is>
      </c>
      <c r="C42" s="93" t="n">
        <v>46311</v>
      </c>
      <c r="D42" s="95" t="n">
        <v>865.52</v>
      </c>
      <c r="E42" s="125" t="inlineStr">
        <is>
          <t>Pendente</t>
        </is>
      </c>
      <c r="F42" s="125">
        <f>IF(OR($E42="Pago",$C42=""),"",MAX(0,TODAY()-$C42))</f>
        <v/>
      </c>
      <c r="G42" s="94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90" t="inlineStr">
        <is>
          <t>Everest Refrigeracao e Industria</t>
        </is>
      </c>
      <c r="B43" s="90" t="inlineStr">
        <is>
          <t>Mercadoria — doc. 377739 (emissão 19/05/2026) · parcela 5/5 (última)</t>
        </is>
      </c>
      <c r="C43" s="89" t="n">
        <v>46311</v>
      </c>
      <c r="D43" s="91" t="n">
        <v>856.34</v>
      </c>
      <c r="E43" s="124" t="inlineStr">
        <is>
          <t>Pendente</t>
        </is>
      </c>
      <c r="F43" s="124">
        <f>IF(OR($E43="Pago",$C43=""),"",MAX(0,TODAY()-$C43))</f>
        <v/>
      </c>
      <c r="G43" s="90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94" t="inlineStr">
        <is>
          <t>Everest Refrigeracao e Industria</t>
        </is>
      </c>
      <c r="B44" s="94" t="inlineStr">
        <is>
          <t>Mercadoria — doc. 379826 (emissão 22/06/2026) · parcela 4/5</t>
        </is>
      </c>
      <c r="C44" s="93" t="n">
        <v>46315</v>
      </c>
      <c r="D44" s="95" t="n">
        <v>874.6799999999999</v>
      </c>
      <c r="E44" s="125" t="inlineStr">
        <is>
          <t>Pendente</t>
        </is>
      </c>
      <c r="F44" s="125">
        <f>IF(OR($E44="Pago",$C44=""),"",MAX(0,TODAY()-$C44))</f>
        <v/>
      </c>
      <c r="G44" s="94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241" t="inlineStr">
        <is>
          <t>Eversoft Ind e Com de Plasticos Ltda</t>
        </is>
      </c>
      <c r="B45" s="241" t="inlineStr">
        <is>
          <t>Mercadoria — doc. 74454 (emissão 17/07/2026) · parcela 4/5</t>
        </is>
      </c>
      <c r="C45" s="242" t="n">
        <v>46340</v>
      </c>
      <c r="D45" s="243" t="n">
        <v>980.83</v>
      </c>
      <c r="E45" s="244" t="inlineStr">
        <is>
          <t>Previsto</t>
        </is>
      </c>
      <c r="F45" s="245">
        <f>IF(OR($E45="Pago",$C45=""),"",MAX(0,TODAY()-$C45))</f>
        <v/>
      </c>
      <c r="G45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241" t="inlineStr">
        <is>
          <t>Everest Refrigeracao e Industria</t>
        </is>
      </c>
      <c r="B46" s="241" t="inlineStr">
        <is>
          <t>Mercadoria — doc. 381554 (emissão 17/07/2026) · parcela 4/5</t>
        </is>
      </c>
      <c r="C46" s="242" t="n">
        <v>46340</v>
      </c>
      <c r="D46" s="243" t="n">
        <v>892.3</v>
      </c>
      <c r="E46" s="244" t="inlineStr">
        <is>
          <t>Previsto</t>
        </is>
      </c>
      <c r="F46" s="245">
        <f>IF(OR($E46="Pago",$C46=""),"",MAX(0,TODAY()-$C46))</f>
        <v/>
      </c>
      <c r="G46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241" t="inlineStr">
        <is>
          <t>Everest Refrigeracao e Industria</t>
        </is>
      </c>
      <c r="B47" s="241" t="inlineStr">
        <is>
          <t>Mercadoria — doc. 379826 (emissão 22/06/2026) · parcela 5/5 (última)</t>
        </is>
      </c>
      <c r="C47" s="242" t="n">
        <v>46345</v>
      </c>
      <c r="D47" s="243" t="n">
        <v>874.6799999999999</v>
      </c>
      <c r="E47" s="244" t="inlineStr">
        <is>
          <t>Previsto</t>
        </is>
      </c>
      <c r="F47" s="245">
        <f>IF(OR($E47="Pago",$C47=""),"",MAX(0,TODAY()-$C47))</f>
        <v/>
      </c>
      <c r="G47" s="241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241" t="inlineStr">
        <is>
          <t>Eversoft Ind e Com de Plasticos Ltda</t>
        </is>
      </c>
      <c r="B48" s="241" t="inlineStr">
        <is>
          <t>Mercadoria — doc. 75472 (emissão 26/08/2026) · parcela 3/5</t>
        </is>
      </c>
      <c r="C48" s="242" t="n">
        <v>46350</v>
      </c>
      <c r="D48" s="243" t="n">
        <v>940.0599999999999</v>
      </c>
      <c r="E48" s="244" t="inlineStr">
        <is>
          <t>Previsto</t>
        </is>
      </c>
      <c r="F48" s="245">
        <f>IF(OR($E48="Pago",$C48=""),"",MAX(0,TODAY()-$C48))</f>
        <v/>
      </c>
      <c r="G48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241" t="inlineStr">
        <is>
          <t>Everest Refrigeracao e Industria</t>
        </is>
      </c>
      <c r="B49" s="241" t="inlineStr">
        <is>
          <t>Mercadoria — doc. 381554 (emissão 17/07/2026) · parcela 5/5 (última)</t>
        </is>
      </c>
      <c r="C49" s="242" t="n">
        <v>46370</v>
      </c>
      <c r="D49" s="243" t="n">
        <v>892.29</v>
      </c>
      <c r="E49" s="244" t="inlineStr">
        <is>
          <t>Previsto</t>
        </is>
      </c>
      <c r="F49" s="245">
        <f>IF(OR($E49="Pago",$C49=""),"",MAX(0,TODAY()-$C49))</f>
        <v/>
      </c>
      <c r="G49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241" t="inlineStr">
        <is>
          <t>Eversoft Ind e Com de Plasticos Ltda</t>
        </is>
      </c>
      <c r="B50" s="241" t="inlineStr">
        <is>
          <t>Mercadoria — doc. 74454 (emissão 17/07/2026) · parcela 5/5 (última)</t>
        </is>
      </c>
      <c r="C50" s="242" t="n">
        <v>46370</v>
      </c>
      <c r="D50" s="243" t="n">
        <v>980.8099999999999</v>
      </c>
      <c r="E50" s="244" t="inlineStr">
        <is>
          <t>Previsto</t>
        </is>
      </c>
      <c r="F50" s="245">
        <f>IF(OR($E50="Pago",$C50=""),"",MAX(0,TODAY()-$C50))</f>
        <v/>
      </c>
      <c r="G50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241" t="inlineStr">
        <is>
          <t>Eversoft Ind e Com de Plasticos Ltda</t>
        </is>
      </c>
      <c r="B51" s="241" t="inlineStr">
        <is>
          <t>Mercadoria — doc. 75472 (emissão 26/08/2026) · parcela 4/5</t>
        </is>
      </c>
      <c r="C51" s="242" t="n">
        <v>46380</v>
      </c>
      <c r="D51" s="243" t="n">
        <v>940.0599999999999</v>
      </c>
      <c r="E51" s="244" t="inlineStr">
        <is>
          <t>Previsto</t>
        </is>
      </c>
      <c r="F51" s="245">
        <f>IF(OR($E51="Pago",$C51=""),"",MAX(0,TODAY()-$C51))</f>
        <v/>
      </c>
      <c r="G51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241" t="inlineStr">
        <is>
          <t>Eversoft Ind e Com de Plasticos Ltda</t>
        </is>
      </c>
      <c r="B52" s="241" t="inlineStr">
        <is>
          <t>Mercadoria — doc. 75472 (emissão 26/08/2026) · parcela 5/5 (última)</t>
        </is>
      </c>
      <c r="C52" s="242" t="n">
        <v>46410</v>
      </c>
      <c r="D52" s="243" t="n">
        <v>940.08</v>
      </c>
      <c r="E52" s="244" t="inlineStr">
        <is>
          <t>Previsto</t>
        </is>
      </c>
      <c r="F52" s="245">
        <f>IF(OR($E52="Pago",$C52=""),"",MAX(0,TODAY()-$C52))</f>
        <v/>
      </c>
      <c r="G52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90" t="inlineStr">
        <is>
          <t>Filtros Planeta Agua Ind e Com Ltda</t>
        </is>
      </c>
      <c r="B53" s="90" t="inlineStr">
        <is>
          <t>Mercadoria — doc. 131997/4 (emissão 08/07/2026) · parcela 4/4 (última)</t>
        </is>
      </c>
      <c r="C53" s="89" t="n">
        <v>46281</v>
      </c>
      <c r="D53" s="91" t="n">
        <v>1385.85</v>
      </c>
      <c r="E53" s="124" t="inlineStr">
        <is>
          <t>Pendente</t>
        </is>
      </c>
      <c r="F53" s="124">
        <f>IF(OR($E53="Pago",$C53=""),"",MAX(0,TODAY()-$C53))</f>
        <v/>
      </c>
      <c r="G53" s="90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94" t="inlineStr">
        <is>
          <t>Instituto Euvaldo Lodi — Núcleo Regional da Bahia</t>
        </is>
      </c>
      <c r="B54" s="94" t="inlineStr">
        <is>
          <t>Contribuição do contrato de estágio — doc. A 000007329</t>
        </is>
      </c>
      <c r="C54" s="93" t="n">
        <v>46280</v>
      </c>
      <c r="D54" s="95" t="n">
        <v>75</v>
      </c>
      <c r="E54" s="125" t="inlineStr">
        <is>
          <t>Pendente</t>
        </is>
      </c>
      <c r="F54" s="125">
        <f>IF(OR($E54="Pago",$C54=""),"",MAX(0,TODAY()-$C54))</f>
        <v/>
      </c>
      <c r="G54" s="94" t="inlineStr">
        <is>
          <t>Categoria quando pagar: Salários, Comissões e Encargos. Boleto Banco do Brasil 001-0, nosso número 32190990000160501. Linha digitável 00190.00009 03219.099003 00160.501177 1 15700000007500. Após o vencimento: juros de 0,5% ao mês; não receber após 35 dias.</t>
        </is>
      </c>
    </row>
    <row r="55">
      <c r="A55" s="90" t="inlineStr">
        <is>
          <t>Proxxima Telecomunicacoes S.A.</t>
        </is>
      </c>
      <c r="B55" s="90" t="inlineStr">
        <is>
          <t>Internet da loja — plano Turbinados 700 MB, contrato 578646</t>
        </is>
      </c>
      <c r="C55" s="89" t="n">
        <v>46280</v>
      </c>
      <c r="D55" s="91" t="n">
        <v>69.98999999999999</v>
      </c>
      <c r="E55" s="124" t="inlineStr">
        <is>
          <t>Pendente</t>
        </is>
      </c>
      <c r="F55" s="124">
        <f>IF(OR($E55="Pago",$C55=""),"",MAX(0,TODAY()-$C55))</f>
        <v/>
      </c>
      <c r="G55" s="90" t="inlineStr">
        <is>
          <t>Categoria quando pagar: Água, Energia e Internet. Fatura FAT26081721473042, boleto Bradesco 237. Linha digitável 23790.49303 90000.413329 63025.103001 5 15700000006999. A fatura sai em nome do sócio, mas o serviço é da loja. Após o vencimento: multa de 2% + mora de 1,2% ao mês.</t>
        </is>
      </c>
    </row>
    <row r="56">
      <c r="A56" s="94" t="inlineStr">
        <is>
          <t>Filtros Planeta Agua Ind e Com Ltda</t>
        </is>
      </c>
      <c r="B56" s="94" t="inlineStr">
        <is>
          <t>Mercadoria — doc. 133138/2 (emissão 12/08/2026) · parcela 2/4</t>
        </is>
      </c>
      <c r="C56" s="93" t="n">
        <v>46288</v>
      </c>
      <c r="D56" s="95" t="n">
        <v>537.9299999999999</v>
      </c>
      <c r="E56" s="125" t="inlineStr">
        <is>
          <t>Pendente</t>
        </is>
      </c>
      <c r="F56" s="125">
        <f>IF(OR($E56="Pago",$C56=""),"",MAX(0,TODAY()-$C56))</f>
        <v/>
      </c>
      <c r="G56" s="94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90" t="inlineStr">
        <is>
          <t>Empresa Baiana de Aguas e Saneamento SA (Embasa)</t>
        </is>
      </c>
      <c r="B57" s="90" t="inlineStr">
        <is>
          <t>Conta de água — despesa pessoal do dono (não é da loja) — ref. 10/2026</t>
        </is>
      </c>
      <c r="C57" s="89" t="n">
        <v>46296</v>
      </c>
      <c r="D57" s="91" t="n">
        <v>91</v>
      </c>
      <c r="E57" s="124" t="inlineStr">
        <is>
          <t>Pendente</t>
        </is>
      </c>
      <c r="F57" s="124">
        <f>IF(OR($E57="Pago",$C57=""),"",MAX(0,TODAY()-$C57))</f>
        <v/>
      </c>
      <c r="G57" s="90" t="inlineStr">
        <is>
          <t>Categoria quando pagar: Pro Labore Edilânia. Fatura em nome pessoal do sócio, matrícula 0531718-70. Pagável via Pix no QR Code da conta.</t>
        </is>
      </c>
    </row>
    <row r="58">
      <c r="A58" s="94" t="inlineStr">
        <is>
          <t>Filtros Planeta Agua Ind e Com Ltda</t>
        </is>
      </c>
      <c r="B58" s="94" t="inlineStr">
        <is>
          <t>Mercadoria — doc. 133138/3 (emissão 12/08/2026) · parcela 3/4</t>
        </is>
      </c>
      <c r="C58" s="93" t="n">
        <v>46302</v>
      </c>
      <c r="D58" s="95" t="n">
        <v>537.9299999999999</v>
      </c>
      <c r="E58" s="125" t="inlineStr">
        <is>
          <t>Pendente</t>
        </is>
      </c>
      <c r="F58" s="125">
        <f>IF(OR($E58="Pago",$C58=""),"",MAX(0,TODAY()-$C58))</f>
        <v/>
      </c>
      <c r="G58" s="94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90" t="inlineStr">
        <is>
          <t>Filtros Planeta Agua Ind e Com Ltda</t>
        </is>
      </c>
      <c r="B59" s="90" t="inlineStr">
        <is>
          <t>Mercadoria — doc. 133138/4 (emissão 12/08/2026) · parcela 4/4 (última)</t>
        </is>
      </c>
      <c r="C59" s="89" t="n">
        <v>46316</v>
      </c>
      <c r="D59" s="91" t="n">
        <v>537.9299999999999</v>
      </c>
      <c r="E59" s="124" t="inlineStr">
        <is>
          <t>Pendente</t>
        </is>
      </c>
      <c r="F59" s="124">
        <f>IF(OR($E59="Pago",$C59=""),"",MAX(0,TODAY()-$C59))</f>
        <v/>
      </c>
      <c r="G59" s="90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241" t="inlineStr">
        <is>
          <t>Wiliam Pinto Bispo</t>
        </is>
      </c>
      <c r="B60" s="241" t="inlineStr">
        <is>
          <t>Salário mensal — competência setembro/2026</t>
        </is>
      </c>
      <c r="C60" s="242" t="n">
        <v>46296</v>
      </c>
      <c r="D60" s="243" t="n">
        <v>1571.32</v>
      </c>
      <c r="E60" s="244" t="inlineStr">
        <is>
          <t>Previsto</t>
        </is>
      </c>
      <c r="F60" s="245">
        <f>IF(OR($E60="Pago",$C60=""),"",MAX(0,TODAY()-$C60))</f>
        <v/>
      </c>
      <c r="G60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241" t="inlineStr">
        <is>
          <t>Wiliam Pinto Bispo</t>
        </is>
      </c>
      <c r="B61" s="241" t="inlineStr">
        <is>
          <t>Salário mensal — competência outubro/2026</t>
        </is>
      </c>
      <c r="C61" s="242" t="n">
        <v>46327</v>
      </c>
      <c r="D61" s="243" t="n">
        <v>1571.32</v>
      </c>
      <c r="E61" s="244" t="inlineStr">
        <is>
          <t>Previsto</t>
        </is>
      </c>
      <c r="F61" s="245">
        <f>IF(OR($E61="Pago",$C61=""),"",MAX(0,TODAY()-$C61))</f>
        <v/>
      </c>
      <c r="G61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98" t="inlineStr">
        <is>
          <t>TOTAL A PAGAR — COM BOLETO EM MÃOS</t>
        </is>
      </c>
      <c r="B66" s="98" t="n"/>
      <c r="C66" s="126" t="n"/>
      <c r="D66" s="127">
        <f>SUMIF(E11:E65,"Pendente",D11:D65)</f>
        <v/>
      </c>
      <c r="E66" s="128" t="n"/>
      <c r="F66" s="128" t="n"/>
      <c r="G66" s="98" t="n"/>
    </row>
    <row r="67">
      <c r="A67" s="246" t="inlineStr">
        <is>
          <t>PREVISTO — compromisso certo que ainda não está documentado</t>
        </is>
      </c>
      <c r="B67" s="246" t="n"/>
      <c r="C67" s="247" t="n"/>
      <c r="D67" s="248">
        <f>SUMIF(E11:E65,"Previsto",D11:D65)</f>
        <v/>
      </c>
      <c r="E67" s="244" t="n"/>
      <c r="F67" s="244" t="n"/>
      <c r="G67" s="246" t="n"/>
    </row>
    <row r="68">
      <c r="A68" s="98" t="inlineStr">
        <is>
          <t>TOTAL GERAL A PAGAR (boletos + previsão)</t>
        </is>
      </c>
      <c r="B68" s="98" t="n"/>
      <c r="C68" s="126" t="n"/>
      <c r="D68" s="127">
        <f>D66+D67</f>
        <v/>
      </c>
      <c r="E68" s="128" t="n"/>
      <c r="F68" s="128" t="n"/>
      <c r="G68" s="98" t="n"/>
    </row>
    <row r="71">
      <c r="A71" s="202" t="inlineStr">
        <is>
          <t>CONTAS A RECEBER  —  vendas feitas e ainda não pagas</t>
        </is>
      </c>
    </row>
    <row r="72">
      <c r="A7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23" t="inlineStr">
        <is>
          <t>Cliente</t>
        </is>
      </c>
      <c r="B73" s="123" t="inlineStr">
        <is>
          <t>Produto / Referência</t>
        </is>
      </c>
      <c r="C73" s="123" t="inlineStr">
        <is>
          <t>Data da Venda</t>
        </is>
      </c>
      <c r="D73" s="123" t="inlineStr">
        <is>
          <t>Valor (R$)</t>
        </is>
      </c>
      <c r="E73" s="123" t="inlineStr">
        <is>
          <t>Status</t>
        </is>
      </c>
      <c r="F73" s="123" t="inlineStr">
        <is>
          <t>Dias em Atraso</t>
        </is>
      </c>
      <c r="G73" s="123" t="inlineStr">
        <is>
          <t>Observações</t>
        </is>
      </c>
    </row>
    <row r="74">
      <c r="A74" s="90" t="inlineStr">
        <is>
          <t>Centro de Especialidades Odontomédicas</t>
        </is>
      </c>
      <c r="B74" s="90" t="inlineStr">
        <is>
          <t>Refil Everest</t>
        </is>
      </c>
      <c r="C74" s="89" t="n">
        <v>46239</v>
      </c>
      <c r="D74" s="91" t="n">
        <v>140</v>
      </c>
      <c r="E74" s="124" t="inlineStr">
        <is>
          <t>Pendente</t>
        </is>
      </c>
      <c r="F74" s="124">
        <f>IF(OR($E74="Recebido",$C74=""),"",MAX(0,TODAY()-$C74))</f>
        <v/>
      </c>
      <c r="G74" s="90" t="n"/>
    </row>
    <row r="75">
      <c r="A75" s="94" t="inlineStr">
        <is>
          <t>Supermercado Brasil</t>
        </is>
      </c>
      <c r="B75" s="94" t="inlineStr">
        <is>
          <t>2x Refil Pro Life</t>
        </is>
      </c>
      <c r="C75" s="93" t="n">
        <v>46239</v>
      </c>
      <c r="D75" s="95" t="n">
        <v>280</v>
      </c>
      <c r="E75" s="125" t="inlineStr">
        <is>
          <t>Pendente</t>
        </is>
      </c>
      <c r="F75" s="125">
        <f>IF(OR($E75="Recebido",$C75=""),"",MAX(0,TODAY()-$C75))</f>
        <v/>
      </c>
      <c r="G75" s="94" t="n"/>
    </row>
    <row r="76">
      <c r="A76" s="90" t="inlineStr">
        <is>
          <t>Tropical Motos LTDA</t>
        </is>
      </c>
      <c r="B76" s="90" t="inlineStr">
        <is>
          <t>3x Refil Everest + Refil Pro Life + 3x Pré Filtro + Válvula Reguladora de Pressão</t>
        </is>
      </c>
      <c r="C76" s="89" t="n">
        <v>46245</v>
      </c>
      <c r="D76" s="91" t="n">
        <v>820</v>
      </c>
      <c r="E76" s="124" t="inlineStr">
        <is>
          <t>Recebido</t>
        </is>
      </c>
      <c r="F76" s="124">
        <f>IF(OR($E76="Recebido",$C76=""),"",MAX(0,TODAY()-$C76))</f>
        <v/>
      </c>
      <c r="G76" s="90" t="inlineStr">
        <is>
          <t>Recebido via TED em 25/08/2026. NF conferida: valor correto é R$820 (faltava a válvula no lançamento original de R$740).</t>
        </is>
      </c>
    </row>
    <row r="77">
      <c r="A77" s="94" t="inlineStr">
        <is>
          <t>Free Way</t>
        </is>
      </c>
      <c r="B77" s="94" t="inlineStr">
        <is>
          <t>5x Refil Everest</t>
        </is>
      </c>
      <c r="C77" s="93" t="n">
        <v>46251</v>
      </c>
      <c r="D77" s="95" t="n">
        <v>700</v>
      </c>
      <c r="E77" s="125" t="inlineStr">
        <is>
          <t>Recebido</t>
        </is>
      </c>
      <c r="F77" s="125">
        <f>IF(OR($E77="Recebido",$C77=""),"",MAX(0,TODAY()-$C77))</f>
        <v/>
      </c>
      <c r="G77" s="94" t="inlineStr">
        <is>
          <t>Recebido via TED em 02/09/2026.</t>
        </is>
      </c>
    </row>
    <row r="78">
      <c r="A78" s="90" t="inlineStr">
        <is>
          <t>Neli Sena Rego</t>
        </is>
      </c>
      <c r="B78" s="90" t="inlineStr">
        <is>
          <t>Refil Pro Life</t>
        </is>
      </c>
      <c r="C78" s="89" t="n">
        <v>46254</v>
      </c>
      <c r="D78" s="91" t="n">
        <v>140</v>
      </c>
      <c r="E78" s="124" t="inlineStr">
        <is>
          <t>Recebido</t>
        </is>
      </c>
      <c r="F78" s="124">
        <f>IF(OR($E78="Recebido",$C78=""),"",MAX(0,TODAY()-$C78))</f>
        <v/>
      </c>
      <c r="G78" s="90" t="inlineStr">
        <is>
          <t>Recebido em dinheiro em 01/09/2026 (R$ 170,00 pelas duas vendas)</t>
        </is>
      </c>
    </row>
    <row r="79">
      <c r="A79" s="94" t="inlineStr">
        <is>
          <t>Neli Sena Rego</t>
        </is>
      </c>
      <c r="B79" s="94" t="inlineStr">
        <is>
          <t>Conexão + Mangueira</t>
        </is>
      </c>
      <c r="C79" s="93" t="n">
        <v>46255</v>
      </c>
      <c r="D79" s="95" t="n">
        <v>40</v>
      </c>
      <c r="E79" s="125" t="inlineStr">
        <is>
          <t>Recebido</t>
        </is>
      </c>
      <c r="F79" s="125">
        <f>IF(OR($E79="Recebido",$C79=""),"",MAX(0,TODAY()-$C79))</f>
        <v/>
      </c>
      <c r="G79" s="94" t="inlineStr">
        <is>
          <t>Recebido em dinheiro em 01/09/2026 (R$ 170,00 pelas duas vendas)</t>
        </is>
      </c>
    </row>
    <row r="80">
      <c r="A80" s="90" t="inlineStr">
        <is>
          <t>Lapec</t>
        </is>
      </c>
      <c r="B80" s="90" t="inlineStr">
        <is>
          <t>4x Refil Everest</t>
        </is>
      </c>
      <c r="C80" s="89" t="n">
        <v>46258</v>
      </c>
      <c r="D80" s="91" t="n">
        <v>480</v>
      </c>
      <c r="E80" s="124" t="inlineStr">
        <is>
          <t>Recebido</t>
        </is>
      </c>
      <c r="F80" s="124">
        <f>IF(OR($E80="Recebido",$C80=""),"",MAX(0,TODAY()-$C80))</f>
        <v/>
      </c>
      <c r="G80" s="90" t="inlineStr">
        <is>
          <t>Recebido em dinheiro em 08/09/2026 — lançado em "Set 2026".</t>
        </is>
      </c>
    </row>
    <row r="81">
      <c r="A81" s="94" t="inlineStr">
        <is>
          <t>Cícero Lima</t>
        </is>
      </c>
      <c r="B81" s="94" t="inlineStr">
        <is>
          <t>Refil Everest</t>
        </is>
      </c>
      <c r="C81" s="93" t="n">
        <v>46261</v>
      </c>
      <c r="D81" s="95" t="n">
        <v>140</v>
      </c>
      <c r="E81" s="125" t="inlineStr">
        <is>
          <t>Recebido</t>
        </is>
      </c>
      <c r="F81" s="125">
        <f>IF(OR($E81="Recebido",$C81=""),"",MAX(0,TODAY()-$C81))</f>
        <v/>
      </c>
      <c r="G81" s="94" t="inlineStr">
        <is>
          <t>Recebido via Pix em 27/08/2026</t>
        </is>
      </c>
    </row>
    <row r="82">
      <c r="A82" s="90" t="inlineStr">
        <is>
          <t>Promotoria Regional de Jacobina</t>
        </is>
      </c>
      <c r="B82" s="90" t="inlineStr">
        <is>
          <t>2x Carcaça 9" + 2x Refil Plissado 9" + Conexão Reta Rosca</t>
        </is>
      </c>
      <c r="C82" s="89" t="n">
        <v>46261</v>
      </c>
      <c r="D82" s="91" t="n">
        <v>470</v>
      </c>
      <c r="E82" s="124" t="inlineStr">
        <is>
          <t>Recebido</t>
        </is>
      </c>
      <c r="F82" s="124">
        <f>IF(OR($E82="Recebido",$C82=""),"",MAX(0,TODAY()-$C82))</f>
        <v/>
      </c>
      <c r="G82" s="90" t="inlineStr">
        <is>
          <t>Pago em 28/08/2026 em duas formas: R$ 270,00 Pix + R$ 200,00 crédito 2x</t>
        </is>
      </c>
    </row>
    <row r="83">
      <c r="A83" s="94" t="inlineStr">
        <is>
          <t>Lucas Souza</t>
        </is>
      </c>
      <c r="B83" s="94" t="inlineStr">
        <is>
          <t>Refil Everest + Pré Filtro</t>
        </is>
      </c>
      <c r="C83" s="93" t="n">
        <v>46261</v>
      </c>
      <c r="D83" s="95" t="n">
        <v>200</v>
      </c>
      <c r="E83" s="125" t="inlineStr">
        <is>
          <t>Recebido</t>
        </is>
      </c>
      <c r="F83" s="125">
        <f>IF(OR($E83="Recebido",$C83=""),"",MAX(0,TODAY()-$C83))</f>
        <v/>
      </c>
      <c r="G83" s="94" t="inlineStr">
        <is>
          <t>Recebido em dinheiro em 03/09/2026 — lançado em "Set 2026".</t>
        </is>
      </c>
    </row>
    <row r="84">
      <c r="A84" s="90" t="inlineStr">
        <is>
          <t>FG Boa Vista (Recife/PE)</t>
        </is>
      </c>
      <c r="B84" s="90" t="inlineStr">
        <is>
          <t>Refis — troca de julho/2026</t>
        </is>
      </c>
      <c r="C84" s="89" t="n">
        <v>46261</v>
      </c>
      <c r="D84" s="91" t="n">
        <v>1008.8</v>
      </c>
      <c r="E84" s="124" t="inlineStr">
        <is>
          <t>Recebido</t>
        </is>
      </c>
      <c r="F84" s="124">
        <f>IF(OR($E84="Recebido",$C84=""),"",MAX(0,TODAY()-$C84))</f>
        <v/>
      </c>
      <c r="G84" s="90" t="inlineStr">
        <is>
          <t>Grupo Ânima — NF 000.004.280 · recebido em 30/08/2026 (Nota Paga no portal V360)</t>
        </is>
      </c>
    </row>
    <row r="85">
      <c r="A85" s="94" t="inlineStr">
        <is>
          <t>UNIFG Guanambi (Guanambi/BA)</t>
        </is>
      </c>
      <c r="B85" s="94" t="inlineStr">
        <is>
          <t>Refis — troca de julho/2026</t>
        </is>
      </c>
      <c r="C85" s="93" t="n">
        <v>46261</v>
      </c>
      <c r="D85" s="95" t="n">
        <v>4534.75</v>
      </c>
      <c r="E85" s="125" t="inlineStr">
        <is>
          <t>Recebido</t>
        </is>
      </c>
      <c r="F85" s="125">
        <f>IF(OR($E85="Recebido",$C85=""),"",MAX(0,TODAY()-$C85))</f>
        <v/>
      </c>
      <c r="G85" s="94" t="inlineStr">
        <is>
          <t>Grupo Ânima — NF 000.004.281 · recebido em 30/08/2026 (Nota Paga no portal V360)</t>
        </is>
      </c>
    </row>
    <row r="86">
      <c r="A86" s="90" t="inlineStr">
        <is>
          <t>UNP Zona Norte (Natal/RN)</t>
        </is>
      </c>
      <c r="B86" s="90" t="inlineStr">
        <is>
          <t>Refis — troca de julho/2026</t>
        </is>
      </c>
      <c r="C86" s="89" t="n">
        <v>46261</v>
      </c>
      <c r="D86" s="91" t="n">
        <v>870</v>
      </c>
      <c r="E86" s="124" t="inlineStr">
        <is>
          <t>Recebido</t>
        </is>
      </c>
      <c r="F86" s="124">
        <f>IF(OR($E86="Recebido",$C86=""),"",MAX(0,TODAY()-$C86))</f>
        <v/>
      </c>
      <c r="G86" s="90" t="inlineStr">
        <is>
          <t>Grupo Ânima — NF 000.004.282 · recebido em 30/08/2026 (Nota Paga no portal V360)</t>
        </is>
      </c>
    </row>
    <row r="87">
      <c r="A87" s="94" t="inlineStr">
        <is>
          <t>UNP Caicó (Caicó/RN)</t>
        </is>
      </c>
      <c r="B87" s="94" t="inlineStr">
        <is>
          <t>Refis — troca de julho/2026</t>
        </is>
      </c>
      <c r="C87" s="93" t="n">
        <v>46261</v>
      </c>
      <c r="D87" s="95" t="n">
        <v>440</v>
      </c>
      <c r="E87" s="125" t="inlineStr">
        <is>
          <t>Recebido</t>
        </is>
      </c>
      <c r="F87" s="125">
        <f>IF(OR($E87="Recebido",$C87=""),"",MAX(0,TODAY()-$C87))</f>
        <v/>
      </c>
      <c r="G87" s="94" t="inlineStr">
        <is>
          <t>Grupo Ânima — NF 000.004.283 · recebido via Pix em 27/08/2026</t>
        </is>
      </c>
    </row>
    <row r="88">
      <c r="A88" s="90" t="inlineStr">
        <is>
          <t>AGES Irecê (Irecê/BA)</t>
        </is>
      </c>
      <c r="B88" s="90" t="inlineStr">
        <is>
          <t>Refis — troca de julho/2026</t>
        </is>
      </c>
      <c r="C88" s="89" t="n">
        <v>46269</v>
      </c>
      <c r="D88" s="91" t="n">
        <v>1338.6</v>
      </c>
      <c r="E88" s="124" t="inlineStr">
        <is>
          <t>Recebido</t>
        </is>
      </c>
      <c r="F88" s="124">
        <f>IF(OR($E88="Recebido",$C88=""),"",MAX(0,TODAY()-$C88))</f>
        <v/>
      </c>
      <c r="G88" s="90" t="inlineStr">
        <is>
          <t>Grupo Ânima — NF 000.004.294 · recebido via Pix em 04/09/2026.</t>
        </is>
      </c>
    </row>
    <row r="89">
      <c r="A89" s="94" t="inlineStr">
        <is>
          <t>CIS Irecê (Irecê/BA)</t>
        </is>
      </c>
      <c r="B89" s="94" t="inlineStr">
        <is>
          <t>Refis — troca de julho/2026</t>
        </is>
      </c>
      <c r="C89" s="93" t="n">
        <v>46269</v>
      </c>
      <c r="D89" s="95" t="n">
        <v>1358</v>
      </c>
      <c r="E89" s="125" t="inlineStr">
        <is>
          <t>Recebido</t>
        </is>
      </c>
      <c r="F89" s="125">
        <f>IF(OR($E89="Recebido",$C89=""),"",MAX(0,TODAY()-$C89))</f>
        <v/>
      </c>
      <c r="G89" s="94" t="inlineStr">
        <is>
          <t>Grupo Ânima — NF 000.004.295 · recebido via Pix em 04/09/2026.</t>
        </is>
      </c>
    </row>
    <row r="90">
      <c r="A90" s="90" t="inlineStr">
        <is>
          <t>AGES Senhor do Bonfim (S. do Bonfim/BA)</t>
        </is>
      </c>
      <c r="B90" s="90" t="inlineStr">
        <is>
          <t>Refis — troca de julho/2026</t>
        </is>
      </c>
      <c r="C90" s="89" t="n">
        <v>46270</v>
      </c>
      <c r="D90" s="91" t="n">
        <v>649.9</v>
      </c>
      <c r="E90" s="124" t="inlineStr">
        <is>
          <t>Recebido</t>
        </is>
      </c>
      <c r="F90" s="124">
        <f>IF(OR($E90="Recebido",$C90=""),"",MAX(0,TODAY()-$C90))</f>
        <v/>
      </c>
      <c r="G90" s="90" t="inlineStr">
        <is>
          <t>Grupo Ânima — NF 000.004.298 · recebido via Pix em 08/09/2026.</t>
        </is>
      </c>
    </row>
    <row r="91">
      <c r="A91" s="94" t="inlineStr">
        <is>
          <t>CIS Senhor do Bonfim (S. do Bonfim/BA)</t>
        </is>
      </c>
      <c r="B91" s="94" t="inlineStr">
        <is>
          <t>Refis — troca de julho/2026</t>
        </is>
      </c>
      <c r="C91" s="93" t="n">
        <v>46270</v>
      </c>
      <c r="D91" s="95" t="n">
        <v>562.6</v>
      </c>
      <c r="E91" s="125" t="inlineStr">
        <is>
          <t>Recebido</t>
        </is>
      </c>
      <c r="F91" s="125">
        <f>IF(OR($E91="Recebido",$C91=""),"",MAX(0,TODAY()-$C91))</f>
        <v/>
      </c>
      <c r="G91" s="94" t="inlineStr">
        <is>
          <t>Grupo Ânima — NF 000.004.299 · recebido via Pix em 08/09/2026.</t>
        </is>
      </c>
    </row>
    <row r="92">
      <c r="A92" s="90" t="inlineStr">
        <is>
          <t>AGES Paripiranga (Paripiranga/BA)</t>
        </is>
      </c>
      <c r="B92" s="90" t="inlineStr">
        <is>
          <t>Refis — troca de julho/2026</t>
        </is>
      </c>
      <c r="C92" s="89" t="n">
        <v>46270</v>
      </c>
      <c r="D92" s="91" t="n">
        <v>1086.4</v>
      </c>
      <c r="E92" s="124" t="inlineStr">
        <is>
          <t>Recebido</t>
        </is>
      </c>
      <c r="F92" s="124">
        <f>IF(OR($E92="Recebido",$C92=""),"",MAX(0,TODAY()-$C92))</f>
        <v/>
      </c>
      <c r="G92" s="90" t="inlineStr">
        <is>
          <t>Grupo Ânima — NF 000.004.300 · recebido via Pix em 08/09/2026.</t>
        </is>
      </c>
    </row>
    <row r="93">
      <c r="A93" s="94" t="inlineStr">
        <is>
          <t>Clínica Veterinária Paripiranga (Paripiranga/BA)</t>
        </is>
      </c>
      <c r="B93" s="94" t="inlineStr">
        <is>
          <t>Refis — troca de julho/2026</t>
        </is>
      </c>
      <c r="C93" s="93" t="n">
        <v>46270</v>
      </c>
      <c r="D93" s="95" t="n">
        <v>1265.85</v>
      </c>
      <c r="E93" s="125" t="inlineStr">
        <is>
          <t>Recebido</t>
        </is>
      </c>
      <c r="F93" s="125">
        <f>IF(OR($E93="Recebido",$C93=""),"",MAX(0,TODAY()-$C93))</f>
        <v/>
      </c>
      <c r="G93" s="94" t="inlineStr">
        <is>
          <t>Grupo Ânima — NF 000.004.301 · recebido via Pix em 08/09/2026.</t>
        </is>
      </c>
    </row>
    <row r="94">
      <c r="A94" s="90" t="inlineStr">
        <is>
          <t>UNP Mossoró (Mossoró/RN)</t>
        </is>
      </c>
      <c r="B94" s="90" t="inlineStr">
        <is>
          <t>Refis — troca de julho/2026</t>
        </is>
      </c>
      <c r="C94" s="89" t="n">
        <v>46270</v>
      </c>
      <c r="D94" s="91" t="n">
        <v>1867.25</v>
      </c>
      <c r="E94" s="124" t="inlineStr">
        <is>
          <t>Recebido</t>
        </is>
      </c>
      <c r="F94" s="124">
        <f>IF(OR($E94="Recebido",$C94=""),"",MAX(0,TODAY()-$C94))</f>
        <v/>
      </c>
      <c r="G94" s="90" t="inlineStr">
        <is>
          <t>Grupo Ânima — NF 000.004.302 · recebido via Pix em 08/09/2026.</t>
        </is>
      </c>
    </row>
    <row r="95">
      <c r="A95" s="94" t="inlineStr">
        <is>
          <t>CIS Jacobina (Jacobina/BA)</t>
        </is>
      </c>
      <c r="B95" s="94" t="inlineStr">
        <is>
          <t>Refis — troca de julho/2026</t>
        </is>
      </c>
      <c r="C95" s="93" t="n">
        <v>46290</v>
      </c>
      <c r="D95" s="95" t="n">
        <v>2095.2</v>
      </c>
      <c r="E95" s="125" t="inlineStr">
        <is>
          <t>Pendente</t>
        </is>
      </c>
      <c r="F95" s="125">
        <f>IF(OR($E95="Recebido",$C95=""),"",MAX(0,TODAY()-$C95))</f>
        <v/>
      </c>
      <c r="G95" s="94" t="inlineStr">
        <is>
          <t>Grupo Ânima — NF 000.004.333 de 26/08/2026 · OC AEMPPO00004452 · 30 dias</t>
        </is>
      </c>
    </row>
    <row r="96">
      <c r="A96" s="90" t="inlineStr">
        <is>
          <t>AGES Jacobina (Jacobina/BA)</t>
        </is>
      </c>
      <c r="B96" s="90" t="inlineStr">
        <is>
          <t>Refis — troca de julho/2026</t>
        </is>
      </c>
      <c r="C96" s="89" t="n">
        <v>46305</v>
      </c>
      <c r="D96" s="91" t="n">
        <v>1188.25</v>
      </c>
      <c r="E96" s="124" t="inlineStr">
        <is>
          <t>Pendente</t>
        </is>
      </c>
      <c r="F96" s="124">
        <f>IF(OR($E96="Recebido",$C96=""),"",MAX(0,TODAY()-$C96))</f>
        <v/>
      </c>
      <c r="G96" s="90" t="inlineStr">
        <is>
          <t>Grupo Ânima — NF 000.004.332 de 26/08/2026 · OC AEMPPO00004453 · 45 dias</t>
        </is>
      </c>
    </row>
    <row r="97">
      <c r="A97" s="94" t="inlineStr">
        <is>
          <t>Instituto Paulo Leão</t>
        </is>
      </c>
      <c r="B97" s="94" t="inlineStr">
        <is>
          <t>Refil E3 + Pré Filtro</t>
        </is>
      </c>
      <c r="C97" s="93" t="n">
        <v>46265</v>
      </c>
      <c r="D97" s="95" t="n">
        <v>160</v>
      </c>
      <c r="E97" s="125" t="inlineStr">
        <is>
          <t>Recebido</t>
        </is>
      </c>
      <c r="F97" s="125">
        <f>IF(OR($E97="Recebido",$C97=""),"",MAX(0,TODAY()-$C97))</f>
        <v/>
      </c>
      <c r="G97" s="94" t="inlineStr">
        <is>
          <t>Recebido via Pix em 08/09/2026 — lançado em "Set 2026".</t>
        </is>
      </c>
    </row>
    <row r="98">
      <c r="A98" s="90" t="inlineStr">
        <is>
          <t>Eletronic Segurança Eletronica</t>
        </is>
      </c>
      <c r="B98" s="90" t="inlineStr">
        <is>
          <t>Pré Filtro</t>
        </is>
      </c>
      <c r="C98" s="89" t="n">
        <v>46265</v>
      </c>
      <c r="D98" s="91" t="n">
        <v>60</v>
      </c>
      <c r="E98" s="124" t="inlineStr">
        <is>
          <t>Recebido</t>
        </is>
      </c>
      <c r="F98" s="124">
        <f>IF(OR($E98="Recebido",$C98=""),"",MAX(0,TODAY()-$C98))</f>
        <v/>
      </c>
      <c r="G98" s="90" t="inlineStr">
        <is>
          <t>Recebido via Pix em 03/09/2026.</t>
        </is>
      </c>
    </row>
    <row r="99">
      <c r="A99" s="94" t="inlineStr">
        <is>
          <t>Clube dos Mineiros</t>
        </is>
      </c>
      <c r="B99" s="94" t="inlineStr">
        <is>
          <t>Refil Pro Life</t>
        </is>
      </c>
      <c r="C99" s="93" t="n">
        <v>46265</v>
      </c>
      <c r="D99" s="95" t="n">
        <v>150</v>
      </c>
      <c r="E99" s="125" t="inlineStr">
        <is>
          <t>Recebido</t>
        </is>
      </c>
      <c r="F99" s="125">
        <f>IF(OR($E99="Recebido",$C99=""),"",MAX(0,TODAY()-$C99))</f>
        <v/>
      </c>
      <c r="G99" s="94" t="inlineStr">
        <is>
          <t>Recebido via Pix em 01/09/2026 (pagador: Sindicato dos Mineiros de Jacobina).</t>
        </is>
      </c>
    </row>
    <row r="100">
      <c r="A100" s="90" t="inlineStr">
        <is>
          <t>Armazem Cecilio Mota</t>
        </is>
      </c>
      <c r="B100" s="90" t="inlineStr">
        <is>
          <t>Refil Everest + Refil Carbon 9"</t>
        </is>
      </c>
      <c r="C100" s="89" t="n">
        <v>46266</v>
      </c>
      <c r="D100" s="91" t="n">
        <v>225</v>
      </c>
      <c r="E100" s="124" t="inlineStr">
        <is>
          <t>Recebido</t>
        </is>
      </c>
      <c r="F100" s="124">
        <f>IF(OR($E100="Recebido",$C100=""),"",MAX(0,TODAY()-$C100))</f>
        <v/>
      </c>
      <c r="G100" s="90" t="inlineStr">
        <is>
          <t>Recebido via Pix em 10/09/2026 — lançado em "Set 2026".</t>
        </is>
      </c>
    </row>
    <row r="101">
      <c r="A101" s="94" t="inlineStr">
        <is>
          <t>Clebson Dantas Da Silva</t>
        </is>
      </c>
      <c r="B101" s="94" t="inlineStr">
        <is>
          <t>Refil Everest</t>
        </is>
      </c>
      <c r="C101" s="93" t="n">
        <v>46266</v>
      </c>
      <c r="D101" s="95" t="n">
        <v>140</v>
      </c>
      <c r="E101" s="125" t="inlineStr">
        <is>
          <t>Recebido</t>
        </is>
      </c>
      <c r="F101" s="125">
        <f>IF(OR($E101="Recebido",$C101=""),"",MAX(0,TODAY()-$C101))</f>
        <v/>
      </c>
      <c r="G101" s="94" t="inlineStr">
        <is>
          <t>Recebido via Pix em 02/09/2026</t>
        </is>
      </c>
    </row>
    <row r="102">
      <c r="A102" s="94" t="inlineStr">
        <is>
          <t>Tesla Imagem Medicina Diagnostica Ltda</t>
        </is>
      </c>
      <c r="B102" s="94" t="inlineStr">
        <is>
          <t>3x Refil Everest + 2x Pré Filtro</t>
        </is>
      </c>
      <c r="C102" s="93" t="n">
        <v>46267</v>
      </c>
      <c r="D102" s="95" t="n">
        <v>540</v>
      </c>
      <c r="E102" s="125" t="inlineStr">
        <is>
          <t>Pendente</t>
        </is>
      </c>
      <c r="F102" s="125">
        <f>IF(OR($E102="Recebido",$C102=""),"",MAX(0,TODAY()-$C102))</f>
        <v/>
      </c>
      <c r="G102" s="94" t="inlineStr">
        <is>
          <t>Troca do dia 02/09/2026 — 1º Andar, Térreo e Copa</t>
        </is>
      </c>
    </row>
    <row r="103">
      <c r="A103" s="90" t="inlineStr">
        <is>
          <t>Cecilio Mota Junior</t>
        </is>
      </c>
      <c r="B103" s="90" t="inlineStr">
        <is>
          <t>Refil Everest</t>
        </is>
      </c>
      <c r="C103" s="89" t="n">
        <v>46267</v>
      </c>
      <c r="D103" s="91" t="n">
        <v>140</v>
      </c>
      <c r="E103" s="124" t="inlineStr">
        <is>
          <t>Recebido</t>
        </is>
      </c>
      <c r="F103" s="124">
        <f>IF(OR($E103="Recebido",$C103=""),"",MAX(0,TODAY()-$C103))</f>
        <v/>
      </c>
      <c r="G103" s="90" t="inlineStr">
        <is>
          <t>Recebido via Pix em 10/09/2026 — lançado em "Set 2026".</t>
        </is>
      </c>
    </row>
    <row r="104">
      <c r="A104" s="90" t="inlineStr">
        <is>
          <t>Tereza Cristina Aquino Martins - Luiz Augusto</t>
        </is>
      </c>
      <c r="B104" s="90" t="inlineStr">
        <is>
          <t>Refil Everest + Pré Filtro</t>
        </is>
      </c>
      <c r="C104" s="89" t="n">
        <v>46268</v>
      </c>
      <c r="D104" s="91" t="n">
        <v>200</v>
      </c>
      <c r="E104" s="124" t="inlineStr">
        <is>
          <t>Recebido</t>
        </is>
      </c>
      <c r="F104" s="124">
        <f>IF(OR($E104="Recebido",$C104=""),"",MAX(0,TODAY()-$C104))</f>
        <v/>
      </c>
      <c r="G104" s="90" t="inlineStr">
        <is>
          <t>Recebido via Pix em 04/09/2026.</t>
        </is>
      </c>
    </row>
    <row r="105">
      <c r="A105" s="90" t="inlineStr">
        <is>
          <t>Samille Fiscina Lima Lordello - Tiago (Cartório)</t>
        </is>
      </c>
      <c r="B105" s="90" t="inlineStr">
        <is>
          <t>Refil Pro Life</t>
        </is>
      </c>
      <c r="C105" s="89" t="n">
        <v>46269</v>
      </c>
      <c r="D105" s="91" t="n">
        <v>140</v>
      </c>
      <c r="E105" s="124" t="inlineStr">
        <is>
          <t>Pendente</t>
        </is>
      </c>
      <c r="F105" s="124">
        <f>IF(OR($E105="Recebido",$C105=""),"",MAX(0,TODAY()-$C105))</f>
        <v/>
      </c>
      <c r="G105" s="90" t="n"/>
    </row>
    <row r="106">
      <c r="A106" s="90" t="inlineStr">
        <is>
          <t>Bomboniere Doce Mania - Veronildo Basilio</t>
        </is>
      </c>
      <c r="B106" s="90" t="inlineStr">
        <is>
          <t>Refil Plissado + Refil BAG</t>
        </is>
      </c>
      <c r="C106" s="89" t="n">
        <v>46274</v>
      </c>
      <c r="D106" s="91" t="n">
        <v>150</v>
      </c>
      <c r="E106" s="124" t="inlineStr">
        <is>
          <t>Pendente</t>
        </is>
      </c>
      <c r="F106" s="124">
        <f>IF(OR($E106="Recebido",$C106=""),"",MAX(0,TODAY()-$C106))</f>
        <v/>
      </c>
      <c r="G106" s="90" t="inlineStr">
        <is>
          <t>Troca do dia 09/09/2026 — refil plissado + BAG.</t>
        </is>
      </c>
    </row>
    <row r="107">
      <c r="A107" s="90" t="inlineStr">
        <is>
          <t>Adriadne (Hotel Jovem Jota)</t>
        </is>
      </c>
      <c r="B107" s="90" t="inlineStr">
        <is>
          <t>Refil Everest</t>
        </is>
      </c>
      <c r="C107" s="89" t="n">
        <v>46275</v>
      </c>
      <c r="D107" s="91" t="n">
        <v>140</v>
      </c>
      <c r="E107" s="124" t="inlineStr">
        <is>
          <t>Pendente</t>
        </is>
      </c>
      <c r="F107" s="124">
        <f>IF(OR($E107="Recebido",$C107=""),"",MAX(0,TODAY()-$C107))</f>
        <v/>
      </c>
      <c r="G107" s="90" t="inlineStr">
        <is>
          <t>Troca do dia 10/09/2026.</t>
        </is>
      </c>
    </row>
    <row r="108">
      <c r="A108" s="98" t="inlineStr">
        <is>
          <t>TOTAL EM ABERTO A RECEBER (detalhe)</t>
        </is>
      </c>
      <c r="B108" s="98" t="n"/>
      <c r="C108" s="126" t="n"/>
      <c r="D108" s="127">
        <f>SUMIF(E74:E107,"Pendente",D74:D107)</f>
        <v/>
      </c>
      <c r="E108" s="128" t="n"/>
      <c r="F108" s="128" t="n"/>
      <c r="G108" s="98" t="n"/>
    </row>
    <row r="109">
      <c r="A109" s="129" t="inlineStr">
        <is>
          <t>CONFERÊNCIA COM AS ABAS DOS MESES</t>
        </is>
      </c>
      <c r="B109" s="160" t="n"/>
      <c r="C109" s="160" t="n"/>
      <c r="D109" s="160" t="n"/>
      <c r="E109" s="160" t="n"/>
      <c r="F109" s="160" t="n"/>
      <c r="G109" s="161" t="n"/>
    </row>
    <row r="110">
      <c r="A110" s="200">
        <f>IF(ROUND(D108-C5,2)=0,"OK — o detalhe acima bate com as vendas marcadas como Aguardando Pagamento nas abas dos meses.","ATENÇÃO: diferença de R$ "&amp;TEXT(ABS(D108-C5),"#,##0.00")&amp;" entre este detalhe e as abas dos meses — alguma venda mudou de status em um lado só.")</f>
        <v/>
      </c>
    </row>
    <row r="111">
      <c r="A111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10:G110"/>
    <mergeCell ref="A109:G109"/>
    <mergeCell ref="C5:D6"/>
    <mergeCell ref="A5:B6"/>
    <mergeCell ref="A2:G2"/>
    <mergeCell ref="E5:F6"/>
    <mergeCell ref="A72:G72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0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3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26.89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38.23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18.23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Purificador Everest Slim Branco</t>
        </is>
      </c>
      <c r="B18" s="69" t="n">
        <v>1429</v>
      </c>
      <c r="C18" s="121" t="n">
        <v>715.02</v>
      </c>
      <c r="D18" s="69" t="n">
        <v>30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>
        <v>0.1399</v>
      </c>
    </row>
    <row r="19">
      <c r="A19" s="64" t="inlineStr">
        <is>
          <t>Purificador Everest Slim Prata</t>
        </is>
      </c>
      <c r="B19" s="67" t="n">
        <v>1486</v>
      </c>
      <c r="C19" s="121" t="n">
        <v>784.97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>
        <v>0.1399</v>
      </c>
    </row>
    <row r="20">
      <c r="A20" s="66" t="inlineStr">
        <is>
          <t>Purificador Everest Star Branco</t>
        </is>
      </c>
      <c r="B20" s="69" t="n">
        <v>1429</v>
      </c>
      <c r="C20" s="121" t="n">
        <v>756.73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Plus Branco</t>
        </is>
      </c>
      <c r="B21" s="67" t="n">
        <v>1529</v>
      </c>
      <c r="C21" s="121" t="n">
        <v>820.73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Plus Prata</t>
        </is>
      </c>
      <c r="B22" s="69" t="n">
        <v>1569</v>
      </c>
      <c r="C22" s="121" t="n">
        <v>906.9299999999999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Fit Branco</t>
        </is>
      </c>
      <c r="B23" s="67" t="n">
        <v>1429</v>
      </c>
      <c r="C23" s="121" t="n">
        <v>756.73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Fit Preto</t>
        </is>
      </c>
      <c r="B24" s="69" t="n">
        <v>1486</v>
      </c>
      <c r="C24" s="121" t="n">
        <v>784.96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Prata</t>
        </is>
      </c>
      <c r="B25" s="67" t="n">
        <v>1486</v>
      </c>
      <c r="C25" s="121" t="n">
        <v>739.37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Star Preto</t>
        </is>
      </c>
      <c r="B26" s="77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6" t="inlineStr">
        <is>
          <t>Purificador Everest Foz Branco</t>
        </is>
      </c>
      <c r="B27" s="77" t="n">
        <v>1589</v>
      </c>
      <c r="C27" s="121" t="n">
        <v>767.95</v>
      </c>
      <c r="D27" s="69" t="n">
        <v>30</v>
      </c>
      <c r="E27" s="69">
        <f>IF(B27="","",B27*IF($J27="",$B$4,$J27))</f>
        <v/>
      </c>
      <c r="F27" s="69">
        <f>IF(B27="","",B27*$D$4)</f>
        <v/>
      </c>
      <c r="G27" s="69">
        <f>IF(B27="","",SUM(C27:F27))</f>
        <v/>
      </c>
      <c r="H27" s="69">
        <f>IF(B27="","",B27-G27)</f>
        <v/>
      </c>
      <c r="I27" s="76">
        <f>IF(B27=0,"",H27/B27)</f>
        <v/>
      </c>
      <c r="J27" s="240" t="n">
        <v>0.1399</v>
      </c>
    </row>
    <row r="28">
      <c r="A28" s="66" t="inlineStr">
        <is>
          <t>Purificador Everest Foz Cinza/Grafite</t>
        </is>
      </c>
      <c r="B28" s="77" t="n">
        <v>1689</v>
      </c>
      <c r="C28" s="121" t="n">
        <v>819.5700000000001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Baby (todas as cores)</t>
        </is>
      </c>
      <c r="B29" s="77" t="n">
        <v>420</v>
      </c>
      <c r="C29" s="121" t="n">
        <v>150.13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0.11</v>
      </c>
    </row>
    <row r="31">
      <c r="A31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2">
      <c r="A32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6" t="inlineStr">
        <is>
          <t>CUSTOS: Refil Everest e Pré-Filtro = Eversoft (26/08). Pro Life, Carbon Tech, E3, Plissado = Filtros Planeta Água. C+3 = Culligan (22/04). Registro = Everest (19/05). Purificadores = Everest, última nota de cada modelo. Mangueira = R$ 1,72/m (rolo 50 m por R$ 86,01). Termostato: sem compra em 2026.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SUMIF(H5:H82,K5,G5:G82)</f>
        <v/>
      </c>
      <c r="N5" s="237">
        <f>D83-F83-T5</f>
        <v/>
      </c>
      <c r="P5" s="189">
        <f>L18-L19</f>
        <v/>
      </c>
      <c r="R5" s="204">
        <f>D84</f>
        <v/>
      </c>
      <c r="T5" s="203">
        <f>SUMIF(E5:E82,"Aguardando Pagamento",D5:D82)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SUMIF(H5:H82,K6,G5:G82)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SUMIF(H5:H82,K7,G5:G82)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SUMIF(H5:H82,K8,G5:G82)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SUMIF(H5:H82,K9,G5:G82)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SUMIF(H5:H82,K10,G5:G82)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SUMIF(H5:H82,K11,G5:G82)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SUMIF(H5:H82,K12,G5:G82)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SUMIF(H5:H82,K13,G5:G82)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SUMIF(H5:H82,K14,G5:G82)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SUMIF(H5:H82,K15,G5:G82)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SUMIF(H5:H82,K16,G5:G82)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SUMIF(H5:H82,K17,G5:G82)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93" t="n">
        <v>46275</v>
      </c>
      <c r="B80" s="94" t="inlineStr">
        <is>
          <t>Pamella Rodrigues Ribeiro de Oliveira</t>
        </is>
      </c>
      <c r="C80" s="94" t="inlineStr">
        <is>
          <t>Refil Everest + Mangueira</t>
        </is>
      </c>
      <c r="D80" s="95" t="n">
        <v>150</v>
      </c>
      <c r="E80" s="94" t="inlineStr">
        <is>
          <t>Crédito Parcelado</t>
        </is>
      </c>
      <c r="F80" s="95" t="n">
        <v>10.48</v>
      </c>
      <c r="G80" s="95" t="n"/>
      <c r="H80" s="94" t="n"/>
      <c r="I80" s="94" t="inlineStr">
        <is>
          <t>Crédito em 2x</t>
        </is>
      </c>
    </row>
    <row r="81">
      <c r="A81" s="89" t="n">
        <v>46275</v>
      </c>
      <c r="B81" s="90" t="inlineStr">
        <is>
          <t>Consumidor Final</t>
        </is>
      </c>
      <c r="C81" s="90" t="inlineStr">
        <is>
          <t>Refil BAG</t>
        </is>
      </c>
      <c r="D81" s="91" t="n">
        <v>50</v>
      </c>
      <c r="E81" s="90" t="inlineStr">
        <is>
          <t>Débito</t>
        </is>
      </c>
      <c r="F81" s="91" t="n">
        <v>0.72</v>
      </c>
      <c r="G81" s="91" t="n"/>
      <c r="H81" s="90" t="n"/>
      <c r="I81" s="90" t="n"/>
    </row>
    <row r="82">
      <c r="A82" s="93" t="n">
        <v>46275</v>
      </c>
      <c r="B82" s="94" t="inlineStr">
        <is>
          <t>Adriadne (Hotel Jovem Jota)</t>
        </is>
      </c>
      <c r="C82" s="94" t="inlineStr">
        <is>
          <t>Refil Everest</t>
        </is>
      </c>
      <c r="D82" s="95" t="n">
        <v>140</v>
      </c>
      <c r="E82" s="94" t="inlineStr">
        <is>
          <t>Aguardando Pagamento</t>
        </is>
      </c>
      <c r="F82" s="95" t="n"/>
      <c r="G82" s="95" t="n"/>
      <c r="H82" s="94" t="n"/>
      <c r="I82" s="94" t="n"/>
    </row>
    <row r="83">
      <c r="A83" s="102" t="n"/>
      <c r="B83" s="102" t="inlineStr">
        <is>
          <t>TOTAL DO MÊS</t>
        </is>
      </c>
      <c r="C83" s="102" t="n"/>
      <c r="D83" s="103">
        <f>SUM(D5:D82)</f>
        <v/>
      </c>
      <c r="E83" s="102" t="n"/>
      <c r="F83" s="103">
        <f>SUM(F5:F82)</f>
        <v/>
      </c>
      <c r="G83" s="103">
        <f>SUM(G5:G82)</f>
        <v/>
      </c>
      <c r="H83" s="102" t="n"/>
      <c r="I83" s="102" t="n"/>
    </row>
    <row r="84">
      <c r="A84" s="104" t="n"/>
      <c r="B84" s="104" t="inlineStr">
        <is>
          <t>SALDO DO MÊS (Entradas líquidas − Despesas da loja)</t>
        </is>
      </c>
      <c r="C84" s="104" t="n"/>
      <c r="D84" s="105">
        <f>(D83-F83-T5)-(L18-L19)</f>
        <v/>
      </c>
      <c r="E84" s="104" t="n"/>
      <c r="F84" s="105" t="n"/>
      <c r="G84" s="105" t="n"/>
      <c r="H84" s="104" t="n"/>
      <c r="I84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82" showDropDown="0" showInputMessage="0" showErrorMessage="0" allowBlank="1" type="list">
      <formula1>"Dinheiro,Pix,Débito,Crédito à Vista,Crédito Parcelado,Aguardando Pagamento"</formula1>
    </dataValidation>
    <dataValidation sqref="H5:H8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2026-09-10T20:13:52Z</dcterms:modified>
  <cp:lastModifiedBy>Planeta</cp:lastModifiedBy>
  <cp:revision>1</cp:revision>
</cp:coreProperties>
</file>