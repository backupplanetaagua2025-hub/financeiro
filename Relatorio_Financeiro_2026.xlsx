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H12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591.12</v>
      </c>
      <c r="E70" s="113" t="inlineStr">
        <is>
          <t>Pendente</t>
        </is>
      </c>
      <c r="F70" s="113">
        <f>IF(OR($E70="Pago",$C70=""),"",MAX(0,TODAY()-$C70))</f>
        <v/>
      </c>
      <c r="G70" s="82" t="inlineStr">
        <is>
          <t>Boleto impresso com vencimento 18/09/2026 — pagamento adiado para 21/09/2026 (segunda): após o vencimento só pode ser pago no Itaú, com multa de 1,9% + juros de 0,1% ao dia (cerca de R$ 604,12 em 21/09). Categoria quando pagar: Fornecedores / Mercadoria. Boleto Itaú 341-7 (carteira 109), agência/código beneficiário 1438/153155. Nosso número 109/00259098-0. Linha digitável 34191.09008 25909.801430 81531.550002 1 15730000059112. NF 133812 de 28/08/2026 (total R$ 2.093,55 em 4 parcelas). Após o vencimento: multa de 1,9% + juros de 0,1% ao dia; protesto no 5º dia útil.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Pendente</t>
        </is>
      </c>
      <c r="F115" s="112">
        <f>IF(OR($E115="Recebido",$C115=""),"",MAX(0,TODAY()-$C115))</f>
        <v/>
      </c>
      <c r="G115" s="78" t="inlineStr">
        <is>
          <t>Troca do dia 09/09/2026 — refil plissado + BAG.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Pendente</t>
        </is>
      </c>
      <c r="F122" s="112">
        <f>IF(OR($E122="Recebido",$C122=""),"",MAX(0,TODAY()-$C122))</f>
        <v/>
      </c>
      <c r="G122" s="78" t="inlineStr">
        <is>
          <t>Troca do dia 18/09/2026.</t>
        </is>
      </c>
    </row>
    <row r="123" s="158">
      <c r="A123" s="86" t="inlineStr">
        <is>
          <t>TOTAL EM ABERTO A RECEBER (detalhe)</t>
        </is>
      </c>
      <c r="D123" s="115">
        <f>SUMIF(E83:E122,"Pendente",D83:D122)</f>
        <v/>
      </c>
    </row>
    <row r="124" s="158">
      <c r="A124" s="205" t="inlineStr">
        <is>
          <t>CONFERÊNCIA COM AS ABAS DOS MESES</t>
        </is>
      </c>
      <c r="B124" s="160" t="n"/>
      <c r="C124" s="160" t="n"/>
      <c r="D124" s="160" t="n"/>
      <c r="E124" s="160" t="n"/>
      <c r="F124" s="160" t="n"/>
      <c r="G124" s="161" t="n"/>
    </row>
    <row r="125" s="158">
      <c r="A125" s="202">
        <f>IF(ROUND(D123-C5,2)=0,"OK — o detalhe acima bate com as vendas marcadas como Aguardando Pagamento nas abas dos meses.","ATENÇÃO: diferença de R$ "&amp;TEXT(ABS(D123-C5),"#,##0.00")&amp;" entre este detalhe e as abas dos meses — alguma venda mudou de status em um lado só.")</f>
        <v/>
      </c>
    </row>
    <row r="126" s="158">
      <c r="A126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7" s="158"/>
    <row r="128" s="158"/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9:G9"/>
    <mergeCell ref="A80:G80"/>
    <mergeCell ref="A124:G124"/>
    <mergeCell ref="C5:D6"/>
    <mergeCell ref="A5:B6"/>
    <mergeCell ref="A2:G2"/>
    <mergeCell ref="E5:F6"/>
    <mergeCell ref="A125:G125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4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SUMIF(H5:H162,K5,G5:G162)</f>
        <v/>
      </c>
      <c r="N5" s="238">
        <f>D163-F163-T5</f>
        <v/>
      </c>
      <c r="P5" s="190">
        <f>L18-L19</f>
        <v/>
      </c>
      <c r="R5" s="204">
        <f>D164</f>
        <v/>
      </c>
      <c r="T5" s="203">
        <f>SUMIF(E5:E162,"Aguardando Pagamento",D5:D162)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SUMIF(H5:H162,K6,G5:G162)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SUMIF(H5:H162,K7,G5:G162)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SUMIF(H5:H162,K8,G5:G162)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SUMIF(H5:H162,K9,G5:G162)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SUMIF(H5:H162,K10,G5:G162)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SUMIF(H5:H162,K11,G5:G162)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SUMIF(H5:H162,K12,G5:G162)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SUMIF(H5:H162,K13,G5:G162)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SUMIF(H5:H162,K14,G5:G162)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SUMIF(H5:H162,K15,G5:G162)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SUMIF(H5:H162,K16,G5:G162)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SUMIF(H5:H162,K17,G5:G162)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n"/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46283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Aguardando Pagamento</t>
        </is>
      </c>
      <c r="F132" s="83" t="n"/>
      <c r="G132" s="83" t="n"/>
      <c r="H132" s="82" t="n"/>
      <c r="I132" s="82" t="n"/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29" t="n"/>
      <c r="B163" s="43" t="inlineStr">
        <is>
          <t>TOTAL DO MÊS</t>
        </is>
      </c>
      <c r="C163" s="161" t="n"/>
      <c r="D163" s="8">
        <f>SUM(D5:D162)</f>
        <v/>
      </c>
      <c r="E163" s="8" t="n"/>
      <c r="F163" s="29">
        <f>SUM(F5:F162)</f>
        <v/>
      </c>
      <c r="G163" s="8">
        <f>SUM(G5:G162)</f>
        <v/>
      </c>
      <c r="H163" s="29" t="n"/>
      <c r="I163" s="29" t="n"/>
    </row>
    <row r="164">
      <c r="A164" s="30" t="n"/>
      <c r="B164" s="135" t="inlineStr">
        <is>
          <t>SALDO DO MÊS (Entradas líquidas − Despesas da loja)</t>
        </is>
      </c>
      <c r="D164" s="134">
        <f>(D163-F163-T5)-(L18-L19)</f>
        <v/>
      </c>
      <c r="F164" s="30" t="n"/>
      <c r="H164" s="30" t="n"/>
      <c r="I164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2" showDropDown="0" showInputMessage="0" showErrorMessage="0" allowBlank="1" type="list">
      <formula1>"Dinheiro,Pix,Débito,Crédito à Vista,Crédito Parcelado,Aguardando Pagamento"</formula1>
    </dataValidation>
    <dataValidation sqref="H5:H16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2026-09-19T13:41:24Z</dcterms:modified>
  <cp:lastModifiedBy>Planeta</cp:lastModifiedBy>
  <cp:revision>1</cp:revision>
</cp:coreProperties>
</file>