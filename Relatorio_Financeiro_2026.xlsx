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8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.1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18.95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7">
      <c r="B11" s="122">
        <f>'DRE Simplificado'!O22</f>
        <v/>
      </c>
      <c r="C11" s="123">
        <f>'DRE Simplificado'!O9</f>
        <v/>
      </c>
      <c r="D11" s="124">
        <f>Dashboard!B53</f>
        <v/>
      </c>
      <c r="E11" s="125">
        <f>'Ponto de Equilíbrio'!B10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Importado do Livro Caixa (DigiSat)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Importado do Livro Caixa (DigiSat)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Importado do Livro Caixa (DigiSat)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Importado do Livro Caixa (DigiSat)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Importado do Livro Caixa (DigiSat)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Importado do Livro Caixa (DigiSat)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Importado do Livro Caixa (DigiSat)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>
      <c r="B50" s="167" t="inlineStr">
        <is>
          <t>4. Despesa pessoal do casal paga pela loja: categoria "Pro Labore Edilânia" — fica registrada, mas fora do resultado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LUCRO LÍQUIDO</t>
        </is>
      </c>
      <c r="F4" s="160" t="n"/>
      <c r="G4" s="191" t="inlineStr">
        <is>
          <t>MARGEM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7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27" t="inlineStr">
        <is>
          <t>← Início</t>
        </is>
      </c>
      <c r="B3" s="94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</f>
        <v/>
      </c>
      <c r="C5" s="96">
        <f>SUMIF('Fev 2026'!A5:A500,"&lt;&gt;",'Fev 2026'!D5:D500)</f>
        <v/>
      </c>
      <c r="D5" s="96">
        <f>SUMIF('Mar 2026'!A5:A500,"&lt;&gt;",'Mar 2026'!D5:D500)</f>
        <v/>
      </c>
      <c r="E5" s="96">
        <f>SUMIF('Abr 2026'!A5:A500,"&lt;&gt;",'Abr 2026'!D5:D500)</f>
        <v/>
      </c>
      <c r="F5" s="96">
        <f>SUMIF('Mai 2026'!A5:A500,"&lt;&gt;",'Mai 2026'!D5:D500)</f>
        <v/>
      </c>
      <c r="G5" s="96">
        <f>SUMIF('Jun 2026'!A5:A500,"&lt;&gt;",'Jun 2026'!D5:D500)</f>
        <v/>
      </c>
      <c r="H5" s="96">
        <f>SUMIF('Jul 2026'!A5:A500,"&lt;&gt;",'Jul 2026'!D5:D500)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2026'!J5</f>
        <v/>
      </c>
      <c r="C6" s="98">
        <f>'Fev 2026'!J5</f>
        <v/>
      </c>
      <c r="D6" s="98">
        <f>'Mar 2026'!J5</f>
        <v/>
      </c>
      <c r="E6" s="98">
        <f>'Abr 2026'!J5</f>
        <v/>
      </c>
      <c r="F6" s="98">
        <f>'Mai 2026'!J5</f>
        <v/>
      </c>
      <c r="G6" s="98">
        <f>'Jun 2026'!J5</f>
        <v/>
      </c>
      <c r="H6" s="98">
        <f>'Jul 2026'!J5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2026'!J8</f>
        <v/>
      </c>
      <c r="C7" s="98">
        <f>'Fev 2026'!J8</f>
        <v/>
      </c>
      <c r="D7" s="98">
        <f>'Mar 2026'!J8</f>
        <v/>
      </c>
      <c r="E7" s="98">
        <f>'Abr 2026'!J8</f>
        <v/>
      </c>
      <c r="F7" s="98">
        <f>'Mai 2026'!J8</f>
        <v/>
      </c>
      <c r="G7" s="98">
        <f>'Jun 2026'!J8</f>
        <v/>
      </c>
      <c r="H7" s="98">
        <f>'Jul 2026'!J8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2026'!J10-B20</f>
        <v/>
      </c>
      <c r="C8" s="98">
        <f>'Fev 2026'!J10-C20</f>
        <v/>
      </c>
      <c r="D8" s="98">
        <f>'Mar 2026'!J10-D20</f>
        <v/>
      </c>
      <c r="E8" s="98">
        <f>'Abr 2026'!J10-E20</f>
        <v/>
      </c>
      <c r="F8" s="98">
        <f>'Mai 2026'!J10-F20</f>
        <v/>
      </c>
      <c r="G8" s="98">
        <f>'Jun 2026'!J10-G20</f>
        <v/>
      </c>
      <c r="H8" s="98">
        <f>'Jul 2026'!J10-H20</f>
        <v/>
      </c>
      <c r="I8" s="98">
        <f>'Ago 2026'!L10-I20</f>
        <v/>
      </c>
      <c r="J8" s="98">
        <f>'Set 2026'!L10-J20</f>
        <v/>
      </c>
      <c r="K8" s="98">
        <f>'Out 2026'!L10-K20</f>
        <v/>
      </c>
      <c r="L8" s="98">
        <f>'Nov 2026'!L10-L20</f>
        <v/>
      </c>
      <c r="M8" s="98">
        <f>'Dez 2026'!L10-M20</f>
        <v/>
      </c>
      <c r="N8" s="98">
        <f>SUM(B8:M8)</f>
        <v/>
      </c>
      <c r="O8" s="98">
        <f>IF($B$3=0,0,N8/$B$3)</f>
        <v/>
      </c>
    </row>
    <row r="9">
      <c r="A9" s="99" t="inlineStr">
        <is>
          <t>(=) CUSTOS VARIÁVEIS</t>
        </is>
      </c>
      <c r="B9" s="100">
        <f>SUM(B6:B8)</f>
        <v/>
      </c>
      <c r="C9" s="100">
        <f>SUM(C6:C8)</f>
        <v/>
      </c>
      <c r="D9" s="100">
        <f>SUM(D6:D8)</f>
        <v/>
      </c>
      <c r="E9" s="100">
        <f>SUM(E6:E8)</f>
        <v/>
      </c>
      <c r="F9" s="100">
        <f>SUM(F6:F8)</f>
        <v/>
      </c>
      <c r="G9" s="100">
        <f>SUM(G6:G8)</f>
        <v/>
      </c>
      <c r="H9" s="100">
        <f>SUM(H6:H8)</f>
        <v/>
      </c>
      <c r="I9" s="100">
        <f>SUM(I6:I8)</f>
        <v/>
      </c>
      <c r="J9" s="100">
        <f>SUM(J6:J8)</f>
        <v/>
      </c>
      <c r="K9" s="100">
        <f>SUM(K6:K8)</f>
        <v/>
      </c>
      <c r="L9" s="100">
        <f>SUM(L6:L8)</f>
        <v/>
      </c>
      <c r="M9" s="100">
        <f>SUM(M6:M8)</f>
        <v/>
      </c>
      <c r="N9" s="100">
        <f>SUM(B9:M9)</f>
        <v/>
      </c>
      <c r="O9" s="100">
        <f>IF($B$3=0,0,N9/$B$3)</f>
        <v/>
      </c>
    </row>
    <row r="10">
      <c r="A10" s="95" t="inlineStr">
        <is>
          <t>(=) MARGEM DE CONTRIBUIÇÃO</t>
        </is>
      </c>
      <c r="B10" s="96">
        <f>B5-B9</f>
        <v/>
      </c>
      <c r="C10" s="96">
        <f>C5-C9</f>
        <v/>
      </c>
      <c r="D10" s="96">
        <f>D5-D9</f>
        <v/>
      </c>
      <c r="E10" s="96">
        <f>E5-E9</f>
        <v/>
      </c>
      <c r="F10" s="96">
        <f>F5-F9</f>
        <v/>
      </c>
      <c r="G10" s="96">
        <f>G5-G9</f>
        <v/>
      </c>
      <c r="H10" s="96">
        <f>H5-H9</f>
        <v/>
      </c>
      <c r="I10" s="96">
        <f>I5-I9</f>
        <v/>
      </c>
      <c r="J10" s="96">
        <f>J5-J9</f>
        <v/>
      </c>
      <c r="K10" s="96">
        <f>K5-K9</f>
        <v/>
      </c>
      <c r="L10" s="96">
        <f>L5-L9</f>
        <v/>
      </c>
      <c r="M10" s="96">
        <f>M5-M9</f>
        <v/>
      </c>
      <c r="N10" s="96">
        <f>SUM(B10:M10)</f>
        <v/>
      </c>
      <c r="O10" s="96">
        <f>IF($B$3=0,0,N10/$B$3)</f>
        <v/>
      </c>
    </row>
    <row r="11">
      <c r="A11" s="101" t="inlineStr">
        <is>
          <t xml:space="preserve">      Margem de Contribuição (%)</t>
        </is>
      </c>
      <c r="B11" s="102">
        <f>IF(B5=0,"",B10/B5)</f>
        <v/>
      </c>
      <c r="C11" s="102">
        <f>IF(C5=0,"",C10/C5)</f>
        <v/>
      </c>
      <c r="D11" s="102">
        <f>IF(D5=0,"",D10/D5)</f>
        <v/>
      </c>
      <c r="E11" s="102">
        <f>IF(E5=0,"",E10/E5)</f>
        <v/>
      </c>
      <c r="F11" s="102">
        <f>IF(F5=0,"",F10/F5)</f>
        <v/>
      </c>
      <c r="G11" s="102">
        <f>IF(G5=0,"",G10/G5)</f>
        <v/>
      </c>
      <c r="H11" s="102">
        <f>IF(H5=0,"",H10/H5)</f>
        <v/>
      </c>
      <c r="I11" s="102">
        <f>IF(I5=0,"",I10/I5)</f>
        <v/>
      </c>
      <c r="J11" s="102">
        <f>IF(J5=0,"",J10/J5)</f>
        <v/>
      </c>
      <c r="K11" s="102">
        <f>IF(K5=0,"",K10/K5)</f>
        <v/>
      </c>
      <c r="L11" s="102">
        <f>IF(L5=0,"",L10/L5)</f>
        <v/>
      </c>
      <c r="M11" s="102">
        <f>IF(M5=0,"",M10/M5)</f>
        <v/>
      </c>
      <c r="N11" s="102">
        <f>IF(N5=0,"",N10/N5)</f>
        <v/>
      </c>
      <c r="O11" s="102">
        <f>IF(N5=0,"",N10/N5)</f>
        <v/>
      </c>
    </row>
    <row r="12">
      <c r="A12" s="97" t="inlineStr">
        <is>
          <t xml:space="preserve">   (−) Aluguel</t>
        </is>
      </c>
      <c r="B12" s="98">
        <f>'Jan 2026'!J6</f>
        <v/>
      </c>
      <c r="C12" s="98">
        <f>'Fev 2026'!J6</f>
        <v/>
      </c>
      <c r="D12" s="98">
        <f>'Mar 2026'!J6</f>
        <v/>
      </c>
      <c r="E12" s="98">
        <f>'Abr 2026'!J6</f>
        <v/>
      </c>
      <c r="F12" s="98">
        <f>'Mai 2026'!J6</f>
        <v/>
      </c>
      <c r="G12" s="98">
        <f>'Jun 2026'!J6</f>
        <v/>
      </c>
      <c r="H12" s="98">
        <f>'Jul 2026'!J6</f>
        <v/>
      </c>
      <c r="I12" s="98">
        <f>'Ago 2026'!L6</f>
        <v/>
      </c>
      <c r="J12" s="98">
        <f>'Set 2026'!L6</f>
        <v/>
      </c>
      <c r="K12" s="98">
        <f>'Out 2026'!L6</f>
        <v/>
      </c>
      <c r="L12" s="98">
        <f>'Nov 2026'!L6</f>
        <v/>
      </c>
      <c r="M12" s="98">
        <f>'Dez 2026'!L6</f>
        <v/>
      </c>
      <c r="N12" s="98">
        <f>SUM(B12:M12)</f>
        <v/>
      </c>
      <c r="O12" s="98">
        <f>IF($B$3=0,0,N12/$B$3)</f>
        <v/>
      </c>
    </row>
    <row r="13">
      <c r="A13" s="97" t="inlineStr">
        <is>
          <t xml:space="preserve">   (−) Água, Energia e Internet</t>
        </is>
      </c>
      <c r="B13" s="98">
        <f>'Jan 2026'!J7</f>
        <v/>
      </c>
      <c r="C13" s="98">
        <f>'Fev 2026'!J7</f>
        <v/>
      </c>
      <c r="D13" s="98">
        <f>'Mar 2026'!J7</f>
        <v/>
      </c>
      <c r="E13" s="98">
        <f>'Abr 2026'!J7</f>
        <v/>
      </c>
      <c r="F13" s="98">
        <f>'Mai 2026'!J7</f>
        <v/>
      </c>
      <c r="G13" s="98">
        <f>'Jun 2026'!J7</f>
        <v/>
      </c>
      <c r="H13" s="98">
        <f>'Jul 2026'!J7</f>
        <v/>
      </c>
      <c r="I13" s="98">
        <f>'Ago 2026'!L7</f>
        <v/>
      </c>
      <c r="J13" s="98">
        <f>'Set 2026'!L7</f>
        <v/>
      </c>
      <c r="K13" s="98">
        <f>'Out 2026'!L7</f>
        <v/>
      </c>
      <c r="L13" s="98">
        <f>'Nov 2026'!L7</f>
        <v/>
      </c>
      <c r="M13" s="98">
        <f>'Dez 2026'!L7</f>
        <v/>
      </c>
      <c r="N13" s="98">
        <f>SUM(B13:M13)</f>
        <v/>
      </c>
      <c r="O13" s="98">
        <f>IF($B$3=0,0,N13/$B$3)</f>
        <v/>
      </c>
    </row>
    <row r="14">
      <c r="A14" s="97" t="inlineStr">
        <is>
          <t xml:space="preserve">   (−) Tarifas Bancárias e Cartão</t>
        </is>
      </c>
      <c r="B14" s="98">
        <f>'Jan 2026'!J9</f>
        <v/>
      </c>
      <c r="C14" s="98">
        <f>'Fev 2026'!J9</f>
        <v/>
      </c>
      <c r="D14" s="98">
        <f>'Mar 2026'!J9</f>
        <v/>
      </c>
      <c r="E14" s="98">
        <f>'Abr 2026'!J9</f>
        <v/>
      </c>
      <c r="F14" s="98">
        <f>'Mai 2026'!J9</f>
        <v/>
      </c>
      <c r="G14" s="98">
        <f>'Jun 2026'!J9</f>
        <v/>
      </c>
      <c r="H14" s="98">
        <f>'Jul 2026'!J9</f>
        <v/>
      </c>
      <c r="I14" s="98">
        <f>'Ago 2026'!L9</f>
        <v/>
      </c>
      <c r="J14" s="98">
        <f>'Set 2026'!L9</f>
        <v/>
      </c>
      <c r="K14" s="98">
        <f>'Out 2026'!L9</f>
        <v/>
      </c>
      <c r="L14" s="98">
        <f>'Nov 2026'!L9</f>
        <v/>
      </c>
      <c r="M14" s="98">
        <f>'Dez 2026'!L9</f>
        <v/>
      </c>
      <c r="N14" s="98">
        <f>SUM(B14:M14)</f>
        <v/>
      </c>
      <c r="O14" s="98">
        <f>IF($B$3=0,0,N14/$B$3)</f>
        <v/>
      </c>
    </row>
    <row r="15">
      <c r="A15" s="97" t="inlineStr">
        <is>
          <t xml:space="preserve">   (−) Salários, Comissões e Encargos</t>
        </is>
      </c>
      <c r="B15" s="98">
        <f>'Jan 2026'!J11</f>
        <v/>
      </c>
      <c r="C15" s="98">
        <f>'Fev 2026'!J11</f>
        <v/>
      </c>
      <c r="D15" s="98">
        <f>'Mar 2026'!J11</f>
        <v/>
      </c>
      <c r="E15" s="98">
        <f>'Abr 2026'!J11</f>
        <v/>
      </c>
      <c r="F15" s="98">
        <f>'Mai 2026'!J11</f>
        <v/>
      </c>
      <c r="G15" s="98">
        <f>'Jun 2026'!J11</f>
        <v/>
      </c>
      <c r="H15" s="98">
        <f>'Jul 2026'!J11</f>
        <v/>
      </c>
      <c r="I15" s="98">
        <f>'Ago 2026'!L11</f>
        <v/>
      </c>
      <c r="J15" s="98">
        <f>'Set 2026'!L11</f>
        <v/>
      </c>
      <c r="K15" s="98">
        <f>'Out 2026'!L11</f>
        <v/>
      </c>
      <c r="L15" s="98">
        <f>'Nov 2026'!L11</f>
        <v/>
      </c>
      <c r="M15" s="98">
        <f>'Dez 2026'!L11</f>
        <v/>
      </c>
      <c r="N15" s="98">
        <f>SUM(B15:M15)</f>
        <v/>
      </c>
      <c r="O15" s="98">
        <f>IF($B$3=0,0,N15/$B$3)</f>
        <v/>
      </c>
    </row>
    <row r="16">
      <c r="A16" s="97" t="inlineStr">
        <is>
          <t xml:space="preserve">   (−) Contabilidade</t>
        </is>
      </c>
      <c r="B16" s="98">
        <f>'Jan 2026'!J12</f>
        <v/>
      </c>
      <c r="C16" s="98">
        <f>'Fev 2026'!J12</f>
        <v/>
      </c>
      <c r="D16" s="98">
        <f>'Mar 2026'!J12</f>
        <v/>
      </c>
      <c r="E16" s="98">
        <f>'Abr 2026'!J12</f>
        <v/>
      </c>
      <c r="F16" s="98">
        <f>'Mai 2026'!J12</f>
        <v/>
      </c>
      <c r="G16" s="98">
        <f>'Jun 2026'!J12</f>
        <v/>
      </c>
      <c r="H16" s="98">
        <f>'Jul 2026'!J12</f>
        <v/>
      </c>
      <c r="I16" s="98">
        <f>'Ago 2026'!L12</f>
        <v/>
      </c>
      <c r="J16" s="98">
        <f>'Set 2026'!L12</f>
        <v/>
      </c>
      <c r="K16" s="98">
        <f>'Out 2026'!L12</f>
        <v/>
      </c>
      <c r="L16" s="98">
        <f>'Nov 2026'!L12</f>
        <v/>
      </c>
      <c r="M16" s="98">
        <f>'Dez 2026'!L12</f>
        <v/>
      </c>
      <c r="N16" s="98">
        <f>SUM(B16:M16)</f>
        <v/>
      </c>
      <c r="O16" s="98">
        <f>IF($B$3=0,0,N16/$B$3)</f>
        <v/>
      </c>
    </row>
    <row r="17">
      <c r="A17" s="97" t="inlineStr">
        <is>
          <t xml:space="preserve">   (−) Manutenção e Reparos</t>
        </is>
      </c>
      <c r="B17" s="98">
        <f>'Jan 2026'!J13</f>
        <v/>
      </c>
      <c r="C17" s="98">
        <f>'Fev 2026'!J13</f>
        <v/>
      </c>
      <c r="D17" s="98">
        <f>'Mar 2026'!J13</f>
        <v/>
      </c>
      <c r="E17" s="98">
        <f>'Abr 2026'!J13</f>
        <v/>
      </c>
      <c r="F17" s="98">
        <f>'Mai 2026'!J13</f>
        <v/>
      </c>
      <c r="G17" s="98">
        <f>'Jun 2026'!J13</f>
        <v/>
      </c>
      <c r="H17" s="98">
        <f>'Jul 2026'!J13</f>
        <v/>
      </c>
      <c r="I17" s="98">
        <f>'Ago 2026'!L13</f>
        <v/>
      </c>
      <c r="J17" s="98">
        <f>'Set 2026'!L13</f>
        <v/>
      </c>
      <c r="K17" s="98">
        <f>'Out 2026'!L13</f>
        <v/>
      </c>
      <c r="L17" s="98">
        <f>'Nov 2026'!L13</f>
        <v/>
      </c>
      <c r="M17" s="98">
        <f>'Dez 2026'!L13</f>
        <v/>
      </c>
      <c r="N17" s="98">
        <f>SUM(B17:M17)</f>
        <v/>
      </c>
      <c r="O17" s="98">
        <f>IF($B$3=0,0,N17/$B$3)</f>
        <v/>
      </c>
    </row>
    <row r="18">
      <c r="A18" s="97" t="inlineStr">
        <is>
          <t xml:space="preserve">   (−) Material de Limpeza e Escritório</t>
        </is>
      </c>
      <c r="B18" s="98">
        <f>'Jan 2026'!J14</f>
        <v/>
      </c>
      <c r="C18" s="98">
        <f>'Fev 2026'!J14</f>
        <v/>
      </c>
      <c r="D18" s="98">
        <f>'Mar 2026'!J14</f>
        <v/>
      </c>
      <c r="E18" s="98">
        <f>'Abr 2026'!J14</f>
        <v/>
      </c>
      <c r="F18" s="98">
        <f>'Mai 2026'!J14</f>
        <v/>
      </c>
      <c r="G18" s="98">
        <f>'Jun 2026'!J14</f>
        <v/>
      </c>
      <c r="H18" s="98">
        <f>'Jul 2026'!J14</f>
        <v/>
      </c>
      <c r="I18" s="98">
        <f>'Ago 2026'!L14</f>
        <v/>
      </c>
      <c r="J18" s="98">
        <f>'Set 2026'!L14</f>
        <v/>
      </c>
      <c r="K18" s="98">
        <f>'Out 2026'!L14</f>
        <v/>
      </c>
      <c r="L18" s="98">
        <f>'Nov 2026'!L14</f>
        <v/>
      </c>
      <c r="M18" s="98">
        <f>'Dez 2026'!L14</f>
        <v/>
      </c>
      <c r="N18" s="98">
        <f>SUM(B18:M18)</f>
        <v/>
      </c>
      <c r="O18" s="98">
        <f>IF($B$3=0,0,N18/$B$3)</f>
        <v/>
      </c>
    </row>
    <row r="19">
      <c r="A19" s="97" t="inlineStr">
        <is>
          <t xml:space="preserve">   (−) Estornos de Vendas (Cancelamentos)</t>
        </is>
      </c>
      <c r="B19" s="98">
        <f>'Jan 2026'!J15</f>
        <v/>
      </c>
      <c r="C19" s="98">
        <f>'Fev 2026'!J15</f>
        <v/>
      </c>
      <c r="D19" s="98">
        <f>'Mar 2026'!J15</f>
        <v/>
      </c>
      <c r="E19" s="98">
        <f>'Abr 2026'!J15</f>
        <v/>
      </c>
      <c r="F19" s="98">
        <f>'Mai 2026'!J15</f>
        <v/>
      </c>
      <c r="G19" s="98">
        <f>'Jun 2026'!J15</f>
        <v/>
      </c>
      <c r="H19" s="98">
        <f>'Jul 2026'!J15</f>
        <v/>
      </c>
      <c r="I19" s="98">
        <f>'Ago 2026'!L15</f>
        <v/>
      </c>
      <c r="J19" s="98">
        <f>'Set 2026'!L15</f>
        <v/>
      </c>
      <c r="K19" s="98">
        <f>'Out 2026'!L15</f>
        <v/>
      </c>
      <c r="L19" s="98">
        <f>'Nov 2026'!L15</f>
        <v/>
      </c>
      <c r="M19" s="98">
        <f>'Dez 2026'!L15</f>
        <v/>
      </c>
      <c r="N19" s="98">
        <f>SUM(B19:M19)</f>
        <v/>
      </c>
      <c r="O19" s="98">
        <f>IF($B$3=0,0,N19/$B$3)</f>
        <v/>
      </c>
    </row>
    <row r="20">
      <c r="A20" s="97" t="inlineStr">
        <is>
          <t xml:space="preserve">   (−) Estacionamento (dentro de Transporte e Entregas)</t>
        </is>
      </c>
      <c r="B20" s="98">
        <f>SUMIF('Jan 2026'!B5:B500,"Estacionamento*",'Jan 2026'!E5:E500)</f>
        <v/>
      </c>
      <c r="C20" s="98">
        <f>SUMIF('Fev 2026'!B5:B500,"Estacionamento*",'Fev 2026'!E5:E500)</f>
        <v/>
      </c>
      <c r="D20" s="98">
        <f>SUMIF('Mar 2026'!B5:B500,"Estacionamento*",'Mar 2026'!E5:E500)</f>
        <v/>
      </c>
      <c r="E20" s="98">
        <f>SUMIF('Abr 2026'!B5:B500,"Estacionamento*",'Abr 2026'!E5:E500)</f>
        <v/>
      </c>
      <c r="F20" s="98">
        <f>SUMIF('Mai 2026'!B5:B500,"Estacionamento*",'Mai 2026'!E5:E500)</f>
        <v/>
      </c>
      <c r="G20" s="98">
        <f>SUMIF('Jun 2026'!B5:B500,"Estacionamento*",'Jun 2026'!E5:E500)</f>
        <v/>
      </c>
      <c r="H20" s="98">
        <f>SUMIF('Jul 2026'!B5:B500,"Estacionamento*",'Jul 2026'!E5:E500)</f>
        <v/>
      </c>
      <c r="I20" s="98">
        <f>SUMIF('Ago 2026'!B5:B500,"Estacionamento*",'Ago 2026'!G5:G500)</f>
        <v/>
      </c>
      <c r="J20" s="98">
        <f>SUMIF('Set 2026'!B5:B500,"Estacionamento*",'Set 2026'!G5:G500)</f>
        <v/>
      </c>
      <c r="K20" s="98">
        <f>SUMIF('Out 2026'!B5:B500,"Estacionamento*",'Out 2026'!G5:G500)</f>
        <v/>
      </c>
      <c r="L20" s="98">
        <f>SUMIF('Nov 2026'!B5:B500,"Estacionamento*",'Nov 2026'!G5:G500)</f>
        <v/>
      </c>
      <c r="M20" s="98">
        <f>SUMIF('Dez 2026'!B5:B500,"Estacionamento*",'Dez 2026'!G5:G500)</f>
        <v/>
      </c>
      <c r="N20" s="98">
        <f>SUM(B20:M20)</f>
        <v/>
      </c>
      <c r="O20" s="98">
        <f>IF($B$3=0,0,N20/$B$3)</f>
        <v/>
      </c>
    </row>
    <row r="21">
      <c r="A21" s="97" t="inlineStr">
        <is>
          <t xml:space="preserve">   (−) Outras Despesas</t>
        </is>
      </c>
      <c r="B21" s="98">
        <f>'Jan 2026'!J16</f>
        <v/>
      </c>
      <c r="C21" s="98">
        <f>'Fev 2026'!J16</f>
        <v/>
      </c>
      <c r="D21" s="98">
        <f>'Mar 2026'!J16</f>
        <v/>
      </c>
      <c r="E21" s="98">
        <f>'Abr 2026'!J16</f>
        <v/>
      </c>
      <c r="F21" s="98">
        <f>'Mai 2026'!J16</f>
        <v/>
      </c>
      <c r="G21" s="98">
        <f>'Jun 2026'!J16</f>
        <v/>
      </c>
      <c r="H21" s="98">
        <f>'Jul 2026'!J16</f>
        <v/>
      </c>
      <c r="I21" s="98">
        <f>'Ago 2026'!L16</f>
        <v/>
      </c>
      <c r="J21" s="98">
        <f>'Set 2026'!L16</f>
        <v/>
      </c>
      <c r="K21" s="98">
        <f>'Out 2026'!L16</f>
        <v/>
      </c>
      <c r="L21" s="98">
        <f>'Nov 2026'!L16</f>
        <v/>
      </c>
      <c r="M21" s="98">
        <f>'Dez 2026'!L16</f>
        <v/>
      </c>
      <c r="N21" s="98">
        <f>SUM(B21:M21)</f>
        <v/>
      </c>
      <c r="O21" s="98">
        <f>IF($B$3=0,0,N21/$B$3)</f>
        <v/>
      </c>
    </row>
    <row r="22">
      <c r="A22" s="99" t="inlineStr">
        <is>
          <t>(=) CUSTOS FIXOS</t>
        </is>
      </c>
      <c r="B22" s="100">
        <f>SUM(B12:B21)</f>
        <v/>
      </c>
      <c r="C22" s="100">
        <f>SUM(C12:C21)</f>
        <v/>
      </c>
      <c r="D22" s="100">
        <f>SUM(D12:D21)</f>
        <v/>
      </c>
      <c r="E22" s="100">
        <f>SUM(E12:E21)</f>
        <v/>
      </c>
      <c r="F22" s="100">
        <f>SUM(F12:F21)</f>
        <v/>
      </c>
      <c r="G22" s="100">
        <f>SUM(G12:G21)</f>
        <v/>
      </c>
      <c r="H22" s="100">
        <f>SUM(H12:H21)</f>
        <v/>
      </c>
      <c r="I22" s="100">
        <f>SUM(I12:I21)</f>
        <v/>
      </c>
      <c r="J22" s="100">
        <f>SUM(J12:J21)</f>
        <v/>
      </c>
      <c r="K22" s="100">
        <f>SUM(K12:K21)</f>
        <v/>
      </c>
      <c r="L22" s="100">
        <f>SUM(L12:L21)</f>
        <v/>
      </c>
      <c r="M22" s="100">
        <f>SUM(M12:M21)</f>
        <v/>
      </c>
      <c r="N22" s="100">
        <f>SUM(B22:M22)</f>
        <v/>
      </c>
      <c r="O22" s="100">
        <f>IF($B$3=0,0,N22/$B$3)</f>
        <v/>
      </c>
    </row>
    <row r="23" ht="15.75" customHeight="1" s="157">
      <c r="A23" s="103" t="inlineStr">
        <is>
          <t>(=) RESULTADO DO MÊS</t>
        </is>
      </c>
      <c r="B23" s="104">
        <f>B10-B22</f>
        <v/>
      </c>
      <c r="C23" s="104">
        <f>C10-C22</f>
        <v/>
      </c>
      <c r="D23" s="104">
        <f>D10-D22</f>
        <v/>
      </c>
      <c r="E23" s="104">
        <f>E10-E22</f>
        <v/>
      </c>
      <c r="F23" s="104">
        <f>F10-F22</f>
        <v/>
      </c>
      <c r="G23" s="104">
        <f>G10-G22</f>
        <v/>
      </c>
      <c r="H23" s="104">
        <f>H10-H22</f>
        <v/>
      </c>
      <c r="I23" s="104">
        <f>I10-I22</f>
        <v/>
      </c>
      <c r="J23" s="104">
        <f>J10-J22</f>
        <v/>
      </c>
      <c r="K23" s="104">
        <f>K10-K22</f>
        <v/>
      </c>
      <c r="L23" s="104">
        <f>L10-L22</f>
        <v/>
      </c>
      <c r="M23" s="104">
        <f>M10-M22</f>
        <v/>
      </c>
      <c r="N23" s="104">
        <f>SUM(B23:M23)</f>
        <v/>
      </c>
      <c r="O23" s="104">
        <f>IF($B$3=0,0,N23/$B$3)</f>
        <v/>
      </c>
    </row>
    <row r="24">
      <c r="A24" s="101" t="inlineStr">
        <is>
          <t xml:space="preserve">      Margem Líquida (%)</t>
        </is>
      </c>
      <c r="B24" s="102">
        <f>IF(B5=0,"",B23/B5)</f>
        <v/>
      </c>
      <c r="C24" s="102">
        <f>IF(C5=0,"",C23/C5)</f>
        <v/>
      </c>
      <c r="D24" s="102">
        <f>IF(D5=0,"",D23/D5)</f>
        <v/>
      </c>
      <c r="E24" s="102">
        <f>IF(E5=0,"",E23/E5)</f>
        <v/>
      </c>
      <c r="F24" s="102">
        <f>IF(F5=0,"",F23/F5)</f>
        <v/>
      </c>
      <c r="G24" s="102">
        <f>IF(G5=0,"",G23/G5)</f>
        <v/>
      </c>
      <c r="H24" s="102">
        <f>IF(H5=0,"",H23/H5)</f>
        <v/>
      </c>
      <c r="I24" s="102">
        <f>IF(I5=0,"",I23/I5)</f>
        <v/>
      </c>
      <c r="J24" s="102">
        <f>IF(J5=0,"",J23/J5)</f>
        <v/>
      </c>
      <c r="K24" s="102">
        <f>IF(K5=0,"",K23/K5)</f>
        <v/>
      </c>
      <c r="L24" s="102">
        <f>IF(L5=0,"",L23/L5)</f>
        <v/>
      </c>
      <c r="M24" s="102">
        <f>IF(M5=0,"",M23/M5)</f>
        <v/>
      </c>
      <c r="N24" s="102">
        <f>IF(N5=0,"",N23/N5)</f>
        <v/>
      </c>
      <c r="O24" s="102">
        <f>IF(N5=0,"",N23/N5)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2026'!J17</f>
        <v/>
      </c>
      <c r="C27" s="108">
        <f>'Fev 2026'!J17</f>
        <v/>
      </c>
      <c r="D27" s="108">
        <f>'Mar 2026'!J17</f>
        <v/>
      </c>
      <c r="E27" s="108">
        <f>'Abr 2026'!J17</f>
        <v/>
      </c>
      <c r="F27" s="108">
        <f>'Mai 2026'!J17</f>
        <v/>
      </c>
      <c r="G27" s="108">
        <f>'Jun 2026'!J17</f>
        <v/>
      </c>
      <c r="H27" s="108">
        <f>'Jul 2026'!J17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7">
      <c r="A30" s="182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7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7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7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28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D77</f>
        <v/>
      </c>
      <c r="C5" s="204">
        <f>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03/09/2026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Pendente</t>
        </is>
      </c>
      <c r="F29" s="112">
        <f>IF(OR($E29="Pago",$C29=""),"",MAX(0,TODAY()-$C29))</f>
        <v/>
      </c>
      <c r="G29" s="78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Pendente</t>
        </is>
      </c>
      <c r="F56" s="113">
        <f>IF(OR($E56="Pago",$C56=""),"",MAX(0,TODAY()-$C56))</f>
        <v/>
      </c>
      <c r="G56" s="82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Previsto</t>
        </is>
      </c>
      <c r="F60" s="143">
        <f>IF(OR($E60="Pago",$C60=""),"",MAX(0,TODAY()-$C60))</f>
        <v/>
      </c>
      <c r="G60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Pendente</t>
        </is>
      </c>
      <c r="F68" s="113">
        <f>IF(OR($E68="Pago",$C68=""),"",MAX(0,TODAY()-$C68))</f>
        <v/>
      </c>
      <c r="G68" s="82" t="inlineStr">
        <is>
          <t>Categoria quando pagar: Impostos e Taxas. Inscrição Estadual 066.200.856. Linha digitável 85890000017 4 12700005202 5 60925196505 0 60882175193 3.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Pendente</t>
        </is>
      </c>
      <c r="F69" s="113">
        <f>IF(OR($E69="Pago",$C69=""),"",MAX(0,TODAY()-$C69))</f>
        <v/>
      </c>
      <c r="G69" s="82" t="inlineStr">
        <is>
          <t>Categoria quando pagar: Impostos e Taxas. Inscrição Estadual 066.200.856. Linha digitável 85870000000 6 74050005202 0 60925196505 0 61070133812 7.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Pendente</t>
        </is>
      </c>
      <c r="F74" s="113">
        <f>IF(OR($E74="Pago",$C74=""),"",MAX(0,TODAY()-$C74))</f>
        <v/>
      </c>
      <c r="G74" s="82" t="inlineStr">
        <is>
          <t>Categoria quando pagar: Transporte e Entregas. Boleto Bradesco 237-2, nosso número 34840000190-0, agência/cedente 1430-0/0030737-8. Linha digitável 23791.43007 93484.000018 90003.073708 7 15870000032345. Emissão 17/09/2026. Após o vencimento: R$ 0,49 por dia de atraso; negativação a partir do 7º dia.</t>
        </is>
      </c>
    </row>
    <row r="75">
      <c r="A75" s="86" t="inlineStr">
        <is>
          <t>TOTAL A PAGAR — COM BOLETO EM MÃOS</t>
        </is>
      </c>
      <c r="B75" s="86" t="n"/>
      <c r="C75" s="114" t="n"/>
      <c r="D75" s="115">
        <f>SUMIF(E11:E74,"Pendente",D11:D74)</f>
        <v/>
      </c>
      <c r="E75" s="116" t="n"/>
      <c r="F75" s="116" t="n"/>
      <c r="G75" s="86" t="n"/>
    </row>
    <row r="76">
      <c r="A76" s="144" t="inlineStr">
        <is>
          <t>PREVISTO — compromisso certo que ainda não está documentado</t>
        </is>
      </c>
      <c r="B76" s="144" t="n"/>
      <c r="C76" s="145" t="n"/>
      <c r="D76" s="146">
        <f>SUMIF(E11:E74,"Previsto",D11:D74)</f>
        <v/>
      </c>
      <c r="E76" s="142" t="n"/>
      <c r="F76" s="142" t="n"/>
      <c r="G76" s="144" t="n"/>
    </row>
    <row r="77">
      <c r="A77" s="86" t="inlineStr">
        <is>
          <t>TOTAL GERAL A PAGAR (boletos + previsão)</t>
        </is>
      </c>
      <c r="B77" s="86" t="n"/>
      <c r="C77" s="114" t="n"/>
      <c r="D77" s="115">
        <f>D75+D76</f>
        <v/>
      </c>
      <c r="E77" s="116" t="n"/>
      <c r="F77" s="116" t="n"/>
      <c r="G77" s="86" t="n"/>
    </row>
    <row r="79" ht="15.75" customHeight="1" s="157"/>
    <row r="80" ht="15.75" customHeight="1" s="157">
      <c r="A80" s="200" t="inlineStr">
        <is>
          <t>CONTAS A RECEBER  —  vendas feitas e ainda não pagas</t>
        </is>
      </c>
    </row>
    <row r="81">
      <c r="A81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82">
      <c r="A82" s="111" t="inlineStr">
        <is>
          <t>Cliente</t>
        </is>
      </c>
      <c r="B82" s="111" t="inlineStr">
        <is>
          <t>Produto / Referência</t>
        </is>
      </c>
      <c r="C82" s="111" t="inlineStr">
        <is>
          <t>Data da Venda</t>
        </is>
      </c>
      <c r="D82" s="111" t="inlineStr">
        <is>
          <t>Valor (R$)</t>
        </is>
      </c>
      <c r="E82" s="111" t="inlineStr">
        <is>
          <t>Status</t>
        </is>
      </c>
      <c r="F82" s="111" t="inlineStr">
        <is>
          <t>Dias em Atraso</t>
        </is>
      </c>
      <c r="G82" s="111" t="inlineStr">
        <is>
          <t>Observações</t>
        </is>
      </c>
    </row>
    <row r="83">
      <c r="A83" s="78" t="inlineStr">
        <is>
          <t>Centro de Especialidades Odontomédicas</t>
        </is>
      </c>
      <c r="B83" s="78" t="inlineStr">
        <is>
          <t>Refil Everest</t>
        </is>
      </c>
      <c r="C83" s="77" t="n">
        <v>46239</v>
      </c>
      <c r="D83" s="79" t="n">
        <v>140</v>
      </c>
      <c r="E83" s="112" t="inlineStr">
        <is>
          <t>Pendente</t>
        </is>
      </c>
      <c r="F83" s="112">
        <f>IF(OR($E83="Recebido",$C83=""),"",MAX(0,TODAY()-$C83))</f>
        <v/>
      </c>
      <c r="G83" s="78" t="n"/>
    </row>
    <row r="84">
      <c r="A84" s="82" t="inlineStr">
        <is>
          <t>Supermercado Brasil</t>
        </is>
      </c>
      <c r="B84" s="82" t="inlineStr">
        <is>
          <t>2x Refil Pro Life</t>
        </is>
      </c>
      <c r="C84" s="81" t="n">
        <v>46239</v>
      </c>
      <c r="D84" s="83" t="n">
        <v>280</v>
      </c>
      <c r="E84" s="113" t="inlineStr">
        <is>
          <t>Pendente</t>
        </is>
      </c>
      <c r="F84" s="113">
        <f>IF(OR($E84="Recebido",$C84=""),"",MAX(0,TODAY()-$C84))</f>
        <v/>
      </c>
      <c r="G84" s="82" t="n"/>
    </row>
    <row r="85">
      <c r="A85" s="78" t="inlineStr">
        <is>
          <t>Tropical Motos LTDA</t>
        </is>
      </c>
      <c r="B85" s="78" t="inlineStr">
        <is>
          <t>3x Refil Everest + Refil Pro Life + 3x Pré Filtro + Válvula Reguladora de Pressão</t>
        </is>
      </c>
      <c r="C85" s="77" t="n">
        <v>46245</v>
      </c>
      <c r="D85" s="79" t="n">
        <v>820</v>
      </c>
      <c r="E85" s="112" t="inlineStr">
        <is>
          <t>Recebido</t>
        </is>
      </c>
      <c r="F85" s="112">
        <f>IF(OR($E85="Recebido",$C85=""),"",MAX(0,TODAY()-$C85))</f>
        <v/>
      </c>
      <c r="G85" s="78" t="inlineStr">
        <is>
          <t>Recebido via TED em 25/08/2026. NF conferida: valor correto é R$820 (faltava a válvula no lançamento original de R$740).</t>
        </is>
      </c>
    </row>
    <row r="86">
      <c r="A86" s="82" t="inlineStr">
        <is>
          <t>Free Way</t>
        </is>
      </c>
      <c r="B86" s="82" t="inlineStr">
        <is>
          <t>5x Refil Everest</t>
        </is>
      </c>
      <c r="C86" s="81" t="n">
        <v>46251</v>
      </c>
      <c r="D86" s="83" t="n">
        <v>700</v>
      </c>
      <c r="E86" s="113" t="inlineStr">
        <is>
          <t>Recebido</t>
        </is>
      </c>
      <c r="F86" s="113">
        <f>IF(OR($E86="Recebido",$C86=""),"",MAX(0,TODAY()-$C86))</f>
        <v/>
      </c>
      <c r="G86" s="82" t="inlineStr">
        <is>
          <t>Recebido via TED em 02/09/2026.</t>
        </is>
      </c>
    </row>
    <row r="87">
      <c r="A87" s="78" t="inlineStr">
        <is>
          <t>Neli Sena Rego</t>
        </is>
      </c>
      <c r="B87" s="78" t="inlineStr">
        <is>
          <t>Refil Pro Life</t>
        </is>
      </c>
      <c r="C87" s="77" t="n">
        <v>46254</v>
      </c>
      <c r="D87" s="79" t="n">
        <v>140</v>
      </c>
      <c r="E87" s="112" t="inlineStr">
        <is>
          <t>Recebido</t>
        </is>
      </c>
      <c r="F87" s="112">
        <f>IF(OR($E87="Recebido",$C87=""),"",MAX(0,TODAY()-$C87))</f>
        <v/>
      </c>
      <c r="G87" s="78" t="inlineStr">
        <is>
          <t>Recebido em dinheiro em 01/09/2026 (R$ 170,00 pelas duas vendas)</t>
        </is>
      </c>
    </row>
    <row r="88">
      <c r="A88" s="82" t="inlineStr">
        <is>
          <t>Neli Sena Rego</t>
        </is>
      </c>
      <c r="B88" s="82" t="inlineStr">
        <is>
          <t>Conexão + Mangueira</t>
        </is>
      </c>
      <c r="C88" s="81" t="n">
        <v>46255</v>
      </c>
      <c r="D88" s="83" t="n">
        <v>40</v>
      </c>
      <c r="E88" s="113" t="inlineStr">
        <is>
          <t>Recebido</t>
        </is>
      </c>
      <c r="F88" s="113">
        <f>IF(OR($E88="Recebido",$C88=""),"",MAX(0,TODAY()-$C88))</f>
        <v/>
      </c>
      <c r="G88" s="82" t="inlineStr">
        <is>
          <t>Recebido em dinheiro em 01/09/2026 (R$ 170,00 pelas duas vendas)</t>
        </is>
      </c>
    </row>
    <row r="89">
      <c r="A89" s="78" t="inlineStr">
        <is>
          <t>Lapec</t>
        </is>
      </c>
      <c r="B89" s="78" t="inlineStr">
        <is>
          <t>4x Refil Everest</t>
        </is>
      </c>
      <c r="C89" s="77" t="n">
        <v>46258</v>
      </c>
      <c r="D89" s="79" t="n">
        <v>480</v>
      </c>
      <c r="E89" s="112" t="inlineStr">
        <is>
          <t>Recebido</t>
        </is>
      </c>
      <c r="F89" s="112">
        <f>IF(OR($E89="Recebido",$C89=""),"",MAX(0,TODAY()-$C89))</f>
        <v/>
      </c>
      <c r="G89" s="78" t="inlineStr">
        <is>
          <t>Recebido em dinheiro em 08/09/2026 — lançado em "Set 2026".</t>
        </is>
      </c>
    </row>
    <row r="90">
      <c r="A90" s="82" t="inlineStr">
        <is>
          <t>Cícero Lima</t>
        </is>
      </c>
      <c r="B90" s="82" t="inlineStr">
        <is>
          <t>Refil Everest</t>
        </is>
      </c>
      <c r="C90" s="81" t="n">
        <v>46261</v>
      </c>
      <c r="D90" s="83" t="n">
        <v>140</v>
      </c>
      <c r="E90" s="113" t="inlineStr">
        <is>
          <t>Recebido</t>
        </is>
      </c>
      <c r="F90" s="113">
        <f>IF(OR($E90="Recebido",$C90=""),"",MAX(0,TODAY()-$C90))</f>
        <v/>
      </c>
      <c r="G90" s="82" t="inlineStr">
        <is>
          <t>Recebido via Pix em 27/08/2026</t>
        </is>
      </c>
    </row>
    <row r="91">
      <c r="A91" s="78" t="inlineStr">
        <is>
          <t>Promotoria Regional de Jacobina</t>
        </is>
      </c>
      <c r="B91" s="78" t="inlineStr">
        <is>
          <t>2x Carcaça 9" + 2x Refil Plissado 9" + Conexão Reta Rosca</t>
        </is>
      </c>
      <c r="C91" s="77" t="n">
        <v>46261</v>
      </c>
      <c r="D91" s="79" t="n">
        <v>470</v>
      </c>
      <c r="E91" s="112" t="inlineStr">
        <is>
          <t>Recebido</t>
        </is>
      </c>
      <c r="F91" s="112">
        <f>IF(OR($E91="Recebido",$C91=""),"",MAX(0,TODAY()-$C91))</f>
        <v/>
      </c>
      <c r="G91" s="78" t="inlineStr">
        <is>
          <t>Pago em 28/08/2026 em duas formas: R$ 270,00 Pix + R$ 200,00 crédito 2x</t>
        </is>
      </c>
    </row>
    <row r="92">
      <c r="A92" s="82" t="inlineStr">
        <is>
          <t>Lucas Souza</t>
        </is>
      </c>
      <c r="B92" s="82" t="inlineStr">
        <is>
          <t>Refil Everest + Pré Filtro</t>
        </is>
      </c>
      <c r="C92" s="81" t="n">
        <v>46261</v>
      </c>
      <c r="D92" s="83" t="n">
        <v>200</v>
      </c>
      <c r="E92" s="113" t="inlineStr">
        <is>
          <t>Recebido</t>
        </is>
      </c>
      <c r="F92" s="113">
        <f>IF(OR($E92="Recebido",$C92=""),"",MAX(0,TODAY()-$C92))</f>
        <v/>
      </c>
      <c r="G92" s="82" t="inlineStr">
        <is>
          <t>Recebido em dinheiro em 03/09/2026 — lançado em "Set 2026".</t>
        </is>
      </c>
    </row>
    <row r="93">
      <c r="A93" s="78" t="inlineStr">
        <is>
          <t>FG Boa Vista (Recife/PE)</t>
        </is>
      </c>
      <c r="B93" s="78" t="inlineStr">
        <is>
          <t>Refis — troca de julho/2026</t>
        </is>
      </c>
      <c r="C93" s="77" t="n">
        <v>46261</v>
      </c>
      <c r="D93" s="79" t="n">
        <v>1008.8</v>
      </c>
      <c r="E93" s="112" t="inlineStr">
        <is>
          <t>Recebido</t>
        </is>
      </c>
      <c r="F93" s="112">
        <f>IF(OR($E93="Recebido",$C93=""),"",MAX(0,TODAY()-$C93))</f>
        <v/>
      </c>
      <c r="G93" s="78" t="inlineStr">
        <is>
          <t>Grupo Ânima — NF 000.004.280 · recebido em 30/08/2026 (Nota Paga no portal V360)</t>
        </is>
      </c>
    </row>
    <row r="94">
      <c r="A94" s="82" t="inlineStr">
        <is>
          <t>UNIFG Guanambi (Guanambi/BA)</t>
        </is>
      </c>
      <c r="B94" s="82" t="inlineStr">
        <is>
          <t>Refis — troca de julho/2026</t>
        </is>
      </c>
      <c r="C94" s="81" t="n">
        <v>46261</v>
      </c>
      <c r="D94" s="83" t="n">
        <v>4534.75</v>
      </c>
      <c r="E94" s="113" t="inlineStr">
        <is>
          <t>Recebido</t>
        </is>
      </c>
      <c r="F94" s="113">
        <f>IF(OR($E94="Recebido",$C94=""),"",MAX(0,TODAY()-$C94))</f>
        <v/>
      </c>
      <c r="G94" s="82" t="inlineStr">
        <is>
          <t>Grupo Ânima — NF 000.004.281 · recebido em 30/08/2026 (Nota Paga no portal V360)</t>
        </is>
      </c>
    </row>
    <row r="95">
      <c r="A95" s="78" t="inlineStr">
        <is>
          <t>UNP Zona Norte (Natal/RN)</t>
        </is>
      </c>
      <c r="B95" s="78" t="inlineStr">
        <is>
          <t>Refis — troca de julho/2026</t>
        </is>
      </c>
      <c r="C95" s="77" t="n">
        <v>46261</v>
      </c>
      <c r="D95" s="79" t="n">
        <v>870</v>
      </c>
      <c r="E95" s="112" t="inlineStr">
        <is>
          <t>Recebido</t>
        </is>
      </c>
      <c r="F95" s="112">
        <f>IF(OR($E95="Recebido",$C95=""),"",MAX(0,TODAY()-$C95))</f>
        <v/>
      </c>
      <c r="G95" s="78" t="inlineStr">
        <is>
          <t>Grupo Ânima — NF 000.004.282 · recebido em 30/08/2026 (Nota Paga no portal V360)</t>
        </is>
      </c>
    </row>
    <row r="96">
      <c r="A96" s="82" t="inlineStr">
        <is>
          <t>UNP Caicó (Caicó/RN)</t>
        </is>
      </c>
      <c r="B96" s="82" t="inlineStr">
        <is>
          <t>Refis — troca de julho/2026</t>
        </is>
      </c>
      <c r="C96" s="81" t="n">
        <v>46261</v>
      </c>
      <c r="D96" s="83" t="n">
        <v>440</v>
      </c>
      <c r="E96" s="113" t="inlineStr">
        <is>
          <t>Recebido</t>
        </is>
      </c>
      <c r="F96" s="113">
        <f>IF(OR($E96="Recebido",$C96=""),"",MAX(0,TODAY()-$C96))</f>
        <v/>
      </c>
      <c r="G96" s="82" t="inlineStr">
        <is>
          <t>Grupo Ânima — NF 000.004.283 · recebido via Pix em 27/08/2026</t>
        </is>
      </c>
    </row>
    <row r="97">
      <c r="A97" s="78" t="inlineStr">
        <is>
          <t>AGES Irecê (Irecê/BA)</t>
        </is>
      </c>
      <c r="B97" s="78" t="inlineStr">
        <is>
          <t>Refis — troca de julho/2026</t>
        </is>
      </c>
      <c r="C97" s="77" t="n">
        <v>46269</v>
      </c>
      <c r="D97" s="79" t="n">
        <v>1338.6</v>
      </c>
      <c r="E97" s="112" t="inlineStr">
        <is>
          <t>Recebido</t>
        </is>
      </c>
      <c r="F97" s="112">
        <f>IF(OR($E97="Recebido",$C97=""),"",MAX(0,TODAY()-$C97))</f>
        <v/>
      </c>
      <c r="G97" s="78" t="inlineStr">
        <is>
          <t>Grupo Ânima — NF 000.004.294 · recebido via Pix em 04/09/2026.</t>
        </is>
      </c>
    </row>
    <row r="98">
      <c r="A98" s="82" t="inlineStr">
        <is>
          <t>CIS Irecê (Irecê/BA)</t>
        </is>
      </c>
      <c r="B98" s="82" t="inlineStr">
        <is>
          <t>Refis — troca de julho/2026</t>
        </is>
      </c>
      <c r="C98" s="81" t="n">
        <v>46269</v>
      </c>
      <c r="D98" s="83" t="n">
        <v>1358</v>
      </c>
      <c r="E98" s="113" t="inlineStr">
        <is>
          <t>Recebido</t>
        </is>
      </c>
      <c r="F98" s="113">
        <f>IF(OR($E98="Recebido",$C98=""),"",MAX(0,TODAY()-$C98))</f>
        <v/>
      </c>
      <c r="G98" s="82" t="inlineStr">
        <is>
          <t>Grupo Ânima — NF 000.004.295 · recebido via Pix em 04/09/2026.</t>
        </is>
      </c>
    </row>
    <row r="99">
      <c r="A99" s="78" t="inlineStr">
        <is>
          <t>AGES Senhor do Bonfim (S. do Bonfim/BA)</t>
        </is>
      </c>
      <c r="B99" s="78" t="inlineStr">
        <is>
          <t>Refis — troca de julho/2026</t>
        </is>
      </c>
      <c r="C99" s="77" t="n">
        <v>46270</v>
      </c>
      <c r="D99" s="79" t="n">
        <v>649.9</v>
      </c>
      <c r="E99" s="112" t="inlineStr">
        <is>
          <t>Recebido</t>
        </is>
      </c>
      <c r="F99" s="112">
        <f>IF(OR($E99="Recebido",$C99=""),"",MAX(0,TODAY()-$C99))</f>
        <v/>
      </c>
      <c r="G99" s="78" t="inlineStr">
        <is>
          <t>Grupo Ânima — NF 000.004.298 · recebido via Pix em 08/09/2026.</t>
        </is>
      </c>
    </row>
    <row r="100">
      <c r="A100" s="82" t="inlineStr">
        <is>
          <t>CIS Senhor do Bonfim (S. do Bonfim/BA)</t>
        </is>
      </c>
      <c r="B100" s="82" t="inlineStr">
        <is>
          <t>Refis — troca de julho/2026</t>
        </is>
      </c>
      <c r="C100" s="81" t="n">
        <v>46270</v>
      </c>
      <c r="D100" s="83" t="n">
        <v>562.6</v>
      </c>
      <c r="E100" s="113" t="inlineStr">
        <is>
          <t>Recebido</t>
        </is>
      </c>
      <c r="F100" s="113">
        <f>IF(OR($E100="Recebido",$C100=""),"",MAX(0,TODAY()-$C100))</f>
        <v/>
      </c>
      <c r="G100" s="82" t="inlineStr">
        <is>
          <t>Grupo Ânima — NF 000.004.299 · recebido via Pix em 08/09/2026.</t>
        </is>
      </c>
    </row>
    <row r="101">
      <c r="A101" s="78" t="inlineStr">
        <is>
          <t>AGES Paripiranga (Paripiranga/BA)</t>
        </is>
      </c>
      <c r="B101" s="78" t="inlineStr">
        <is>
          <t>Refis — troca de julho/2026</t>
        </is>
      </c>
      <c r="C101" s="77" t="n">
        <v>46270</v>
      </c>
      <c r="D101" s="79" t="n">
        <v>1086.4</v>
      </c>
      <c r="E101" s="112" t="inlineStr">
        <is>
          <t>Recebido</t>
        </is>
      </c>
      <c r="F101" s="112">
        <f>IF(OR($E101="Recebido",$C101=""),"",MAX(0,TODAY()-$C101))</f>
        <v/>
      </c>
      <c r="G101" s="78" t="inlineStr">
        <is>
          <t>Grupo Ânima — NF 000.004.300 · recebido via Pix em 08/09/2026.</t>
        </is>
      </c>
    </row>
    <row r="102">
      <c r="A102" s="82" t="inlineStr">
        <is>
          <t>Clínica Veterinária Paripiranga (Paripiranga/BA)</t>
        </is>
      </c>
      <c r="B102" s="82" t="inlineStr">
        <is>
          <t>Refis — troca de julho/2026</t>
        </is>
      </c>
      <c r="C102" s="81" t="n">
        <v>46270</v>
      </c>
      <c r="D102" s="83" t="n">
        <v>1265.85</v>
      </c>
      <c r="E102" s="113" t="inlineStr">
        <is>
          <t>Recebido</t>
        </is>
      </c>
      <c r="F102" s="113">
        <f>IF(OR($E102="Recebido",$C102=""),"",MAX(0,TODAY()-$C102))</f>
        <v/>
      </c>
      <c r="G102" s="82" t="inlineStr">
        <is>
          <t>Grupo Ânima — NF 000.004.301 · recebido via Pix em 08/09/2026.</t>
        </is>
      </c>
    </row>
    <row r="103">
      <c r="A103" s="78" t="inlineStr">
        <is>
          <t>UNP Mossoró (Mossoró/RN)</t>
        </is>
      </c>
      <c r="B103" s="78" t="inlineStr">
        <is>
          <t>Refis — troca de julho/2026</t>
        </is>
      </c>
      <c r="C103" s="77" t="n">
        <v>46270</v>
      </c>
      <c r="D103" s="79" t="n">
        <v>1867.25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Grupo Ânima — NF 000.004.302 · recebido via Pix em 08/09/2026.</t>
        </is>
      </c>
    </row>
    <row r="104">
      <c r="A104" s="82" t="inlineStr">
        <is>
          <t>CIS Jacobina (Jacobina/BA)</t>
        </is>
      </c>
      <c r="B104" s="82" t="inlineStr">
        <is>
          <t>Refis — troca de julho/2026</t>
        </is>
      </c>
      <c r="C104" s="81" t="n">
        <v>46290</v>
      </c>
      <c r="D104" s="83" t="n">
        <v>2095.2</v>
      </c>
      <c r="E104" s="113" t="inlineStr">
        <is>
          <t>Pendente</t>
        </is>
      </c>
      <c r="F104" s="113">
        <f>IF(OR($E104="Recebido",$C104=""),"",MAX(0,TODAY()-$C104))</f>
        <v/>
      </c>
      <c r="G104" s="82" t="inlineStr">
        <is>
          <t>Grupo Ânima — NF 000.004.333 de 26/08/2026 · OC AEMPPO00004452 · 30 dias</t>
        </is>
      </c>
    </row>
    <row r="105">
      <c r="A105" s="78" t="inlineStr">
        <is>
          <t>AGES Jacobina (Jacobina/BA)</t>
        </is>
      </c>
      <c r="B105" s="78" t="inlineStr">
        <is>
          <t>Refis — troca de julho/2026</t>
        </is>
      </c>
      <c r="C105" s="77" t="n">
        <v>46305</v>
      </c>
      <c r="D105" s="79" t="n">
        <v>1188.25</v>
      </c>
      <c r="E105" s="112" t="inlineStr">
        <is>
          <t>Pendente</t>
        </is>
      </c>
      <c r="F105" s="112">
        <f>IF(OR($E105="Recebido",$C105=""),"",MAX(0,TODAY()-$C105))</f>
        <v/>
      </c>
      <c r="G105" s="78" t="inlineStr">
        <is>
          <t>Grupo Ânima — NF 000.004.332 de 26/08/2026 · OC AEMPPO00004453 · 45 dias</t>
        </is>
      </c>
    </row>
    <row r="106">
      <c r="A106" s="82" t="inlineStr">
        <is>
          <t>Instituto Paulo Leão</t>
        </is>
      </c>
      <c r="B106" s="82" t="inlineStr">
        <is>
          <t>Refil E3 + Pré Filtro</t>
        </is>
      </c>
      <c r="C106" s="81" t="n">
        <v>46265</v>
      </c>
      <c r="D106" s="83" t="n">
        <v>160</v>
      </c>
      <c r="E106" s="113" t="inlineStr">
        <is>
          <t>Recebido</t>
        </is>
      </c>
      <c r="F106" s="113">
        <f>IF(OR($E106="Recebido",$C106=""),"",MAX(0,TODAY()-$C106))</f>
        <v/>
      </c>
      <c r="G106" s="82" t="inlineStr">
        <is>
          <t>Recebido via Pix em 08/09/2026 — lançado em "Set 2026".</t>
        </is>
      </c>
    </row>
    <row r="107">
      <c r="A107" s="78" t="inlineStr">
        <is>
          <t>Eletronic Segurança Eletronica</t>
        </is>
      </c>
      <c r="B107" s="78" t="inlineStr">
        <is>
          <t>Pré Filtro</t>
        </is>
      </c>
      <c r="C107" s="77" t="n">
        <v>46265</v>
      </c>
      <c r="D107" s="79" t="n">
        <v>60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Recebido via Pix em 03/09/2026.</t>
        </is>
      </c>
    </row>
    <row r="108">
      <c r="A108" s="82" t="inlineStr">
        <is>
          <t>Clube dos Mineiros</t>
        </is>
      </c>
      <c r="B108" s="82" t="inlineStr">
        <is>
          <t>Refil Pro Life</t>
        </is>
      </c>
      <c r="C108" s="81" t="n">
        <v>46265</v>
      </c>
      <c r="D108" s="83" t="n">
        <v>150</v>
      </c>
      <c r="E108" s="113" t="inlineStr">
        <is>
          <t>Recebido</t>
        </is>
      </c>
      <c r="F108" s="113">
        <f>IF(OR($E108="Recebido",$C108=""),"",MAX(0,TODAY()-$C108))</f>
        <v/>
      </c>
      <c r="G108" s="82" t="inlineStr">
        <is>
          <t>Recebido via Pix em 01/09/2026 (pagador: Sindicato dos Mineiros de Jacobina).</t>
        </is>
      </c>
    </row>
    <row r="109">
      <c r="A109" s="78" t="inlineStr">
        <is>
          <t>Armazem Cecilio Mota</t>
        </is>
      </c>
      <c r="B109" s="78" t="inlineStr">
        <is>
          <t>Refil Everest + Refil Carbon 9"</t>
        </is>
      </c>
      <c r="C109" s="77" t="n">
        <v>46266</v>
      </c>
      <c r="D109" s="79" t="n">
        <v>225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Recebido via Pix em 10/09/2026 — lançado em "Set 2026".</t>
        </is>
      </c>
    </row>
    <row r="110">
      <c r="A110" s="82" t="inlineStr">
        <is>
          <t>Clebson Dantas Da Silva</t>
        </is>
      </c>
      <c r="B110" s="82" t="inlineStr">
        <is>
          <t>Refil Everest</t>
        </is>
      </c>
      <c r="C110" s="81" t="n">
        <v>46266</v>
      </c>
      <c r="D110" s="83" t="n">
        <v>140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Recebido via Pix em 02/09/2026</t>
        </is>
      </c>
    </row>
    <row r="111">
      <c r="A111" s="82" t="inlineStr">
        <is>
          <t>Tesla Imagem Medicina Diagnostica Ltda</t>
        </is>
      </c>
      <c r="B111" s="82" t="inlineStr">
        <is>
          <t>3x Refil Everest + 2x Pré Filtro</t>
        </is>
      </c>
      <c r="C111" s="81" t="n">
        <v>46267</v>
      </c>
      <c r="D111" s="83" t="n">
        <v>540</v>
      </c>
      <c r="E111" s="113" t="inlineStr">
        <is>
          <t>Pendente</t>
        </is>
      </c>
      <c r="F111" s="113">
        <f>IF(OR($E111="Recebido",$C111=""),"",MAX(0,TODAY()-$C111))</f>
        <v/>
      </c>
      <c r="G111" s="82" t="inlineStr">
        <is>
          <t>Troca do dia 02/09/2026 — 1º Andar, Térreo e Copa</t>
        </is>
      </c>
    </row>
    <row r="112">
      <c r="A112" s="78" t="inlineStr">
        <is>
          <t>Cecilio Mota Junior</t>
        </is>
      </c>
      <c r="B112" s="78" t="inlineStr">
        <is>
          <t>Refil Everest</t>
        </is>
      </c>
      <c r="C112" s="77" t="n">
        <v>46267</v>
      </c>
      <c r="D112" s="79" t="n">
        <v>140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Recebido via Pix em 10/09/2026 — lançado em "Set 2026".</t>
        </is>
      </c>
    </row>
    <row r="113">
      <c r="A113" s="78" t="inlineStr">
        <is>
          <t>Tereza Cristina Aquino Martins - Luiz Augusto</t>
        </is>
      </c>
      <c r="B113" s="78" t="inlineStr">
        <is>
          <t>Refil Everest + Pré Filtro</t>
        </is>
      </c>
      <c r="C113" s="77" t="n">
        <v>46268</v>
      </c>
      <c r="D113" s="79" t="n">
        <v>200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Recebido via Pix em 04/09/2026.</t>
        </is>
      </c>
    </row>
    <row r="114">
      <c r="A114" s="78" t="inlineStr">
        <is>
          <t>Samille Fiscina Lima Lordello - Tiago (Cartório)</t>
        </is>
      </c>
      <c r="B114" s="78" t="inlineStr">
        <is>
          <t>Refil Pro Life</t>
        </is>
      </c>
      <c r="C114" s="77" t="n">
        <v>46269</v>
      </c>
      <c r="D114" s="79" t="n">
        <v>140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Recebido via Pix em 10/09/2026 — lançado em "Set 2026".</t>
        </is>
      </c>
    </row>
    <row r="115">
      <c r="A115" s="78" t="inlineStr">
        <is>
          <t>Bomboniere Doce Mania - Veronildo Basilio</t>
        </is>
      </c>
      <c r="B115" s="78" t="inlineStr">
        <is>
          <t>Refil Plissado + Refil BAG</t>
        </is>
      </c>
      <c r="C115" s="77" t="n">
        <v>46274</v>
      </c>
      <c r="D115" s="79" t="n">
        <v>150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Recebido em dinheiro em 16/09/2026 — lançado em "Set 2026".</t>
        </is>
      </c>
    </row>
    <row r="116">
      <c r="A116" s="78" t="inlineStr">
        <is>
          <t>Adriadne (Hotel Jovem Jota)</t>
        </is>
      </c>
      <c r="B116" s="78" t="inlineStr">
        <is>
          <t>Refil Everest</t>
        </is>
      </c>
      <c r="C116" s="77" t="n">
        <v>46275</v>
      </c>
      <c r="D116" s="79" t="n">
        <v>140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Recebido via Pix em 11/09/2026 — lançado em "Set 2026".</t>
        </is>
      </c>
    </row>
    <row r="117">
      <c r="A117" s="78" t="inlineStr">
        <is>
          <t>Pousada Triunfo Ltda (Hotel Triunfo)</t>
        </is>
      </c>
      <c r="B117" s="78" t="inlineStr">
        <is>
          <t>Refil Everest + Pré Filtro</t>
        </is>
      </c>
      <c r="C117" s="77" t="n">
        <v>46275</v>
      </c>
      <c r="D117" s="79" t="n">
        <v>200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Recebido via Pix em 11/09/2026 — lançado em "Set 2026".</t>
        </is>
      </c>
    </row>
    <row r="118">
      <c r="A118" s="78" t="inlineStr">
        <is>
          <t>Topvel Tropical Veiculos e Pecas</t>
        </is>
      </c>
      <c r="B118" s="78" t="inlineStr">
        <is>
          <t>2x Refil Everest + 2x Pré Filtro</t>
        </is>
      </c>
      <c r="C118" s="77" t="n">
        <v>46276</v>
      </c>
      <c r="D118" s="79" t="n">
        <v>370</v>
      </c>
      <c r="E118" s="112" t="inlineStr">
        <is>
          <t>Pendente</t>
        </is>
      </c>
      <c r="F118" s="112">
        <f>IF(OR($E118="Recebido",$C118=""),"",MAX(0,TODAY()-$C118))</f>
        <v/>
      </c>
      <c r="G118" s="78" t="inlineStr">
        <is>
          <t>Troca do dia 11/09/2026 — dois purificadores.</t>
        </is>
      </c>
    </row>
    <row r="119">
      <c r="A119" s="78" t="inlineStr">
        <is>
          <t>J Diesel Motores e Reparos - Gilmara</t>
        </is>
      </c>
      <c r="B119" s="78" t="inlineStr">
        <is>
          <t>Refil Everest</t>
        </is>
      </c>
      <c r="C119" s="77" t="n">
        <v>46276</v>
      </c>
      <c r="D119" s="79" t="n">
        <v>140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Troca do dia 11/09/2026.</t>
        </is>
      </c>
    </row>
    <row r="120">
      <c r="A120" s="78" t="inlineStr">
        <is>
          <t>IOB</t>
        </is>
      </c>
      <c r="B120" s="78" t="inlineStr">
        <is>
          <t>Refil Everest + Pré Filtro</t>
        </is>
      </c>
      <c r="C120" s="77" t="n">
        <v>46279</v>
      </c>
      <c r="D120" s="79" t="n">
        <v>200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Troca do dia 14/09/2026.</t>
        </is>
      </c>
    </row>
    <row r="121">
      <c r="A121" s="78" t="inlineStr">
        <is>
          <t>Clínica Santa Cecília</t>
        </is>
      </c>
      <c r="B121" s="78" t="inlineStr">
        <is>
          <t>Refil Everest + Termostato</t>
        </is>
      </c>
      <c r="C121" s="77" t="n">
        <v>46281</v>
      </c>
      <c r="D121" s="79" t="n">
        <v>310</v>
      </c>
      <c r="E121" s="112" t="inlineStr">
        <is>
          <t>Pendente</t>
        </is>
      </c>
      <c r="F121" s="112">
        <f>IF(OR($E121="Recebido",$C121=""),"",MAX(0,TODAY()-$C121))</f>
        <v/>
      </c>
      <c r="G121" s="78" t="inlineStr">
        <is>
          <t>Troca do dia 16/09/2026 — refil + troca de termostato.</t>
        </is>
      </c>
    </row>
    <row r="122">
      <c r="A122" s="78" t="inlineStr">
        <is>
          <t>Marilda Macedo / José Luciano Costa</t>
        </is>
      </c>
      <c r="B122" s="78" t="inlineStr">
        <is>
          <t>Refil Everest + Pré Filtro</t>
        </is>
      </c>
      <c r="C122" s="77" t="n">
        <v>46283</v>
      </c>
      <c r="D122" s="79" t="n">
        <v>200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Recebido via Pix em 19/09/2026 — lançado em "Set 2026".</t>
        </is>
      </c>
    </row>
    <row r="123">
      <c r="A123" s="78" t="inlineStr">
        <is>
          <t>Tatiana Rocha</t>
        </is>
      </c>
      <c r="B123" s="78" t="inlineStr">
        <is>
          <t>Refil Everest</t>
        </is>
      </c>
      <c r="C123" s="77" t="n">
        <v>46286</v>
      </c>
      <c r="D123" s="79" t="n">
        <v>140</v>
      </c>
      <c r="E123" s="112" t="inlineStr">
        <is>
          <t>Pendente</t>
        </is>
      </c>
      <c r="F123" s="112">
        <f>IF(OR($E123="Recebido",$C123=""),"",MAX(0,TODAY()-$C123))</f>
        <v/>
      </c>
      <c r="G123" s="78" t="inlineStr">
        <is>
          <t>Troca do dia 21/09/2026.</t>
        </is>
      </c>
    </row>
    <row r="124">
      <c r="A124" s="78" t="inlineStr">
        <is>
          <t>Cleone Gomes de Andrade</t>
        </is>
      </c>
      <c r="B124" s="78" t="inlineStr">
        <is>
          <t>Refil Everest</t>
        </is>
      </c>
      <c r="C124" s="77" t="n">
        <v>46286</v>
      </c>
      <c r="D124" s="79" t="n">
        <v>140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Troca do dia 21/09/2026. Recebido via Pix em 21/09/2026.</t>
        </is>
      </c>
    </row>
    <row r="125">
      <c r="A125" s="86" t="inlineStr">
        <is>
          <t>TOTAL EM ABERTO A RECEBER (detalhe)</t>
        </is>
      </c>
      <c r="D125" s="115">
        <f>SUMIF(E83:E124,"Pendente",D83:D124)</f>
        <v/>
      </c>
    </row>
    <row r="126">
      <c r="A126" s="202" t="inlineStr">
        <is>
          <t>CONFERÊNCIA COM AS ABAS DOS MESES</t>
        </is>
      </c>
      <c r="B126" s="159" t="n"/>
      <c r="C126" s="159" t="n"/>
      <c r="D126" s="159" t="n"/>
      <c r="E126" s="159" t="n"/>
      <c r="F126" s="159" t="n"/>
      <c r="G126" s="160" t="n"/>
    </row>
    <row r="127">
      <c r="A127" s="203">
        <f>IF(ROUND(D125-C5,2)=0,"OK — o detalhe acima bate com as vendas marcadas como Aguardando Pagamento nas abas dos meses.","ATENÇÃO: diferença de R$ "&amp;TEXT(ABS(D125-C5),"#,##0.00")&amp;" entre este detalhe e as abas dos meses — alguma venda mudou de status em um lado só.")</f>
        <v/>
      </c>
    </row>
    <row r="128">
      <c r="A128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80:G80"/>
    <mergeCell ref="A1:G1"/>
    <mergeCell ref="A127:G127"/>
    <mergeCell ref="A126:G126"/>
    <mergeCell ref="A9:G9"/>
    <mergeCell ref="C5:D6"/>
    <mergeCell ref="A5:B6"/>
    <mergeCell ref="A2:G2"/>
    <mergeCell ref="E5:F6"/>
    <mergeCell ref="A81:G81"/>
    <mergeCell ref="C4:D4"/>
  </mergeCells>
  <dataValidations count="2">
    <dataValidation sqref="E11:E74" showDropDown="0" showInputMessage="0" showErrorMessage="0" allowBlank="1" type="list">
      <formula1>"Pendente,Pago,Previsto"</formula1>
    </dataValidation>
    <dataValidation sqref="E83:E124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164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Simplificado'!O9</f>
        <v/>
      </c>
    </row>
    <row r="7">
      <c r="A7" s="52" t="inlineStr">
        <is>
          <t>Margem de contribuição média (R$)</t>
        </is>
      </c>
      <c r="B7" s="55">
        <f>'DRE Simplificado'!O10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Simplificado'!O22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Simplificado'!O23</f>
        <v/>
      </c>
    </row>
    <row r="13">
      <c r="A13" s="130" t="inlineStr">
        <is>
          <t>Ticket médio da loja (preencha)</t>
        </is>
      </c>
      <c r="B13" s="65" t="n">
        <v>140</v>
      </c>
      <c r="C13" s="131" t="inlineStr">
        <is>
          <t>← valor médio de uma venda. Serve para converter R$ em nº de vendas.</t>
        </is>
      </c>
    </row>
    <row r="15" ht="15.75" customHeight="1" s="157">
      <c r="A15" s="66" t="inlineStr">
        <is>
          <t>QUANTO PRECISO VENDER PARA...</t>
        </is>
      </c>
    </row>
    <row r="16" ht="30" customHeight="1" s="157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Simplificado'!O9+'DRE Simplificado'!O22)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Simplificado'!O9+'DRE Simplificado'!O22)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Simplificado'!O9+'DRE Simplificado'!O22)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Simplificado'!O9+'DRE Simplificado'!O22)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Simplificado'!O22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85" zoomScaleNormal="85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29">
        <f>D133</f>
        <v/>
      </c>
      <c r="N5" s="231">
        <f>J18</f>
        <v/>
      </c>
      <c r="P5" s="230">
        <f>D134</f>
        <v/>
      </c>
    </row>
    <row r="6" ht="14.1" customHeight="1" s="157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H6" s="23" t="inlineStr">
        <is>
          <t>CLI-0653</t>
        </is>
      </c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H7" s="18" t="inlineStr">
        <is>
          <t>CLI-0652</t>
        </is>
      </c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H10" s="23" t="inlineStr">
        <is>
          <t>EMP-0261</t>
        </is>
      </c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H11" s="18" t="inlineStr">
        <is>
          <t>CLI-0655</t>
        </is>
      </c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H18" s="23" t="inlineStr">
        <is>
          <t>EMP-0188</t>
        </is>
      </c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  <c r="H19" s="18" t="inlineStr">
        <is>
          <t>EMP-0201</t>
        </is>
      </c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  <c r="H21" s="18" t="inlineStr">
        <is>
          <t>EMP-0201</t>
        </is>
      </c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  <c r="H22" s="23" t="inlineStr">
        <is>
          <t>EMP-0194</t>
        </is>
      </c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  <c r="H24" s="23" t="inlineStr">
        <is>
          <t>CLI-0656</t>
        </is>
      </c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  <c r="H25" s="18" t="inlineStr">
        <is>
          <t>EMP-0035</t>
        </is>
      </c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  <c r="H26" s="23" t="inlineStr">
        <is>
          <t>EMP-0100</t>
        </is>
      </c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  <c r="H61" s="18" t="inlineStr">
        <is>
          <t>CLI-0662</t>
        </is>
      </c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  <c r="H62" s="23" t="inlineStr">
        <is>
          <t>CLI-0651</t>
        </is>
      </c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  <c r="H63" s="18" t="inlineStr">
        <is>
          <t>CLI-0661</t>
        </is>
      </c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  <c r="H65" s="18" t="inlineStr">
        <is>
          <t>EMP-0077</t>
        </is>
      </c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  <c r="H68" s="23" t="inlineStr">
        <is>
          <t>EMP-0244</t>
        </is>
      </c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  <c r="H78" s="23" t="inlineStr">
        <is>
          <t>CLI-0676</t>
        </is>
      </c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  <c r="H81" s="18" t="inlineStr">
        <is>
          <t>CLI-0665</t>
        </is>
      </c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  <c r="H86" s="23" t="inlineStr">
        <is>
          <t>CLI-0669</t>
        </is>
      </c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  <c r="H87" s="18" t="inlineStr">
        <is>
          <t>EMP-0316</t>
        </is>
      </c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  <c r="H96" s="23" t="inlineStr">
        <is>
          <t>CLI-0668</t>
        </is>
      </c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  <c r="H98" s="23" t="inlineStr">
        <is>
          <t>EMP-0030</t>
        </is>
      </c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  <c r="H99" s="18" t="inlineStr">
        <is>
          <t>EMP-0306</t>
        </is>
      </c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  <c r="H103" s="18" t="inlineStr">
        <is>
          <t>EMP-0220</t>
        </is>
      </c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  <c r="H108" s="23" t="inlineStr">
        <is>
          <t>EMP-0055</t>
        </is>
      </c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  <c r="H111" s="18" t="inlineStr">
        <is>
          <t>EMP-0184</t>
        </is>
      </c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  <c r="H123" s="18" t="inlineStr">
        <is>
          <t>CLI-0696</t>
        </is>
      </c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  <c r="H124" s="23" t="inlineStr">
        <is>
          <t>EMP-0138</t>
        </is>
      </c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  <c r="H125" s="18" t="inlineStr">
        <is>
          <t>EMP-0296</t>
        </is>
      </c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  <c r="H127" s="18" t="inlineStr">
        <is>
          <t>EMP-0034</t>
        </is>
      </c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  <c r="H128" s="23" t="inlineStr">
        <is>
          <t>ESC-0016</t>
        </is>
      </c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  <c r="H130" s="23" t="inlineStr">
        <is>
          <t>CLI-0597</t>
        </is>
      </c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7" t="inlineStr">
        <is>
          <t>TOTAL DO MÊS</t>
        </is>
      </c>
      <c r="C133" s="160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7">
      <c r="A134" s="30" t="n"/>
      <c r="B134" s="226" t="inlineStr">
        <is>
          <t>SALDO DO MÊS (Entradas − Despesas da loja)</t>
        </is>
      </c>
      <c r="D134" s="225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29">
        <f>D146</f>
        <v/>
      </c>
      <c r="N5" s="231">
        <f>J18</f>
        <v/>
      </c>
      <c r="P5" s="230">
        <f>D147</f>
        <v/>
      </c>
    </row>
    <row r="6" ht="14.1" customHeight="1" s="157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H6" s="23" t="inlineStr">
        <is>
          <t>CLI-0644</t>
        </is>
      </c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H8" s="23" t="inlineStr">
        <is>
          <t>CLI-0687</t>
        </is>
      </c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H9" s="18" t="inlineStr">
        <is>
          <t>CLI-0686</t>
        </is>
      </c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H10" s="23" t="inlineStr">
        <is>
          <t>EMP-0147</t>
        </is>
      </c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H12" s="23" t="inlineStr">
        <is>
          <t>EMP-0051</t>
        </is>
      </c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  <c r="H19" s="18" t="inlineStr">
        <is>
          <t>CLI-0681</t>
        </is>
      </c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  <c r="H22" s="23" t="inlineStr">
        <is>
          <t>CLI-0361</t>
        </is>
      </c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  <c r="H24" s="23" t="inlineStr">
        <is>
          <t>ESC-0017</t>
        </is>
      </c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  <c r="H27" s="18" t="inlineStr">
        <is>
          <t>CLI-0691</t>
        </is>
      </c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  <c r="H43" s="18" t="inlineStr">
        <is>
          <t>EMP-0270</t>
        </is>
      </c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  <c r="H44" s="23" t="inlineStr">
        <is>
          <t>CLI-0643</t>
        </is>
      </c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  <c r="H45" s="18" t="inlineStr">
        <is>
          <t>EMP-0176</t>
        </is>
      </c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  <c r="H48" s="23" t="inlineStr">
        <is>
          <t>CLI-0696</t>
        </is>
      </c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  <c r="H50" s="23" t="inlineStr">
        <is>
          <t>EMP-0305</t>
        </is>
      </c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  <c r="H52" s="23" t="inlineStr">
        <is>
          <t>CLI-0697</t>
        </is>
      </c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  <c r="H53" s="18" t="inlineStr">
        <is>
          <t>CLI-0316</t>
        </is>
      </c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  <c r="H55" s="18" t="inlineStr">
        <is>
          <t>CLI-0700</t>
        </is>
      </c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  <c r="H57" s="18" t="inlineStr">
        <is>
          <t>CLI-0701</t>
        </is>
      </c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  <c r="H65" s="18" t="inlineStr">
        <is>
          <t>CLI-0704</t>
        </is>
      </c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  <c r="H66" s="23" t="inlineStr">
        <is>
          <t>EMP-0216</t>
        </is>
      </c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  <c r="H67" s="18" t="inlineStr">
        <is>
          <t>CLI-0679</t>
        </is>
      </c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  <c r="H68" s="23" t="inlineStr">
        <is>
          <t>EMP-0243</t>
        </is>
      </c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  <c r="H69" s="18" t="inlineStr">
        <is>
          <t>CLI-0702</t>
        </is>
      </c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  <c r="H74" s="23" t="inlineStr">
        <is>
          <t>CLI-0706</t>
        </is>
      </c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  <c r="H76" s="23" t="inlineStr">
        <is>
          <t>CLI-0702</t>
        </is>
      </c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  <c r="H79" s="18" t="inlineStr">
        <is>
          <t>CLI-0711</t>
        </is>
      </c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  <c r="H81" s="18" t="inlineStr">
        <is>
          <t>EMP-0255</t>
        </is>
      </c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  <c r="H83" s="18" t="inlineStr">
        <is>
          <t>CLI-0715</t>
        </is>
      </c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  <c r="H84" s="23" t="inlineStr">
        <is>
          <t>CLI-0713</t>
        </is>
      </c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  <c r="H86" s="23" t="inlineStr">
        <is>
          <t>CLI-0335</t>
        </is>
      </c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  <c r="H87" s="18" t="inlineStr">
        <is>
          <t>EMP-0044</t>
        </is>
      </c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  <c r="H88" s="23" t="inlineStr">
        <is>
          <t>EMP-0018</t>
        </is>
      </c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  <c r="H89" s="18" t="inlineStr">
        <is>
          <t>CLI-0716</t>
        </is>
      </c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  <c r="H95" s="18" t="inlineStr">
        <is>
          <t>EMP-0289</t>
        </is>
      </c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  <c r="H96" s="23" t="inlineStr">
        <is>
          <t>CLI-0717</t>
        </is>
      </c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  <c r="H101" s="18" t="inlineStr">
        <is>
          <t>CLI-0720</t>
        </is>
      </c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  <c r="H112" s="23" t="inlineStr">
        <is>
          <t>CLI-0723</t>
        </is>
      </c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  <c r="H119" s="18" t="inlineStr">
        <is>
          <t>CLI-0726</t>
        </is>
      </c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  <c r="H120" s="23" t="inlineStr">
        <is>
          <t>CLI-0727</t>
        </is>
      </c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  <c r="H121" s="18" t="inlineStr">
        <is>
          <t>CLI-0728</t>
        </is>
      </c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  <c r="H123" s="18" t="inlineStr">
        <is>
          <t>CLI-0729</t>
        </is>
      </c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  <c r="H124" s="23" t="inlineStr">
        <is>
          <t>CLI-0730</t>
        </is>
      </c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  <c r="H125" s="18" t="inlineStr">
        <is>
          <t>CLI-0727</t>
        </is>
      </c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  <c r="H128" s="23" t="inlineStr">
        <is>
          <t>EMP-0287</t>
        </is>
      </c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  <c r="H132" s="23" t="inlineStr">
        <is>
          <t>CLI-0733</t>
        </is>
      </c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  <c r="H133" s="18" t="inlineStr">
        <is>
          <t>CLI-0734</t>
        </is>
      </c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  <c r="H134" s="23" t="inlineStr">
        <is>
          <t>EMP-0274</t>
        </is>
      </c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  <c r="H141" s="18" t="inlineStr">
        <is>
          <t>EMP-0125</t>
        </is>
      </c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7" t="inlineStr">
        <is>
          <t>TOTAL DO MÊS</t>
        </is>
      </c>
      <c r="C146" s="160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7">
      <c r="A147" s="30" t="n"/>
      <c r="B147" s="226" t="inlineStr">
        <is>
          <t>SALDO DO MÊS (Entradas − Despesas da loja)</t>
        </is>
      </c>
      <c r="D147" s="225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29">
        <f>D122</f>
        <v/>
      </c>
      <c r="N5" s="231">
        <f>J18</f>
        <v/>
      </c>
      <c r="P5" s="230">
        <f>D123</f>
        <v/>
      </c>
    </row>
    <row r="6" ht="14.1" customHeight="1" s="157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H8" s="23" t="inlineStr">
        <is>
          <t>CLI-0494</t>
        </is>
      </c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H9" s="18" t="inlineStr">
        <is>
          <t>CLI-0740</t>
        </is>
      </c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H12" s="23" t="inlineStr">
        <is>
          <t>CLI-0737</t>
        </is>
      </c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H14" s="23" t="inlineStr">
        <is>
          <t>EMP-0220</t>
        </is>
      </c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H15" s="18" t="inlineStr">
        <is>
          <t>EMP-0057</t>
        </is>
      </c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H17" s="18" t="inlineStr">
        <is>
          <t>CLI-0742</t>
        </is>
      </c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H18" s="23" t="inlineStr">
        <is>
          <t>CLI-0507</t>
        </is>
      </c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  <c r="H19" s="18" t="inlineStr">
        <is>
          <t>CLI-0741</t>
        </is>
      </c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  <c r="H20" s="23" t="inlineStr">
        <is>
          <t>CLI-0747</t>
        </is>
      </c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  <c r="H21" s="18" t="inlineStr">
        <is>
          <t>EMP-0039</t>
        </is>
      </c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  <c r="H22" s="23" t="inlineStr">
        <is>
          <t>CLI-0746</t>
        </is>
      </c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  <c r="H26" s="23" t="inlineStr">
        <is>
          <t>EMP-0276</t>
        </is>
      </c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  <c r="H27" s="18" t="inlineStr">
        <is>
          <t>EMP-0125</t>
        </is>
      </c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  <c r="H30" s="23" t="inlineStr">
        <is>
          <t>EMP-0061</t>
        </is>
      </c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  <c r="H31" s="18" t="inlineStr">
        <is>
          <t>EMP-0116</t>
        </is>
      </c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  <c r="H32" s="23" t="inlineStr">
        <is>
          <t>EMP-0134</t>
        </is>
      </c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  <c r="H33" s="18" t="inlineStr">
        <is>
          <t>CLI-0752</t>
        </is>
      </c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  <c r="H45" s="18" t="inlineStr">
        <is>
          <t>EMP-0043</t>
        </is>
      </c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  <c r="H46" s="23" t="inlineStr">
        <is>
          <t>CLI-0755</t>
        </is>
      </c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  <c r="H47" s="18" t="inlineStr">
        <is>
          <t>EMP-0261</t>
        </is>
      </c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  <c r="H48" s="23" t="inlineStr">
        <is>
          <t>EMP-0261</t>
        </is>
      </c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  <c r="H51" s="18" t="inlineStr">
        <is>
          <t>CLI-0756</t>
        </is>
      </c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  <c r="H52" s="23" t="inlineStr">
        <is>
          <t>EMP-0272</t>
        </is>
      </c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  <c r="H55" s="18" t="inlineStr">
        <is>
          <t>OUT-0066</t>
        </is>
      </c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  <c r="H58" s="23" t="inlineStr">
        <is>
          <t>EMP-0144</t>
        </is>
      </c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  <c r="H59" s="18" t="inlineStr">
        <is>
          <t>CLI-0758</t>
        </is>
      </c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  <c r="H68" s="23" t="inlineStr">
        <is>
          <t>EMP-0020</t>
        </is>
      </c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  <c r="H72" s="23" t="inlineStr">
        <is>
          <t>CLI-0763</t>
        </is>
      </c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  <c r="H73" s="18" t="inlineStr">
        <is>
          <t>CLI-0765</t>
        </is>
      </c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  <c r="H81" s="18" t="inlineStr">
        <is>
          <t>OUT-0061</t>
        </is>
      </c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  <c r="H82" s="23" t="inlineStr">
        <is>
          <t>EMP-0055</t>
        </is>
      </c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  <c r="H85" s="18" t="inlineStr">
        <is>
          <t>OUT-0011</t>
        </is>
      </c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  <c r="H88" s="23" t="inlineStr">
        <is>
          <t>EMP-0063</t>
        </is>
      </c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  <c r="H89" s="18" t="inlineStr">
        <is>
          <t>EMP-0221</t>
        </is>
      </c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  <c r="H92" s="23" t="inlineStr">
        <is>
          <t>CLI-0520</t>
        </is>
      </c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  <c r="H93" s="18" t="inlineStr">
        <is>
          <t>EMP-0067</t>
        </is>
      </c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  <c r="H96" s="23" t="inlineStr">
        <is>
          <t>ESC-0005</t>
        </is>
      </c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  <c r="H106" s="23" t="inlineStr">
        <is>
          <t>CLI-0508</t>
        </is>
      </c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  <c r="H107" s="18" t="inlineStr">
        <is>
          <t>CLI-0769</t>
        </is>
      </c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  <c r="H109" s="18" t="inlineStr">
        <is>
          <t>EMP-0055</t>
        </is>
      </c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  <c r="H111" s="18" t="inlineStr">
        <is>
          <t>CLI-0768</t>
        </is>
      </c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7" t="inlineStr">
        <is>
          <t>TOTAL DO MÊS</t>
        </is>
      </c>
      <c r="C122" s="160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7">
      <c r="A123" s="30" t="n"/>
      <c r="B123" s="226" t="inlineStr">
        <is>
          <t>SALDO DO MÊS (Entradas − Despesas da loja)</t>
        </is>
      </c>
      <c r="D123" s="225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29">
        <f>D124</f>
        <v/>
      </c>
      <c r="N5" s="231">
        <f>J18</f>
        <v/>
      </c>
      <c r="P5" s="230">
        <f>D125</f>
        <v/>
      </c>
    </row>
    <row r="6" ht="14.1" customHeight="1" s="157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H6" s="23" t="inlineStr">
        <is>
          <t>CLI-0696</t>
        </is>
      </c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H8" s="23" t="inlineStr">
        <is>
          <t>CLI-0754</t>
        </is>
      </c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H12" s="23" t="inlineStr">
        <is>
          <t>EMP-0067</t>
        </is>
      </c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H15" s="18" t="inlineStr">
        <is>
          <t>CLI-0774</t>
        </is>
      </c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H16" s="23" t="inlineStr">
        <is>
          <t>CLI-0776</t>
        </is>
      </c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H17" s="18" t="inlineStr">
        <is>
          <t>EMP-0040</t>
        </is>
      </c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H18" s="23" t="inlineStr">
        <is>
          <t>CLI-0778</t>
        </is>
      </c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  <c r="H21" s="18" t="inlineStr">
        <is>
          <t>CLI-0777</t>
        </is>
      </c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  <c r="H22" s="23" t="inlineStr">
        <is>
          <t>CLI-0779</t>
        </is>
      </c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  <c r="H23" s="18" t="inlineStr">
        <is>
          <t>EMP-0109</t>
        </is>
      </c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  <c r="H24" s="23" t="inlineStr">
        <is>
          <t>CLI-0780</t>
        </is>
      </c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  <c r="H25" s="18" t="inlineStr">
        <is>
          <t>EMP-0312</t>
        </is>
      </c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  <c r="H26" s="23" t="inlineStr">
        <is>
          <t>CLI-0297</t>
        </is>
      </c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  <c r="H27" s="18" t="inlineStr">
        <is>
          <t>CLI-0781</t>
        </is>
      </c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  <c r="H33" s="18" t="inlineStr">
        <is>
          <t>CLI-0782</t>
        </is>
      </c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  <c r="H35" s="18" t="inlineStr">
        <is>
          <t>CLI-0787</t>
        </is>
      </c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  <c r="H36" s="23" t="inlineStr">
        <is>
          <t>EMP-0136</t>
        </is>
      </c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  <c r="H44" s="23" t="inlineStr">
        <is>
          <t>EMP-0261</t>
        </is>
      </c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  <c r="H46" s="23" t="inlineStr">
        <is>
          <t>EMP-0101</t>
        </is>
      </c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  <c r="H47" s="18" t="inlineStr">
        <is>
          <t>CLI-0789</t>
        </is>
      </c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  <c r="H48" s="23" t="inlineStr">
        <is>
          <t>EMP-0273</t>
        </is>
      </c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  <c r="H50" s="23" t="inlineStr">
        <is>
          <t>CLI-0791</t>
        </is>
      </c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  <c r="H57" s="18" t="inlineStr">
        <is>
          <t>CLI-0793</t>
        </is>
      </c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  <c r="H58" s="23" t="inlineStr">
        <is>
          <t>EMP-0184</t>
        </is>
      </c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  <c r="H59" s="18" t="inlineStr">
        <is>
          <t>CLI-0791</t>
        </is>
      </c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  <c r="H63" s="18" t="inlineStr">
        <is>
          <t>CLI-0391</t>
        </is>
      </c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  <c r="H66" s="23" t="inlineStr">
        <is>
          <t>EMP-0296</t>
        </is>
      </c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  <c r="H67" s="18" t="inlineStr">
        <is>
          <t>CLI-0659</t>
        </is>
      </c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  <c r="H71" s="18" t="inlineStr">
        <is>
          <t>CLI-0795</t>
        </is>
      </c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  <c r="H81" s="18" t="inlineStr">
        <is>
          <t>EMP-0261</t>
        </is>
      </c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  <c r="H82" s="23" t="inlineStr">
        <is>
          <t>CLI-0798</t>
        </is>
      </c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  <c r="H86" s="23" t="inlineStr">
        <is>
          <t>EMP-0181</t>
        </is>
      </c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  <c r="H90" s="23" t="inlineStr">
        <is>
          <t>CLI-0796</t>
        </is>
      </c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  <c r="H91" s="18" t="inlineStr">
        <is>
          <t>OUT-0014</t>
        </is>
      </c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  <c r="H93" s="18" t="inlineStr">
        <is>
          <t>CLI-0799</t>
        </is>
      </c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  <c r="H94" s="23" t="inlineStr">
        <is>
          <t>CLI-0067</t>
        </is>
      </c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  <c r="H98" s="23" t="inlineStr">
        <is>
          <t>CLI-0802</t>
        </is>
      </c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  <c r="H104" s="23" t="inlineStr">
        <is>
          <t>EMP-0066</t>
        </is>
      </c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  <c r="H110" s="23" t="inlineStr">
        <is>
          <t>EMP-0258</t>
        </is>
      </c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  <c r="H111" s="18" t="inlineStr">
        <is>
          <t>CLI-0807</t>
        </is>
      </c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  <c r="H112" s="23" t="inlineStr">
        <is>
          <t>CLI-0804</t>
        </is>
      </c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  <c r="H115" s="18" t="inlineStr">
        <is>
          <t>CLI-0806</t>
        </is>
      </c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  <c r="H119" s="18" t="inlineStr">
        <is>
          <t>CLI-0570</t>
        </is>
      </c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  <c r="H120" s="23" t="inlineStr">
        <is>
          <t>CLI-0569</t>
        </is>
      </c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7" t="inlineStr">
        <is>
          <t>TOTAL DO MÊS</t>
        </is>
      </c>
      <c r="C124" s="160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7">
      <c r="A125" s="30" t="n"/>
      <c r="B125" s="226" t="inlineStr">
        <is>
          <t>SALDO DO MÊS (Entradas − Despesas da loja)</t>
        </is>
      </c>
      <c r="D125" s="225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29">
        <f>D123</f>
        <v/>
      </c>
      <c r="N5" s="231">
        <f>J18</f>
        <v/>
      </c>
      <c r="P5" s="230">
        <f>D124</f>
        <v/>
      </c>
    </row>
    <row r="6" ht="14.1" customHeight="1" s="157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H7" s="18" t="inlineStr">
        <is>
          <t>CLI-0802</t>
        </is>
      </c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H8" s="23" t="inlineStr">
        <is>
          <t>EMP-0220</t>
        </is>
      </c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H14" s="23" t="inlineStr">
        <is>
          <t>CLI-0810</t>
        </is>
      </c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H16" s="23" t="inlineStr">
        <is>
          <t>CLI-0812</t>
        </is>
      </c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  <c r="H37" s="18" t="inlineStr">
        <is>
          <t>CLI-0779</t>
        </is>
      </c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  <c r="H41" s="18" t="inlineStr">
        <is>
          <t>CLI-0817</t>
        </is>
      </c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  <c r="H45" s="18" t="inlineStr">
        <is>
          <t>CLI-0248</t>
        </is>
      </c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  <c r="H46" s="23" t="inlineStr">
        <is>
          <t>EMP-0216</t>
        </is>
      </c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  <c r="H49" s="18" t="inlineStr">
        <is>
          <t>CLI-0819</t>
        </is>
      </c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  <c r="H50" s="23" t="inlineStr">
        <is>
          <t>CLI-0814</t>
        </is>
      </c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  <c r="H55" s="18" t="inlineStr">
        <is>
          <t>CLI-0820</t>
        </is>
      </c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  <c r="H58" s="23" t="inlineStr">
        <is>
          <t>CLI-0821</t>
        </is>
      </c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  <c r="H66" s="23" t="inlineStr">
        <is>
          <t>EMP-0063</t>
        </is>
      </c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  <c r="H73" s="18" t="inlineStr">
        <is>
          <t>CLI-0677</t>
        </is>
      </c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  <c r="H74" s="23" t="inlineStr">
        <is>
          <t>CLI-0818</t>
        </is>
      </c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  <c r="H75" s="18" t="inlineStr">
        <is>
          <t>EMP-0316</t>
        </is>
      </c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  <c r="H80" s="23" t="inlineStr">
        <is>
          <t>EMP-0130</t>
        </is>
      </c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  <c r="H81" s="18" t="inlineStr">
        <is>
          <t>ESC-0012</t>
        </is>
      </c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  <c r="H85" s="18" t="inlineStr">
        <is>
          <t>CLI-0829</t>
        </is>
      </c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  <c r="H93" s="18" t="inlineStr">
        <is>
          <t>CLI-0830</t>
        </is>
      </c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  <c r="H97" s="18" t="inlineStr">
        <is>
          <t>EMP-0069</t>
        </is>
      </c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  <c r="H99" s="18" t="inlineStr">
        <is>
          <t>EMP-0052</t>
        </is>
      </c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  <c r="H100" s="23" t="inlineStr">
        <is>
          <t>EMP-0086</t>
        </is>
      </c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  <c r="H102" s="23" t="inlineStr">
        <is>
          <t>EMP-0182</t>
        </is>
      </c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  <c r="H107" s="18" t="inlineStr">
        <is>
          <t>EMP-0117</t>
        </is>
      </c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  <c r="H108" s="23" t="inlineStr">
        <is>
          <t>CLI-0836</t>
        </is>
      </c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  <c r="H119" s="18" t="inlineStr">
        <is>
          <t>EMP-0303</t>
        </is>
      </c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  <c r="H120" s="23" t="inlineStr">
        <is>
          <t>CLI-0837</t>
        </is>
      </c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7" t="inlineStr">
        <is>
          <t>TOTAL DO MÊS</t>
        </is>
      </c>
      <c r="C123" s="160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7">
      <c r="A124" s="30" t="n"/>
      <c r="B124" s="226" t="inlineStr">
        <is>
          <t>SALDO DO MÊS (Entradas − Despesas da loja)</t>
        </is>
      </c>
      <c r="D124" s="225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H5" s="18" t="inlineStr">
        <is>
          <t>CLI-0838</t>
        </is>
      </c>
      <c r="I5" s="10" t="inlineStr">
        <is>
          <t>Fornecedores / Mercadoria</t>
        </is>
      </c>
      <c r="J5" s="11">
        <f>SUMIF(F5:F115,I5,E5:E115)</f>
        <v/>
      </c>
      <c r="L5" s="229">
        <f>D116</f>
        <v/>
      </c>
      <c r="N5" s="231">
        <f>J18</f>
        <v/>
      </c>
      <c r="P5" s="230">
        <f>D117</f>
        <v/>
      </c>
    </row>
    <row r="6" ht="14.1" customHeight="1" s="157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H6" s="23" t="inlineStr">
        <is>
          <t>EMP-0005</t>
        </is>
      </c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H7" s="18" t="inlineStr">
        <is>
          <t>CLI-0839</t>
        </is>
      </c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H8" s="23" t="inlineStr">
        <is>
          <t>CLI-0741</t>
        </is>
      </c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H9" s="18" t="inlineStr">
        <is>
          <t>EMP-0207</t>
        </is>
      </c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H10" s="23" t="inlineStr">
        <is>
          <t>CLI-0840</t>
        </is>
      </c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H13" s="18" t="inlineStr">
        <is>
          <t>CLI-0848</t>
        </is>
      </c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H16" s="23" t="inlineStr">
        <is>
          <t>CLI-0842</t>
        </is>
      </c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H17" s="18" t="inlineStr">
        <is>
          <t>EMP-0030</t>
        </is>
      </c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  <c r="H29" s="18" t="inlineStr">
        <is>
          <t>CLI-0845</t>
        </is>
      </c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  <c r="H33" s="18" t="inlineStr">
        <is>
          <t>EMP-0278</t>
        </is>
      </c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  <c r="H35" s="18" t="inlineStr">
        <is>
          <t>EMP-0030</t>
        </is>
      </c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  <c r="H39" s="18" t="inlineStr">
        <is>
          <t>EMP-0113</t>
        </is>
      </c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  <c r="H40" s="23" t="inlineStr">
        <is>
          <t>EMP-0112</t>
        </is>
      </c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  <c r="H41" s="18" t="inlineStr">
        <is>
          <t>EMP-0002</t>
        </is>
      </c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  <c r="H42" s="23" t="inlineStr">
        <is>
          <t>EMP-0125</t>
        </is>
      </c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  <c r="H48" s="23" t="inlineStr">
        <is>
          <t>CLI-0850</t>
        </is>
      </c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  <c r="H52" s="23" t="inlineStr">
        <is>
          <t>CLI-0851</t>
        </is>
      </c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  <c r="H53" s="18" t="inlineStr">
        <is>
          <t>CLI-0627</t>
        </is>
      </c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  <c r="H54" s="23" t="inlineStr">
        <is>
          <t>CLI-0846</t>
        </is>
      </c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  <c r="H59" s="18" t="inlineStr">
        <is>
          <t>CLI-0463</t>
        </is>
      </c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  <c r="H64" s="23" t="inlineStr">
        <is>
          <t>EMP-0261</t>
        </is>
      </c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  <c r="H65" s="18" t="inlineStr">
        <is>
          <t>CLI-0853</t>
        </is>
      </c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  <c r="H67" s="18" t="inlineStr">
        <is>
          <t>CLI-0855</t>
        </is>
      </c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  <c r="H69" s="18" t="inlineStr">
        <is>
          <t>EMP-0192</t>
        </is>
      </c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  <c r="H70" s="23" t="inlineStr">
        <is>
          <t>OUT-0006</t>
        </is>
      </c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  <c r="H72" s="23" t="inlineStr">
        <is>
          <t>EMP-0063</t>
        </is>
      </c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  <c r="H77" s="18" t="inlineStr">
        <is>
          <t>ESC-0016</t>
        </is>
      </c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  <c r="H83" s="18" t="inlineStr">
        <is>
          <t>CLI-0858</t>
        </is>
      </c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  <c r="H90" s="23" t="inlineStr">
        <is>
          <t>EMP-0098</t>
        </is>
      </c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  <c r="H93" s="18" t="inlineStr">
        <is>
          <t>ESC-0020</t>
        </is>
      </c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  <c r="H94" s="23" t="inlineStr">
        <is>
          <t>CLI-0861</t>
        </is>
      </c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  <c r="H100" s="23" t="inlineStr">
        <is>
          <t>EMP-0095</t>
        </is>
      </c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  <c r="H109" s="18" t="inlineStr">
        <is>
          <t>EMP-0052</t>
        </is>
      </c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  <c r="H110" s="23" t="inlineStr">
        <is>
          <t>EMP-0003</t>
        </is>
      </c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7" t="inlineStr">
        <is>
          <t>TOTAL DO MÊS</t>
        </is>
      </c>
      <c r="C116" s="160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7">
      <c r="A117" s="30" t="n"/>
      <c r="B117" s="226" t="inlineStr">
        <is>
          <t>SALDO DO MÊS (Entradas − Despesas da loja)</t>
        </is>
      </c>
      <c r="D117" s="225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85" zoomScaleNormal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7" min="1" max="1"/>
    <col width="52" customWidth="1" style="157" min="2" max="2"/>
    <col width="32" customWidth="1" style="157" min="3" max="3"/>
    <col width="14" customWidth="1" style="157" min="4" max="5"/>
    <col width="26" customWidth="1" style="157" min="6" max="6"/>
    <col width="30" customWidth="1" style="157" min="7" max="7"/>
    <col width="11" customWidth="1" style="157" min="8" max="8"/>
    <col width="32" customWidth="1" style="157" min="9" max="9"/>
    <col width="14" customWidth="1" style="157" min="10" max="10"/>
    <col width="15" customWidth="1" style="157" min="12" max="17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e saídas detalhadas por lançamento (fonte: Livro Caixa)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2" t="inlineStr">
        <is>
          <t>Saídas por Categoria</t>
        </is>
      </c>
      <c r="L4" s="224" t="inlineStr">
        <is>
          <t>FATURAMENTO</t>
        </is>
      </c>
      <c r="N4" s="232" t="inlineStr">
        <is>
          <t>DESPESAS</t>
        </is>
      </c>
      <c r="P4" s="221" t="inlineStr">
        <is>
          <t>SALDO</t>
        </is>
      </c>
    </row>
    <row r="5" ht="14.1" customHeight="1" s="157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H5" s="18" t="inlineStr">
        <is>
          <t>CLI-0864</t>
        </is>
      </c>
      <c r="I5" s="10" t="inlineStr">
        <is>
          <t>Fornecedores / Mercadoria</t>
        </is>
      </c>
      <c r="J5" s="11">
        <f>SUMIF(F5:F110,I5,E5:E110)</f>
        <v/>
      </c>
      <c r="L5" s="229">
        <f>D111</f>
        <v/>
      </c>
      <c r="N5" s="231">
        <f>J18</f>
        <v/>
      </c>
      <c r="P5" s="230">
        <f>D112</f>
        <v/>
      </c>
    </row>
    <row r="6" ht="14.1" customHeight="1" s="157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H10" s="23" t="inlineStr">
        <is>
          <t>EMP-0105</t>
        </is>
      </c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H11" s="18" t="inlineStr">
        <is>
          <t>CLI-0865</t>
        </is>
      </c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H13" s="18" t="inlineStr">
        <is>
          <t>EMP-0169</t>
        </is>
      </c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  <c r="H22" s="23" t="inlineStr">
        <is>
          <t>EMP-0228</t>
        </is>
      </c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  <c r="H24" s="23" t="inlineStr">
        <is>
          <t>CLI-0877</t>
        </is>
      </c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  <c r="H25" s="18" t="inlineStr">
        <is>
          <t>CLI-0870</t>
        </is>
      </c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  <c r="H28" s="23" t="inlineStr">
        <is>
          <t>EMP-0079</t>
        </is>
      </c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  <c r="H29" s="18" t="inlineStr">
        <is>
          <t>EMP-0208</t>
        </is>
      </c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  <c r="H32" s="23" t="inlineStr">
        <is>
          <t>CLI-0871</t>
        </is>
      </c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  <c r="H34" s="23" t="inlineStr">
        <is>
          <t>EMP-0078</t>
        </is>
      </c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  <c r="H36" s="23" t="inlineStr">
        <is>
          <t>EMP-0241</t>
        </is>
      </c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  <c r="H44" s="23" t="inlineStr">
        <is>
          <t>CLI-0161</t>
        </is>
      </c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  <c r="H45" s="18" t="inlineStr">
        <is>
          <t>CLI-0873</t>
        </is>
      </c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  <c r="H48" s="23" t="inlineStr">
        <is>
          <t>CLI-0875</t>
        </is>
      </c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  <c r="H50" s="23" t="inlineStr">
        <is>
          <t>EMP-0160</t>
        </is>
      </c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  <c r="H53" s="18" t="inlineStr">
        <is>
          <t>CLI-0878</t>
        </is>
      </c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  <c r="H55" s="18" t="inlineStr">
        <is>
          <t>CLI-0879</t>
        </is>
      </c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  <c r="H58" s="23" t="inlineStr">
        <is>
          <t>EMP-0178</t>
        </is>
      </c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  <c r="H59" s="18" t="inlineStr">
        <is>
          <t>EMP-0178</t>
        </is>
      </c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  <c r="H62" s="23" t="inlineStr">
        <is>
          <t>EMP-0145</t>
        </is>
      </c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  <c r="H70" s="23" t="inlineStr">
        <is>
          <t>CLI-0881</t>
        </is>
      </c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  <c r="H75" s="18" t="inlineStr">
        <is>
          <t>OUT-0061</t>
        </is>
      </c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  <c r="H78" s="23" t="inlineStr">
        <is>
          <t>OUT-0061</t>
        </is>
      </c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  <c r="H83" s="18" t="inlineStr">
        <is>
          <t>CLI-0702</t>
        </is>
      </c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  <c r="H93" s="18" t="inlineStr">
        <is>
          <t>CLI-0026</t>
        </is>
      </c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  <c r="H94" s="23" t="inlineStr">
        <is>
          <t>EMP-0077</t>
        </is>
      </c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  <c r="H95" s="18" t="inlineStr">
        <is>
          <t>CLI-0036</t>
        </is>
      </c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  <c r="H98" s="23" t="inlineStr">
        <is>
          <t>CLI-0513</t>
        </is>
      </c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  <c r="H109" s="18" t="inlineStr">
        <is>
          <t>CLI-0435</t>
        </is>
      </c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7" t="inlineStr">
        <is>
          <t>TOTAL DO MÊS</t>
        </is>
      </c>
      <c r="C111" s="160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7">
      <c r="A112" s="30" t="n"/>
      <c r="B112" s="226" t="inlineStr">
        <is>
          <t>SALDO DO MÊS (Entradas − Despesas da loja)</t>
        </is>
      </c>
      <c r="D112" s="225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n"/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4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4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4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17" t="n">
        <v>46251</v>
      </c>
      <c r="B183" s="18" t="inlineStr">
        <is>
          <t>Cliente de Armando</t>
        </is>
      </c>
      <c r="C183" s="18" t="n"/>
      <c r="D183" s="134" t="n">
        <v>160</v>
      </c>
      <c r="E183" s="18" t="inlineStr">
        <is>
          <t>Crédito Parcelado</t>
        </is>
      </c>
      <c r="F183" s="19" t="n">
        <v>11.18</v>
      </c>
      <c r="G183" s="20" t="n"/>
      <c r="H183" s="21" t="n"/>
      <c r="I183" s="18" t="inlineStr">
        <is>
          <t>Crédito em 3x. Venda do relatório de prestação de contas do Armando (14/09/2026) — lançada em 21/09/2026.</t>
        </is>
      </c>
    </row>
    <row r="184" ht="15.75" customHeight="1" s="157">
      <c r="A184" s="44" t="n">
        <v>46252</v>
      </c>
      <c r="B184" s="45" t="inlineStr">
        <is>
          <t>Cliente de Armando</t>
        </is>
      </c>
      <c r="C184" s="45" t="n"/>
      <c r="D184" s="50" t="n">
        <v>200</v>
      </c>
      <c r="E184" s="45" t="inlineStr">
        <is>
          <t>Crédito Parcelado</t>
        </is>
      </c>
      <c r="F184" s="47" t="n">
        <v>13.98</v>
      </c>
      <c r="G184" s="47" t="n"/>
      <c r="H184" s="49" t="n"/>
      <c r="I184" s="45" t="inlineStr">
        <is>
          <t>Crédito em 2x. Venda do relatório de prestação de contas do Armando (14/09/2026) — lançada em 21/09/2026.</t>
        </is>
      </c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Aguardando Pagamento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46267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Aguardando Pagamento</t>
        </is>
      </c>
      <c r="F24" s="83" t="n"/>
      <c r="G24" s="83" t="n"/>
      <c r="H24" s="82" t="n"/>
      <c r="I24" s="82" t="n"/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02/09/2026.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03/09/2026.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46268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03/09/2026.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08/09/2026.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09/09/2026.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91607814.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91630932.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46281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Aguardando Pagamento</t>
        </is>
      </c>
      <c r="F116" s="83" t="n"/>
      <c r="G116" s="83" t="n"/>
      <c r="H116" s="82" t="n"/>
      <c r="I116" s="82" t="n"/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16/09/2026.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16/09/2026.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Nordeste.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Nordeste.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Pagar.me Instituição de Pagamento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Pro Labore Edilânia</t>
        </is>
      </c>
      <c r="I146" s="82" t="inlineStr">
        <is>
          <t>Extrato Stone — saída de 09/09/2026.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46275</v>
      </c>
      <c r="B149" s="78" t="inlineStr">
        <is>
          <t>Humberto Fernandes Costa</t>
        </is>
      </c>
      <c r="C149" s="78" t="n"/>
      <c r="D149" s="79" t="n"/>
      <c r="E149" s="78" t="n"/>
      <c r="F149" s="79" t="n"/>
      <c r="G149" s="79" t="n">
        <v>964</v>
      </c>
      <c r="H149" s="78" t="inlineStr">
        <is>
          <t>Pro Labore Edilânia</t>
        </is>
      </c>
      <c r="I149" s="78" t="inlineStr">
        <is>
          <t>Extrato Stone — saída de 10/09/2026.</t>
        </is>
      </c>
      <c r="J149" s="78" t="n"/>
    </row>
    <row r="150">
      <c r="A150" s="81" t="n">
        <v>46279</v>
      </c>
      <c r="B150" s="82" t="inlineStr">
        <is>
          <t>Sinesio Moura da Silva</t>
        </is>
      </c>
      <c r="C150" s="82" t="n"/>
      <c r="D150" s="83" t="n"/>
      <c r="E150" s="82" t="n"/>
      <c r="F150" s="83" t="n"/>
      <c r="G150" s="83" t="n">
        <v>100</v>
      </c>
      <c r="H150" s="82" t="inlineStr">
        <is>
          <t>Pro Labore Edilânia</t>
        </is>
      </c>
      <c r="I150" s="82" t="inlineStr">
        <is>
          <t>Extrato Stone — saída de 14/09/2026.</t>
        </is>
      </c>
    </row>
    <row r="151">
      <c r="A151" s="77" t="n">
        <v>46280</v>
      </c>
      <c r="B151" s="78" t="inlineStr">
        <is>
          <t>Eziquiel Soares da Cruz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Lojão JB Mega 25</t>
        </is>
      </c>
      <c r="C152" s="82" t="n"/>
      <c r="D152" s="83" t="n"/>
      <c r="E152" s="82" t="n"/>
      <c r="F152" s="83" t="n"/>
      <c r="G152" s="83" t="n">
        <v>50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Rivael Sousa Santos</t>
        </is>
      </c>
      <c r="C153" s="78" t="n"/>
      <c r="D153" s="79" t="n"/>
      <c r="E153" s="78" t="n"/>
      <c r="F153" s="79" t="n"/>
      <c r="G153" s="79" t="n">
        <v>48.8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Thiago de Jesus Nascimento</t>
        </is>
      </c>
      <c r="C154" s="82" t="n"/>
      <c r="D154" s="83" t="n"/>
      <c r="E154" s="82" t="n"/>
      <c r="F154" s="83" t="n"/>
      <c r="G154" s="83" t="n">
        <v>28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46280</v>
      </c>
      <c r="B155" s="78" t="inlineStr">
        <is>
          <t>Luciana Cruz Freire Santos</t>
        </is>
      </c>
      <c r="C155" s="78" t="n"/>
      <c r="D155" s="79" t="n"/>
      <c r="E155" s="78" t="n"/>
      <c r="F155" s="79" t="n"/>
      <c r="G155" s="79" t="n">
        <v>140</v>
      </c>
      <c r="H155" s="78" t="inlineStr">
        <is>
          <t>Pro Labore Edilânia</t>
        </is>
      </c>
      <c r="I155" s="78" t="inlineStr">
        <is>
          <t>Extrato Stone — saída de 15/09/2026.</t>
        </is>
      </c>
      <c r="J155" s="78" t="n"/>
    </row>
    <row r="156">
      <c r="A156" s="81" t="n">
        <v>46281</v>
      </c>
      <c r="B156" s="82" t="inlineStr">
        <is>
          <t>Comercial de Estivas e Cereais Rio do Ouro</t>
        </is>
      </c>
      <c r="C156" s="82" t="n"/>
      <c r="D156" s="83" t="n"/>
      <c r="E156" s="82" t="n"/>
      <c r="F156" s="83" t="n"/>
      <c r="G156" s="83" t="n">
        <v>44.98</v>
      </c>
      <c r="H156" s="82" t="inlineStr">
        <is>
          <t>Pro Labore Edilânia</t>
        </is>
      </c>
      <c r="I156" s="82" t="inlineStr">
        <is>
          <t>Extrato Stone — saída de 16/09/2026.</t>
        </is>
      </c>
    </row>
    <row r="157">
      <c r="A157" s="77" t="n">
        <v>46283</v>
      </c>
      <c r="B157" s="78" t="inlineStr">
        <is>
          <t>Japedido Software</t>
        </is>
      </c>
      <c r="C157" s="78" t="n"/>
      <c r="D157" s="79" t="n"/>
      <c r="E157" s="78" t="n"/>
      <c r="F157" s="79" t="n"/>
      <c r="G157" s="79" t="n">
        <v>62.19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Jose Barbosa Leal Filho Ltda</t>
        </is>
      </c>
      <c r="C158" s="82" t="n"/>
      <c r="D158" s="83" t="n"/>
      <c r="E158" s="82" t="n"/>
      <c r="F158" s="83" t="n"/>
      <c r="G158" s="83" t="n">
        <v>130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46283</v>
      </c>
      <c r="B159" s="78" t="inlineStr">
        <is>
          <t>L K Abade Ltda</t>
        </is>
      </c>
      <c r="C159" s="78" t="n"/>
      <c r="D159" s="79" t="n"/>
      <c r="E159" s="78" t="n"/>
      <c r="F159" s="79" t="n"/>
      <c r="G159" s="79" t="n">
        <v>40</v>
      </c>
      <c r="H159" s="78" t="inlineStr">
        <is>
          <t>Pro Labore Edilânia</t>
        </is>
      </c>
      <c r="I159" s="78" t="inlineStr">
        <is>
          <t>Extrato Stone — saída de 18/09/2026.</t>
        </is>
      </c>
      <c r="J159" s="78" t="n"/>
    </row>
    <row r="160">
      <c r="A160" s="81" t="n">
        <v>46273</v>
      </c>
      <c r="B160" s="82" t="inlineStr">
        <is>
          <t>Multidisplay Comercio e Servicos Tecnologicos</t>
        </is>
      </c>
      <c r="C160" s="82" t="n"/>
      <c r="D160" s="83" t="n"/>
      <c r="E160" s="82" t="n"/>
      <c r="F160" s="83" t="n"/>
      <c r="G160" s="83" t="n">
        <v>25</v>
      </c>
      <c r="H160" s="82" t="inlineStr">
        <is>
          <t>Pro Labore Edilânia</t>
        </is>
      </c>
      <c r="I160" s="82" t="inlineStr">
        <is>
          <t>Extrato Stone — saída de 08/09/2026.</t>
        </is>
      </c>
    </row>
    <row r="161">
      <c r="A161" s="77" t="n">
        <v>46281</v>
      </c>
      <c r="B161" s="78" t="inlineStr">
        <is>
          <t>FGTS Digital (GFD)</t>
        </is>
      </c>
      <c r="C161" s="78" t="n"/>
      <c r="D161" s="79" t="n"/>
      <c r="E161" s="78" t="n"/>
      <c r="F161" s="79" t="n"/>
      <c r="G161" s="79" t="n">
        <v>136</v>
      </c>
      <c r="H161" s="78" t="inlineStr">
        <is>
          <t>Impostos e Taxas</t>
        </is>
      </c>
      <c r="I161" s="78" t="inlineStr">
        <is>
          <t>FGTS mensal — competência 08/2026. Venc. 18/09/2026, pago em 16/09/2026.</t>
        </is>
      </c>
      <c r="J161" s="78" t="n"/>
    </row>
    <row r="162">
      <c r="A162" s="81" t="n">
        <v>46281</v>
      </c>
      <c r="B162" s="82" t="inlineStr">
        <is>
          <t>Receita Federal — DARF / INSS</t>
        </is>
      </c>
      <c r="C162" s="82" t="n"/>
      <c r="D162" s="83" t="n"/>
      <c r="E162" s="82" t="n"/>
      <c r="F162" s="83" t="n"/>
      <c r="G162" s="83" t="n">
        <v>306.99</v>
      </c>
      <c r="H162" s="82" t="inlineStr">
        <is>
          <t>Impostos e Taxas</t>
        </is>
      </c>
      <c r="I162" s="82" t="inlineStr">
        <is>
          <t>DARF / INSS — período de apuração agosto/2026. Venc. 18/09/2026, pago em 16/09/2026.</t>
        </is>
      </c>
    </row>
    <row r="163">
      <c r="A163" s="77" t="n">
        <v>46286</v>
      </c>
      <c r="B163" s="78" t="inlineStr">
        <is>
          <t>Tatiana Rocha</t>
        </is>
      </c>
      <c r="C163" s="78" t="inlineStr">
        <is>
          <t>Refil Everest</t>
        </is>
      </c>
      <c r="D163" s="79" t="n">
        <v>140</v>
      </c>
      <c r="E163" s="78" t="inlineStr">
        <is>
          <t>Aguardando Pagamento</t>
        </is>
      </c>
      <c r="F163" s="79" t="n"/>
      <c r="G163" s="79" t="n"/>
      <c r="H163" s="78" t="n"/>
      <c r="I163" s="78" t="n"/>
      <c r="J163" s="78" t="inlineStr">
        <is>
          <t>CLI-0032</t>
        </is>
      </c>
    </row>
    <row r="164">
      <c r="A164" s="81" t="n">
        <v>46286</v>
      </c>
      <c r="B164" s="82" t="inlineStr">
        <is>
          <t>Josimar Souza Santos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CLI-0367</t>
        </is>
      </c>
    </row>
    <row r="165">
      <c r="A165" s="77" t="n">
        <v>46286</v>
      </c>
      <c r="B165" s="78" t="inlineStr">
        <is>
          <t>Cleone Gomes de Andrade</t>
        </is>
      </c>
      <c r="C165" s="78" t="inlineStr">
        <is>
          <t>Refil Everest</t>
        </is>
      </c>
      <c r="D165" s="79" t="n">
        <v>140</v>
      </c>
      <c r="E165" s="78" t="inlineStr">
        <is>
          <t>Pix</t>
        </is>
      </c>
      <c r="F165" s="79" t="n"/>
      <c r="G165" s="79" t="n"/>
      <c r="H165" s="78" t="n"/>
      <c r="I165" s="78" t="n"/>
      <c r="J165" s="78" t="inlineStr">
        <is>
          <t>CLI-0296</t>
        </is>
      </c>
    </row>
    <row r="166">
      <c r="A166" s="81" t="n">
        <v>46286</v>
      </c>
      <c r="B166" s="82" t="inlineStr">
        <is>
          <t>Combustível (Etanol) — Transvale</t>
        </is>
      </c>
      <c r="C166" s="82" t="n"/>
      <c r="D166" s="83" t="n"/>
      <c r="E166" s="82" t="n"/>
      <c r="F166" s="83" t="n"/>
      <c r="G166" s="83" t="n">
        <v>50</v>
      </c>
      <c r="H166" s="82" t="inlineStr">
        <is>
          <t>Transporte e Entregas</t>
        </is>
      </c>
      <c r="I166" s="82" t="inlineStr">
        <is>
          <t>10,31 L de etanol hidratado a R$ 4,85/L — NFC-e nº 000284718 (Transvale Derivados de Petróleo, CNPJ 11.271.229/0002-68). Pago em dinheiro.</t>
        </is>
      </c>
    </row>
    <row r="167">
      <c r="A167" s="77" t="n">
        <v>46286</v>
      </c>
      <c r="B167" s="78" t="inlineStr">
        <is>
          <t>Filtros Planeta Água</t>
        </is>
      </c>
      <c r="C167" s="78" t="n"/>
      <c r="D167" s="79" t="n"/>
      <c r="E167" s="78" t="n"/>
      <c r="F167" s="79" t="n"/>
      <c r="G167" s="79" t="n">
        <v>592.89</v>
      </c>
      <c r="H167" s="78" t="inlineStr">
        <is>
          <t>Fornecedores / Mercadoria</t>
        </is>
      </c>
      <c r="I167" s="78" t="inlineStr">
        <is>
          <t>Boleto doc. 133812/001 (emissão 28/08/2026) · parcela 1/4 — 2ª via com venc. 21/09/2026 (original R$ 591,12 venc. 18/09). Pago em 21/09/2026 pelo Banco do Nordeste.</t>
        </is>
      </c>
      <c r="J167" s="78" t="n"/>
    </row>
    <row r="168">
      <c r="A168" s="81" t="n">
        <v>46286</v>
      </c>
      <c r="B168" s="82" t="inlineStr">
        <is>
          <t>Receita Federal — Simples Nacional (DAS)</t>
        </is>
      </c>
      <c r="C168" s="82" t="n"/>
      <c r="D168" s="83" t="n"/>
      <c r="E168" s="82" t="n"/>
      <c r="F168" s="83" t="n"/>
      <c r="G168" s="83" t="n">
        <v>1958.02</v>
      </c>
      <c r="H168" s="82" t="inlineStr">
        <is>
          <t>Impostos e Taxas</t>
        </is>
      </c>
      <c r="I168" s="82" t="inlineStr">
        <is>
          <t>DAS competência agosto/2026 (doc. 07.20.26260.6017058-0) — venc. 21/09/2026. Pago em 21/09/2026 pelo Banco do Nordeste.</t>
        </is>
      </c>
    </row>
    <row r="169">
      <c r="A169" s="77" t="n">
        <v>46286</v>
      </c>
      <c r="B169" s="78" t="inlineStr">
        <is>
          <t>Everest Refrigeração</t>
        </is>
      </c>
      <c r="C169" s="78" t="n"/>
      <c r="D169" s="79" t="n"/>
      <c r="E169" s="78" t="n"/>
      <c r="F169" s="79" t="n"/>
      <c r="G169" s="79" t="n">
        <v>874.6799999999999</v>
      </c>
      <c r="H169" s="78" t="inlineStr">
        <is>
          <t>Fornecedores / Mercadoria</t>
        </is>
      </c>
      <c r="I169" s="78" t="inlineStr">
        <is>
          <t>Boleto doc. 379826 (emissão 22/06/2026) · parcela 3/5 — venc. 20/09/2026 (domingo). Pago em 21/09/2026 pelo Banco do Nordeste.</t>
        </is>
      </c>
      <c r="J169" s="78" t="n"/>
    </row>
    <row r="170">
      <c r="A170" s="81" t="n">
        <v>46286</v>
      </c>
      <c r="B170" s="82" t="inlineStr">
        <is>
          <t>Diarista</t>
        </is>
      </c>
      <c r="C170" s="82" t="n"/>
      <c r="D170" s="83" t="n"/>
      <c r="E170" s="82" t="n"/>
      <c r="F170" s="83" t="n"/>
      <c r="G170" s="83" t="n">
        <v>340</v>
      </c>
      <c r="H170" s="82" t="inlineStr">
        <is>
          <t>Pro Labore Edilânia</t>
        </is>
      </c>
      <c r="I170" s="82" t="inlineStr">
        <is>
          <t>Pagamento de diarista — despesa pessoal (Edilânia).</t>
        </is>
      </c>
    </row>
    <row r="171">
      <c r="A171" s="77" t="n">
        <v>46286</v>
      </c>
      <c r="B171" s="78" t="inlineStr">
        <is>
          <t>Acerto de Armando</t>
        </is>
      </c>
      <c r="C171" s="78" t="n"/>
      <c r="D171" s="79" t="n">
        <v>500</v>
      </c>
      <c r="E171" s="78" t="inlineStr">
        <is>
          <t>Dinheiro</t>
        </is>
      </c>
      <c r="F171" s="79" t="n"/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Mangueira (1m)</t>
        </is>
      </c>
      <c r="D172" s="83" t="n">
        <v>10</v>
      </c>
      <c r="E172" s="82" t="inlineStr">
        <is>
          <t>Débito</t>
        </is>
      </c>
      <c r="F172" s="83" t="n">
        <v>0.14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17</v>
      </c>
      <c r="E173" s="78" t="inlineStr">
        <is>
          <t>Crédito à Vista</t>
        </is>
      </c>
      <c r="F173" s="79" t="n">
        <v>0.6</v>
      </c>
      <c r="G173" s="79" t="n"/>
      <c r="H173" s="78" t="n"/>
      <c r="I173" s="78" t="n"/>
      <c r="J173" s="78" t="n"/>
    </row>
    <row r="174">
      <c r="A174" s="81" t="n">
        <v>46286</v>
      </c>
      <c r="B174" s="82" t="inlineStr">
        <is>
          <t>Consumidor Final</t>
        </is>
      </c>
      <c r="C174" s="82" t="inlineStr">
        <is>
          <t>Vela Carvão Ativado</t>
        </is>
      </c>
      <c r="D174" s="83" t="n">
        <v>15</v>
      </c>
      <c r="E174" s="82" t="inlineStr">
        <is>
          <t>Pix</t>
        </is>
      </c>
      <c r="F174" s="83" t="n"/>
      <c r="G174" s="83" t="n"/>
      <c r="H174" s="82" t="n"/>
      <c r="I174" s="82" t="n"/>
    </row>
    <row r="175">
      <c r="A175" s="77" t="n">
        <v>46287</v>
      </c>
      <c r="B175" s="78" t="inlineStr">
        <is>
          <t>Colégio Estadual Normal Arnaldo de Oliveira</t>
        </is>
      </c>
      <c r="C175" s="78" t="inlineStr">
        <is>
          <t>9x Refil Carbon Tech 5" + 2x Refil Everest + Termostato</t>
        </is>
      </c>
      <c r="D175" s="79" t="n">
        <v>990</v>
      </c>
      <c r="E175" s="78" t="inlineStr">
        <is>
          <t>Crédito à Vista</t>
        </is>
      </c>
      <c r="F175" s="79" t="n">
        <v>34.75</v>
      </c>
      <c r="G175" s="79" t="n"/>
      <c r="H175" s="78" t="n"/>
      <c r="I175" s="78" t="n"/>
      <c r="J175" s="78" t="inlineStr">
        <is>
          <t>OUT-0018</t>
        </is>
      </c>
    </row>
    <row r="176">
      <c r="A176" s="44" t="n">
        <v>46287</v>
      </c>
      <c r="B176" s="45" t="inlineStr">
        <is>
          <t>Jacobina Etiquetas e Rotulos LTDA</t>
        </is>
      </c>
      <c r="C176" s="45" t="inlineStr">
        <is>
          <t>Refil Everest</t>
        </is>
      </c>
      <c r="D176" s="46" t="n">
        <v>140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EMP-0190</t>
        </is>
      </c>
    </row>
    <row r="177">
      <c r="A177" s="17" t="n">
        <v>46287</v>
      </c>
      <c r="B177" s="18" t="inlineStr">
        <is>
          <t>Chapada Ouro Serviços Ltda - Motel Privilege</t>
        </is>
      </c>
      <c r="C177" s="18" t="inlineStr">
        <is>
          <t>Refil Pro Life + Mangueira (2m)</t>
        </is>
      </c>
      <c r="D177" s="27" t="n">
        <v>160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EMP-0066</t>
        </is>
      </c>
    </row>
    <row r="178">
      <c r="A178" s="44" t="n">
        <v>46287</v>
      </c>
      <c r="B178" s="45" t="inlineStr">
        <is>
          <t>Casa da Construção Jacobina Ltda - Cavalcanti</t>
        </is>
      </c>
      <c r="C178" s="45" t="inlineStr">
        <is>
          <t>Refil Everest</t>
        </is>
      </c>
      <c r="D178" s="46" t="n">
        <v>140</v>
      </c>
      <c r="E178" s="45" t="inlineStr">
        <is>
          <t>Dinheiro</t>
        </is>
      </c>
      <c r="F178" s="47" t="n"/>
      <c r="G178" s="48" t="n"/>
      <c r="H178" s="49" t="n"/>
      <c r="I178" s="45" t="n"/>
      <c r="J178" t="inlineStr">
        <is>
          <t>EMP-0045</t>
        </is>
      </c>
    </row>
    <row r="179">
      <c r="A179" s="17" t="n">
        <v>46287</v>
      </c>
      <c r="B179" s="18" t="inlineStr">
        <is>
          <t>Consumidor Final</t>
        </is>
      </c>
      <c r="C179" s="18" t="inlineStr">
        <is>
          <t>Carcaça 9" + Refil Plissado</t>
        </is>
      </c>
      <c r="D179" s="27" t="n">
        <v>190</v>
      </c>
      <c r="E179" s="18" t="inlineStr">
        <is>
          <t>Pix</t>
        </is>
      </c>
      <c r="F179" s="19" t="n"/>
      <c r="G179" s="19" t="n"/>
      <c r="H179" s="21" t="n"/>
      <c r="I179" s="18" t="n"/>
      <c r="J179" s="18" t="n"/>
    </row>
    <row r="180">
      <c r="A180" s="44" t="n">
        <v>46287</v>
      </c>
      <c r="B180" s="45" t="inlineStr">
        <is>
          <t>Isabela Alcantara Mesquita - Ivanete</t>
        </is>
      </c>
      <c r="C180" s="45" t="inlineStr">
        <is>
          <t>Refil Pro Life</t>
        </is>
      </c>
      <c r="D180" s="46" t="n">
        <v>140</v>
      </c>
      <c r="E180" s="45" t="inlineStr">
        <is>
          <t>Crédito à Vista</t>
        </is>
      </c>
      <c r="F180" s="47" t="n">
        <v>4.91</v>
      </c>
      <c r="G180" s="48" t="n"/>
      <c r="H180" s="49" t="n"/>
      <c r="I180" s="45" t="n"/>
      <c r="J180" t="inlineStr">
        <is>
          <t>CLI-0371</t>
        </is>
      </c>
    </row>
    <row r="181">
      <c r="A181" s="17" t="n">
        <v>46287</v>
      </c>
      <c r="B181" s="18" t="inlineStr">
        <is>
          <t>Jacobina Silk</t>
        </is>
      </c>
      <c r="C181" s="18" t="inlineStr">
        <is>
          <t>Refil Everest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EMP-0193</t>
        </is>
      </c>
    </row>
    <row r="182">
      <c r="A182" s="44" t="n">
        <v>46287</v>
      </c>
      <c r="B182" s="45" t="inlineStr">
        <is>
          <t>Clinica Crescer</t>
        </is>
      </c>
      <c r="C182" s="45" t="inlineStr">
        <is>
          <t>Refil Pro Life</t>
        </is>
      </c>
      <c r="D182" s="46" t="n">
        <v>140</v>
      </c>
      <c r="E182" s="45" t="inlineStr">
        <is>
          <t>Dinheiro</t>
        </is>
      </c>
      <c r="F182" s="47" t="n"/>
      <c r="G182" s="48" t="n"/>
      <c r="H182" s="49" t="n"/>
      <c r="I182" s="45" t="n"/>
      <c r="J182" t="inlineStr">
        <is>
          <t>EMP-0072</t>
        </is>
      </c>
    </row>
    <row r="183">
      <c r="A183" s="17" t="n">
        <v>46287</v>
      </c>
      <c r="B183" s="18" t="inlineStr">
        <is>
          <t>Comercial de Tintas Leal Jatobá</t>
        </is>
      </c>
      <c r="C183" s="18" t="n"/>
      <c r="D183" s="27" t="n"/>
      <c r="E183" s="18" t="n"/>
      <c r="F183" s="19" t="n"/>
      <c r="G183" s="19" t="n">
        <v>124.2</v>
      </c>
      <c r="H183" s="21" t="inlineStr">
        <is>
          <t>Manutenção e Reparos</t>
        </is>
      </c>
      <c r="I183" s="18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  <c r="J183" s="18" t="n"/>
    </row>
    <row r="184">
      <c r="A184" s="44" t="n">
        <v>46286</v>
      </c>
      <c r="B184" s="45" t="inlineStr">
        <is>
          <t>Comissão Wiliam</t>
        </is>
      </c>
      <c r="C184" s="45" t="n"/>
      <c r="D184" s="46" t="n"/>
      <c r="E184" s="45" t="n"/>
      <c r="F184" s="47" t="n"/>
      <c r="G184" s="48" t="n">
        <v>460</v>
      </c>
      <c r="H184" s="49" t="inlineStr">
        <is>
          <t>Salários, Comissões e Encargos</t>
        </is>
      </c>
      <c r="I184" s="45" t="inlineStr">
        <is>
          <t>Comissões da quinzena de 08/09 a 18/09/2026</t>
        </is>
      </c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2026-09-23T16:58:13Z</dcterms:modified>
  <cp:lastModifiedBy>Planeta</cp:lastModifiedBy>
  <cp:revision>1</cp:revision>
</cp:coreProperties>
</file>