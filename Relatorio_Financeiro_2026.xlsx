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Pendente</t>
        </is>
      </c>
      <c r="F25" s="113">
        <f>IF(OR($E25="Pago",$C25=""),"",MAX(0,TODAY()-$C25))</f>
        <v/>
      </c>
      <c r="G25" s="78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Pendente</t>
        </is>
      </c>
      <c r="F36" s="113">
        <f>IF(OR($E36="Pago",$C36=""),"",MAX(0,TODAY()-$C36))</f>
        <v/>
      </c>
      <c r="G36" s="82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Pendente</t>
        </is>
      </c>
      <c r="F37" s="112">
        <f>IF(OR($E37="Pago",$C37=""),"",MAX(0,TODAY()-$C37))</f>
        <v/>
      </c>
      <c r="G37" s="78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Pendente</t>
        </is>
      </c>
      <c r="F38" s="113">
        <f>IF(OR($E38="Pago",$C38=""),"",MAX(0,TODAY()-$C38))</f>
        <v/>
      </c>
      <c r="G38" s="82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Pendente</t>
        </is>
      </c>
      <c r="F53" s="112">
        <f>IF(OR($E53="Pago",$C53=""),"",MAX(0,TODAY()-$C53))</f>
        <v/>
      </c>
      <c r="G53" s="78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86" t="inlineStr">
        <is>
          <t>TOTAL A PAGAR — COM BOLETO EM MÃOS</t>
        </is>
      </c>
      <c r="B66" s="86" t="n"/>
      <c r="C66" s="114" t="n"/>
      <c r="D66" s="115">
        <f>SUMIF(E11:E65,"Pendente",D11:D65)</f>
        <v/>
      </c>
      <c r="E66" s="116" t="n"/>
      <c r="F66" s="116" t="n"/>
      <c r="G66" s="86" t="n"/>
    </row>
    <row r="67">
      <c r="A67" s="154" t="inlineStr">
        <is>
          <t>PREVISTO — compromisso certo que ainda não está documentado</t>
        </is>
      </c>
      <c r="B67" s="154" t="n"/>
      <c r="C67" s="155" t="n"/>
      <c r="D67" s="156">
        <f>SUMIF(E11:E65,"Previsto",D11:D65)</f>
        <v/>
      </c>
      <c r="E67" s="152" t="n"/>
      <c r="F67" s="152" t="n"/>
      <c r="G67" s="154" t="n"/>
    </row>
    <row r="68">
      <c r="A68" s="86" t="inlineStr">
        <is>
          <t>TOTAL GERAL A PAGAR (boletos + previsão)</t>
        </is>
      </c>
      <c r="B68" s="86" t="n"/>
      <c r="C68" s="114" t="n"/>
      <c r="D68" s="115">
        <f>D66+D67</f>
        <v/>
      </c>
      <c r="E68" s="116" t="n"/>
      <c r="F68" s="116" t="n"/>
      <c r="G68" s="86" t="n"/>
    </row>
    <row r="71" ht="15.75" customHeight="1" s="158">
      <c r="A71" s="206" t="inlineStr">
        <is>
          <t>CONTAS A RECEBER  —  vendas feitas e ainda não pagas</t>
        </is>
      </c>
    </row>
    <row r="72">
      <c r="A72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11" t="inlineStr">
        <is>
          <t>Cliente</t>
        </is>
      </c>
      <c r="B73" s="111" t="inlineStr">
        <is>
          <t>Produto / Referência</t>
        </is>
      </c>
      <c r="C73" s="111" t="inlineStr">
        <is>
          <t>Data da Venda</t>
        </is>
      </c>
      <c r="D73" s="111" t="inlineStr">
        <is>
          <t>Valor (R$)</t>
        </is>
      </c>
      <c r="E73" s="111" t="inlineStr">
        <is>
          <t>Status</t>
        </is>
      </c>
      <c r="F73" s="111" t="inlineStr">
        <is>
          <t>Dias em Atraso</t>
        </is>
      </c>
      <c r="G73" s="111" t="inlineStr">
        <is>
          <t>Observações</t>
        </is>
      </c>
    </row>
    <row r="74">
      <c r="A74" s="78" t="inlineStr">
        <is>
          <t>Centro de Especialidades Odontomédicas</t>
        </is>
      </c>
      <c r="B74" s="78" t="inlineStr">
        <is>
          <t>Refil Everest</t>
        </is>
      </c>
      <c r="C74" s="77" t="n">
        <v>46239</v>
      </c>
      <c r="D74" s="79" t="n">
        <v>140</v>
      </c>
      <c r="E74" s="112" t="inlineStr">
        <is>
          <t>Pendente</t>
        </is>
      </c>
      <c r="F74" s="112">
        <f>IF(OR($E74="Recebido",$C74=""),"",MAX(0,TODAY()-$C74))</f>
        <v/>
      </c>
      <c r="G74" s="78" t="n"/>
    </row>
    <row r="75">
      <c r="A75" s="82" t="inlineStr">
        <is>
          <t>Supermercado Brasil</t>
        </is>
      </c>
      <c r="B75" s="82" t="inlineStr">
        <is>
          <t>2x Refil Pro Life</t>
        </is>
      </c>
      <c r="C75" s="81" t="n">
        <v>46239</v>
      </c>
      <c r="D75" s="83" t="n">
        <v>280</v>
      </c>
      <c r="E75" s="113" t="inlineStr">
        <is>
          <t>Pendente</t>
        </is>
      </c>
      <c r="F75" s="113">
        <f>IF(OR($E75="Recebido",$C75=""),"",MAX(0,TODAY()-$C75))</f>
        <v/>
      </c>
      <c r="G75" s="82" t="n"/>
    </row>
    <row r="76">
      <c r="A76" s="78" t="inlineStr">
        <is>
          <t>Tropical Motos LTDA</t>
        </is>
      </c>
      <c r="B76" s="78" t="inlineStr">
        <is>
          <t>3x Refil Everest + Refil Pro Life + 3x Pré Filtro + Válvula Reguladora de Pressão</t>
        </is>
      </c>
      <c r="C76" s="77" t="n">
        <v>46245</v>
      </c>
      <c r="D76" s="79" t="n">
        <v>820</v>
      </c>
      <c r="E76" s="112" t="inlineStr">
        <is>
          <t>Recebido</t>
        </is>
      </c>
      <c r="F76" s="112">
        <f>IF(OR($E76="Recebido",$C76=""),"",MAX(0,TODAY()-$C76))</f>
        <v/>
      </c>
      <c r="G76" s="78" t="inlineStr">
        <is>
          <t>Recebido via TED em 25/08/2026. NF conferida: valor correto é R$820 (faltava a válvula no lançamento original de R$740).</t>
        </is>
      </c>
    </row>
    <row r="77">
      <c r="A77" s="82" t="inlineStr">
        <is>
          <t>Free Way</t>
        </is>
      </c>
      <c r="B77" s="82" t="inlineStr">
        <is>
          <t>5x Refil Everest</t>
        </is>
      </c>
      <c r="C77" s="81" t="n">
        <v>46251</v>
      </c>
      <c r="D77" s="83" t="n">
        <v>700</v>
      </c>
      <c r="E77" s="113" t="inlineStr">
        <is>
          <t>Recebido</t>
        </is>
      </c>
      <c r="F77" s="113">
        <f>IF(OR($E77="Recebido",$C77=""),"",MAX(0,TODAY()-$C77))</f>
        <v/>
      </c>
      <c r="G77" s="82" t="inlineStr">
        <is>
          <t>Recebido via TED em 02/09/2026.</t>
        </is>
      </c>
    </row>
    <row r="78">
      <c r="A78" s="78" t="inlineStr">
        <is>
          <t>Neli Sena Rego</t>
        </is>
      </c>
      <c r="B78" s="78" t="inlineStr">
        <is>
          <t>Refil Pro Life</t>
        </is>
      </c>
      <c r="C78" s="77" t="n">
        <v>46254</v>
      </c>
      <c r="D78" s="79" t="n">
        <v>140</v>
      </c>
      <c r="E78" s="112" t="inlineStr">
        <is>
          <t>Recebido</t>
        </is>
      </c>
      <c r="F78" s="112">
        <f>IF(OR($E78="Recebido",$C78=""),"",MAX(0,TODAY()-$C78))</f>
        <v/>
      </c>
      <c r="G78" s="78" t="inlineStr">
        <is>
          <t>Recebido em dinheiro em 01/09/2026 (R$ 170,00 pelas duas vendas)</t>
        </is>
      </c>
    </row>
    <row r="79">
      <c r="A79" s="82" t="inlineStr">
        <is>
          <t>Neli Sena Rego</t>
        </is>
      </c>
      <c r="B79" s="82" t="inlineStr">
        <is>
          <t>Conexão + Mangueira</t>
        </is>
      </c>
      <c r="C79" s="81" t="n">
        <v>46255</v>
      </c>
      <c r="D79" s="83" t="n">
        <v>40</v>
      </c>
      <c r="E79" s="113" t="inlineStr">
        <is>
          <t>Recebido</t>
        </is>
      </c>
      <c r="F79" s="113">
        <f>IF(OR($E79="Recebido",$C79=""),"",MAX(0,TODAY()-$C79))</f>
        <v/>
      </c>
      <c r="G79" s="82" t="inlineStr">
        <is>
          <t>Recebido em dinheiro em 01/09/2026 (R$ 170,00 pelas duas vendas)</t>
        </is>
      </c>
    </row>
    <row r="80">
      <c r="A80" s="78" t="inlineStr">
        <is>
          <t>Lapec</t>
        </is>
      </c>
      <c r="B80" s="78" t="inlineStr">
        <is>
          <t>4x Refil Everest</t>
        </is>
      </c>
      <c r="C80" s="77" t="n">
        <v>46258</v>
      </c>
      <c r="D80" s="79" t="n">
        <v>480</v>
      </c>
      <c r="E80" s="112" t="inlineStr">
        <is>
          <t>Recebido</t>
        </is>
      </c>
      <c r="F80" s="112">
        <f>IF(OR($E80="Recebido",$C80=""),"",MAX(0,TODAY()-$C80))</f>
        <v/>
      </c>
      <c r="G80" s="78" t="inlineStr">
        <is>
          <t>Recebido em dinheiro em 08/09/2026 — lançado em "Set 2026".</t>
        </is>
      </c>
    </row>
    <row r="81">
      <c r="A81" s="82" t="inlineStr">
        <is>
          <t>Cícero Lima</t>
        </is>
      </c>
      <c r="B81" s="82" t="inlineStr">
        <is>
          <t>Refil Everest</t>
        </is>
      </c>
      <c r="C81" s="81" t="n">
        <v>46261</v>
      </c>
      <c r="D81" s="83" t="n">
        <v>140</v>
      </c>
      <c r="E81" s="113" t="inlineStr">
        <is>
          <t>Recebido</t>
        </is>
      </c>
      <c r="F81" s="113">
        <f>IF(OR($E81="Recebido",$C81=""),"",MAX(0,TODAY()-$C81))</f>
        <v/>
      </c>
      <c r="G81" s="82" t="inlineStr">
        <is>
          <t>Recebido via Pix em 27/08/2026</t>
        </is>
      </c>
    </row>
    <row r="82">
      <c r="A82" s="78" t="inlineStr">
        <is>
          <t>Promotoria Regional de Jacobina</t>
        </is>
      </c>
      <c r="B82" s="78" t="inlineStr">
        <is>
          <t>2x Carcaça 9" + 2x Refil Plissado 9" + Conexão Reta Rosca</t>
        </is>
      </c>
      <c r="C82" s="77" t="n">
        <v>46261</v>
      </c>
      <c r="D82" s="79" t="n">
        <v>470</v>
      </c>
      <c r="E82" s="112" t="inlineStr">
        <is>
          <t>Recebido</t>
        </is>
      </c>
      <c r="F82" s="112">
        <f>IF(OR($E82="Recebido",$C82=""),"",MAX(0,TODAY()-$C82))</f>
        <v/>
      </c>
      <c r="G82" s="78" t="inlineStr">
        <is>
          <t>Pago em 28/08/2026 em duas formas: R$ 270,00 Pix + R$ 200,00 crédito 2x</t>
        </is>
      </c>
    </row>
    <row r="83">
      <c r="A83" s="82" t="inlineStr">
        <is>
          <t>Lucas Souza</t>
        </is>
      </c>
      <c r="B83" s="82" t="inlineStr">
        <is>
          <t>Refil Everest + Pré Filtro</t>
        </is>
      </c>
      <c r="C83" s="81" t="n">
        <v>46261</v>
      </c>
      <c r="D83" s="83" t="n">
        <v>200</v>
      </c>
      <c r="E83" s="113" t="inlineStr">
        <is>
          <t>Recebido</t>
        </is>
      </c>
      <c r="F83" s="113">
        <f>IF(OR($E83="Recebido",$C83=""),"",MAX(0,TODAY()-$C83))</f>
        <v/>
      </c>
      <c r="G83" s="82" t="inlineStr">
        <is>
          <t>Recebido em dinheiro em 03/09/2026 — lançado em "Set 2026".</t>
        </is>
      </c>
    </row>
    <row r="84">
      <c r="A84" s="78" t="inlineStr">
        <is>
          <t>FG Boa Vista (Recife/PE)</t>
        </is>
      </c>
      <c r="B84" s="78" t="inlineStr">
        <is>
          <t>Refis — troca de julho/2026</t>
        </is>
      </c>
      <c r="C84" s="77" t="n">
        <v>46261</v>
      </c>
      <c r="D84" s="79" t="n">
        <v>1008.8</v>
      </c>
      <c r="E84" s="112" t="inlineStr">
        <is>
          <t>Recebido</t>
        </is>
      </c>
      <c r="F84" s="112">
        <f>IF(OR($E84="Recebido",$C84=""),"",MAX(0,TODAY()-$C84))</f>
        <v/>
      </c>
      <c r="G84" s="78" t="inlineStr">
        <is>
          <t>Grupo Ânima — NF 000.004.280 · recebido em 30/08/2026 (Nota Paga no portal V360)</t>
        </is>
      </c>
    </row>
    <row r="85">
      <c r="A85" s="82" t="inlineStr">
        <is>
          <t>UNIFG Guanambi (Guanambi/BA)</t>
        </is>
      </c>
      <c r="B85" s="82" t="inlineStr">
        <is>
          <t>Refis — troca de julho/2026</t>
        </is>
      </c>
      <c r="C85" s="81" t="n">
        <v>46261</v>
      </c>
      <c r="D85" s="83" t="n">
        <v>4534.75</v>
      </c>
      <c r="E85" s="113" t="inlineStr">
        <is>
          <t>Recebido</t>
        </is>
      </c>
      <c r="F85" s="113">
        <f>IF(OR($E85="Recebido",$C85=""),"",MAX(0,TODAY()-$C85))</f>
        <v/>
      </c>
      <c r="G85" s="82" t="inlineStr">
        <is>
          <t>Grupo Ânima — NF 000.004.281 · recebido em 30/08/2026 (Nota Paga no portal V360)</t>
        </is>
      </c>
    </row>
    <row r="86">
      <c r="A86" s="78" t="inlineStr">
        <is>
          <t>UNP Zona Norte (Natal/RN)</t>
        </is>
      </c>
      <c r="B86" s="78" t="inlineStr">
        <is>
          <t>Refis — troca de julho/2026</t>
        </is>
      </c>
      <c r="C86" s="77" t="n">
        <v>46261</v>
      </c>
      <c r="D86" s="79" t="n">
        <v>870</v>
      </c>
      <c r="E86" s="112" t="inlineStr">
        <is>
          <t>Recebido</t>
        </is>
      </c>
      <c r="F86" s="112">
        <f>IF(OR($E86="Recebido",$C86=""),"",MAX(0,TODAY()-$C86))</f>
        <v/>
      </c>
      <c r="G86" s="78" t="inlineStr">
        <is>
          <t>Grupo Ânima — NF 000.004.282 · recebido em 30/08/2026 (Nota Paga no portal V360)</t>
        </is>
      </c>
    </row>
    <row r="87">
      <c r="A87" s="82" t="inlineStr">
        <is>
          <t>UNP Caicó (Caicó/RN)</t>
        </is>
      </c>
      <c r="B87" s="82" t="inlineStr">
        <is>
          <t>Refis — troca de julho/2026</t>
        </is>
      </c>
      <c r="C87" s="81" t="n">
        <v>46261</v>
      </c>
      <c r="D87" s="83" t="n">
        <v>440</v>
      </c>
      <c r="E87" s="113" t="inlineStr">
        <is>
          <t>Recebido</t>
        </is>
      </c>
      <c r="F87" s="113">
        <f>IF(OR($E87="Recebido",$C87=""),"",MAX(0,TODAY()-$C87))</f>
        <v/>
      </c>
      <c r="G87" s="82" t="inlineStr">
        <is>
          <t>Grupo Ânima — NF 000.004.283 · recebido via Pix em 27/08/2026</t>
        </is>
      </c>
    </row>
    <row r="88">
      <c r="A88" s="78" t="inlineStr">
        <is>
          <t>AGES Irecê (Irecê/BA)</t>
        </is>
      </c>
      <c r="B88" s="78" t="inlineStr">
        <is>
          <t>Refis — troca de julho/2026</t>
        </is>
      </c>
      <c r="C88" s="77" t="n">
        <v>46269</v>
      </c>
      <c r="D88" s="79" t="n">
        <v>1338.6</v>
      </c>
      <c r="E88" s="112" t="inlineStr">
        <is>
          <t>Recebido</t>
        </is>
      </c>
      <c r="F88" s="112">
        <f>IF(OR($E88="Recebido",$C88=""),"",MAX(0,TODAY()-$C88))</f>
        <v/>
      </c>
      <c r="G88" s="78" t="inlineStr">
        <is>
          <t>Grupo Ânima — NF 000.004.294 · recebido via Pix em 04/09/2026.</t>
        </is>
      </c>
    </row>
    <row r="89">
      <c r="A89" s="82" t="inlineStr">
        <is>
          <t>CIS Irecê (Irecê/BA)</t>
        </is>
      </c>
      <c r="B89" s="82" t="inlineStr">
        <is>
          <t>Refis — troca de julho/2026</t>
        </is>
      </c>
      <c r="C89" s="81" t="n">
        <v>46269</v>
      </c>
      <c r="D89" s="83" t="n">
        <v>1358</v>
      </c>
      <c r="E89" s="113" t="inlineStr">
        <is>
          <t>Recebido</t>
        </is>
      </c>
      <c r="F89" s="113">
        <f>IF(OR($E89="Recebido",$C89=""),"",MAX(0,TODAY()-$C89))</f>
        <v/>
      </c>
      <c r="G89" s="82" t="inlineStr">
        <is>
          <t>Grupo Ânima — NF 000.004.295 · recebido via Pix em 04/09/2026.</t>
        </is>
      </c>
    </row>
    <row r="90">
      <c r="A90" s="78" t="inlineStr">
        <is>
          <t>AGES Senhor do Bonfim (S. do Bonfim/BA)</t>
        </is>
      </c>
      <c r="B90" s="78" t="inlineStr">
        <is>
          <t>Refis — troca de julho/2026</t>
        </is>
      </c>
      <c r="C90" s="77" t="n">
        <v>46270</v>
      </c>
      <c r="D90" s="79" t="n">
        <v>649.9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Grupo Ânima — NF 000.004.298 · recebido via Pix em 08/09/2026.</t>
        </is>
      </c>
    </row>
    <row r="91">
      <c r="A91" s="82" t="inlineStr">
        <is>
          <t>CIS Senhor do Bonfim (S. do Bonfim/BA)</t>
        </is>
      </c>
      <c r="B91" s="82" t="inlineStr">
        <is>
          <t>Refis — troca de julho/2026</t>
        </is>
      </c>
      <c r="C91" s="81" t="n">
        <v>46270</v>
      </c>
      <c r="D91" s="83" t="n">
        <v>562.6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Grupo Ânima — NF 000.004.299 · recebido via Pix em 08/09/2026.</t>
        </is>
      </c>
    </row>
    <row r="92">
      <c r="A92" s="78" t="inlineStr">
        <is>
          <t>AGES Paripiranga (Paripiranga/BA)</t>
        </is>
      </c>
      <c r="B92" s="78" t="inlineStr">
        <is>
          <t>Refis — troca de julho/2026</t>
        </is>
      </c>
      <c r="C92" s="77" t="n">
        <v>46270</v>
      </c>
      <c r="D92" s="79" t="n">
        <v>1086.4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Grupo Ânima — NF 000.004.300 · recebido via Pix em 08/09/2026.</t>
        </is>
      </c>
    </row>
    <row r="93">
      <c r="A93" s="82" t="inlineStr">
        <is>
          <t>Clínica Veterinária Paripiranga (Paripiranga/BA)</t>
        </is>
      </c>
      <c r="B93" s="82" t="inlineStr">
        <is>
          <t>Refis — troca de julho/2026</t>
        </is>
      </c>
      <c r="C93" s="81" t="n">
        <v>46270</v>
      </c>
      <c r="D93" s="83" t="n">
        <v>1265.85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Grupo Ânima — NF 000.004.301 · recebido via Pix em 08/09/2026.</t>
        </is>
      </c>
    </row>
    <row r="94">
      <c r="A94" s="78" t="inlineStr">
        <is>
          <t>UNP Mossoró (Mossoró/RN)</t>
        </is>
      </c>
      <c r="B94" s="78" t="inlineStr">
        <is>
          <t>Refis — troca de julho/2026</t>
        </is>
      </c>
      <c r="C94" s="77" t="n">
        <v>46270</v>
      </c>
      <c r="D94" s="79" t="n">
        <v>1867.25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Grupo Ânima — NF 000.004.302 · recebido via Pix em 08/09/2026.</t>
        </is>
      </c>
    </row>
    <row r="95">
      <c r="A95" s="82" t="inlineStr">
        <is>
          <t>CIS Jacobina (Jacobina/BA)</t>
        </is>
      </c>
      <c r="B95" s="82" t="inlineStr">
        <is>
          <t>Refis — troca de julho/2026</t>
        </is>
      </c>
      <c r="C95" s="81" t="n">
        <v>46290</v>
      </c>
      <c r="D95" s="83" t="n">
        <v>2095.2</v>
      </c>
      <c r="E95" s="113" t="inlineStr">
        <is>
          <t>Pendente</t>
        </is>
      </c>
      <c r="F95" s="113">
        <f>IF(OR($E95="Recebido",$C95=""),"",MAX(0,TODAY()-$C95))</f>
        <v/>
      </c>
      <c r="G95" s="82" t="inlineStr">
        <is>
          <t>Grupo Ânima — NF 000.004.333 de 26/08/2026 · OC AEMPPO00004452 · 30 dias</t>
        </is>
      </c>
    </row>
    <row r="96">
      <c r="A96" s="78" t="inlineStr">
        <is>
          <t>AGES Jacobina (Jacobina/BA)</t>
        </is>
      </c>
      <c r="B96" s="78" t="inlineStr">
        <is>
          <t>Refis — troca de julho/2026</t>
        </is>
      </c>
      <c r="C96" s="77" t="n">
        <v>46305</v>
      </c>
      <c r="D96" s="79" t="n">
        <v>1188.25</v>
      </c>
      <c r="E96" s="112" t="inlineStr">
        <is>
          <t>Pendente</t>
        </is>
      </c>
      <c r="F96" s="112">
        <f>IF(OR($E96="Recebido",$C96=""),"",MAX(0,TODAY()-$C96))</f>
        <v/>
      </c>
      <c r="G96" s="78" t="inlineStr">
        <is>
          <t>Grupo Ânima — NF 000.004.332 de 26/08/2026 · OC AEMPPO00004453 · 45 dias</t>
        </is>
      </c>
    </row>
    <row r="97">
      <c r="A97" s="82" t="inlineStr">
        <is>
          <t>Instituto Paulo Leão</t>
        </is>
      </c>
      <c r="B97" s="82" t="inlineStr">
        <is>
          <t>Refil E3 + Pré Filtro</t>
        </is>
      </c>
      <c r="C97" s="81" t="n">
        <v>46265</v>
      </c>
      <c r="D97" s="83" t="n">
        <v>160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via Pix em 08/09/2026 — lançado em "Set 2026".</t>
        </is>
      </c>
    </row>
    <row r="98">
      <c r="A98" s="78" t="inlineStr">
        <is>
          <t>Eletronic Segurança Eletronica</t>
        </is>
      </c>
      <c r="B98" s="78" t="inlineStr">
        <is>
          <t>Pré Filtro</t>
        </is>
      </c>
      <c r="C98" s="77" t="n">
        <v>46265</v>
      </c>
      <c r="D98" s="79" t="n">
        <v>60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via Pix em 03/09/2026.</t>
        </is>
      </c>
    </row>
    <row r="99">
      <c r="A99" s="82" t="inlineStr">
        <is>
          <t>Clube dos Mineiros</t>
        </is>
      </c>
      <c r="B99" s="82" t="inlineStr">
        <is>
          <t>Refil Pro Life</t>
        </is>
      </c>
      <c r="C99" s="81" t="n">
        <v>46265</v>
      </c>
      <c r="D99" s="83" t="n">
        <v>150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01/09/2026 (pagador: Sindicato dos Mineiros de Jacobina).</t>
        </is>
      </c>
    </row>
    <row r="100">
      <c r="A100" s="78" t="inlineStr">
        <is>
          <t>Armazem Cecilio Mota</t>
        </is>
      </c>
      <c r="B100" s="78" t="inlineStr">
        <is>
          <t>Refil Everest + Refil Carbon 9"</t>
        </is>
      </c>
      <c r="C100" s="77" t="n">
        <v>46266</v>
      </c>
      <c r="D100" s="79" t="n">
        <v>225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Recebido via Pix em 10/09/2026 — lançado em "Set 2026".</t>
        </is>
      </c>
    </row>
    <row r="101">
      <c r="A101" s="82" t="inlineStr">
        <is>
          <t>Clebson Dantas Da Silva</t>
        </is>
      </c>
      <c r="B101" s="82" t="inlineStr">
        <is>
          <t>Refil Everest</t>
        </is>
      </c>
      <c r="C101" s="81" t="n">
        <v>46266</v>
      </c>
      <c r="D101" s="83" t="n">
        <v>140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via Pix em 02/09/2026</t>
        </is>
      </c>
    </row>
    <row r="102">
      <c r="A102" s="82" t="inlineStr">
        <is>
          <t>Tesla Imagem Medicina Diagnostica Ltda</t>
        </is>
      </c>
      <c r="B102" s="82" t="inlineStr">
        <is>
          <t>3x Refil Everest + 2x Pré Filtro</t>
        </is>
      </c>
      <c r="C102" s="81" t="n">
        <v>46267</v>
      </c>
      <c r="D102" s="83" t="n">
        <v>540</v>
      </c>
      <c r="E102" s="113" t="inlineStr">
        <is>
          <t>Pendente</t>
        </is>
      </c>
      <c r="F102" s="113">
        <f>IF(OR($E102="Recebido",$C102=""),"",MAX(0,TODAY()-$C102))</f>
        <v/>
      </c>
      <c r="G102" s="82" t="inlineStr">
        <is>
          <t>Troca do dia 02/09/2026 — 1º Andar, Térreo e Copa</t>
        </is>
      </c>
    </row>
    <row r="103">
      <c r="A103" s="78" t="inlineStr">
        <is>
          <t>Cecilio Mota Junior</t>
        </is>
      </c>
      <c r="B103" s="78" t="inlineStr">
        <is>
          <t>Refil Everest</t>
        </is>
      </c>
      <c r="C103" s="77" t="n">
        <v>46267</v>
      </c>
      <c r="D103" s="79" t="n">
        <v>140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Pix em 10/09/2026 — lançado em "Set 2026".</t>
        </is>
      </c>
    </row>
    <row r="104">
      <c r="A104" s="78" t="inlineStr">
        <is>
          <t>Tereza Cristina Aquino Martins - Luiz Augusto</t>
        </is>
      </c>
      <c r="B104" s="78" t="inlineStr">
        <is>
          <t>Refil Everest + Pré Filtro</t>
        </is>
      </c>
      <c r="C104" s="77" t="n">
        <v>46268</v>
      </c>
      <c r="D104" s="79" t="n">
        <v>200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Pix em 04/09/2026.</t>
        </is>
      </c>
    </row>
    <row r="105">
      <c r="A105" s="78" t="inlineStr">
        <is>
          <t>Samille Fiscina Lima Lordello - Tiago (Cartório)</t>
        </is>
      </c>
      <c r="B105" s="78" t="inlineStr">
        <is>
          <t>Refil Pro Life</t>
        </is>
      </c>
      <c r="C105" s="77" t="n">
        <v>46269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via Pix em 10/09/2026 — lançado em "Set 2026".</t>
        </is>
      </c>
    </row>
    <row r="106">
      <c r="A106" s="78" t="inlineStr">
        <is>
          <t>Bomboniere Doce Mania - Veronildo Basilio</t>
        </is>
      </c>
      <c r="B106" s="78" t="inlineStr">
        <is>
          <t>Refil Plissado + Refil BAG</t>
        </is>
      </c>
      <c r="C106" s="77" t="n">
        <v>46274</v>
      </c>
      <c r="D106" s="79" t="n">
        <v>150</v>
      </c>
      <c r="E106" s="112" t="inlineStr">
        <is>
          <t>Pendente</t>
        </is>
      </c>
      <c r="F106" s="112">
        <f>IF(OR($E106="Recebido",$C106=""),"",MAX(0,TODAY()-$C106))</f>
        <v/>
      </c>
      <c r="G106" s="78" t="inlineStr">
        <is>
          <t>Troca do dia 09/09/2026 — refil plissado + BAG.</t>
        </is>
      </c>
    </row>
    <row r="107">
      <c r="A107" s="78" t="inlineStr">
        <is>
          <t>Adriadne (Hotel Jovem Jota)</t>
        </is>
      </c>
      <c r="B107" s="78" t="inlineStr">
        <is>
          <t>Refil Everest</t>
        </is>
      </c>
      <c r="C107" s="77" t="n">
        <v>46275</v>
      </c>
      <c r="D107" s="79" t="n">
        <v>140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11/09/2026 — lançado em "Set 2026".</t>
        </is>
      </c>
    </row>
    <row r="108">
      <c r="A108" s="78" t="inlineStr">
        <is>
          <t>Pousada Triunfo Ltda (Hotel Triunfo)</t>
        </is>
      </c>
      <c r="B108" s="78" t="inlineStr">
        <is>
          <t>Refil Everest + Pré Filtro</t>
        </is>
      </c>
      <c r="C108" s="77" t="n">
        <v>46275</v>
      </c>
      <c r="D108" s="79" t="n">
        <v>200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via Pix em 11/09/2026 — lançado em "Set 2026".</t>
        </is>
      </c>
    </row>
    <row r="109">
      <c r="A109" s="78" t="inlineStr">
        <is>
          <t>Topvel Tropical Veiculos e Pecas</t>
        </is>
      </c>
      <c r="B109" s="78" t="inlineStr">
        <is>
          <t>2x Refil Everest + 2x Pré Filtro</t>
        </is>
      </c>
      <c r="C109" s="77" t="n">
        <v>46276</v>
      </c>
      <c r="D109" s="79" t="n">
        <v>370</v>
      </c>
      <c r="E109" s="112" t="inlineStr">
        <is>
          <t>Pendente</t>
        </is>
      </c>
      <c r="F109" s="112">
        <f>IF(OR($E109="Recebido",$C109=""),"",MAX(0,TODAY()-$C109))</f>
        <v/>
      </c>
      <c r="G109" s="78" t="inlineStr">
        <is>
          <t>Troca do dia 11/09/2026 — dois purificadores.</t>
        </is>
      </c>
    </row>
    <row r="110">
      <c r="A110" s="78" t="inlineStr">
        <is>
          <t>J Diesel Motores e Reparos - Gilmara</t>
        </is>
      </c>
      <c r="B110" s="78" t="inlineStr">
        <is>
          <t>Refil Everest</t>
        </is>
      </c>
      <c r="C110" s="77" t="n">
        <v>46276</v>
      </c>
      <c r="D110" s="79" t="n">
        <v>140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Troca do dia 11/09/2026.</t>
        </is>
      </c>
    </row>
    <row r="111">
      <c r="A111" s="78" t="inlineStr">
        <is>
          <t>IOB</t>
        </is>
      </c>
      <c r="B111" s="78" t="inlineStr">
        <is>
          <t>Refil Everest + Pré Filtro</t>
        </is>
      </c>
      <c r="C111" s="77" t="n">
        <v>46279</v>
      </c>
      <c r="D111" s="79" t="n">
        <v>200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Troca do dia 14/09/2026.</t>
        </is>
      </c>
    </row>
    <row r="112">
      <c r="A112" s="86" t="inlineStr">
        <is>
          <t>TOTAL EM ABERTO A RECEBER (detalhe)</t>
        </is>
      </c>
      <c r="D112" s="115">
        <f>SUMIF(E74:E111,"Pendente",D74:D111)</f>
        <v/>
      </c>
    </row>
    <row r="113">
      <c r="A113" s="205" t="inlineStr">
        <is>
          <t>CONFERÊNCIA COM AS ABAS DOS MESES</t>
        </is>
      </c>
      <c r="B113" s="160" t="n"/>
      <c r="C113" s="160" t="n"/>
      <c r="D113" s="160" t="n"/>
      <c r="E113" s="160" t="n"/>
      <c r="F113" s="160" t="n"/>
      <c r="G113" s="161" t="n"/>
    </row>
    <row r="114">
      <c r="A114" s="202">
        <f>IF(ROUND(D112-C5,2)=0,"OK — o detalhe acima bate com as vendas marcadas como Aguardando Pagamento nas abas dos meses.","ATENÇÃO: diferença de R$ "&amp;TEXT(ABS(D112-C5),"#,##0.00")&amp;" entre este detalhe e as abas dos meses — alguma venda mudou de status em um lado só.")</f>
        <v/>
      </c>
    </row>
    <row r="115">
      <c r="A115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4:G114"/>
    <mergeCell ref="C5:D6"/>
    <mergeCell ref="A5:B6"/>
    <mergeCell ref="A2:G2"/>
    <mergeCell ref="E5:F6"/>
    <mergeCell ref="A72:G72"/>
    <mergeCell ref="A113:G113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1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90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(2 m)</t>
        </is>
      </c>
      <c r="B15" s="55" t="n">
        <v>20</v>
      </c>
      <c r="C15" s="109" t="n">
        <v>3.44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Carbon Tech 9": R$ 85,00 no balcão; pode ir a R$ 90,00 quando entra viagem/instalação.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11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78" t="inlineStr">
        <is>
          <t>Fornecedores / Mercadoria</t>
        </is>
      </c>
      <c r="L5" s="80">
        <f>SUMIF(H5:H109,K5,G5:G109)</f>
        <v/>
      </c>
      <c r="N5" s="238">
        <f>D110-F110-T5</f>
        <v/>
      </c>
      <c r="P5" s="190">
        <f>L18-L19</f>
        <v/>
      </c>
      <c r="R5" s="204">
        <f>D111</f>
        <v/>
      </c>
      <c r="T5" s="203">
        <f>SUMIF(E5:E109,"Aguardando Pagamento",D5:D109)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SUMIF(H5:H109,K6,G5:G109)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78" t="inlineStr">
        <is>
          <t>Água, Energia e Internet</t>
        </is>
      </c>
      <c r="L7" s="80">
        <f>SUMIF(H5:H109,K7,G5:G109)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SUMIF(H5:H109,K8,G5:G109)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78" t="inlineStr">
        <is>
          <t>Tarifas Bancárias e Cartão</t>
        </is>
      </c>
      <c r="L9" s="80">
        <f>SUMIF(H5:H109,K9,G5:G109)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SUMIF(H5:H109,K10,G5:G109)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SUMIF(H5:H109,K11,G5:G109)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SUMIF(H5:H109,K12,G5:G109)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SUMIF(H5:H109,K13,G5:G109)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K14" s="78" t="inlineStr">
        <is>
          <t>Material de Limpeza e Escritório</t>
        </is>
      </c>
      <c r="L14" s="80">
        <f>SUMIF(H5:H109,K14,G5:G109)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K15" s="78" t="inlineStr">
        <is>
          <t>Estornos de Vendas (Cancelamentos)</t>
        </is>
      </c>
      <c r="L15" s="80">
        <f>SUMIF(H5:H109,K15,G5:G109)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SUMIF(H5:H109,K16,G5:G109)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K17" s="84" t="inlineStr">
        <is>
          <t>Pro Labore Edilânia</t>
        </is>
      </c>
      <c r="L17" s="85">
        <f>SUMIF(H5:H109,K17,G5:G109)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Aguardando Pagamento</t>
        </is>
      </c>
      <c r="F66" s="83" t="n"/>
      <c r="G66" s="83" t="n"/>
      <c r="H66" s="82" t="n"/>
      <c r="I66" s="82" t="n"/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29" t="n"/>
      <c r="B110" s="43" t="inlineStr">
        <is>
          <t>TOTAL DO MÊS</t>
        </is>
      </c>
      <c r="C110" s="161" t="n"/>
      <c r="D110" s="8">
        <f>SUM(D5:D109)</f>
        <v/>
      </c>
      <c r="E110" s="8" t="n"/>
      <c r="F110" s="29">
        <f>SUM(F5:F109)</f>
        <v/>
      </c>
      <c r="G110" s="8">
        <f>SUM(G5:G109)</f>
        <v/>
      </c>
      <c r="H110" s="29" t="n"/>
      <c r="I110" s="29" t="n"/>
    </row>
    <row r="111">
      <c r="A111" s="30" t="n"/>
      <c r="B111" s="135" t="inlineStr">
        <is>
          <t>SALDO DO MÊS (Entradas líquidas − Despesas da loja)</t>
        </is>
      </c>
      <c r="D111" s="134">
        <f>(D110-F110-T5)-(L18-L19)</f>
        <v/>
      </c>
      <c r="F111" s="30" t="n"/>
      <c r="H111" s="30" t="n"/>
      <c r="I111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9" showDropDown="0" showInputMessage="0" showErrorMessage="0" allowBlank="1" type="list">
      <formula1>"Dinheiro,Pix,Débito,Crédito à Vista,Crédito Parcelado,Aguardando Pagamento"</formula1>
    </dataValidation>
    <dataValidation sqref="H5:H109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2026-09-15T15:16:59Z</dcterms:modified>
  <cp:lastModifiedBy>Planeta</cp:lastModifiedBy>
  <cp:revision>1</cp:revision>
</cp:coreProperties>
</file>