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8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22/10/2026 — lançado em "Out 2026".</t>
        </is>
      </c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Troca do dia 15/10/2026. Recebido via Pix em 21/10/2026.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 Recebido em dinheiro em 20/10/2026.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78" t="inlineStr">
        <is>
          <t>Studio Malena Lorrane</t>
        </is>
      </c>
      <c r="B168" s="78" t="inlineStr">
        <is>
          <t>Refil Everest + Pré Filtro (restante)</t>
        </is>
      </c>
      <c r="C168" s="77" t="n">
        <v>46316</v>
      </c>
      <c r="D168" s="79" t="n">
        <v>150</v>
      </c>
      <c r="E168" s="112" t="inlineStr">
        <is>
          <t>Pendente</t>
        </is>
      </c>
      <c r="F168" s="112">
        <f>IF(OR($E168="Recebido",$C168=""),"",MAX(0,TODAY()-$C168))</f>
        <v/>
      </c>
      <c r="G168" s="78" t="inlineStr">
        <is>
          <t>Troca do dia 21/10/2026. Venda de R$ 190,00; R$ 40,00 pagos com serviço de sobrancelha para a Edilânia. Deve R$ 90,00 do refil + R$ 60,00 do pré-filtro.</t>
        </is>
      </c>
    </row>
    <row r="169" s="157">
      <c r="A169" s="78" t="inlineStr">
        <is>
          <t>Marsilia Marmores e Granitos Erelli</t>
        </is>
      </c>
      <c r="B169" s="78" t="inlineStr">
        <is>
          <t>Refil Everest</t>
        </is>
      </c>
      <c r="C169" s="77" t="n">
        <v>46314</v>
      </c>
      <c r="D169" s="79" t="n">
        <v>140</v>
      </c>
      <c r="E169" s="112" t="inlineStr">
        <is>
          <t>Pendente</t>
        </is>
      </c>
      <c r="F169" s="112">
        <f>IF(OR($E169="Recebido",$C169=""),"",MAX(0,TODAY()-$C169))</f>
        <v/>
      </c>
      <c r="G169" s="78" t="inlineStr">
        <is>
          <t>Venda de 19/10/2026.</t>
        </is>
      </c>
    </row>
    <row r="170" s="157">
      <c r="A170" s="78" t="inlineStr">
        <is>
          <t>Banco do Nordeste do Brasil</t>
        </is>
      </c>
      <c r="B170" s="78" t="inlineStr">
        <is>
          <t>Refil Everest + Pré Filtro</t>
        </is>
      </c>
      <c r="C170" s="77" t="n">
        <v>46315</v>
      </c>
      <c r="D170" s="79" t="n">
        <v>200</v>
      </c>
      <c r="E170" s="112" t="inlineStr">
        <is>
          <t>Pendente</t>
        </is>
      </c>
      <c r="F170" s="112">
        <f>IF(OR($E170="Recebido",$C170=""),"",MAX(0,TODAY()-$C170))</f>
        <v/>
      </c>
      <c r="G170" s="78" t="inlineStr">
        <is>
          <t>Venda de 20/10/2026.</t>
        </is>
      </c>
    </row>
    <row r="171" s="157">
      <c r="A171" s="78" t="inlineStr">
        <is>
          <t>Magna dos Santos Carneiro Goncalves - Mirna</t>
        </is>
      </c>
      <c r="B171" s="78" t="inlineStr">
        <is>
          <t>Refil Everest</t>
        </is>
      </c>
      <c r="C171" s="77" t="n">
        <v>46315</v>
      </c>
      <c r="D171" s="79" t="n">
        <v>140</v>
      </c>
      <c r="E171" s="112" t="inlineStr">
        <is>
          <t>Pendente</t>
        </is>
      </c>
      <c r="F171" s="112">
        <f>IF(OR($E171="Recebido",$C171=""),"",MAX(0,TODAY()-$C171))</f>
        <v/>
      </c>
      <c r="G171" s="78" t="inlineStr">
        <is>
          <t>Venda de 20/10/2026.</t>
        </is>
      </c>
    </row>
    <row r="172" s="157">
      <c r="A172" s="78" t="inlineStr">
        <is>
          <t>Loja da Claro</t>
        </is>
      </c>
      <c r="B172" s="78" t="inlineStr">
        <is>
          <t>Refil Lacqua</t>
        </is>
      </c>
      <c r="C172" s="77" t="n">
        <v>46315</v>
      </c>
      <c r="D172" s="79" t="n">
        <v>80</v>
      </c>
      <c r="E172" s="112" t="inlineStr">
        <is>
          <t>Pendente</t>
        </is>
      </c>
      <c r="F172" s="112">
        <f>IF(OR($E172="Recebido",$C172=""),"",MAX(0,TODAY()-$C172))</f>
        <v/>
      </c>
      <c r="G172" s="78" t="inlineStr">
        <is>
          <t>Venda de 20/10/2026.</t>
        </is>
      </c>
    </row>
    <row r="173" s="157">
      <c r="A173" s="78" t="n"/>
      <c r="B173" s="78" t="n"/>
      <c r="C173" s="77" t="n"/>
      <c r="D173" s="79" t="n"/>
      <c r="E173" s="112" t="n"/>
      <c r="F173" s="112">
        <f>IF(OR($E173="Recebido",$C173=""),"",MAX(0,TODAY()-$C173))</f>
        <v/>
      </c>
      <c r="G173" s="78" t="n"/>
    </row>
    <row r="174" s="157">
      <c r="A174" s="78" t="n"/>
      <c r="B174" s="78" t="n"/>
      <c r="C174" s="77" t="n"/>
      <c r="D174" s="79" t="n"/>
      <c r="E174" s="112" t="n"/>
      <c r="F174" s="112">
        <f>IF(OR($E174="Recebido",$C174=""),"",MAX(0,TODAY()-$C174))</f>
        <v/>
      </c>
      <c r="G174" s="78" t="n"/>
    </row>
    <row r="175" s="157">
      <c r="A175" s="78" t="n"/>
      <c r="B175" s="78" t="n"/>
      <c r="C175" s="77" t="n"/>
      <c r="D175" s="79" t="n"/>
      <c r="E175" s="112" t="n"/>
      <c r="F175" s="112">
        <f>IF(OR($E175="Recebido",$C175=""),"",MAX(0,TODAY()-$C175))</f>
        <v/>
      </c>
      <c r="G175" s="78" t="n"/>
    </row>
    <row r="176" s="157">
      <c r="A176" s="78" t="n"/>
      <c r="B176" s="78" t="n"/>
      <c r="C176" s="77" t="n"/>
      <c r="D176" s="79" t="n"/>
      <c r="E176" s="112" t="n"/>
      <c r="F176" s="112">
        <f>IF(OR($E176="Recebido",$C176=""),"",MAX(0,TODAY()-$C176))</f>
        <v/>
      </c>
      <c r="G176" s="78" t="n"/>
    </row>
    <row r="177" s="157">
      <c r="A177" s="78" t="n"/>
      <c r="B177" s="78" t="n"/>
      <c r="C177" s="77" t="n"/>
      <c r="D177" s="79" t="n"/>
      <c r="E177" s="112" t="n"/>
      <c r="F177" s="112">
        <f>IF(OR($E177="Recebido",$C177=""),"",MAX(0,TODAY()-$C177))</f>
        <v/>
      </c>
      <c r="G177" s="78" t="n"/>
    </row>
    <row r="178" s="157">
      <c r="A178" s="86" t="inlineStr">
        <is>
          <t>TOTAL EM ABERTO A RECEBER (detalhe)</t>
        </is>
      </c>
      <c r="D178" s="115">
        <f>SUMIF(E107:E177,"Pendente",D107:D177)</f>
        <v/>
      </c>
    </row>
    <row r="179" s="157">
      <c r="A179" s="202" t="inlineStr">
        <is>
          <t>CONFERÊNCIA COM AS ABAS DOS MESES</t>
        </is>
      </c>
      <c r="B179" s="159" t="n"/>
      <c r="C179" s="159" t="n"/>
      <c r="D179" s="159" t="n"/>
      <c r="E179" s="159" t="n"/>
      <c r="F179" s="159" t="n"/>
      <c r="G179" s="160" t="n"/>
    </row>
    <row r="180" s="157">
      <c r="A180" s="203">
        <f>IF(ROUND(D178-C5,2)=0,"OK — o detalhe acima bate com as vendas marcadas como Aguardando Pagamento nas abas dos meses.","ATENÇÃO: diferença de R$ "&amp;TEXT(ABS(D178-C5),"#,##0.00")&amp;" entre este detalhe e as abas dos meses — alguma venda mudou de status em um lado só.")</f>
        <v/>
      </c>
    </row>
    <row r="181" s="157">
      <c r="A18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9:G179"/>
    <mergeCell ref="A180:G18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7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2026-10-22T20:55:33Z</dcterms:modified>
  <cp:lastModifiedBy>Planeta</cp:lastModifiedBy>
  <cp:revision>1</cp:revision>
</cp:coreProperties>
</file>