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1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D132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Pago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Pago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Patrus Transportes Ltda</t>
        </is>
      </c>
      <c r="B107" s="82" t="inlineStr">
        <is>
          <t>Frete — fatura 26-10-905348 (2 CT-e: remetentes Everest NF 387488 e Eversoft)</t>
        </is>
      </c>
      <c r="C107" s="81" t="n">
        <v>46326</v>
      </c>
      <c r="D107" s="83" t="n">
        <v>577.0700000000001</v>
      </c>
      <c r="E107" s="113" t="inlineStr">
        <is>
          <t>Pendente</t>
        </is>
      </c>
      <c r="F107" s="113">
        <f>IF(OR($E107="Pago",$C107=""),"",MAX(0,TODAY()-$C107))</f>
        <v/>
      </c>
      <c r="G107" s="82" t="inlineStr">
        <is>
      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      </is>
      </c>
    </row>
    <row r="108" s="157">
      <c r="A108" s="82" t="inlineStr">
        <is>
          <t>Fix English School Ltda</t>
        </is>
      </c>
      <c r="B108" s="82" t="inlineStr">
        <is>
          <t>Aulas de inglês — despesa particular (não é da loja) — fatura de 05/10/2026</t>
        </is>
      </c>
      <c r="C108" s="81" t="n">
        <v>46320</v>
      </c>
      <c r="D108" s="83" t="n">
        <v>137</v>
      </c>
      <c r="E108" s="113" t="inlineStr">
        <is>
          <t>Pago</t>
        </is>
      </c>
      <c r="F108" s="113">
        <f>IF(OR($E108="Pago",$C108=""),"",MAX(0,TODAY()-$C108))</f>
        <v/>
      </c>
      <c r="G108" s="82" t="inlineStr">
        <is>
      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1/20</t>
        </is>
      </c>
      <c r="C109" s="81" t="n">
        <v>46336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2/20</t>
        </is>
      </c>
      <c r="C110" s="81" t="n">
        <v>46366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3/20</t>
        </is>
      </c>
      <c r="C111" s="81" t="n">
        <v>46397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4/20</t>
        </is>
      </c>
      <c r="C112" s="81" t="n">
        <v>46428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5/20</t>
        </is>
      </c>
      <c r="C113" s="81" t="n">
        <v>46456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6/20</t>
        </is>
      </c>
      <c r="C114" s="81" t="n">
        <v>46487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7/20</t>
        </is>
      </c>
      <c r="C115" s="81" t="n">
        <v>46517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8/20</t>
        </is>
      </c>
      <c r="C116" s="81" t="n">
        <v>46548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9/20</t>
        </is>
      </c>
      <c r="C117" s="81" t="n">
        <v>46578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10/20</t>
        </is>
      </c>
      <c r="C118" s="81" t="n">
        <v>46609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11/20</t>
        </is>
      </c>
      <c r="C119" s="81" t="n">
        <v>46640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12/20</t>
        </is>
      </c>
      <c r="C120" s="81" t="n">
        <v>46670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13/20</t>
        </is>
      </c>
      <c r="C121" s="81" t="n">
        <v>46701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14/20</t>
        </is>
      </c>
      <c r="C122" s="81" t="n">
        <v>46731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15/20</t>
        </is>
      </c>
      <c r="C123" s="81" t="n">
        <v>46762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16/20</t>
        </is>
      </c>
      <c r="C124" s="81" t="n">
        <v>46793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17/20</t>
        </is>
      </c>
      <c r="C125" s="81" t="n">
        <v>46822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18/20</t>
        </is>
      </c>
      <c r="C126" s="81" t="n">
        <v>46853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2" t="inlineStr">
        <is>
          <t>Financiamento — carro da loja</t>
        </is>
      </c>
      <c r="B127" s="82" t="inlineStr">
        <is>
          <t>Prestação do carro da loja — parcela 19/20</t>
        </is>
      </c>
      <c r="C127" s="81" t="n">
        <v>46883</v>
      </c>
      <c r="D127" s="83" t="n">
        <v>1000</v>
      </c>
      <c r="E127" s="113" t="inlineStr">
        <is>
          <t>Previsto</t>
        </is>
      </c>
      <c r="F127" s="113">
        <f>IF(OR($E127="Pago",$C127=""),"",MAX(0,TODAY()-$C127))</f>
        <v/>
      </c>
      <c r="G127" s="82" t="inlineStr">
        <is>
          <t>PREVISÃO — prestação mensal do carro da loja: 20x R$ 1.000,00, todo dia 10, de 10/11/2026 a 10/06/2028. Categoria quando pagar: Transporte e Entregas.</t>
        </is>
      </c>
    </row>
    <row r="128" s="157">
      <c r="A128" s="82" t="inlineStr">
        <is>
          <t>Financiamento — carro da loja</t>
        </is>
      </c>
      <c r="B128" s="82" t="inlineStr">
        <is>
          <t>Prestação do carro da loja — parcela 20/20</t>
        </is>
      </c>
      <c r="C128" s="81" t="n">
        <v>46914</v>
      </c>
      <c r="D128" s="83" t="n">
        <v>1000</v>
      </c>
      <c r="E128" s="113" t="inlineStr">
        <is>
          <t>Previsto</t>
        </is>
      </c>
      <c r="F128" s="113">
        <f>IF(OR($E128="Pago",$C128=""),"",MAX(0,TODAY()-$C128))</f>
        <v/>
      </c>
      <c r="G128" s="82" t="inlineStr">
        <is>
          <t>PREVISÃO — prestação mensal do carro da loja: 20x R$ 1.000,00, todo dia 10, de 10/11/2026 a 10/06/2028. Categoria quando pagar: Transporte e Entregas.</t>
        </is>
      </c>
    </row>
    <row r="129" s="157">
      <c r="A129" s="82" t="inlineStr">
        <is>
          <t>Neoenergia Coelba</t>
        </is>
      </c>
      <c r="B129" s="82" t="inlineStr">
        <is>
          <t>Conta de energia — despesa pessoal do dono (não é da loja) — ref. 10/2026</t>
        </is>
      </c>
      <c r="C129" s="81" t="n">
        <v>46331</v>
      </c>
      <c r="D129" s="83" t="n">
        <v>470.26</v>
      </c>
      <c r="E129" s="113" t="inlineStr">
        <is>
          <t>Pendente</t>
        </is>
      </c>
      <c r="F129" s="113">
        <f>IF(OR($E129="Pago",$C129=""),"",MAX(0,TODAY()-$C129))</f>
        <v/>
      </c>
      <c r="G129" s="82" t="inlineStr">
        <is>
          <t>Categoria quando pagar: Pro Labore Edilânia (despesa pessoal do dono) — lançar em "Nov 2026" (ou no mês do pagamento) como "Conta de Energia Adriano". Fatura residencial em nome de Adriano Silva Fontes (Rua Irmã Lúcia de Fátima, 283 — Mundo Novo), UC 5.158.506.028-83, NF 006660328 de 26/10/2026, consumo 359 kWh (leituras 25/09 a 26/10/2026). Sem débitos anteriores. Boleto Itaú, linha digitável lida da foto (conferir no papel antes de pagar): 34191.75249 72953.612933 85832.220009 4 16210000047026. Também aceita débito em conta, código 7004287872.</t>
        </is>
      </c>
    </row>
    <row r="130" s="157">
      <c r="A130" s="86" t="inlineStr">
        <is>
          <t>TOTAL A PAGAR — COM BOLETO EM MÃOS</t>
        </is>
      </c>
      <c r="B130" s="86" t="n"/>
      <c r="C130" s="114" t="n"/>
      <c r="D130" s="115">
        <f>SUMIF(E11:E129,"Pendente",D11:D129)</f>
        <v/>
      </c>
      <c r="E130" s="116" t="n"/>
      <c r="F130" s="116" t="n"/>
      <c r="G130" s="86" t="n"/>
    </row>
    <row r="131" ht="15.75" customHeight="1" s="157">
      <c r="A131" s="144" t="inlineStr">
        <is>
          <t>PREVISTO — compromisso certo que ainda não está documentado</t>
        </is>
      </c>
      <c r="B131" s="144" t="n"/>
      <c r="C131" s="145" t="n"/>
      <c r="D131" s="146">
        <f>SUMIF(E11:E129,"Previsto",D11:D129)</f>
        <v/>
      </c>
      <c r="E131" s="142" t="n"/>
      <c r="F131" s="142" t="n"/>
      <c r="G131" s="144" t="n"/>
    </row>
    <row r="132" ht="15.75" customHeight="1" s="157">
      <c r="A132" s="86" t="inlineStr">
        <is>
          <t>TOTAL GERAL A PAGAR (boletos + previsão)</t>
        </is>
      </c>
      <c r="B132" s="86" t="n"/>
      <c r="C132" s="114" t="n"/>
      <c r="D132" s="115">
        <f>D130+D131</f>
        <v/>
      </c>
      <c r="E132" s="116" t="n"/>
      <c r="F132" s="116" t="n"/>
      <c r="G132" s="86" t="n"/>
    </row>
    <row r="133" ht="15.75" customHeight="1" s="157"/>
    <row r="134" ht="15.75" customHeight="1" s="157">
      <c r="A134" s="200" t="inlineStr">
        <is>
          <t>CONTAS A RECEBER  —  vendas feitas e ainda não pagas</t>
        </is>
      </c>
    </row>
    <row r="135" s="157">
      <c r="A13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6" s="157">
      <c r="A136" s="111" t="inlineStr">
        <is>
          <t>Cliente</t>
        </is>
      </c>
      <c r="B136" s="111" t="inlineStr">
        <is>
          <t>Produto / Referência</t>
        </is>
      </c>
      <c r="C136" s="111" t="inlineStr">
        <is>
          <t>Data da Venda</t>
        </is>
      </c>
      <c r="D136" s="111" t="inlineStr">
        <is>
          <t>Valor (R$)</t>
        </is>
      </c>
      <c r="E136" s="111" t="inlineStr">
        <is>
          <t>Status</t>
        </is>
      </c>
      <c r="F136" s="111" t="inlineStr">
        <is>
          <t>Dias em Atraso</t>
        </is>
      </c>
      <c r="G136" s="111" t="inlineStr">
        <is>
          <t>Observações</t>
        </is>
      </c>
    </row>
    <row r="137" s="157">
      <c r="A137" s="78" t="inlineStr">
        <is>
          <t>Centro de Especialidades Odontomédicas</t>
        </is>
      </c>
      <c r="B137" s="78" t="inlineStr">
        <is>
          <t>Refil Everest</t>
        </is>
      </c>
      <c r="C137" s="77" t="n">
        <v>46239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n"/>
    </row>
    <row r="138" s="157">
      <c r="A138" s="82" t="inlineStr">
        <is>
          <t>Supermercado Brasil</t>
        </is>
      </c>
      <c r="B138" s="82" t="inlineStr">
        <is>
          <t>2x Refil Pro Life</t>
        </is>
      </c>
      <c r="C138" s="81" t="n">
        <v>46239</v>
      </c>
      <c r="D138" s="83" t="n">
        <v>280</v>
      </c>
      <c r="E138" s="113" t="inlineStr">
        <is>
          <t>Recebido</t>
        </is>
      </c>
      <c r="F138" s="113">
        <f>IF(OR($E138="Recebido",$C138=""),"",MAX(0,TODAY()-$C138))</f>
        <v/>
      </c>
      <c r="G138" s="82" t="inlineStr">
        <is>
          <t>Recebido via Pix em 22/10/2026 — lançado em "Out 2026".</t>
        </is>
      </c>
    </row>
    <row r="139" s="157">
      <c r="A139" s="78" t="inlineStr">
        <is>
          <t>Tropical Motos LTDA</t>
        </is>
      </c>
      <c r="B139" s="78" t="inlineStr">
        <is>
          <t>3x Refil Everest + Refil Pro Life + 3x Pré Filtro + Válvula Reguladora de Pressão</t>
        </is>
      </c>
      <c r="C139" s="77" t="n">
        <v>46245</v>
      </c>
      <c r="D139" s="79" t="n">
        <v>820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via TED em 25/08/2026. NF conferida: valor correto é R$820 (faltava a válvula no lançamento original de R$740).</t>
        </is>
      </c>
    </row>
    <row r="140" s="157">
      <c r="A140" s="82" t="inlineStr">
        <is>
          <t>Free Way</t>
        </is>
      </c>
      <c r="B140" s="82" t="inlineStr">
        <is>
          <t>5x Refil Everest</t>
        </is>
      </c>
      <c r="C140" s="81" t="n">
        <v>46251</v>
      </c>
      <c r="D140" s="83" t="n">
        <v>700</v>
      </c>
      <c r="E140" s="113" t="inlineStr">
        <is>
          <t>Recebido</t>
        </is>
      </c>
      <c r="F140" s="113">
        <f>IF(OR($E140="Recebido",$C140=""),"",MAX(0,TODAY()-$C140))</f>
        <v/>
      </c>
      <c r="G140" s="82" t="inlineStr">
        <is>
          <t>Recebido via TED em 02/09/2026.</t>
        </is>
      </c>
    </row>
    <row r="141" s="157">
      <c r="A141" s="78" t="inlineStr">
        <is>
          <t>Neli Sena Rego</t>
        </is>
      </c>
      <c r="B141" s="78" t="inlineStr">
        <is>
          <t>Refil Pro Life</t>
        </is>
      </c>
      <c r="C141" s="77" t="n">
        <v>46254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em dinheiro em 01/09/2026 (R$ 170,00 pelas duas vendas)</t>
        </is>
      </c>
    </row>
    <row r="142" s="157">
      <c r="A142" s="82" t="inlineStr">
        <is>
          <t>Neli Sena Rego</t>
        </is>
      </c>
      <c r="B142" s="82" t="inlineStr">
        <is>
          <t>Conexão + Mangueira</t>
        </is>
      </c>
      <c r="C142" s="81" t="n">
        <v>46255</v>
      </c>
      <c r="D142" s="83" t="n">
        <v>40</v>
      </c>
      <c r="E142" s="113" t="inlineStr">
        <is>
          <t>Recebido</t>
        </is>
      </c>
      <c r="F142" s="113">
        <f>IF(OR($E142="Recebido",$C142=""),"",MAX(0,TODAY()-$C142))</f>
        <v/>
      </c>
      <c r="G142" s="82" t="inlineStr">
        <is>
          <t>Recebido em dinheiro em 01/09/2026 (R$ 170,00 pelas duas vendas)</t>
        </is>
      </c>
    </row>
    <row r="143" s="157">
      <c r="A143" s="78" t="inlineStr">
        <is>
          <t>Lapec</t>
        </is>
      </c>
      <c r="B143" s="78" t="inlineStr">
        <is>
          <t>4x Refil Everest</t>
        </is>
      </c>
      <c r="C143" s="77" t="n">
        <v>46258</v>
      </c>
      <c r="D143" s="79" t="n">
        <v>480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Recebido em dinheiro em 08/09/2026 — lançado em "Set 2026".</t>
        </is>
      </c>
    </row>
    <row r="144" s="157">
      <c r="A144" s="82" t="inlineStr">
        <is>
          <t>Cícero Lima</t>
        </is>
      </c>
      <c r="B144" s="82" t="inlineStr">
        <is>
          <t>Refil Everest</t>
        </is>
      </c>
      <c r="C144" s="81" t="n">
        <v>46261</v>
      </c>
      <c r="D144" s="83" t="n">
        <v>140</v>
      </c>
      <c r="E144" s="113" t="inlineStr">
        <is>
          <t>Recebido</t>
        </is>
      </c>
      <c r="F144" s="113">
        <f>IF(OR($E144="Recebido",$C144=""),"",MAX(0,TODAY()-$C144))</f>
        <v/>
      </c>
      <c r="G144" s="82" t="inlineStr">
        <is>
          <t>Recebido via Pix em 27/08/2026</t>
        </is>
      </c>
    </row>
    <row r="145" s="157">
      <c r="A145" s="78" t="inlineStr">
        <is>
          <t>Promotoria Regional de Jacobina</t>
        </is>
      </c>
      <c r="B145" s="78" t="inlineStr">
        <is>
          <t>2x Carcaça 9" + 2x Refil Plissado 9" + Conexão Reta Rosca</t>
        </is>
      </c>
      <c r="C145" s="77" t="n">
        <v>46261</v>
      </c>
      <c r="D145" s="79" t="n">
        <v>470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Pago em 28/08/2026 em duas formas: R$ 270,00 Pix + R$ 200,00 crédito 2x</t>
        </is>
      </c>
    </row>
    <row r="146" s="157">
      <c r="A146" s="82" t="inlineStr">
        <is>
          <t>Lucas Souza</t>
        </is>
      </c>
      <c r="B146" s="82" t="inlineStr">
        <is>
          <t>Refil Everest + Pré Filtro</t>
        </is>
      </c>
      <c r="C146" s="81" t="n">
        <v>46261</v>
      </c>
      <c r="D146" s="83" t="n">
        <v>200</v>
      </c>
      <c r="E146" s="113" t="inlineStr">
        <is>
          <t>Recebido</t>
        </is>
      </c>
      <c r="F146" s="113">
        <f>IF(OR($E146="Recebido",$C146=""),"",MAX(0,TODAY()-$C146))</f>
        <v/>
      </c>
      <c r="G146" s="82" t="inlineStr">
        <is>
          <t>Recebido em dinheiro em 03/09/2026 — lançado em "Set 2026".</t>
        </is>
      </c>
    </row>
    <row r="147" s="157">
      <c r="A147" s="78" t="inlineStr">
        <is>
          <t>FG Boa Vista (Recife/PE)</t>
        </is>
      </c>
      <c r="B147" s="78" t="inlineStr">
        <is>
          <t>Refis — troca de julho/2026</t>
        </is>
      </c>
      <c r="C147" s="77" t="n">
        <v>46261</v>
      </c>
      <c r="D147" s="79" t="n">
        <v>1008.8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Grupo Ânima — NF 000.004.280 · recebido em 30/08/2026 (Nota Paga no portal V360)</t>
        </is>
      </c>
    </row>
    <row r="148" s="157">
      <c r="A148" s="82" t="inlineStr">
        <is>
          <t>UNIFG Guanambi (Guanambi/BA)</t>
        </is>
      </c>
      <c r="B148" s="82" t="inlineStr">
        <is>
          <t>Refis — troca de julho/2026</t>
        </is>
      </c>
      <c r="C148" s="81" t="n">
        <v>46261</v>
      </c>
      <c r="D148" s="83" t="n">
        <v>4534.75</v>
      </c>
      <c r="E148" s="113" t="inlineStr">
        <is>
          <t>Recebido</t>
        </is>
      </c>
      <c r="F148" s="113">
        <f>IF(OR($E148="Recebido",$C148=""),"",MAX(0,TODAY()-$C148))</f>
        <v/>
      </c>
      <c r="G148" s="82" t="inlineStr">
        <is>
          <t>Grupo Ânima — NF 000.004.281 · recebido em 30/08/2026 (Nota Paga no portal V360)</t>
        </is>
      </c>
    </row>
    <row r="149" s="157">
      <c r="A149" s="78" t="inlineStr">
        <is>
          <t>UNP Zona Norte (Natal/RN)</t>
        </is>
      </c>
      <c r="B149" s="78" t="inlineStr">
        <is>
          <t>Refis — troca de julho/2026</t>
        </is>
      </c>
      <c r="C149" s="77" t="n">
        <v>46261</v>
      </c>
      <c r="D149" s="79" t="n">
        <v>870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Grupo Ânima — NF 000.004.282 · recebido em 30/08/2026 (Nota Paga no portal V360)</t>
        </is>
      </c>
    </row>
    <row r="150" s="157">
      <c r="A150" s="82" t="inlineStr">
        <is>
          <t>UNP Caicó (Caicó/RN)</t>
        </is>
      </c>
      <c r="B150" s="82" t="inlineStr">
        <is>
          <t>Refis — troca de julho/2026</t>
        </is>
      </c>
      <c r="C150" s="81" t="n">
        <v>46261</v>
      </c>
      <c r="D150" s="83" t="n">
        <v>440</v>
      </c>
      <c r="E150" s="113" t="inlineStr">
        <is>
          <t>Recebido</t>
        </is>
      </c>
      <c r="F150" s="113">
        <f>IF(OR($E150="Recebido",$C150=""),"",MAX(0,TODAY()-$C150))</f>
        <v/>
      </c>
      <c r="G150" s="82" t="inlineStr">
        <is>
          <t>Grupo Ânima — NF 000.004.283 · recebido via Pix em 27/08/2026</t>
        </is>
      </c>
    </row>
    <row r="151" s="157">
      <c r="A151" s="78" t="inlineStr">
        <is>
          <t>AGES Irecê (Irecê/BA)</t>
        </is>
      </c>
      <c r="B151" s="78" t="inlineStr">
        <is>
          <t>Refis — troca de julho/2026</t>
        </is>
      </c>
      <c r="C151" s="77" t="n">
        <v>46269</v>
      </c>
      <c r="D151" s="79" t="n">
        <v>1338.6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Grupo Ânima — NF 000.004.294 · recebido via Pix em 04/09/2026.</t>
        </is>
      </c>
    </row>
    <row r="152" s="157">
      <c r="A152" s="82" t="inlineStr">
        <is>
          <t>CIS Irecê (Irecê/BA)</t>
        </is>
      </c>
      <c r="B152" s="82" t="inlineStr">
        <is>
          <t>Refis — troca de julho/2026</t>
        </is>
      </c>
      <c r="C152" s="81" t="n">
        <v>46269</v>
      </c>
      <c r="D152" s="83" t="n">
        <v>1358</v>
      </c>
      <c r="E152" s="113" t="inlineStr">
        <is>
          <t>Recebido</t>
        </is>
      </c>
      <c r="F152" s="113">
        <f>IF(OR($E152="Recebido",$C152=""),"",MAX(0,TODAY()-$C152))</f>
        <v/>
      </c>
      <c r="G152" s="82" t="inlineStr">
        <is>
          <t>Grupo Ânima — NF 000.004.295 · recebido via Pix em 04/09/2026.</t>
        </is>
      </c>
    </row>
    <row r="153" s="157">
      <c r="A153" s="78" t="inlineStr">
        <is>
          <t>AGES Senhor do Bonfim (S. do Bonfim/BA)</t>
        </is>
      </c>
      <c r="B153" s="78" t="inlineStr">
        <is>
          <t>Refis — troca de julho/2026</t>
        </is>
      </c>
      <c r="C153" s="77" t="n">
        <v>46270</v>
      </c>
      <c r="D153" s="79" t="n">
        <v>649.9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Grupo Ânima — NF 000.004.298 · recebido via Pix em 08/09/2026.</t>
        </is>
      </c>
    </row>
    <row r="154" s="157">
      <c r="A154" s="82" t="inlineStr">
        <is>
          <t>CIS Senhor do Bonfim (S. do Bonfim/BA)</t>
        </is>
      </c>
      <c r="B154" s="82" t="inlineStr">
        <is>
          <t>Refis — troca de julho/2026</t>
        </is>
      </c>
      <c r="C154" s="81" t="n">
        <v>46270</v>
      </c>
      <c r="D154" s="83" t="n">
        <v>562.6</v>
      </c>
      <c r="E154" s="113" t="inlineStr">
        <is>
          <t>Recebido</t>
        </is>
      </c>
      <c r="F154" s="113">
        <f>IF(OR($E154="Recebido",$C154=""),"",MAX(0,TODAY()-$C154))</f>
        <v/>
      </c>
      <c r="G154" s="82" t="inlineStr">
        <is>
          <t>Grupo Ânima — NF 000.004.299 · recebido via Pix em 08/09/2026.</t>
        </is>
      </c>
    </row>
    <row r="155" s="157">
      <c r="A155" s="78" t="inlineStr">
        <is>
          <t>AGES Paripiranga (Paripiranga/BA)</t>
        </is>
      </c>
      <c r="B155" s="78" t="inlineStr">
        <is>
          <t>Refis — troca de julho/2026</t>
        </is>
      </c>
      <c r="C155" s="77" t="n">
        <v>46270</v>
      </c>
      <c r="D155" s="79" t="n">
        <v>1086.4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Grupo Ânima — NF 000.004.300 · recebido via Pix em 08/09/2026.</t>
        </is>
      </c>
    </row>
    <row r="156" s="157">
      <c r="A156" s="82" t="inlineStr">
        <is>
          <t>Clínica Veterinária Paripiranga (Paripiranga/BA)</t>
        </is>
      </c>
      <c r="B156" s="82" t="inlineStr">
        <is>
          <t>Refis — troca de julho/2026</t>
        </is>
      </c>
      <c r="C156" s="81" t="n">
        <v>46270</v>
      </c>
      <c r="D156" s="83" t="n">
        <v>1265.85</v>
      </c>
      <c r="E156" s="113" t="inlineStr">
        <is>
          <t>Recebido</t>
        </is>
      </c>
      <c r="F156" s="113">
        <f>IF(OR($E156="Recebido",$C156=""),"",MAX(0,TODAY()-$C156))</f>
        <v/>
      </c>
      <c r="G156" s="82" t="inlineStr">
        <is>
          <t>Grupo Ânima — NF 000.004.301 · recebido via Pix em 08/09/2026.</t>
        </is>
      </c>
    </row>
    <row r="157" s="157">
      <c r="A157" s="78" t="inlineStr">
        <is>
          <t>UNP Mossoró (Mossoró/RN)</t>
        </is>
      </c>
      <c r="B157" s="78" t="inlineStr">
        <is>
          <t>Refis — troca de julho/2026</t>
        </is>
      </c>
      <c r="C157" s="77" t="n">
        <v>46270</v>
      </c>
      <c r="D157" s="79" t="n">
        <v>1867.25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Grupo Ânima — NF 000.004.302 · recebido via Pix em 08/09/2026.</t>
        </is>
      </c>
    </row>
    <row r="158" s="157">
      <c r="A158" s="82" t="inlineStr">
        <is>
          <t>CIS Jacobina (Jacobina/BA)</t>
        </is>
      </c>
      <c r="B158" s="82" t="inlineStr">
        <is>
          <t>Refis — troca de julho/2026</t>
        </is>
      </c>
      <c r="C158" s="81" t="n">
        <v>46290</v>
      </c>
      <c r="D158" s="83" t="n">
        <v>2095.2</v>
      </c>
      <c r="E158" s="113" t="inlineStr">
        <is>
          <t>Recebido</t>
        </is>
      </c>
      <c r="F158" s="113">
        <f>IF(OR($E158="Recebido",$C158=""),"",MAX(0,TODAY()-$C158))</f>
        <v/>
      </c>
      <c r="G158" s="82" t="inlineStr">
        <is>
          <t>Grupo Ânima — NF 000.004.333 de 26/08/2026 · OC AEMPPO00004452 · 30 dias · recebido via Pix em 25/09/2026 (Nota Paga no portal V360).</t>
        </is>
      </c>
    </row>
    <row r="159" s="157">
      <c r="A159" s="78" t="inlineStr">
        <is>
          <t>AGES Jacobina (Jacobina/BA)</t>
        </is>
      </c>
      <c r="B159" s="78" t="inlineStr">
        <is>
          <t>Refis — troca de julho/2026</t>
        </is>
      </c>
      <c r="C159" s="77" t="n">
        <v>46305</v>
      </c>
      <c r="D159" s="79" t="n">
        <v>1188.25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Grupo Ânima — NF 000.004.332 de 26/08/2026 · OC AEMPPO00004453 · 45 dias · Recebido em 13/10/2026 no BNB (Nota Paga no portal V360).</t>
        </is>
      </c>
    </row>
    <row r="160" s="157">
      <c r="A160" s="82" t="inlineStr">
        <is>
          <t>Instituto Paulo Leão</t>
        </is>
      </c>
      <c r="B160" s="82" t="inlineStr">
        <is>
          <t>Refil E3 + Pré Filtro</t>
        </is>
      </c>
      <c r="C160" s="81" t="n">
        <v>46265</v>
      </c>
      <c r="D160" s="83" t="n">
        <v>160</v>
      </c>
      <c r="E160" s="113" t="inlineStr">
        <is>
          <t>Recebido</t>
        </is>
      </c>
      <c r="F160" s="113">
        <f>IF(OR($E160="Recebido",$C160=""),"",MAX(0,TODAY()-$C160))</f>
        <v/>
      </c>
      <c r="G160" s="82" t="inlineStr">
        <is>
          <t>Recebido via Pix em 08/09/2026 — lançado em "Set 2026".</t>
        </is>
      </c>
    </row>
    <row r="161" s="157">
      <c r="A161" s="78" t="inlineStr">
        <is>
          <t>Eletronic Segurança Eletronica</t>
        </is>
      </c>
      <c r="B161" s="78" t="inlineStr">
        <is>
          <t>Pré Filtro</t>
        </is>
      </c>
      <c r="C161" s="77" t="n">
        <v>46265</v>
      </c>
      <c r="D161" s="79" t="n">
        <v>60</v>
      </c>
      <c r="E161" s="112" t="inlineStr">
        <is>
          <t>Recebido</t>
        </is>
      </c>
      <c r="F161" s="112">
        <f>IF(OR($E161="Recebido",$C161=""),"",MAX(0,TODAY()-$C161))</f>
        <v/>
      </c>
      <c r="G161" s="78" t="inlineStr">
        <is>
          <t>Recebido via Pix em 03/09/2026.</t>
        </is>
      </c>
    </row>
    <row r="162" s="157">
      <c r="A162" s="82" t="inlineStr">
        <is>
          <t>Clube dos Mineiros</t>
        </is>
      </c>
      <c r="B162" s="82" t="inlineStr">
        <is>
          <t>Refil Pro Life</t>
        </is>
      </c>
      <c r="C162" s="81" t="n">
        <v>46265</v>
      </c>
      <c r="D162" s="83" t="n">
        <v>150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Recebido via Pix em 01/09/2026 (pagador: Sindicato dos Mineiros de Jacobina).</t>
        </is>
      </c>
    </row>
    <row r="163" s="157">
      <c r="A163" s="78" t="inlineStr">
        <is>
          <t>Armazem Cecilio Mota</t>
        </is>
      </c>
      <c r="B163" s="78" t="inlineStr">
        <is>
          <t>Refil Everest + Refil Carbon 9"</t>
        </is>
      </c>
      <c r="C163" s="77" t="n">
        <v>46266</v>
      </c>
      <c r="D163" s="79" t="n">
        <v>225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82" t="inlineStr">
        <is>
          <t>Clebson Dantas Da Silva</t>
        </is>
      </c>
      <c r="B164" s="82" t="inlineStr">
        <is>
          <t>Refil Everest</t>
        </is>
      </c>
      <c r="C164" s="81" t="n">
        <v>46266</v>
      </c>
      <c r="D164" s="83" t="n">
        <v>140</v>
      </c>
      <c r="E164" s="113" t="inlineStr">
        <is>
          <t>Recebido</t>
        </is>
      </c>
      <c r="F164" s="113">
        <f>IF(OR($E164="Recebido",$C164=""),"",MAX(0,TODAY()-$C164))</f>
        <v/>
      </c>
      <c r="G164" s="82" t="inlineStr">
        <is>
          <t>Recebido via Pix em 02/09/2026</t>
        </is>
      </c>
    </row>
    <row r="165" s="157">
      <c r="A165" s="82" t="inlineStr">
        <is>
          <t>Tesla Imagem Medicina Diagnostica Ltda</t>
        </is>
      </c>
      <c r="B165" s="82" t="inlineStr">
        <is>
          <t>3x Refil Everest + 2x Pré Filtro</t>
        </is>
      </c>
      <c r="C165" s="81" t="n">
        <v>46267</v>
      </c>
      <c r="D165" s="83" t="n">
        <v>540</v>
      </c>
      <c r="E165" s="113" t="inlineStr">
        <is>
          <t>Recebido</t>
        </is>
      </c>
      <c r="F165" s="113">
        <f>IF(OR($E165="Recebido",$C165=""),"",MAX(0,TODAY()-$C165))</f>
        <v/>
      </c>
      <c r="G165" s="82" t="inlineStr">
        <is>
          <t>Troca do dia 02/09/2026 — 1º Andar, Térreo e Copa. Recebido via Pix em 08/09/2026 — lançado em "Set 2026".</t>
        </is>
      </c>
    </row>
    <row r="166" s="157">
      <c r="A166" s="78" t="inlineStr">
        <is>
          <t>Cecilio Mota Junior</t>
        </is>
      </c>
      <c r="B166" s="78" t="inlineStr">
        <is>
          <t>Refil Everest</t>
        </is>
      </c>
      <c r="C166" s="77" t="n">
        <v>46267</v>
      </c>
      <c r="D166" s="79" t="n">
        <v>140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via Pix em 10/09/2026 — lançado em "Set 2026".</t>
        </is>
      </c>
    </row>
    <row r="167" s="157">
      <c r="A167" s="78" t="inlineStr">
        <is>
          <t>Tereza Cristina Aquino Martins - Luiz Augusto</t>
        </is>
      </c>
      <c r="B167" s="78" t="inlineStr">
        <is>
          <t>Refil Everest + Pré Filtro</t>
        </is>
      </c>
      <c r="C167" s="77" t="n">
        <v>46268</v>
      </c>
      <c r="D167" s="79" t="n">
        <v>200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04/09/2026.</t>
        </is>
      </c>
    </row>
    <row r="168" s="157">
      <c r="A168" s="78" t="inlineStr">
        <is>
          <t>Samille Fiscina Lima Lordello - Tiago (Cartório)</t>
        </is>
      </c>
      <c r="B168" s="78" t="inlineStr">
        <is>
          <t>Refil Pro Life</t>
        </is>
      </c>
      <c r="C168" s="77" t="n">
        <v>46269</v>
      </c>
      <c r="D168" s="79" t="n">
        <v>140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10/09/2026 — lançado em "Set 2026".</t>
        </is>
      </c>
    </row>
    <row r="169" s="157">
      <c r="A169" s="78" t="inlineStr">
        <is>
          <t>Bomboniere Doce Mania - Veronildo Basilio</t>
        </is>
      </c>
      <c r="B169" s="78" t="inlineStr">
        <is>
          <t>Refil Plissado + Refil BAG</t>
        </is>
      </c>
      <c r="C169" s="77" t="n">
        <v>46274</v>
      </c>
      <c r="D169" s="79" t="n">
        <v>150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Recebido em dinheiro em 16/09/2026 — lançado em "Set 2026".</t>
        </is>
      </c>
    </row>
    <row r="170" s="157">
      <c r="A170" s="78" t="inlineStr">
        <is>
          <t>Adriadne (Hotel Jovem Jota)</t>
        </is>
      </c>
      <c r="B170" s="78" t="inlineStr">
        <is>
          <t>Refil Everest</t>
        </is>
      </c>
      <c r="C170" s="77" t="n">
        <v>46275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Recebido via Pix em 11/09/2026 — lançado em "Set 2026".</t>
        </is>
      </c>
    </row>
    <row r="171" s="157">
      <c r="A171" s="78" t="inlineStr">
        <is>
          <t>Pousada Triunfo Ltda (Hotel Triunfo)</t>
        </is>
      </c>
      <c r="B171" s="78" t="inlineStr">
        <is>
          <t>Refil Everest + Pré Filtro</t>
        </is>
      </c>
      <c r="C171" s="77" t="n">
        <v>46275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Recebido via Pix em 11/09/2026 — lançado em "Set 2026".</t>
        </is>
      </c>
    </row>
    <row r="172" s="157">
      <c r="A172" s="78" t="inlineStr">
        <is>
          <t>Topvel Tropical Veiculos e Pecas</t>
        </is>
      </c>
      <c r="B172" s="78" t="inlineStr">
        <is>
          <t>2x Refil Everest + 2x Pré Filtro</t>
        </is>
      </c>
      <c r="C172" s="77" t="n">
        <v>46276</v>
      </c>
      <c r="D172" s="79" t="n">
        <v>370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11/09/2026 — dois purificadores. Recebido via TED no BNB em 05/10/2026 — lançado em "Out 2026".</t>
        </is>
      </c>
    </row>
    <row r="173" s="157">
      <c r="A173" s="78" t="inlineStr">
        <is>
          <t>J Diesel Motores e Reparos - Gilmara</t>
        </is>
      </c>
      <c r="B173" s="78" t="inlineStr">
        <is>
          <t>Refil Everest</t>
        </is>
      </c>
      <c r="C173" s="77" t="n">
        <v>46276</v>
      </c>
      <c r="D173" s="79" t="n">
        <v>140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Troca do dia 11/09/2026.</t>
        </is>
      </c>
    </row>
    <row r="174" s="157">
      <c r="A174" s="78" t="inlineStr">
        <is>
          <t>IOB</t>
        </is>
      </c>
      <c r="B174" s="78" t="inlineStr">
        <is>
          <t>Refil Everest + Pré Filtro</t>
        </is>
      </c>
      <c r="C174" s="77" t="n">
        <v>46279</v>
      </c>
      <c r="D174" s="79" t="n">
        <v>200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14/09/2026.</t>
        </is>
      </c>
    </row>
    <row r="175" s="157">
      <c r="A175" s="78" t="inlineStr">
        <is>
          <t>Clínica Santa Cecília</t>
        </is>
      </c>
      <c r="B175" s="78" t="inlineStr">
        <is>
          <t>Refil Everest + Termostato</t>
        </is>
      </c>
      <c r="C175" s="77" t="n">
        <v>46281</v>
      </c>
      <c r="D175" s="79" t="n">
        <v>310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16/09/2026 — refil + troca de termostato. Recebido via Pix em 29/09/2026.</t>
        </is>
      </c>
    </row>
    <row r="176" s="157">
      <c r="A176" s="78" t="inlineStr">
        <is>
          <t>Marilda Macedo / José Luciano Costa</t>
        </is>
      </c>
      <c r="B176" s="78" t="inlineStr">
        <is>
          <t>Refil Everest + Pré Filtro</t>
        </is>
      </c>
      <c r="C176" s="77" t="n">
        <v>46283</v>
      </c>
      <c r="D176" s="79" t="n">
        <v>200</v>
      </c>
      <c r="E176" s="112" t="inlineStr">
        <is>
          <t>Recebido</t>
        </is>
      </c>
      <c r="F176" s="112">
        <f>IF(OR($E176="Recebido",$C176=""),"",MAX(0,TODAY()-$C176))</f>
        <v/>
      </c>
      <c r="G176" s="78" t="inlineStr">
        <is>
          <t>Recebido via Pix em 19/09/2026 — lançado em "Set 2026".</t>
        </is>
      </c>
    </row>
    <row r="177" s="157">
      <c r="A177" s="78" t="inlineStr">
        <is>
          <t>Tatiana Rocha</t>
        </is>
      </c>
      <c r="B177" s="78" t="inlineStr">
        <is>
          <t>Refil Everest</t>
        </is>
      </c>
      <c r="C177" s="77" t="n">
        <v>46286</v>
      </c>
      <c r="D177" s="79" t="n">
        <v>140</v>
      </c>
      <c r="E177" s="112" t="inlineStr">
        <is>
          <t>Recebido</t>
        </is>
      </c>
      <c r="F177" s="112">
        <f>IF(OR($E177="Recebido",$C177=""),"",MAX(0,TODAY()-$C177))</f>
        <v/>
      </c>
      <c r="G177" s="78" t="inlineStr">
        <is>
          <t>Troca do dia 21/09/2026. Recebido via Pix em 22/09/2026 — lançado em "Set 2026".</t>
        </is>
      </c>
    </row>
    <row r="178" s="157">
      <c r="A178" s="78" t="inlineStr">
        <is>
          <t>Cleone Gomes de Andrade</t>
        </is>
      </c>
      <c r="B178" s="78" t="inlineStr">
        <is>
          <t>Refil Everest</t>
        </is>
      </c>
      <c r="C178" s="77" t="n">
        <v>46286</v>
      </c>
      <c r="D178" s="79" t="n">
        <v>140</v>
      </c>
      <c r="E178" s="112" t="inlineStr">
        <is>
          <t>Recebido</t>
        </is>
      </c>
      <c r="F178" s="112">
        <f>IF(OR($E178="Recebido",$C178=""),"",MAX(0,TODAY()-$C178))</f>
        <v/>
      </c>
      <c r="G178" s="78" t="inlineStr">
        <is>
          <t>Troca do dia 21/09/2026. Recebido via Pix em 21/09/2026.</t>
        </is>
      </c>
    </row>
    <row r="179" s="157">
      <c r="A179" s="78" t="inlineStr">
        <is>
          <t>Centro de Especialidades Odontomédicas</t>
        </is>
      </c>
      <c r="B179" s="78" t="inlineStr">
        <is>
          <t>2x Refil Everest</t>
        </is>
      </c>
      <c r="C179" s="77" t="n">
        <v>46044</v>
      </c>
      <c r="D179" s="79" t="n">
        <v>280</v>
      </c>
      <c r="E179" s="112" t="inlineStr">
        <is>
          <t>Pendente</t>
        </is>
      </c>
      <c r="F179" s="112">
        <f>IF(OR($E179="Recebido",$C179=""),"",MAX(0,TODAY()-$C179))</f>
        <v/>
      </c>
      <c r="G17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80" s="157">
      <c r="A180" s="78" t="inlineStr">
        <is>
          <t>Igreja Messiânica Mundial do Brasil</t>
        </is>
      </c>
      <c r="B180" s="78" t="inlineStr">
        <is>
          <t>Mangueira</t>
        </is>
      </c>
      <c r="C180" s="77" t="n">
        <v>46073</v>
      </c>
      <c r="D180" s="79" t="n">
        <v>30</v>
      </c>
      <c r="E180" s="112" t="inlineStr">
        <is>
          <t>Pendente</t>
        </is>
      </c>
      <c r="F180" s="112">
        <f>IF(OR($E180="Recebido",$C180=""),"",MAX(0,TODAY()-$C180))</f>
        <v/>
      </c>
      <c r="G180" s="78" t="inlineStr">
        <is>
          <t>NF-e 4075 de 20/02/2026 (CNPJ 62.647.383/0063-44). Conferido no DigiSat em 28/09/2026: não recebido.</t>
        </is>
      </c>
    </row>
    <row r="181" s="157">
      <c r="A181" s="78" t="inlineStr">
        <is>
          <t>Centro Médico de Jacobina</t>
        </is>
      </c>
      <c r="B181" s="78" t="inlineStr">
        <is>
          <t>2x Botão Completo</t>
        </is>
      </c>
      <c r="C181" s="77" t="n">
        <v>46203</v>
      </c>
      <c r="D181" s="79" t="n">
        <v>60</v>
      </c>
      <c r="E181" s="112" t="inlineStr">
        <is>
          <t>Pendente</t>
        </is>
      </c>
      <c r="F181" s="112">
        <f>IF(OR($E181="Recebido",$C181=""),"",MAX(0,TODAY()-$C181))</f>
        <v/>
      </c>
      <c r="G181" s="78" t="inlineStr">
        <is>
          <t>NF-e 4242 de 30/06/2026 (CNPJ 13.228.432/0001-04). Conferido no DigiSat em 28/09/2026: não recebido.</t>
        </is>
      </c>
    </row>
    <row r="182" s="157">
      <c r="A182" s="78" t="inlineStr">
        <is>
          <t>Vivencie Turismo Agencia de Viagens - Aneildes Rios</t>
        </is>
      </c>
      <c r="B182" s="78" t="inlineStr">
        <is>
          <t>Refil Everest</t>
        </is>
      </c>
      <c r="C182" s="77" t="n">
        <v>46294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29/09/2026. Recebido via Pix em 05/10/2026 — R$ 135,00 (Pix único de R$ 270,00 com as duas trocas; R$ 10,00 de desconto dividido).</t>
        </is>
      </c>
    </row>
    <row r="183" s="157">
      <c r="A183" s="78" t="inlineStr">
        <is>
          <t>Lapec</t>
        </is>
      </c>
      <c r="B183" s="78" t="inlineStr">
        <is>
          <t>Refil C+3</t>
        </is>
      </c>
      <c r="C183" s="77" t="n">
        <v>46294</v>
      </c>
      <c r="D183" s="79" t="n">
        <v>100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Pagamento previsto para 30/09/2026. Recebido em dinheiro em 14/10/2026 — lançado em "Set 2026".</t>
        </is>
      </c>
    </row>
    <row r="184" s="157">
      <c r="A184" s="78" t="inlineStr">
        <is>
          <t>PC Jacobina Administradora de Cartões LTDA - Cartão de Todos</t>
        </is>
      </c>
      <c r="B184" s="78" t="inlineStr">
        <is>
          <t>Refil Everest</t>
        </is>
      </c>
      <c r="C184" s="77" t="n">
        <v>46295</v>
      </c>
      <c r="D184" s="79" t="n">
        <v>140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Troca do dia 30/09/2026. Recebido via Pix em 01/10/2026 (comprovante enviado em 06/10/2026) — lançado em "Out 2026".</t>
        </is>
      </c>
    </row>
    <row r="185" s="157">
      <c r="A185" s="78" t="inlineStr">
        <is>
          <t>Aneilde Rios de Oliveira</t>
        </is>
      </c>
      <c r="B185" s="78" t="inlineStr">
        <is>
          <t>Refil Everest</t>
        </is>
      </c>
      <c r="C185" s="77" t="n">
        <v>46296</v>
      </c>
      <c r="D185" s="79" t="n">
        <v>140</v>
      </c>
      <c r="E185" s="112" t="inlineStr">
        <is>
          <t>Recebido</t>
        </is>
      </c>
      <c r="F185" s="112">
        <f>IF(OR($E185="Recebido",$C185=""),"",MAX(0,TODAY()-$C185))</f>
        <v/>
      </c>
      <c r="G185" s="78" t="inlineStr">
        <is>
          <t>Troca do dia 01/10/2026 (casa, Caeira). Recebido via Pix em 05/10/2026 — R$ 135,00 (Pix único de R$ 270,00 com as duas trocas; R$ 10,00 de desconto dividido).</t>
        </is>
      </c>
    </row>
    <row r="186" s="157">
      <c r="A186" s="78" t="inlineStr">
        <is>
          <t>Centro Medico da Chapada Diamantina LTDA</t>
        </is>
      </c>
      <c r="B186" s="78" t="inlineStr">
        <is>
          <t>Refil Pro Life + 2x Botão Completo</t>
        </is>
      </c>
      <c r="C186" s="77" t="n">
        <v>46296</v>
      </c>
      <c r="D186" s="79" t="n">
        <v>200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Subsolo — troca do dia 01/10/2026 (refil + 2 botões). Recebido em 05/10/2026 no crédito em 3x (pagamento único de R$ 400,00 pelas duas trocas).</t>
        </is>
      </c>
    </row>
    <row r="187" s="157">
      <c r="A187" s="78" t="inlineStr">
        <is>
          <t>Centro Medico da Chapada Diamantina LTDA</t>
        </is>
      </c>
      <c r="B187" s="78" t="inlineStr">
        <is>
          <t>Refil Pro Life + 2x Botão Completo</t>
        </is>
      </c>
      <c r="C187" s="77" t="n">
        <v>46297</v>
      </c>
      <c r="D187" s="79" t="n">
        <v>200</v>
      </c>
      <c r="E187" s="112" t="inlineStr">
        <is>
          <t>Recebido</t>
        </is>
      </c>
      <c r="F187" s="112">
        <f>IF(OR($E187="Recebido",$C187=""),"",MAX(0,TODAY()-$C187))</f>
        <v/>
      </c>
      <c r="G187" s="78" t="inlineStr">
        <is>
          <t>1º Andar — troca do dia 02/10/2026 (refil + 2 botões). Recebido em 05/10/2026 no crédito em 3x (pagamento único de R$ 400,00 pelas duas trocas).</t>
        </is>
      </c>
    </row>
    <row r="188" s="157">
      <c r="A188" s="78" t="inlineStr">
        <is>
          <t>Igreja Messiânica Mundial do Brasil</t>
        </is>
      </c>
      <c r="B188" s="78" t="inlineStr">
        <is>
          <t>Refil Everest</t>
        </is>
      </c>
      <c r="C188" s="77" t="n">
        <v>46300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05/10/2026. Mesmo cliente tem pendência de 20/02/2026 (Mangueira, R$ 30,00).</t>
        </is>
      </c>
    </row>
    <row r="189" s="157">
      <c r="A189" s="78" t="inlineStr">
        <is>
          <t>Rafael Landin Ribeiro</t>
        </is>
      </c>
      <c r="B189" s="78" t="inlineStr">
        <is>
          <t>Refil Everest</t>
        </is>
      </c>
      <c r="C189" s="77" t="n">
        <v>46304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09/10/2026. Recebido via Pix em 09/10/2026.</t>
        </is>
      </c>
    </row>
    <row r="190" s="157">
      <c r="A190" s="78" t="inlineStr">
        <is>
          <t>Restaurante Bonzão Bode - Aloisio Queiroz</t>
        </is>
      </c>
      <c r="B190" s="78" t="inlineStr">
        <is>
          <t>Refil Pro Life + Refil Universal (restante)</t>
        </is>
      </c>
      <c r="C190" s="77" t="n">
        <v>46304</v>
      </c>
      <c r="D190" s="79" t="n">
        <v>85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Venda de R$ 170,00 — R$ 85,00 pagos no débito em 09/10/2026; restante via Pix previsto para 16/10/2026.</t>
        </is>
      </c>
    </row>
    <row r="191" s="157">
      <c r="A191" s="78" t="inlineStr">
        <is>
          <t>Tropical Motos LTDA</t>
        </is>
      </c>
      <c r="B191" s="78" t="inlineStr">
        <is>
          <t>Refil Pro Life</t>
        </is>
      </c>
      <c r="C191" s="77" t="n">
        <v>46304</v>
      </c>
      <c r="D191" s="79" t="n">
        <v>140</v>
      </c>
      <c r="E191" s="112" t="inlineStr">
        <is>
          <t>Pendente</t>
        </is>
      </c>
      <c r="F191" s="112">
        <f>IF(OR($E191="Recebido",$C191=""),"",MAX(0,TODAY()-$C191))</f>
        <v/>
      </c>
      <c r="G191" s="78" t="inlineStr">
        <is>
          <t>Troca do dia 09/10/2026 — purificador do andar de cima.</t>
        </is>
      </c>
    </row>
    <row r="192" s="157">
      <c r="A192" s="78" t="inlineStr">
        <is>
          <t>Casa do Construtor</t>
        </is>
      </c>
      <c r="B192" s="78" t="inlineStr">
        <is>
          <t>Refil Everest</t>
        </is>
      </c>
      <c r="C192" s="77" t="n">
        <v>46310</v>
      </c>
      <c r="D192" s="79" t="n">
        <v>140</v>
      </c>
      <c r="E192" s="112" t="inlineStr">
        <is>
          <t>Recebido</t>
        </is>
      </c>
      <c r="F192" s="112">
        <f>IF(OR($E192="Recebido",$C192=""),"",MAX(0,TODAY()-$C192))</f>
        <v/>
      </c>
      <c r="G192" s="78" t="inlineStr">
        <is>
          <t>Troca do dia 15/10/2026. Recebido via Pix em 21/10/2026.</t>
        </is>
      </c>
    </row>
    <row r="193" s="157">
      <c r="A193" s="78" t="inlineStr">
        <is>
          <t>Lapec</t>
        </is>
      </c>
      <c r="B193" s="78" t="inlineStr">
        <is>
          <t>Refil E3 + Refil Everest</t>
        </is>
      </c>
      <c r="C193" s="77" t="n">
        <v>46310</v>
      </c>
      <c r="D193" s="79" t="n">
        <v>200</v>
      </c>
      <c r="E193" s="112" t="inlineStr">
        <is>
          <t>Pendente</t>
        </is>
      </c>
      <c r="F193" s="112">
        <f>IF(OR($E193="Recebido",$C193=""),"",MAX(0,TODAY()-$C193))</f>
        <v/>
      </c>
      <c r="G193" s="78" t="inlineStr">
        <is>
          <t>Compra do dia 15/10/2026 — Refil E3 R$ 80,00 + Refil Everest R$ 120,00.</t>
        </is>
      </c>
    </row>
    <row r="194" s="157">
      <c r="A194" s="78" t="inlineStr">
        <is>
          <t>Primeiro Tabelionato de Notas - Tatiana Miranda Siqueira</t>
        </is>
      </c>
      <c r="B194" s="78" t="inlineStr">
        <is>
          <t>Refil Everest</t>
        </is>
      </c>
      <c r="C194" s="77" t="n">
        <v>46310</v>
      </c>
      <c r="D194" s="79" t="n">
        <v>140</v>
      </c>
      <c r="E194" s="112" t="inlineStr">
        <is>
          <t>Recebido</t>
        </is>
      </c>
      <c r="F194" s="112">
        <f>IF(OR($E194="Recebido",$C194=""),"",MAX(0,TODAY()-$C194))</f>
        <v/>
      </c>
      <c r="G194" s="78" t="inlineStr">
        <is>
          <t>Troca do dia 15/10/2026. Recebido via Pix em 16/10/2026 — lançado em "Out 2026".</t>
        </is>
      </c>
    </row>
    <row r="195" s="157">
      <c r="A195" s="78" t="inlineStr">
        <is>
          <t>Colegio Oasis de Jacobina - Unopar</t>
        </is>
      </c>
      <c r="B195" s="78" t="inlineStr">
        <is>
          <t>2x Refil Plissado + 2x Carcaça 9"</t>
        </is>
      </c>
      <c r="C195" s="77" t="n">
        <v>46305</v>
      </c>
      <c r="D195" s="79" t="n">
        <v>400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2x Refil Plissado R$ 80,00 cada + 2x Carcaça 9" R$ 120,00 cada. Cláudio assinou para pagar depois. Falta enviar a NF.</t>
        </is>
      </c>
    </row>
    <row r="196" s="157">
      <c r="A196" s="78" t="inlineStr">
        <is>
          <t>DFLL Serviços Medicos Ltda - ImCardio - Instituto Materno Cardiologico</t>
        </is>
      </c>
      <c r="B196" s="78" t="inlineStr">
        <is>
          <t>Refil Everest + Pré Filtro (restante)</t>
        </is>
      </c>
      <c r="C196" s="77" t="n">
        <v>46311</v>
      </c>
      <c r="D196" s="79" t="n">
        <v>60</v>
      </c>
      <c r="E196" s="112" t="inlineStr">
        <is>
          <t>Recebido</t>
        </is>
      </c>
      <c r="F196" s="112">
        <f>IF(OR($E196="Recebido",$C196=""),"",MAX(0,TODAY()-$C196))</f>
        <v/>
      </c>
      <c r="G196" s="78" t="inlineStr">
        <is>
          <t>Troca do dia 16/10/2026 — bebedouro da recepção. Venda de R$ 200,00: R$ 140,00 pagos em dinheiro em 16/10/2026; falta R$ 60,00. Recebido em dinheiro em 20/10/2026.</t>
        </is>
      </c>
    </row>
    <row r="197" s="157">
      <c r="A197" s="78" t="inlineStr">
        <is>
          <t>Contabilidade Abreu</t>
        </is>
      </c>
      <c r="B197" s="78" t="inlineStr">
        <is>
          <t>Termostato</t>
        </is>
      </c>
      <c r="C197" s="77" t="n">
        <v>46311</v>
      </c>
      <c r="D197" s="79" t="n">
        <v>170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Troca de termostato do dia 16/10/2026.</t>
        </is>
      </c>
    </row>
    <row r="198" s="157">
      <c r="A198" s="78" t="inlineStr">
        <is>
          <t>Studio Malena Lorrane</t>
        </is>
      </c>
      <c r="B198" s="78" t="inlineStr">
        <is>
          <t>Refil Everest + Pré Filtro (restante)</t>
        </is>
      </c>
      <c r="C198" s="77" t="n">
        <v>46316</v>
      </c>
      <c r="D198" s="79" t="n">
        <v>150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Troca do dia 21/10/2026. Venda de R$ 190,00; R$ 40,00 pagos com serviço de sobrancelha para a Edilânia. Deve R$ 90,00 do refil + R$ 60,00 do pré-filtro.</t>
        </is>
      </c>
    </row>
    <row r="199" s="157">
      <c r="A199" s="78" t="inlineStr">
        <is>
          <t>Marsilia Marmores e Granitos Erelli</t>
        </is>
      </c>
      <c r="B199" s="78" t="inlineStr">
        <is>
          <t>Refil Everest</t>
        </is>
      </c>
      <c r="C199" s="77" t="n">
        <v>46314</v>
      </c>
      <c r="D199" s="79" t="n">
        <v>140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19/10/2026.</t>
        </is>
      </c>
    </row>
    <row r="200" s="157">
      <c r="A200" s="78" t="inlineStr">
        <is>
          <t>Banco do Nordeste do Brasil</t>
        </is>
      </c>
      <c r="B200" s="78" t="inlineStr">
        <is>
          <t>Refil Everest + Pré Filtro</t>
        </is>
      </c>
      <c r="C200" s="77" t="n">
        <v>46315</v>
      </c>
      <c r="D200" s="79" t="n">
        <v>200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Venda de 20/10/2026.</t>
        </is>
      </c>
    </row>
    <row r="201" s="157">
      <c r="A201" s="78" t="inlineStr">
        <is>
          <t>Magna dos Santos Carneiro Goncalves - Mirna</t>
        </is>
      </c>
      <c r="B201" s="78" t="inlineStr">
        <is>
          <t>Refil Everest</t>
        </is>
      </c>
      <c r="C201" s="77" t="n">
        <v>46315</v>
      </c>
      <c r="D201" s="79" t="n">
        <v>140</v>
      </c>
      <c r="E201" s="112" t="inlineStr">
        <is>
          <t>Pendente</t>
        </is>
      </c>
      <c r="F201" s="112">
        <f>IF(OR($E201="Recebido",$C201=""),"",MAX(0,TODAY()-$C201))</f>
        <v/>
      </c>
      <c r="G201" s="78" t="inlineStr">
        <is>
          <t>Venda de 20/10/2026.</t>
        </is>
      </c>
    </row>
    <row r="202" s="157">
      <c r="A202" s="78" t="inlineStr">
        <is>
          <t>Loja da Claro</t>
        </is>
      </c>
      <c r="B202" s="78" t="inlineStr">
        <is>
          <t>Refil Lacqua</t>
        </is>
      </c>
      <c r="C202" s="77" t="n">
        <v>46315</v>
      </c>
      <c r="D202" s="79" t="n">
        <v>80</v>
      </c>
      <c r="E202" s="112" t="inlineStr">
        <is>
          <t>Pendente</t>
        </is>
      </c>
      <c r="F202" s="112">
        <f>IF(OR($E202="Recebido",$C202=""),"",MAX(0,TODAY()-$C202))</f>
        <v/>
      </c>
      <c r="G202" s="78" t="inlineStr">
        <is>
          <t>Venda de 20/10/2026.</t>
        </is>
      </c>
    </row>
    <row r="203" s="157">
      <c r="A203" s="78" t="inlineStr">
        <is>
          <t>Leda Goretti Andrade Alves</t>
        </is>
      </c>
      <c r="B203" s="78" t="inlineStr">
        <is>
          <t>Limpeza de Refil</t>
        </is>
      </c>
      <c r="C203" s="77" t="n">
        <v>46319</v>
      </c>
      <c r="D203" s="79" t="n">
        <v>40</v>
      </c>
      <c r="E203" s="112" t="inlineStr">
        <is>
          <t>Pendente</t>
        </is>
      </c>
      <c r="F203" s="112">
        <f>IF(OR($E203="Recebido",$C203=""),"",MAX(0,TODAY()-$C203))</f>
        <v/>
      </c>
      <c r="G203" s="78" t="inlineStr">
        <is>
          <t>Limpeza do dia 24/10/2026. Vai pagar na semana que vem.</t>
        </is>
      </c>
    </row>
    <row r="204" s="157">
      <c r="A204" s="78" t="inlineStr">
        <is>
          <t>Clinica Amo - Mesquita Maia Atendimento Medico</t>
        </is>
      </c>
      <c r="B204" s="78" t="inlineStr">
        <is>
          <t>2x Botão Everest</t>
        </is>
      </c>
      <c r="C204" s="77" t="n">
        <v>46323</v>
      </c>
      <c r="D204" s="79" t="n">
        <v>60</v>
      </c>
      <c r="E204" s="112" t="inlineStr">
        <is>
          <t>Pendente</t>
        </is>
      </c>
      <c r="F204" s="112">
        <f>IF(OR($E204="Recebido",$C204=""),"",MAX(0,TODAY()-$C204))</f>
        <v/>
      </c>
      <c r="G204" s="78" t="inlineStr">
        <is>
          <t>Venda de 28/10/2026.</t>
        </is>
      </c>
    </row>
    <row r="205" s="157">
      <c r="A205" s="78" t="inlineStr">
        <is>
          <t>Nara Goveia da Silva</t>
        </is>
      </c>
      <c r="B205" s="78" t="inlineStr">
        <is>
          <t>Refil Pro Life</t>
        </is>
      </c>
      <c r="C205" s="77" t="n">
        <v>46323</v>
      </c>
      <c r="D205" s="79" t="n">
        <v>140</v>
      </c>
      <c r="E205" s="112" t="inlineStr">
        <is>
          <t>Pendente</t>
        </is>
      </c>
      <c r="F205" s="112">
        <f>IF(OR($E205="Recebido",$C205=""),"",MAX(0,TODAY()-$C205))</f>
        <v/>
      </c>
      <c r="G205" s="78" t="inlineStr">
        <is>
          <t>Troca do dia 28/10/2026. Vai pagar na semana que vem.</t>
        </is>
      </c>
    </row>
    <row r="206" s="157">
      <c r="A206" s="78" t="n"/>
      <c r="B206" s="78" t="n"/>
      <c r="C206" s="77" t="n"/>
      <c r="D206" s="79" t="n"/>
      <c r="E206" s="112" t="n"/>
      <c r="F206" s="112">
        <f>IF(OR($E206="Recebido",$C206=""),"",MAX(0,TODAY()-$C206))</f>
        <v/>
      </c>
      <c r="G206" s="78" t="n"/>
    </row>
    <row r="207" s="157">
      <c r="A207" s="78" t="n"/>
      <c r="B207" s="78" t="n"/>
      <c r="C207" s="77" t="n"/>
      <c r="D207" s="79" t="n"/>
      <c r="E207" s="112" t="n"/>
      <c r="F207" s="112">
        <f>IF(OR($E207="Recebido",$C207=""),"",MAX(0,TODAY()-$C207))</f>
        <v/>
      </c>
      <c r="G207" s="78" t="n"/>
    </row>
    <row r="208" s="157">
      <c r="A208" s="86" t="inlineStr">
        <is>
          <t>TOTAL EM ABERTO A RECEBER (detalhe)</t>
        </is>
      </c>
      <c r="D208" s="115">
        <f>SUMIF(E137:E207,"Pendente",D137:D207)</f>
        <v/>
      </c>
    </row>
    <row r="209" s="157">
      <c r="A209" s="202" t="inlineStr">
        <is>
          <t>CONFERÊNCIA COM AS ABAS DOS MESES</t>
        </is>
      </c>
      <c r="B209" s="159" t="n"/>
      <c r="C209" s="159" t="n"/>
      <c r="D209" s="159" t="n"/>
      <c r="E209" s="159" t="n"/>
      <c r="F209" s="159" t="n"/>
      <c r="G209" s="160" t="n"/>
    </row>
    <row r="210" s="157">
      <c r="A210" s="203">
        <f>IF(ROUND(D208-C5,2)=0,"OK — o detalhe acima bate com as vendas marcadas como Aguardando Pagamento nas abas dos meses.","ATENÇÃO: diferença de R$ "&amp;TEXT(ABS(D208-C5),"#,##0.00")&amp;" entre este detalhe e as abas dos meses — alguma venda mudou de status em um lado só.")</f>
        <v/>
      </c>
    </row>
    <row r="211" s="157">
      <c r="A21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5:G135"/>
    <mergeCell ref="A9:G9"/>
    <mergeCell ref="C5:D6"/>
    <mergeCell ref="A209:G209"/>
    <mergeCell ref="A5:B6"/>
    <mergeCell ref="E5:F6"/>
    <mergeCell ref="A2:G2"/>
    <mergeCell ref="A210:G210"/>
    <mergeCell ref="A134:G134"/>
    <mergeCell ref="C4:D4"/>
  </mergeCells>
  <dataValidations count="2">
    <dataValidation sqref="E11:E129" showDropDown="0" showInputMessage="0" showErrorMessage="0" allowBlank="1" type="list">
      <formula1>"Pendente,Pago,Previsto"</formula1>
    </dataValidation>
    <dataValidation sqref="E137:E20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90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>
        <v>46321</v>
      </c>
      <c r="B174" s="45" t="inlineStr">
        <is>
          <t>Eversoft</t>
        </is>
      </c>
      <c r="C174" s="45" t="n"/>
      <c r="D174" s="46" t="n"/>
      <c r="E174" s="45" t="n"/>
      <c r="F174" s="47" t="n"/>
      <c r="G174" s="48" t="n">
        <v>940.0599999999999</v>
      </c>
      <c r="H174" s="49" t="inlineStr">
        <is>
          <t>Fornecedores / Mercadoria</t>
        </is>
      </c>
      <c r="I174" s="45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7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44" t="n">
        <v>46322</v>
      </c>
      <c r="B176" s="45" t="inlineStr">
        <is>
          <t>Consumidor Final</t>
        </is>
      </c>
      <c r="C176" s="45" t="inlineStr">
        <is>
          <t>Refil FPA18</t>
        </is>
      </c>
      <c r="D176" s="46" t="n">
        <v>60</v>
      </c>
      <c r="E176" s="45" t="inlineStr">
        <is>
          <t>Crédito Parcelado</t>
        </is>
      </c>
      <c r="F176" s="47" t="n">
        <v>4.19</v>
      </c>
      <c r="G176" s="48" t="n"/>
      <c r="H176" s="49" t="n"/>
      <c r="I176" s="45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7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44" t="n">
        <v>46322</v>
      </c>
      <c r="B178" s="45" t="inlineStr">
        <is>
          <t>Dm Contabilidade Acessoria e Consultoria</t>
        </is>
      </c>
      <c r="C178" s="45" t="inlineStr">
        <is>
          <t>Refil Pro Life</t>
        </is>
      </c>
      <c r="D178" s="46" t="n">
        <v>140</v>
      </c>
      <c r="E178" s="45" t="inlineStr">
        <is>
          <t>Crédito Parcelado</t>
        </is>
      </c>
      <c r="F178" s="47" t="n">
        <v>9.789999999999999</v>
      </c>
      <c r="G178" s="48" t="n"/>
      <c r="H178" s="49" t="n"/>
      <c r="I178" s="45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7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feita em 27/10/2026, na cozinha (segundo purificador da cliente; o primeiro fica na área externa).</t>
        </is>
      </c>
      <c r="J179" s="18" t="inlineStr">
        <is>
          <t>CLI-0479</t>
        </is>
      </c>
    </row>
    <row r="180">
      <c r="A180" s="44" t="n">
        <v>46321</v>
      </c>
      <c r="B180" s="45" t="inlineStr">
        <is>
          <t>Combustível</t>
        </is>
      </c>
      <c r="C180" s="45" t="n"/>
      <c r="D180" s="46" t="n"/>
      <c r="E180" s="45" t="n"/>
      <c r="F180" s="47" t="n"/>
      <c r="G180" s="48" t="n">
        <v>30</v>
      </c>
      <c r="H180" s="49" t="inlineStr">
        <is>
          <t>Transporte e Entregas</t>
        </is>
      </c>
      <c r="I180" s="45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7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44" t="n">
        <v>46322</v>
      </c>
      <c r="B182" s="45" t="inlineStr">
        <is>
          <t>Fix English School</t>
        </is>
      </c>
      <c r="C182" s="45" t="n"/>
      <c r="D182" s="46" t="n"/>
      <c r="E182" s="45" t="n"/>
      <c r="F182" s="47" t="n"/>
      <c r="G182" s="48" t="n">
        <v>137</v>
      </c>
      <c r="H182" s="49" t="inlineStr">
        <is>
          <t>Pro Labore Edilânia</t>
        </is>
      </c>
      <c r="I182" s="45" t="inlineStr">
        <is>
          <t>Aulas de inglês — despesa particular. Fatura de 05/10/2026 (venc. 25/10/2026), boleto ContaAzul nosso número 00000006. Pago em 27/10/2026.</t>
        </is>
      </c>
    </row>
    <row r="183">
      <c r="A183" s="17" t="n">
        <v>46322</v>
      </c>
      <c r="B183" s="18" t="inlineStr">
        <is>
          <t>Combustível</t>
        </is>
      </c>
      <c r="C183" s="18" t="n"/>
      <c r="D183" s="27" t="n"/>
      <c r="E183" s="18" t="n"/>
      <c r="F183" s="19" t="n"/>
      <c r="G183" s="19" t="n">
        <v>20</v>
      </c>
      <c r="H183" s="21" t="inlineStr">
        <is>
          <t>Transporte e Entregas</t>
        </is>
      </c>
      <c r="I183" s="18" t="inlineStr">
        <is>
          <t>Gasolina comum 2,963 L a R$ 6,75/L — Posto da Praça (Lubrinessa XVI Comércio de Petróleo LTDA, CNPJ 29.922.765/0002-41, Praça 2 de Julho, 70, Centro, Jacobina), NFC-e nº 000392815 série 011 de 27/10/2026 14:16. Pago R$ 20,00 em dinheiro.</t>
        </is>
      </c>
      <c r="J183" s="18" t="n"/>
    </row>
    <row r="184">
      <c r="A184" s="44" t="n">
        <v>46323</v>
      </c>
      <c r="B184" s="45" t="inlineStr">
        <is>
          <t>Consumidor Final</t>
        </is>
      </c>
      <c r="C184" s="45" t="inlineStr">
        <is>
          <t>Registro</t>
        </is>
      </c>
      <c r="D184" s="46" t="n">
        <v>30</v>
      </c>
      <c r="E184" s="45" t="inlineStr">
        <is>
          <t>Débito</t>
        </is>
      </c>
      <c r="F184" s="47" t="n">
        <v>0.44</v>
      </c>
      <c r="G184" s="48" t="n"/>
      <c r="H184" s="49" t="n"/>
      <c r="I184" s="45" t="n"/>
    </row>
    <row r="185">
      <c r="A185" s="17" t="n">
        <v>46323</v>
      </c>
      <c r="B185" s="18" t="inlineStr">
        <is>
          <t>Consumidor Final</t>
        </is>
      </c>
      <c r="C185" s="18" t="inlineStr">
        <is>
          <t>Refil E3</t>
        </is>
      </c>
      <c r="D185" s="27" t="n">
        <v>70</v>
      </c>
      <c r="E185" s="18" t="inlineStr">
        <is>
          <t>Dinheiro</t>
        </is>
      </c>
      <c r="F185" s="19" t="n"/>
      <c r="G185" s="19" t="n"/>
      <c r="H185" s="21" t="n"/>
      <c r="I185" s="18" t="n"/>
      <c r="J185" s="18" t="n"/>
    </row>
    <row r="186">
      <c r="A186" s="44" t="n">
        <v>46323</v>
      </c>
      <c r="B186" s="45" t="inlineStr">
        <is>
          <t>Consumidor Final</t>
        </is>
      </c>
      <c r="C186" s="45" t="inlineStr">
        <is>
          <t>Conjunto Suporte</t>
        </is>
      </c>
      <c r="D186" s="46" t="n">
        <v>40</v>
      </c>
      <c r="E186" s="45" t="inlineStr">
        <is>
          <t>Pix</t>
        </is>
      </c>
      <c r="F186" s="47" t="n"/>
      <c r="G186" s="48" t="n"/>
      <c r="H186" s="49" t="n"/>
      <c r="I186" s="45" t="n"/>
    </row>
    <row r="187">
      <c r="A187" s="17" t="n">
        <v>46323</v>
      </c>
      <c r="B187" s="18" t="inlineStr">
        <is>
          <t>Clinica Amo - Mesquita Maia Atendimento Medico</t>
        </is>
      </c>
      <c r="C187" s="18" t="inlineStr">
        <is>
          <t>2x Botão Everest</t>
        </is>
      </c>
      <c r="D187" s="27" t="n">
        <v>60</v>
      </c>
      <c r="E187" s="18" t="inlineStr">
        <is>
          <t>Aguardando Pagamento</t>
        </is>
      </c>
      <c r="F187" s="19" t="n"/>
      <c r="G187" s="19" t="n"/>
      <c r="H187" s="21" t="n"/>
      <c r="I187" s="18" t="inlineStr">
        <is>
          <t>Venda de 28/10/2026 — aguardando pagamento.</t>
        </is>
      </c>
      <c r="J187" s="18" t="inlineStr">
        <is>
          <t>EMP-0068</t>
        </is>
      </c>
    </row>
    <row r="188">
      <c r="A188" s="44" t="n">
        <v>46323</v>
      </c>
      <c r="B188" s="45" t="inlineStr">
        <is>
          <t>Marineuza Goveia da Silva</t>
        </is>
      </c>
      <c r="C188" s="45" t="inlineStr">
        <is>
          <t>Refil Everest</t>
        </is>
      </c>
      <c r="D188" s="46" t="n">
        <v>40</v>
      </c>
      <c r="E188" s="45" t="inlineStr">
        <is>
          <t>Pix</t>
        </is>
      </c>
      <c r="F188" s="47" t="n"/>
      <c r="G188" s="48" t="n"/>
      <c r="H188" s="49" t="n"/>
      <c r="I188" s="45" t="inlineStr">
        <is>
          <t>Venda de R$ 140,00 paga em duas formas: R$ 40,00 Pix + R$ 100,00 dinheiro (linha abaixo).</t>
        </is>
      </c>
      <c r="J188" t="inlineStr">
        <is>
          <t>CLI-0497</t>
        </is>
      </c>
    </row>
    <row r="189">
      <c r="A189" s="17" t="n">
        <v>46323</v>
      </c>
      <c r="B189" s="18" t="inlineStr">
        <is>
          <t>Marineuza Goveia da Silva</t>
        </is>
      </c>
      <c r="C189" s="18" t="inlineStr">
        <is>
          <t>(Mesma venda acima — 2ª forma de pagamento, sem produtos novos)</t>
        </is>
      </c>
      <c r="D189" s="27" t="n">
        <v>100</v>
      </c>
      <c r="E189" s="18" t="inlineStr">
        <is>
          <t>Dinheiro</t>
        </is>
      </c>
      <c r="F189" s="19" t="n"/>
      <c r="G189" s="19" t="n"/>
      <c r="H189" s="21" t="n"/>
      <c r="I189" s="18" t="inlineStr">
        <is>
          <t>Venda de R$ 140,00 paga em duas formas: R$ 40,00 Pix (linha acima) + R$ 100,00 dinheiro.</t>
        </is>
      </c>
      <c r="J189" s="18" t="inlineStr">
        <is>
          <t>CLI-0497</t>
        </is>
      </c>
    </row>
    <row r="190">
      <c r="A190" s="44" t="n">
        <v>46323</v>
      </c>
      <c r="B190" s="45" t="inlineStr">
        <is>
          <t>Nara Goveia da Silva</t>
        </is>
      </c>
      <c r="C190" s="45" t="inlineStr">
        <is>
          <t>Refil Pro Life</t>
        </is>
      </c>
      <c r="D190" s="46" t="n">
        <v>140</v>
      </c>
      <c r="E190" s="45" t="inlineStr">
        <is>
          <t>Aguardando Pagamento</t>
        </is>
      </c>
      <c r="F190" s="47" t="n"/>
      <c r="G190" s="48" t="n"/>
      <c r="H190" s="49" t="n"/>
      <c r="I190" s="45" t="inlineStr">
        <is>
          <t>Troca do dia 28/10/2026. Vai pagar na semana que vem.</t>
        </is>
      </c>
      <c r="J190" t="inlineStr">
        <is>
          <t>CLI-0496</t>
        </is>
      </c>
    </row>
    <row r="191">
      <c r="A191" s="17" t="n">
        <v>46322</v>
      </c>
      <c r="B191" s="18" t="inlineStr">
        <is>
          <t>Acerto de Armando</t>
        </is>
      </c>
      <c r="C191" s="18" t="n"/>
      <c r="D191" s="27" t="n">
        <v>1600</v>
      </c>
      <c r="E191" s="18" t="inlineStr">
        <is>
          <t>Dinheiro</t>
        </is>
      </c>
      <c r="F191" s="19" t="n"/>
      <c r="G191" s="19" t="n"/>
      <c r="H191" s="21" t="n"/>
      <c r="I191" s="18" t="n"/>
      <c r="J191" s="18" t="n"/>
    </row>
    <row r="192">
      <c r="A192" s="44" t="n">
        <v>46323</v>
      </c>
      <c r="B192" s="45" t="inlineStr">
        <is>
          <t>Acerto de Armando</t>
        </is>
      </c>
      <c r="C192" s="45" t="n"/>
      <c r="D192" s="46" t="n">
        <v>1300</v>
      </c>
      <c r="E192" s="45" t="inlineStr">
        <is>
          <t>Pix</t>
        </is>
      </c>
      <c r="F192" s="47" t="n"/>
      <c r="G192" s="48" t="n"/>
      <c r="H192" s="49" t="n"/>
      <c r="I192" s="45" t="n"/>
    </row>
    <row r="193">
      <c r="A193" s="17" t="n">
        <v>46297</v>
      </c>
      <c r="B193" s="18" t="inlineStr">
        <is>
          <t>Acerto de Armando</t>
        </is>
      </c>
      <c r="C193" s="18" t="n"/>
      <c r="D193" s="27" t="n">
        <v>1350</v>
      </c>
      <c r="E193" s="18" t="inlineStr">
        <is>
          <t>Dinheiro</t>
        </is>
      </c>
      <c r="F193" s="19" t="n"/>
      <c r="G193" s="19" t="n"/>
      <c r="H193" s="21" t="n"/>
      <c r="I193" s="18" t="n"/>
      <c r="J193" s="18" t="n"/>
    </row>
    <row r="194">
      <c r="A194" s="44" t="n">
        <v>46311</v>
      </c>
      <c r="B194" s="45" t="inlineStr">
        <is>
          <t>Acerto de Armando</t>
        </is>
      </c>
      <c r="C194" s="45" t="n"/>
      <c r="D194" s="46" t="n">
        <v>400</v>
      </c>
      <c r="E194" s="45" t="inlineStr">
        <is>
          <t>Dinheiro</t>
        </is>
      </c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2026-10-28T20:27:25Z</dcterms:modified>
  <cp:lastModifiedBy>Planeta</cp:lastModifiedBy>
  <cp:revision>1</cp:revision>
</cp:coreProperties>
</file>