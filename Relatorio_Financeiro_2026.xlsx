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</fonts>
  <fills count="23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78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D36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4" t="inlineStr">
        <is>
          <t>Patrus Transportes Ltda</t>
        </is>
      </c>
      <c r="B25" s="94" t="inlineStr">
        <is>
          <t>Frete — fatura 26-08-913041 (CT-e 2117850, remetente Eversoft, NF 75472)</t>
        </is>
      </c>
      <c r="C25" s="93" t="n">
        <v>46281</v>
      </c>
      <c r="D25" s="95" t="n">
        <v>292.68</v>
      </c>
      <c r="E25" s="125" t="inlineStr">
        <is>
          <t>Pendente</t>
        </is>
      </c>
      <c r="F25" s="125">
        <f>IF(OR($E25="Pago",$C25=""),"",MAX(0,TODAY()-$C25))</f>
        <v/>
      </c>
      <c r="G25" s="94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0" t="inlineStr">
        <is>
          <t>FGTS Digital (GFD)</t>
        </is>
      </c>
      <c r="B26" s="90" t="inlineStr">
        <is>
          <t>FGTS mensal — competência 08/2026</t>
        </is>
      </c>
      <c r="C26" s="89" t="n">
        <v>46283</v>
      </c>
      <c r="D26" s="91" t="n">
        <v>136</v>
      </c>
      <c r="E26" s="124" t="inlineStr">
        <is>
          <t>Pendente</t>
        </is>
      </c>
      <c r="F26" s="125">
        <f>IF(OR($E26="Pago",$C26=""),"",MAX(0,TODAY()-$C26))</f>
        <v/>
      </c>
      <c r="G26" s="90" t="inlineStr">
        <is>
          <t>Categoria quando pagar: Impostos e Taxas.</t>
        </is>
      </c>
    </row>
    <row r="27">
      <c r="A27" s="94" t="inlineStr">
        <is>
          <t>Receita Federal</t>
        </is>
      </c>
      <c r="B27" s="94" t="inlineStr">
        <is>
          <t>DARF / INSS — período de apuração agosto/2026</t>
        </is>
      </c>
      <c r="C27" s="93" t="n">
        <v>46283</v>
      </c>
      <c r="D27" s="95" t="n">
        <v>306.99</v>
      </c>
      <c r="E27" s="125" t="inlineStr">
        <is>
          <t>Pendente</t>
        </is>
      </c>
      <c r="F27" s="124">
        <f>IF(OR($E27="Pago",$C27=""),"",MAX(0,TODAY()-$C27))</f>
        <v/>
      </c>
      <c r="G27" s="94" t="inlineStr">
        <is>
          <t>Categoria quando pagar: Impostos e Taxas.</t>
        </is>
      </c>
    </row>
    <row r="28">
      <c r="A28" s="94" t="n"/>
      <c r="B28" s="94" t="n"/>
      <c r="C28" s="93" t="n"/>
      <c r="D28" s="95" t="n"/>
      <c r="E28" s="125" t="n"/>
      <c r="F28" s="125">
        <f>IF(OR($E28="Pago",$C28=""),"",MAX(0,TODAY()-$C28))</f>
        <v/>
      </c>
      <c r="G28" s="94" t="n"/>
    </row>
    <row r="29">
      <c r="A29" s="90" t="n"/>
      <c r="B29" s="90" t="n"/>
      <c r="C29" s="89" t="n"/>
      <c r="D29" s="91" t="n"/>
      <c r="E29" s="124" t="n"/>
      <c r="F29" s="124">
        <f>IF(OR($E29="Pago",$C29=""),"",MAX(0,TODAY()-$C29))</f>
        <v/>
      </c>
      <c r="G29" s="90" t="n"/>
    </row>
    <row r="30">
      <c r="A30" s="94" t="n"/>
      <c r="B30" s="94" t="n"/>
      <c r="C30" s="93" t="n"/>
      <c r="D30" s="95" t="n"/>
      <c r="E30" s="125" t="n"/>
      <c r="F30" s="125">
        <f>IF(OR($E30="Pago",$C30=""),"",MAX(0,TODAY()-$C30))</f>
        <v/>
      </c>
      <c r="G30" s="94" t="n"/>
    </row>
    <row r="31">
      <c r="A31" s="90" t="n"/>
      <c r="B31" s="90" t="n"/>
      <c r="C31" s="89" t="n"/>
      <c r="D31" s="91" t="n"/>
      <c r="E31" s="124" t="n"/>
      <c r="F31" s="124">
        <f>IF(OR($E31="Pago",$C31=""),"",MAX(0,TODAY()-$C31))</f>
        <v/>
      </c>
      <c r="G31" s="90" t="n"/>
    </row>
    <row r="32">
      <c r="A32" s="94" t="n"/>
      <c r="B32" s="94" t="n"/>
      <c r="C32" s="93" t="n"/>
      <c r="D32" s="95" t="n"/>
      <c r="E32" s="125" t="n"/>
      <c r="F32" s="125">
        <f>IF(OR($E32="Pago",$C32=""),"",MAX(0,TODAY()-$C32))</f>
        <v/>
      </c>
      <c r="G32" s="94" t="n"/>
    </row>
    <row r="33">
      <c r="A33" s="90" t="n"/>
      <c r="B33" s="90" t="n"/>
      <c r="C33" s="89" t="n"/>
      <c r="D33" s="91" t="n"/>
      <c r="E33" s="124" t="n"/>
      <c r="F33" s="124">
        <f>IF(OR($E33="Pago",$C33=""),"",MAX(0,TODAY()-$C33))</f>
        <v/>
      </c>
      <c r="G33" s="90" t="n"/>
    </row>
    <row r="34">
      <c r="A34" s="94" t="n"/>
      <c r="B34" s="94" t="n"/>
      <c r="C34" s="93" t="n"/>
      <c r="D34" s="95" t="n"/>
      <c r="E34" s="125" t="n"/>
      <c r="F34" s="125">
        <f>IF(OR($E34="Pago",$C34=""),"",MAX(0,TODAY()-$C34))</f>
        <v/>
      </c>
      <c r="G34" s="94" t="n"/>
    </row>
    <row r="35">
      <c r="A35" s="90" t="n"/>
      <c r="B35" s="90" t="n"/>
      <c r="C35" s="89" t="n"/>
      <c r="D35" s="91" t="n"/>
      <c r="E35" s="124" t="n"/>
      <c r="F35" s="124">
        <f>IF(OR($E35="Pago",$C35=""),"",MAX(0,TODAY()-$C35))</f>
        <v/>
      </c>
      <c r="G35" s="90" t="n"/>
    </row>
    <row r="36">
      <c r="A36" s="98" t="inlineStr">
        <is>
          <t>TOTAL EM ABERTO A PAGAR</t>
        </is>
      </c>
      <c r="B36" s="98" t="n"/>
      <c r="C36" s="126" t="n"/>
      <c r="D36" s="127">
        <f>SUMIF(E11:E35,"Pendente",D11:D35)</f>
        <v/>
      </c>
      <c r="E36" s="128" t="n"/>
      <c r="F36" s="128" t="n"/>
      <c r="G36" s="98" t="n"/>
    </row>
    <row r="39" ht="21.95" customHeight="1" s="158">
      <c r="A39" s="202" t="inlineStr">
        <is>
          <t>CONTAS A RECEBER  —  vendas feitas e ainda não pagas</t>
        </is>
      </c>
    </row>
    <row r="40">
      <c r="A4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41" ht="26.1" customHeight="1" s="158">
      <c r="A41" s="123" t="inlineStr">
        <is>
          <t>Cliente</t>
        </is>
      </c>
      <c r="B41" s="123" t="inlineStr">
        <is>
          <t>Produto / Referência</t>
        </is>
      </c>
      <c r="C41" s="123" t="inlineStr">
        <is>
          <t>Data da Venda</t>
        </is>
      </c>
      <c r="D41" s="123" t="inlineStr">
        <is>
          <t>Valor (R$)</t>
        </is>
      </c>
      <c r="E41" s="123" t="inlineStr">
        <is>
          <t>Status</t>
        </is>
      </c>
      <c r="F41" s="123" t="inlineStr">
        <is>
          <t>Dias em Atraso</t>
        </is>
      </c>
      <c r="G41" s="123" t="inlineStr">
        <is>
          <t>Observações</t>
        </is>
      </c>
    </row>
    <row r="42">
      <c r="A42" s="90" t="inlineStr">
        <is>
          <t>Centro de Especialidades Odontomédicas</t>
        </is>
      </c>
      <c r="B42" s="90" t="inlineStr">
        <is>
          <t>Refil Everest</t>
        </is>
      </c>
      <c r="C42" s="89" t="n">
        <v>46239</v>
      </c>
      <c r="D42" s="91" t="n">
        <v>140</v>
      </c>
      <c r="E42" s="124" t="inlineStr">
        <is>
          <t>Pendente</t>
        </is>
      </c>
      <c r="F42" s="124">
        <f>IF(OR($E42="Recebido",$C42=""),"",MAX(0,TODAY()-$C42))</f>
        <v/>
      </c>
      <c r="G42" s="90" t="n"/>
    </row>
    <row r="43">
      <c r="A43" s="94" t="inlineStr">
        <is>
          <t>Supermercado Brasil</t>
        </is>
      </c>
      <c r="B43" s="94" t="inlineStr">
        <is>
          <t>2x Refil Pro Life</t>
        </is>
      </c>
      <c r="C43" s="93" t="n">
        <v>46239</v>
      </c>
      <c r="D43" s="95" t="n">
        <v>280</v>
      </c>
      <c r="E43" s="125" t="inlineStr">
        <is>
          <t>Pendente</t>
        </is>
      </c>
      <c r="F43" s="125">
        <f>IF(OR($E43="Recebido",$C43=""),"",MAX(0,TODAY()-$C43))</f>
        <v/>
      </c>
      <c r="G43" s="94" t="n"/>
    </row>
    <row r="44">
      <c r="A44" s="90" t="inlineStr">
        <is>
          <t>Tropical Motos LTDA</t>
        </is>
      </c>
      <c r="B44" s="90" t="inlineStr">
        <is>
          <t>3x Refil Everest + Refil Pro Life + 3x Pré Filtro + Válvula Reguladora de Pressão</t>
        </is>
      </c>
      <c r="C44" s="89" t="n">
        <v>46245</v>
      </c>
      <c r="D44" s="91" t="n">
        <v>820</v>
      </c>
      <c r="E44" s="124" t="inlineStr">
        <is>
          <t>Recebido</t>
        </is>
      </c>
      <c r="F44" s="124">
        <f>IF(OR($E44="Recebido",$C44=""),"",MAX(0,TODAY()-$C44))</f>
        <v/>
      </c>
      <c r="G44" s="90" t="inlineStr">
        <is>
          <t>Recebido via TED em 25/08/2026. NF conferida: valor correto é R$820 (faltava a válvula no lançamento original de R$740).</t>
        </is>
      </c>
    </row>
    <row r="45">
      <c r="A45" s="94" t="inlineStr">
        <is>
          <t>Free Way</t>
        </is>
      </c>
      <c r="B45" s="94" t="inlineStr">
        <is>
          <t>5x Refil Everest</t>
        </is>
      </c>
      <c r="C45" s="93" t="n">
        <v>46251</v>
      </c>
      <c r="D45" s="95" t="n">
        <v>700</v>
      </c>
      <c r="E45" s="125" t="inlineStr">
        <is>
          <t>Recebido</t>
        </is>
      </c>
      <c r="F45" s="125">
        <f>IF(OR($E45="Recebido",$C45=""),"",MAX(0,TODAY()-$C45))</f>
        <v/>
      </c>
      <c r="G45" s="94" t="inlineStr">
        <is>
          <t>Recebido via TED em 02/09/2026.</t>
        </is>
      </c>
    </row>
    <row r="46">
      <c r="A46" s="90" t="inlineStr">
        <is>
          <t>Neli Sena Rego</t>
        </is>
      </c>
      <c r="B46" s="90" t="inlineStr">
        <is>
          <t>Refil Pro Life</t>
        </is>
      </c>
      <c r="C46" s="89" t="n">
        <v>46254</v>
      </c>
      <c r="D46" s="91" t="n">
        <v>140</v>
      </c>
      <c r="E46" s="124" t="inlineStr">
        <is>
          <t>Recebido</t>
        </is>
      </c>
      <c r="F46" s="124">
        <f>IF(OR($E46="Recebido",$C46=""),"",MAX(0,TODAY()-$C46))</f>
        <v/>
      </c>
      <c r="G46" s="90" t="inlineStr">
        <is>
          <t>Recebido em dinheiro em 01/09/2026 (R$ 170,00 pelas duas vendas)</t>
        </is>
      </c>
    </row>
    <row r="47">
      <c r="A47" s="94" t="inlineStr">
        <is>
          <t>Neli Sena Rego</t>
        </is>
      </c>
      <c r="B47" s="94" t="inlineStr">
        <is>
          <t>Conexão + Mangueira</t>
        </is>
      </c>
      <c r="C47" s="93" t="n">
        <v>46255</v>
      </c>
      <c r="D47" s="95" t="n">
        <v>40</v>
      </c>
      <c r="E47" s="125" t="inlineStr">
        <is>
          <t>Recebido</t>
        </is>
      </c>
      <c r="F47" s="125">
        <f>IF(OR($E47="Recebido",$C47=""),"",MAX(0,TODAY()-$C47))</f>
        <v/>
      </c>
      <c r="G47" s="94" t="inlineStr">
        <is>
          <t>Recebido em dinheiro em 01/09/2026 (R$ 170,00 pelas duas vendas)</t>
        </is>
      </c>
    </row>
    <row r="48">
      <c r="A48" s="90" t="inlineStr">
        <is>
          <t>Lapec</t>
        </is>
      </c>
      <c r="B48" s="90" t="inlineStr">
        <is>
          <t>4x Refil Everest</t>
        </is>
      </c>
      <c r="C48" s="89" t="n">
        <v>46258</v>
      </c>
      <c r="D48" s="91" t="n">
        <v>480</v>
      </c>
      <c r="E48" s="124" t="inlineStr">
        <is>
          <t>Recebido</t>
        </is>
      </c>
      <c r="F48" s="124">
        <f>IF(OR($E48="Recebido",$C48=""),"",MAX(0,TODAY()-$C48))</f>
        <v/>
      </c>
      <c r="G48" s="90" t="inlineStr">
        <is>
          <t>Recebido em dinheiro em 08/09/2026 — lançado em "Set 2026".</t>
        </is>
      </c>
    </row>
    <row r="49">
      <c r="A49" s="94" t="inlineStr">
        <is>
          <t>Cícero Lima</t>
        </is>
      </c>
      <c r="B49" s="94" t="inlineStr">
        <is>
          <t>Refil Everest</t>
        </is>
      </c>
      <c r="C49" s="93" t="n">
        <v>46261</v>
      </c>
      <c r="D49" s="95" t="n">
        <v>140</v>
      </c>
      <c r="E49" s="125" t="inlineStr">
        <is>
          <t>Recebido</t>
        </is>
      </c>
      <c r="F49" s="125">
        <f>IF(OR($E49="Recebido",$C49=""),"",MAX(0,TODAY()-$C49))</f>
        <v/>
      </c>
      <c r="G49" s="94" t="inlineStr">
        <is>
          <t>Recebido via Pix em 27/08/2026</t>
        </is>
      </c>
    </row>
    <row r="50">
      <c r="A50" s="90" t="inlineStr">
        <is>
          <t>Promotoria Regional de Jacobina</t>
        </is>
      </c>
      <c r="B50" s="90" t="inlineStr">
        <is>
          <t>2x Carcaça 9" + 2x Refil Plissado 9" + Conexão Reta Rosca</t>
        </is>
      </c>
      <c r="C50" s="89" t="n">
        <v>46261</v>
      </c>
      <c r="D50" s="91" t="n">
        <v>470</v>
      </c>
      <c r="E50" s="124" t="inlineStr">
        <is>
          <t>Recebido</t>
        </is>
      </c>
      <c r="F50" s="124">
        <f>IF(OR($E50="Recebido",$C50=""),"",MAX(0,TODAY()-$C50))</f>
        <v/>
      </c>
      <c r="G50" s="90" t="inlineStr">
        <is>
          <t>Pago em 28/08/2026 em duas formas: R$ 270,00 Pix + R$ 200,00 crédito 2x</t>
        </is>
      </c>
    </row>
    <row r="51">
      <c r="A51" s="94" t="inlineStr">
        <is>
          <t>Lucas Souza</t>
        </is>
      </c>
      <c r="B51" s="94" t="inlineStr">
        <is>
          <t>Refil Everest + Pré Filtro</t>
        </is>
      </c>
      <c r="C51" s="93" t="n">
        <v>46261</v>
      </c>
      <c r="D51" s="95" t="n">
        <v>200</v>
      </c>
      <c r="E51" s="125" t="inlineStr">
        <is>
          <t>Recebido</t>
        </is>
      </c>
      <c r="F51" s="125">
        <f>IF(OR($E51="Recebido",$C51=""),"",MAX(0,TODAY()-$C51))</f>
        <v/>
      </c>
      <c r="G51" s="94" t="inlineStr">
        <is>
          <t>Recebido em dinheiro em 03/09/2026 — lançado em "Set 2026".</t>
        </is>
      </c>
    </row>
    <row r="52">
      <c r="A52" s="90" t="inlineStr">
        <is>
          <t>FG Boa Vista (Recife/PE)</t>
        </is>
      </c>
      <c r="B52" s="90" t="inlineStr">
        <is>
          <t>Refis — troca de julho/2026</t>
        </is>
      </c>
      <c r="C52" s="89" t="n">
        <v>46261</v>
      </c>
      <c r="D52" s="91" t="n">
        <v>1008.8</v>
      </c>
      <c r="E52" s="124" t="inlineStr">
        <is>
          <t>Recebido</t>
        </is>
      </c>
      <c r="F52" s="124">
        <f>IF(OR($E52="Recebido",$C52=""),"",MAX(0,TODAY()-$C52))</f>
        <v/>
      </c>
      <c r="G52" s="90" t="inlineStr">
        <is>
          <t>Grupo Ânima — NF 000.004.280 · recebido em 30/08/2026 (Nota Paga no portal V360)</t>
        </is>
      </c>
    </row>
    <row r="53">
      <c r="A53" s="94" t="inlineStr">
        <is>
          <t>UNIFG Guanambi (Guanambi/BA)</t>
        </is>
      </c>
      <c r="B53" s="94" t="inlineStr">
        <is>
          <t>Refis — troca de julho/2026</t>
        </is>
      </c>
      <c r="C53" s="93" t="n">
        <v>46261</v>
      </c>
      <c r="D53" s="95" t="n">
        <v>4534.75</v>
      </c>
      <c r="E53" s="125" t="inlineStr">
        <is>
          <t>Recebido</t>
        </is>
      </c>
      <c r="F53" s="125">
        <f>IF(OR($E53="Recebido",$C53=""),"",MAX(0,TODAY()-$C53))</f>
        <v/>
      </c>
      <c r="G53" s="94" t="inlineStr">
        <is>
          <t>Grupo Ânima — NF 000.004.281 · recebido em 30/08/2026 (Nota Paga no portal V360)</t>
        </is>
      </c>
    </row>
    <row r="54">
      <c r="A54" s="90" t="inlineStr">
        <is>
          <t>UNP Zona Norte (Natal/RN)</t>
        </is>
      </c>
      <c r="B54" s="90" t="inlineStr">
        <is>
          <t>Refis — troca de julho/2026</t>
        </is>
      </c>
      <c r="C54" s="89" t="n">
        <v>46261</v>
      </c>
      <c r="D54" s="91" t="n">
        <v>870</v>
      </c>
      <c r="E54" s="124" t="inlineStr">
        <is>
          <t>Recebido</t>
        </is>
      </c>
      <c r="F54" s="124">
        <f>IF(OR($E54="Recebido",$C54=""),"",MAX(0,TODAY()-$C54))</f>
        <v/>
      </c>
      <c r="G54" s="90" t="inlineStr">
        <is>
          <t>Grupo Ânima — NF 000.004.282 · recebido em 30/08/2026 (Nota Paga no portal V360)</t>
        </is>
      </c>
    </row>
    <row r="55">
      <c r="A55" s="94" t="inlineStr">
        <is>
          <t>UNP Caicó (Caicó/RN)</t>
        </is>
      </c>
      <c r="B55" s="94" t="inlineStr">
        <is>
          <t>Refis — troca de julho/2026</t>
        </is>
      </c>
      <c r="C55" s="93" t="n">
        <v>46261</v>
      </c>
      <c r="D55" s="95" t="n">
        <v>440</v>
      </c>
      <c r="E55" s="125" t="inlineStr">
        <is>
          <t>Recebido</t>
        </is>
      </c>
      <c r="F55" s="125">
        <f>IF(OR($E55="Recebido",$C55=""),"",MAX(0,TODAY()-$C55))</f>
        <v/>
      </c>
      <c r="G55" s="94" t="inlineStr">
        <is>
          <t>Grupo Ânima — NF 000.004.283 · recebido via Pix em 27/08/2026</t>
        </is>
      </c>
    </row>
    <row r="56">
      <c r="A56" s="90" t="inlineStr">
        <is>
          <t>AGES Irecê (Irecê/BA)</t>
        </is>
      </c>
      <c r="B56" s="90" t="inlineStr">
        <is>
          <t>Refis — troca de julho/2026</t>
        </is>
      </c>
      <c r="C56" s="89" t="n">
        <v>46269</v>
      </c>
      <c r="D56" s="91" t="n">
        <v>1338.6</v>
      </c>
      <c r="E56" s="124" t="inlineStr">
        <is>
          <t>Recebido</t>
        </is>
      </c>
      <c r="F56" s="124">
        <f>IF(OR($E56="Recebido",$C56=""),"",MAX(0,TODAY()-$C56))</f>
        <v/>
      </c>
      <c r="G56" s="90" t="inlineStr">
        <is>
          <t>Grupo Ânima — NF 000.004.294 · recebido via Pix em 04/09/2026.</t>
        </is>
      </c>
    </row>
    <row r="57">
      <c r="A57" s="94" t="inlineStr">
        <is>
          <t>CIS Irecê (Irecê/BA)</t>
        </is>
      </c>
      <c r="B57" s="94" t="inlineStr">
        <is>
          <t>Refis — troca de julho/2026</t>
        </is>
      </c>
      <c r="C57" s="93" t="n">
        <v>46269</v>
      </c>
      <c r="D57" s="95" t="n">
        <v>1358</v>
      </c>
      <c r="E57" s="125" t="inlineStr">
        <is>
          <t>Recebido</t>
        </is>
      </c>
      <c r="F57" s="125">
        <f>IF(OR($E57="Recebido",$C57=""),"",MAX(0,TODAY()-$C57))</f>
        <v/>
      </c>
      <c r="G57" s="94" t="inlineStr">
        <is>
          <t>Grupo Ânima — NF 000.004.295 · recebido via Pix em 04/09/2026.</t>
        </is>
      </c>
    </row>
    <row r="58">
      <c r="A58" s="90" t="inlineStr">
        <is>
          <t>AGES Senhor do Bonfim (S. do Bonfim/BA)</t>
        </is>
      </c>
      <c r="B58" s="90" t="inlineStr">
        <is>
          <t>Refis — troca de julho/2026</t>
        </is>
      </c>
      <c r="C58" s="89" t="n">
        <v>46270</v>
      </c>
      <c r="D58" s="91" t="n">
        <v>649.9</v>
      </c>
      <c r="E58" s="124" t="inlineStr">
        <is>
          <t>Recebido</t>
        </is>
      </c>
      <c r="F58" s="124">
        <f>IF(OR($E58="Recebido",$C58=""),"",MAX(0,TODAY()-$C58))</f>
        <v/>
      </c>
      <c r="G58" s="90" t="inlineStr">
        <is>
          <t>Grupo Ânima — NF 000.004.298 · recebido via Pix em 08/09/2026.</t>
        </is>
      </c>
    </row>
    <row r="59">
      <c r="A59" s="94" t="inlineStr">
        <is>
          <t>CIS Senhor do Bonfim (S. do Bonfim/BA)</t>
        </is>
      </c>
      <c r="B59" s="94" t="inlineStr">
        <is>
          <t>Refis — troca de julho/2026</t>
        </is>
      </c>
      <c r="C59" s="93" t="n">
        <v>46270</v>
      </c>
      <c r="D59" s="95" t="n">
        <v>562.6</v>
      </c>
      <c r="E59" s="125" t="inlineStr">
        <is>
          <t>Recebido</t>
        </is>
      </c>
      <c r="F59" s="125">
        <f>IF(OR($E59="Recebido",$C59=""),"",MAX(0,TODAY()-$C59))</f>
        <v/>
      </c>
      <c r="G59" s="94" t="inlineStr">
        <is>
          <t>Grupo Ânima — NF 000.004.299 · recebido via Pix em 08/09/2026.</t>
        </is>
      </c>
    </row>
    <row r="60">
      <c r="A60" s="90" t="inlineStr">
        <is>
          <t>AGES Paripiranga (Paripiranga/BA)</t>
        </is>
      </c>
      <c r="B60" s="90" t="inlineStr">
        <is>
          <t>Refis — troca de julho/2026</t>
        </is>
      </c>
      <c r="C60" s="89" t="n">
        <v>46270</v>
      </c>
      <c r="D60" s="91" t="n">
        <v>1086.4</v>
      </c>
      <c r="E60" s="124" t="inlineStr">
        <is>
          <t>Recebido</t>
        </is>
      </c>
      <c r="F60" s="124">
        <f>IF(OR($E60="Recebido",$C60=""),"",MAX(0,TODAY()-$C60))</f>
        <v/>
      </c>
      <c r="G60" s="90" t="inlineStr">
        <is>
          <t>Grupo Ânima — NF 000.004.300 · recebido via Pix em 08/09/2026.</t>
        </is>
      </c>
    </row>
    <row r="61">
      <c r="A61" s="94" t="inlineStr">
        <is>
          <t>Clínica Veterinária Paripiranga (Paripiranga/BA)</t>
        </is>
      </c>
      <c r="B61" s="94" t="inlineStr">
        <is>
          <t>Refis — troca de julho/2026</t>
        </is>
      </c>
      <c r="C61" s="93" t="n">
        <v>46270</v>
      </c>
      <c r="D61" s="95" t="n">
        <v>1265.85</v>
      </c>
      <c r="E61" s="125" t="inlineStr">
        <is>
          <t>Recebido</t>
        </is>
      </c>
      <c r="F61" s="125">
        <f>IF(OR($E61="Recebido",$C61=""),"",MAX(0,TODAY()-$C61))</f>
        <v/>
      </c>
      <c r="G61" s="94" t="inlineStr">
        <is>
          <t>Grupo Ânima — NF 000.004.301 · recebido via Pix em 08/09/2026.</t>
        </is>
      </c>
    </row>
    <row r="62">
      <c r="A62" s="90" t="inlineStr">
        <is>
          <t>UNP Mossoró (Mossoró/RN)</t>
        </is>
      </c>
      <c r="B62" s="90" t="inlineStr">
        <is>
          <t>Refis — troca de julho/2026</t>
        </is>
      </c>
      <c r="C62" s="89" t="n">
        <v>46270</v>
      </c>
      <c r="D62" s="91" t="n">
        <v>1867.25</v>
      </c>
      <c r="E62" s="124" t="inlineStr">
        <is>
          <t>Recebido</t>
        </is>
      </c>
      <c r="F62" s="124">
        <f>IF(OR($E62="Recebido",$C62=""),"",MAX(0,TODAY()-$C62))</f>
        <v/>
      </c>
      <c r="G62" s="90" t="inlineStr">
        <is>
          <t>Grupo Ânima — NF 000.004.302 · recebido via Pix em 08/09/2026.</t>
        </is>
      </c>
    </row>
    <row r="63">
      <c r="A63" s="94" t="inlineStr">
        <is>
          <t>CIS Jacobina (Jacobina/BA)</t>
        </is>
      </c>
      <c r="B63" s="94" t="inlineStr">
        <is>
          <t>Refis — troca de julho/2026</t>
        </is>
      </c>
      <c r="C63" s="93" t="n">
        <v>46290</v>
      </c>
      <c r="D63" s="95" t="n">
        <v>2095.2</v>
      </c>
      <c r="E63" s="125" t="inlineStr">
        <is>
          <t>Pendente</t>
        </is>
      </c>
      <c r="F63" s="125">
        <f>IF(OR($E63="Recebido",$C63=""),"",MAX(0,TODAY()-$C63))</f>
        <v/>
      </c>
      <c r="G63" s="94" t="inlineStr">
        <is>
          <t>Grupo Ânima — NF 000.004.333 de 26/08/2026 · OC AEMPPO00004452 · 30 dias</t>
        </is>
      </c>
    </row>
    <row r="64">
      <c r="A64" s="90" t="inlineStr">
        <is>
          <t>AGES Jacobina (Jacobina/BA)</t>
        </is>
      </c>
      <c r="B64" s="90" t="inlineStr">
        <is>
          <t>Refis — troca de julho/2026</t>
        </is>
      </c>
      <c r="C64" s="89" t="n">
        <v>46305</v>
      </c>
      <c r="D64" s="91" t="n">
        <v>1188.25</v>
      </c>
      <c r="E64" s="124" t="inlineStr">
        <is>
          <t>Pendente</t>
        </is>
      </c>
      <c r="F64" s="124">
        <f>IF(OR($E64="Recebido",$C64=""),"",MAX(0,TODAY()-$C64))</f>
        <v/>
      </c>
      <c r="G64" s="90" t="inlineStr">
        <is>
          <t>Grupo Ânima — NF 000.004.332 de 26/08/2026 · OC AEMPPO00004453 · 45 dias</t>
        </is>
      </c>
    </row>
    <row r="65">
      <c r="A65" s="94" t="inlineStr">
        <is>
          <t>Instituto Paulo Leão</t>
        </is>
      </c>
      <c r="B65" s="94" t="inlineStr">
        <is>
          <t>Refil E3 + Pré Filtro</t>
        </is>
      </c>
      <c r="C65" s="93" t="n">
        <v>46265</v>
      </c>
      <c r="D65" s="95" t="n">
        <v>160</v>
      </c>
      <c r="E65" s="125" t="inlineStr">
        <is>
          <t>Recebido</t>
        </is>
      </c>
      <c r="F65" s="125">
        <f>IF(OR($E65="Recebido",$C65=""),"",MAX(0,TODAY()-$C65))</f>
        <v/>
      </c>
      <c r="G65" s="94" t="inlineStr">
        <is>
          <t>Recebido via Pix em 08/09/2026 — lançado em "Set 2026".</t>
        </is>
      </c>
    </row>
    <row r="66">
      <c r="A66" s="90" t="inlineStr">
        <is>
          <t>Eletronic Segurança Eletronica</t>
        </is>
      </c>
      <c r="B66" s="90" t="inlineStr">
        <is>
          <t>Pré Filtro</t>
        </is>
      </c>
      <c r="C66" s="89" t="n">
        <v>46265</v>
      </c>
      <c r="D66" s="91" t="n">
        <v>60</v>
      </c>
      <c r="E66" s="124" t="inlineStr">
        <is>
          <t>Recebido</t>
        </is>
      </c>
      <c r="F66" s="124">
        <f>IF(OR($E66="Recebido",$C66=""),"",MAX(0,TODAY()-$C66))</f>
        <v/>
      </c>
      <c r="G66" s="90" t="inlineStr">
        <is>
          <t>Recebido via Pix em 03/09/2026.</t>
        </is>
      </c>
    </row>
    <row r="67">
      <c r="A67" s="94" t="inlineStr">
        <is>
          <t>Clube dos Mineiros</t>
        </is>
      </c>
      <c r="B67" s="94" t="inlineStr">
        <is>
          <t>Refil Pro Life</t>
        </is>
      </c>
      <c r="C67" s="93" t="n">
        <v>46265</v>
      </c>
      <c r="D67" s="95" t="n">
        <v>150</v>
      </c>
      <c r="E67" s="125" t="inlineStr">
        <is>
          <t>Recebido</t>
        </is>
      </c>
      <c r="F67" s="125">
        <f>IF(OR($E67="Recebido",$C67=""),"",MAX(0,TODAY()-$C67))</f>
        <v/>
      </c>
      <c r="G67" s="94" t="inlineStr">
        <is>
          <t>Recebido via Pix em 01/09/2026 (pagador: Sindicato dos Mineiros de Jacobina).</t>
        </is>
      </c>
    </row>
    <row r="68">
      <c r="A68" s="90" t="inlineStr">
        <is>
          <t>Armazem Cecilio Mota</t>
        </is>
      </c>
      <c r="B68" s="90" t="inlineStr">
        <is>
          <t>Refil Everest + Refil Carbon 9"</t>
        </is>
      </c>
      <c r="C68" s="89" t="n">
        <v>46266</v>
      </c>
      <c r="D68" s="91" t="n">
        <v>225</v>
      </c>
      <c r="E68" s="124" t="inlineStr">
        <is>
          <t>Pendente</t>
        </is>
      </c>
      <c r="F68" s="124">
        <f>IF(OR($E68="Recebido",$C68=""),"",MAX(0,TODAY()-$C68))</f>
        <v/>
      </c>
      <c r="G68" s="90" t="n"/>
    </row>
    <row r="69">
      <c r="A69" s="94" t="inlineStr">
        <is>
          <t>Clebson Dantas Da Silva</t>
        </is>
      </c>
      <c r="B69" s="94" t="inlineStr">
        <is>
          <t>Refil Everest</t>
        </is>
      </c>
      <c r="C69" s="93" t="n">
        <v>46266</v>
      </c>
      <c r="D69" s="95" t="n">
        <v>140</v>
      </c>
      <c r="E69" s="125" t="inlineStr">
        <is>
          <t>Recebido</t>
        </is>
      </c>
      <c r="F69" s="125">
        <f>IF(OR($E69="Recebido",$C69=""),"",MAX(0,TODAY()-$C69))</f>
        <v/>
      </c>
      <c r="G69" s="94" t="inlineStr">
        <is>
          <t>Recebido via Pix em 02/09/2026</t>
        </is>
      </c>
    </row>
    <row r="70">
      <c r="A70" s="94" t="inlineStr">
        <is>
          <t>Tesla Imagem Medicina Diagnostica Ltda</t>
        </is>
      </c>
      <c r="B70" s="94" t="inlineStr">
        <is>
          <t>3x Refil Everest + 2x Pré Filtro</t>
        </is>
      </c>
      <c r="C70" s="93" t="n">
        <v>46267</v>
      </c>
      <c r="D70" s="95" t="n">
        <v>540</v>
      </c>
      <c r="E70" s="125" t="inlineStr">
        <is>
          <t>Pendente</t>
        </is>
      </c>
      <c r="F70" s="125">
        <f>IF(OR($E70="Recebido",$C70=""),"",MAX(0,TODAY()-$C70))</f>
        <v/>
      </c>
      <c r="G70" s="94" t="inlineStr">
        <is>
          <t>Troca do dia 02/09/2026 — 1º Andar, Térreo e Copa</t>
        </is>
      </c>
    </row>
    <row r="71">
      <c r="A71" s="90" t="inlineStr">
        <is>
          <t>Cecilio Mota Junior</t>
        </is>
      </c>
      <c r="B71" s="90" t="inlineStr">
        <is>
          <t>Refil Everest</t>
        </is>
      </c>
      <c r="C71" s="89" t="n">
        <v>46267</v>
      </c>
      <c r="D71" s="91" t="n">
        <v>140</v>
      </c>
      <c r="E71" s="124" t="inlineStr">
        <is>
          <t>Pendente</t>
        </is>
      </c>
      <c r="F71" s="124">
        <f>IF(OR($E71="Recebido",$C71=""),"",MAX(0,TODAY()-$C71))</f>
        <v/>
      </c>
      <c r="G71" s="90" t="n"/>
    </row>
    <row r="72">
      <c r="A72" s="90" t="inlineStr">
        <is>
          <t>Tereza Cristina Aquino Martins - Luiz Augusto</t>
        </is>
      </c>
      <c r="B72" s="90" t="inlineStr">
        <is>
          <t>Refil Everest + Pré Filtro</t>
        </is>
      </c>
      <c r="C72" s="89" t="n">
        <v>46268</v>
      </c>
      <c r="D72" s="91" t="n">
        <v>200</v>
      </c>
      <c r="E72" s="124" t="inlineStr">
        <is>
          <t>Recebido</t>
        </is>
      </c>
      <c r="F72" s="124">
        <f>IF(OR($E72="Recebido",$C72=""),"",MAX(0,TODAY()-$C72))</f>
        <v/>
      </c>
      <c r="G72" s="90" t="inlineStr">
        <is>
          <t>Recebido via Pix em 04/09/2026.</t>
        </is>
      </c>
    </row>
    <row r="73">
      <c r="A73" s="90" t="inlineStr">
        <is>
          <t>Samille Fiscina Lima Lordello - Tiago (Cartório)</t>
        </is>
      </c>
      <c r="B73" s="90" t="inlineStr">
        <is>
          <t>Refil Pro Life</t>
        </is>
      </c>
      <c r="C73" s="89" t="n">
        <v>46269</v>
      </c>
      <c r="D73" s="91" t="n">
        <v>140</v>
      </c>
      <c r="E73" s="124" t="inlineStr">
        <is>
          <t>Pendente</t>
        </is>
      </c>
      <c r="F73" s="124">
        <f>IF(OR($E73="Recebido",$C73=""),"",MAX(0,TODAY()-$C73))</f>
        <v/>
      </c>
      <c r="G73" s="90" t="n"/>
    </row>
    <row r="74">
      <c r="A74" s="90" t="inlineStr">
        <is>
          <t>Bomboniere Doce Mania - Veronildo Basilio</t>
        </is>
      </c>
      <c r="B74" s="90" t="inlineStr">
        <is>
          <t>Refil Plissado + Refil BAG</t>
        </is>
      </c>
      <c r="C74" s="89" t="n">
        <v>46274</v>
      </c>
      <c r="D74" s="91" t="n">
        <v>150</v>
      </c>
      <c r="E74" s="124" t="inlineStr">
        <is>
          <t>Pendente</t>
        </is>
      </c>
      <c r="F74" s="124">
        <f>IF(OR($E74="Recebido",$C74=""),"",MAX(0,TODAY()-$C74))</f>
        <v/>
      </c>
      <c r="G74" s="90" t="inlineStr">
        <is>
          <t>Troca do dia 09/09/2026 — refil plissado + BAG.</t>
        </is>
      </c>
    </row>
    <row r="75">
      <c r="A75" s="98" t="inlineStr">
        <is>
          <t>TOTAL EM ABERTO A RECEBER (detalhe)</t>
        </is>
      </c>
      <c r="B75" s="98" t="n"/>
      <c r="C75" s="126" t="n"/>
      <c r="D75" s="127">
        <f>SUMIF(E42:E74,"Pendente",D42:D74)</f>
        <v/>
      </c>
      <c r="E75" s="128" t="n"/>
      <c r="F75" s="128" t="n"/>
      <c r="G75" s="98" t="n"/>
    </row>
    <row r="76">
      <c r="A76" s="129" t="inlineStr">
        <is>
          <t>CONFERÊNCIA COM AS ABAS DOS MESES</t>
        </is>
      </c>
      <c r="B76" s="160" t="n"/>
      <c r="C76" s="160" t="n"/>
      <c r="D76" s="160" t="n"/>
      <c r="E76" s="160" t="n"/>
      <c r="F76" s="160" t="n"/>
      <c r="G76" s="161" t="n"/>
    </row>
    <row r="77">
      <c r="A77" s="200">
        <f>IF(ROUND(D75-C5,2)=0,"OK — o detalhe acima bate com as vendas marcadas como Aguardando Pagamento nas abas dos meses.","ATENÇÃO: diferença de R$ "&amp;TEXT(ABS(D75-C5),"#,##0.00")&amp;" entre este detalhe e as abas dos meses — alguma venda mudou de status em um lado só.")</f>
        <v/>
      </c>
    </row>
    <row r="78">
      <c r="A78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40:G40"/>
    <mergeCell ref="A9:G9"/>
    <mergeCell ref="A39:G39"/>
    <mergeCell ref="A77:G77"/>
    <mergeCell ref="C5:D6"/>
    <mergeCell ref="A5:B6"/>
    <mergeCell ref="A2:G2"/>
    <mergeCell ref="E5:F6"/>
    <mergeCell ref="A76:G76"/>
    <mergeCell ref="C4:D4"/>
  </mergeCells>
  <dataValidations count="2">
    <dataValidation sqref="E11:E35" showDropDown="0" showInputMessage="0" showErrorMessage="0" allowBlank="1" type="list">
      <formula1>"Pendente,Pago"</formula1>
    </dataValidation>
    <dataValidation sqref="E42:E7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5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Limpeza de Refil</t>
        </is>
      </c>
      <c r="B18" s="69" t="n">
        <v>40</v>
      </c>
      <c r="C18" s="121" t="n">
        <v>0</v>
      </c>
      <c r="D18" s="69" t="n">
        <v>10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/>
    </row>
    <row r="19">
      <c r="A19" s="64" t="inlineStr">
        <is>
          <t>Instalação de Purificador</t>
        </is>
      </c>
      <c r="B19" s="67" t="n">
        <v>100</v>
      </c>
      <c r="C19" s="121" t="n">
        <v>0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/>
    </row>
    <row r="20">
      <c r="A20" s="66" t="inlineStr">
        <is>
          <t>Purificador Everest Slim Branco</t>
        </is>
      </c>
      <c r="B20" s="69" t="n">
        <v>1429</v>
      </c>
      <c r="C20" s="121" t="n">
        <v>715.02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Slim Prata</t>
        </is>
      </c>
      <c r="B21" s="67" t="n">
        <v>1486</v>
      </c>
      <c r="C21" s="121" t="n">
        <v>784.97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Star Branco</t>
        </is>
      </c>
      <c r="B22" s="69" t="n">
        <v>1429</v>
      </c>
      <c r="C22" s="121" t="n">
        <v>756.73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Plus Branco</t>
        </is>
      </c>
      <c r="B23" s="67" t="n">
        <v>1529</v>
      </c>
      <c r="C23" s="121" t="n">
        <v>820.73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Plus Prata</t>
        </is>
      </c>
      <c r="B24" s="69" t="n">
        <v>1569</v>
      </c>
      <c r="C24" s="121" t="n">
        <v>906.9299999999999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Branco</t>
        </is>
      </c>
      <c r="B25" s="67" t="n">
        <v>1429</v>
      </c>
      <c r="C25" s="121" t="n">
        <v>756.73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Fit Preto</t>
        </is>
      </c>
      <c r="B26" s="69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4" t="inlineStr">
        <is>
          <t>Purificador Everest Fit Prata</t>
        </is>
      </c>
      <c r="B27" s="67" t="n">
        <v>1486</v>
      </c>
      <c r="C27" s="121" t="n">
        <v>739.37</v>
      </c>
      <c r="D27" s="67" t="n">
        <v>30</v>
      </c>
      <c r="E27" s="67">
        <f>IF(B27="","",B27*IF($J27="",$B$4,$J27))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  <c r="J27" s="239" t="n">
        <v>0.1399</v>
      </c>
    </row>
    <row r="28">
      <c r="A28" s="66" t="inlineStr">
        <is>
          <t>Purificador Everest Star Preto</t>
        </is>
      </c>
      <c r="B28" s="77" t="n">
        <v>1486</v>
      </c>
      <c r="C28" s="121" t="n">
        <v>784.96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Foz Branco</t>
        </is>
      </c>
      <c r="B29" s="77" t="n">
        <v>1589</v>
      </c>
      <c r="C29" s="121" t="n">
        <v>767.95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0.1399</v>
      </c>
    </row>
    <row r="30">
      <c r="A30" s="66" t="inlineStr">
        <is>
          <t>Purificador Everest Foz Cinza/Grafite</t>
        </is>
      </c>
      <c r="B30" s="77" t="n">
        <v>1689</v>
      </c>
      <c r="C30" s="121" t="n">
        <v>819.5700000000001</v>
      </c>
      <c r="D30" s="69" t="n">
        <v>30</v>
      </c>
      <c r="E30" s="69">
        <f>IF(B30="","",B30*IF($J30="",$B$4,$J30))</f>
        <v/>
      </c>
      <c r="F30" s="69">
        <f>IF(B30="","",B30*$D$4)</f>
        <v/>
      </c>
      <c r="G30" s="69">
        <f>IF(B30="","",SUM(C30:F30))</f>
        <v/>
      </c>
      <c r="H30" s="69">
        <f>IF(B30="","",B30-G30)</f>
        <v/>
      </c>
      <c r="I30" s="76">
        <f>IF(B30=0,"",H30/B30)</f>
        <v/>
      </c>
      <c r="J30" s="240" t="n">
        <v>0.1399</v>
      </c>
    </row>
    <row r="31">
      <c r="A31" s="66" t="inlineStr">
        <is>
          <t>Purificador Everest Baby (todas as cores)</t>
        </is>
      </c>
      <c r="B31" s="77" t="n">
        <v>420</v>
      </c>
      <c r="C31" s="121" t="n">
        <v>150.13</v>
      </c>
      <c r="D31" s="69" t="n">
        <v>30</v>
      </c>
      <c r="E31" s="69">
        <f>IF(B31="","",B31*IF($J31="",$B$4,$J31))</f>
        <v/>
      </c>
      <c r="F31" s="69">
        <f>IF(B31="","",B31*$D$4)</f>
        <v/>
      </c>
      <c r="G31" s="69">
        <f>IF(B31="","",SUM(C31:F31))</f>
        <v/>
      </c>
      <c r="H31" s="69">
        <f>IF(B31="","",B31-G31)</f>
        <v/>
      </c>
      <c r="I31" s="76">
        <f>IF(B31=0,"",H31/B31)</f>
        <v/>
      </c>
      <c r="J31" s="240" t="n">
        <v>0.11</v>
      </c>
    </row>
    <row r="33">
      <c r="A33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4">
      <c r="A34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5">
      <c r="A35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1:I1"/>
    <mergeCell ref="A34:I34"/>
    <mergeCell ref="A35:I35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SUMIF(H5:H79,K5,G5:G79)</f>
        <v/>
      </c>
      <c r="N5" s="237">
        <f>D80-F80-T5</f>
        <v/>
      </c>
      <c r="P5" s="189">
        <f>L18-L19</f>
        <v/>
      </c>
      <c r="R5" s="204">
        <f>D81</f>
        <v/>
      </c>
      <c r="T5" s="203">
        <f>SUMIF(E5:E79,"Aguardando Pagamento",D5:D79)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SUMIF(H5:H79,K6,G5:G79)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SUMIF(H5:H79,K7,G5:G79)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SUMIF(H5:H79,K8,G5:G79)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SUMIF(H5:H79,K9,G5:G79)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SUMIF(H5:H79,K10,G5:G79)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SUMIF(H5:H79,K11,G5:G79)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SUMIF(H5:H79,K12,G5:G79)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SUMIF(H5:H79,K13,G5:G79)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SUMIF(H5:H79,K14,G5:G79)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SUMIF(H5:H79,K15,G5:G79)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SUMIF(H5:H79,K16,G5:G79)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SUMIF(H5:H79,K17,G5:G79)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102" t="n"/>
      <c r="B80" s="102" t="inlineStr">
        <is>
          <t>TOTAL DO MÊS</t>
        </is>
      </c>
      <c r="C80" s="102" t="n"/>
      <c r="D80" s="103">
        <f>SUM(D5:D79)</f>
        <v/>
      </c>
      <c r="E80" s="102" t="n"/>
      <c r="F80" s="103">
        <f>SUM(F5:F79)</f>
        <v/>
      </c>
      <c r="G80" s="103">
        <f>SUM(G5:G79)</f>
        <v/>
      </c>
      <c r="H80" s="102" t="n"/>
      <c r="I80" s="102" t="n"/>
    </row>
    <row r="81">
      <c r="A81" s="104" t="n"/>
      <c r="B81" s="104" t="inlineStr">
        <is>
          <t>SALDO DO MÊS (Entradas líquidas − Despesas da loja)</t>
        </is>
      </c>
      <c r="C81" s="104" t="n"/>
      <c r="D81" s="105">
        <f>(D80-F80-T5)-(L18-L19)</f>
        <v/>
      </c>
      <c r="E81" s="104" t="n"/>
      <c r="F81" s="105" t="n"/>
      <c r="G81" s="105" t="n"/>
      <c r="H81" s="104" t="n"/>
      <c r="I81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79" showDropDown="0" showInputMessage="0" showErrorMessage="0" allowBlank="1" type="list">
      <formula1>"Dinheiro,Pix,Débito,Crédito à Vista,Crédito Parcelado,Aguardando Pagamento"</formula1>
    </dataValidation>
    <dataValidation sqref="H5:H7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2026-09-10T18:10:46Z</dcterms:modified>
  <cp:lastModifiedBy>Planeta</cp:lastModifiedBy>
  <cp:revision>1</cp:revision>
</cp:coreProperties>
</file>