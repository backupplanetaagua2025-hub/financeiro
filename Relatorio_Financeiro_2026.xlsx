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7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2" fillId="20" borderId="8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4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42" fillId="0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0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3" borderId="9" applyAlignment="1" pivotButton="0" quotePrefix="0" xfId="0">
      <alignment horizontal="left" vertical="center" indent="1"/>
    </xf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62" fillId="12" borderId="8" pivotButton="0" quotePrefix="0" xfId="0"/>
    <xf numFmtId="0" fontId="56" fillId="15" borderId="9" applyAlignment="1" pivotButton="0" quotePrefix="0" xfId="0">
      <alignment horizontal="left" vertical="center" indent="1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54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2448"/>
        <axId val="1634722992"/>
      </barChart>
      <catAx>
        <axId val="163472244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992"/>
        <crosses val="autoZero"/>
        <auto val="1"/>
        <lblAlgn val="ctr"/>
        <lblOffset val="100"/>
        <noMultiLvlLbl val="0"/>
      </catAx>
      <valAx>
        <axId val="163472299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44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1634724080"/>
        <axId val="1634725168"/>
      </lineChart>
      <catAx>
        <axId val="16347240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5168"/>
        <crosses val="autoZero"/>
        <auto val="1"/>
        <lblAlgn val="ctr"/>
        <lblOffset val="100"/>
        <noMultiLvlLbl val="0"/>
      </catAx>
      <valAx>
        <axId val="16347251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408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223969.57</v>
                </pt>
                <pt idx="4">
                  <v>0</v>
                </pt>
                <pt idx="5">
                  <formatCode>"R$ "#,##0.00</formatCode>
                  <v>98764.18000000002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33474.83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5923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6800"/>
        <axId val="1634717008"/>
      </barChart>
      <catAx>
        <axId val="163472680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17008"/>
        <crosses val="autoZero"/>
        <auto val="1"/>
        <lblAlgn val="ctr"/>
        <lblOffset val="100"/>
        <noMultiLvlLbl val="0"/>
      </catAx>
      <valAx>
        <axId val="163471700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680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4" t="inlineStr">
        <is>
          <t>NÚMEROS DO ANO</t>
        </is>
      </c>
    </row>
    <row r="6" ht="26.1" customHeight="1" s="158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8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8">
      <c r="B9" s="164" t="inlineStr">
        <is>
          <t>SAÚDE FINANCEIRA DA LOJA (MÉDIA MENSAL)</t>
        </is>
      </c>
    </row>
    <row r="10" ht="18.95" customHeight="1" s="158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8">
      <c r="B11" s="122">
        <f>'DRE Simplificado'!O22</f>
        <v/>
      </c>
      <c r="C11" s="123">
        <f>'DRE Simplificado'!O9</f>
        <v/>
      </c>
      <c r="D11" s="124">
        <f>Dashboard!B53</f>
        <v/>
      </c>
      <c r="E11" s="125">
        <f>'Ponto de Equilíbrio'!B10</f>
        <v/>
      </c>
    </row>
    <row r="13" ht="21.95" customHeight="1" s="158">
      <c r="B13" s="164" t="inlineStr">
        <is>
          <t>COMECE AQUI — visão geral</t>
        </is>
      </c>
    </row>
    <row r="14" ht="18.95" customHeight="1" s="158">
      <c r="B14" s="167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65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2" t="inlineStr">
        <is>
          <t>DINHEIRO A ENTRAR E A SAIR</t>
        </is>
      </c>
    </row>
    <row r="18" ht="18.95" customHeight="1" s="158">
      <c r="B18" s="167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65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>
      <c r="C20" s="217" t="n"/>
    </row>
    <row r="21" ht="18.95" customHeight="1" s="158">
      <c r="B21" s="141" t="inlineStr">
        <is>
          <t>PLANEJAMENTO</t>
        </is>
      </c>
      <c r="C21" s="217" t="n"/>
    </row>
    <row r="22" ht="18.95" customHeight="1" s="158">
      <c r="B22" s="167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65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67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65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67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6" t="inlineStr">
        <is>
          <t>APOIO</t>
        </is>
      </c>
    </row>
    <row r="29" ht="18.95" customHeight="1" s="158">
      <c r="B29" s="167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65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>
      <c r="C31" s="217" t="n"/>
    </row>
    <row r="32" ht="18.95" customHeight="1" s="158">
      <c r="B32" s="144" t="inlineStr">
        <is>
          <t>LANÇAMENTOS MÊS A MÊS</t>
        </is>
      </c>
      <c r="C32" s="217" t="n"/>
    </row>
    <row r="33" ht="18.95" customHeight="1" s="158">
      <c r="B33" s="167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65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67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65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67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65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67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65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67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65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65" t="inlineStr">
        <is>
          <t>Nov 2026</t>
        </is>
      </c>
      <c r="C43" s="159" t="inlineStr">
        <is>
          <t>Pronto para lançar</t>
        </is>
      </c>
      <c r="D43" s="160" t="n"/>
      <c r="E43" s="160" t="n"/>
      <c r="F43" s="160" t="n"/>
      <c r="G43" s="161" t="n"/>
    </row>
    <row r="44">
      <c r="B44" s="165" t="inlineStr">
        <is>
          <t>Dez 2026</t>
        </is>
      </c>
      <c r="C44" s="159" t="inlineStr">
        <is>
          <t>Pronto para lançar</t>
        </is>
      </c>
      <c r="D44" s="160" t="n"/>
      <c r="E44" s="160" t="n"/>
      <c r="F44" s="160" t="n"/>
      <c r="G44" s="161" t="n"/>
    </row>
    <row r="45">
      <c r="B45" s="217" t="n"/>
    </row>
    <row r="46">
      <c r="B46" s="240" t="inlineStr">
        <is>
          <t>Como usar no dia a dia</t>
        </is>
      </c>
    </row>
    <row r="47">
      <c r="B47" s="168" t="inlineStr">
        <is>
          <t>1. Lance cada venda e cada despesa na aba do mês (ex.: "Ago 2026") — uma linha por lançamento.</t>
        </is>
      </c>
    </row>
    <row r="48">
      <c r="B48" s="168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8" t="inlineStr">
        <is>
          <t>3. Quando o cliente pagar, troque a forma de pagamento pelo método real. Todo o resto recalcula sozinho.</t>
        </is>
      </c>
    </row>
    <row r="50">
      <c r="B50" s="168" t="inlineStr">
        <is>
          <t>4. Despesa pessoal do casal paga pela loja: categoria "Pro Labore Edilânia" — fica registrada, mas fora do resultado da loja.</t>
        </is>
      </c>
    </row>
    <row r="51">
      <c r="B51" s="168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1" t="inlineStr">
        <is>
          <t>DASHBOARD FINANCEIRO — LOJA DE FILTROS  |  2026</t>
        </is>
      </c>
    </row>
    <row r="2">
      <c r="A2" s="185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9" t="inlineStr">
        <is>
          <t>← Início</t>
        </is>
      </c>
    </row>
    <row r="4" ht="25.5" customHeight="1" s="158">
      <c r="A4" s="191" t="inlineStr">
        <is>
          <t>ENTRADAS (ANO)</t>
        </is>
      </c>
      <c r="B4" s="161" t="n"/>
      <c r="C4" s="180" t="inlineStr">
        <is>
          <t>SAÍDAS (ANO)</t>
        </is>
      </c>
      <c r="D4" s="161" t="n"/>
      <c r="E4" s="182" t="inlineStr">
        <is>
          <t>LUCRO LÍQUIDO</t>
        </is>
      </c>
      <c r="F4" s="161" t="n"/>
      <c r="G4" s="192" t="inlineStr">
        <is>
          <t>MARGEM DO ANO</t>
        </is>
      </c>
      <c r="H4" s="161" t="n"/>
      <c r="I4" s="193" t="inlineStr">
        <is>
          <t>A RECEBER (ANO)</t>
        </is>
      </c>
      <c r="J4" s="161" t="n"/>
      <c r="K4" s="194" t="inlineStr">
        <is>
          <t>DÍVIDA — CAPITAL DE GIRO (BB)</t>
        </is>
      </c>
    </row>
    <row r="5" ht="19.5" customHeight="1" s="158">
      <c r="A5" s="173">
        <f>SUM(B24:B35)</f>
        <v/>
      </c>
      <c r="B5" s="174" t="n"/>
      <c r="C5" s="187">
        <f>SUM(C24:C35)</f>
        <v/>
      </c>
      <c r="D5" s="174" t="n"/>
      <c r="E5" s="189">
        <f>SUM(D24:D35)</f>
        <v/>
      </c>
      <c r="F5" s="174" t="n"/>
      <c r="G5" s="177">
        <f>IF(B36=0,0,D36/B36)</f>
        <v/>
      </c>
      <c r="H5" s="174" t="n"/>
      <c r="I5" s="178">
        <f>H46</f>
        <v/>
      </c>
      <c r="J5" s="174" t="n"/>
      <c r="K5" s="190">
        <f>'Capital de Giro (BB)'!C5</f>
        <v/>
      </c>
    </row>
    <row r="6" ht="19.5" customHeight="1" s="158">
      <c r="A6" s="175" t="n"/>
      <c r="B6" s="176" t="n"/>
      <c r="C6" s="175" t="n"/>
      <c r="D6" s="176" t="n"/>
      <c r="E6" s="175" t="n"/>
      <c r="F6" s="176" t="n"/>
      <c r="G6" s="175" t="n"/>
      <c r="H6" s="176" t="n"/>
      <c r="I6" s="175" t="n"/>
      <c r="J6" s="176" t="n"/>
    </row>
    <row r="8" ht="15.75" customHeight="1" s="158">
      <c r="A8" s="184" t="inlineStr">
        <is>
          <t>INSIGHTS AUTOMÁTICOS</t>
        </is>
      </c>
    </row>
    <row r="9">
      <c r="A9" s="179">
        <f>"Melhor mês em lucro: "&amp;INDEX(A24:A35,MATCH(MAX(D24:D35),D24:D35,0))&amp;" (lucro de "&amp;TEXT(MAX(D24:D35),"R$ #,##0.00")&amp;")"</f>
        <v/>
      </c>
    </row>
    <row r="10">
      <c r="A10" s="179">
        <f>"Mês mais fraco em lucro: "&amp;INDEX(A24:A35,MATCH(MIN(D24:D35),D24:D35,0))&amp;" (lucro de "&amp;TEXT(MIN(D24:D35),"R$ #,##0.00")&amp;")"</f>
        <v/>
      </c>
    </row>
    <row r="11">
      <c r="A11" s="179">
        <f>"Número de meses com prejuízo: "&amp;COUNTIF(D24:D35,"&lt;0")&amp;" de "&amp;COUNTIF(B24:B35,"&lt;&gt;0")&amp;" meses com dados"</f>
        <v/>
      </c>
    </row>
    <row r="12">
      <c r="A12" s="179">
        <f>"Total a receber (vendas pendentes Ago–Dez): "&amp;TEXT(H46,"R$ #,##0.00")</f>
        <v/>
      </c>
    </row>
    <row r="13" ht="30" customHeight="1" s="158">
      <c r="A13" s="186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1" t="inlineStr">
        <is>
          <t>⚠ Limitações dos dados de origem (relatórios DigiSat/G6, não planilhas de fluxo de caixa):</t>
        </is>
      </c>
    </row>
    <row r="15" ht="25.5" customHeight="1" s="158">
      <c r="A15" s="172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2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2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2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3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4" t="inlineStr">
        <is>
          <t>Saídas por Categoria (Ano 2026)</t>
        </is>
      </c>
      <c r="F39" s="184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8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30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4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8" t="inlineStr">
        <is>
          <t>DRE SIMPLIFICADO — 2026</t>
        </is>
      </c>
    </row>
    <row r="2">
      <c r="A2" s="196" t="inlineStr">
        <is>
          <t>Receita − Custos Variáveis = Margem de Contribuição.  Margem − Custos Fixos = Resultado. Puxa tudo das abas mensais, sem digitação.</t>
        </is>
      </c>
    </row>
    <row r="3">
      <c r="A3" s="129" t="inlineStr">
        <is>
          <t>← Início</t>
        </is>
      </c>
      <c r="B3" s="94">
        <f>COUNTIF(B5:M5,"&gt;0")</f>
        <v/>
      </c>
      <c r="C3" s="195" t="inlineStr">
        <is>
          <t>← meses já lançados; é a base do cálculo da coluna "Média/mês"</t>
        </is>
      </c>
    </row>
    <row r="4" ht="27.95" customHeight="1" s="158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2026'!J10-B20</f>
        <v/>
      </c>
      <c r="C8" s="98">
        <f>'Fev 2026'!J10-C20</f>
        <v/>
      </c>
      <c r="D8" s="98">
        <f>'Mar 2026'!J10-D20</f>
        <v/>
      </c>
      <c r="E8" s="98">
        <f>'Abr 2026'!J10-E20</f>
        <v/>
      </c>
      <c r="F8" s="98">
        <f>'Mai 2026'!J10-F20</f>
        <v/>
      </c>
      <c r="G8" s="98">
        <f>'Jun 2026'!J10-G20</f>
        <v/>
      </c>
      <c r="H8" s="98">
        <f>'Jul 2026'!J10-H20</f>
        <v/>
      </c>
      <c r="I8" s="98">
        <f>'Ago 2026'!L10-I20</f>
        <v/>
      </c>
      <c r="J8" s="98">
        <f>'Set 2026'!L10-J20</f>
        <v/>
      </c>
      <c r="K8" s="98">
        <f>'Out 2026'!L10-K20</f>
        <v/>
      </c>
      <c r="L8" s="98">
        <f>'Nov 2026'!L10-L20</f>
        <v/>
      </c>
      <c r="M8" s="98">
        <f>'Dez 2026'!L10-M20</f>
        <v/>
      </c>
      <c r="N8" s="98">
        <f>SUM(B8:M8)</f>
        <v/>
      </c>
      <c r="O8" s="98">
        <f>IF($B$3=0,0,N8/$B$3)</f>
        <v/>
      </c>
    </row>
    <row r="9">
      <c r="A9" s="99" t="inlineStr">
        <is>
          <t>(=) CUSTOS VARIÁVEIS</t>
        </is>
      </c>
      <c r="B9" s="100">
        <f>SUM(B6:B8)</f>
        <v/>
      </c>
      <c r="C9" s="100">
        <f>SUM(C6:C8)</f>
        <v/>
      </c>
      <c r="D9" s="100">
        <f>SUM(D6:D8)</f>
        <v/>
      </c>
      <c r="E9" s="100">
        <f>SUM(E6:E8)</f>
        <v/>
      </c>
      <c r="F9" s="100">
        <f>SUM(F6:F8)</f>
        <v/>
      </c>
      <c r="G9" s="100">
        <f>SUM(G6:G8)</f>
        <v/>
      </c>
      <c r="H9" s="100">
        <f>SUM(H6:H8)</f>
        <v/>
      </c>
      <c r="I9" s="100">
        <f>SUM(I6:I8)</f>
        <v/>
      </c>
      <c r="J9" s="100">
        <f>SUM(J6:J8)</f>
        <v/>
      </c>
      <c r="K9" s="100">
        <f>SUM(K6:K8)</f>
        <v/>
      </c>
      <c r="L9" s="100">
        <f>SUM(L6:L8)</f>
        <v/>
      </c>
      <c r="M9" s="100">
        <f>SUM(M6:M8)</f>
        <v/>
      </c>
      <c r="N9" s="100">
        <f>SUM(B9:M9)</f>
        <v/>
      </c>
      <c r="O9" s="100">
        <f>IF($B$3=0,0,N9/$B$3)</f>
        <v/>
      </c>
    </row>
    <row r="10">
      <c r="A10" s="95" t="inlineStr">
        <is>
          <t>(=) MARGEM DE CONTRIBUIÇÃO</t>
        </is>
      </c>
      <c r="B10" s="96">
        <f>B5-B9</f>
        <v/>
      </c>
      <c r="C10" s="96">
        <f>C5-C9</f>
        <v/>
      </c>
      <c r="D10" s="96">
        <f>D5-D9</f>
        <v/>
      </c>
      <c r="E10" s="96">
        <f>E5-E9</f>
        <v/>
      </c>
      <c r="F10" s="96">
        <f>F5-F9</f>
        <v/>
      </c>
      <c r="G10" s="96">
        <f>G5-G9</f>
        <v/>
      </c>
      <c r="H10" s="96">
        <f>H5-H9</f>
        <v/>
      </c>
      <c r="I10" s="96">
        <f>I5-I9</f>
        <v/>
      </c>
      <c r="J10" s="96">
        <f>J5-J9</f>
        <v/>
      </c>
      <c r="K10" s="96">
        <f>K5-K9</f>
        <v/>
      </c>
      <c r="L10" s="96">
        <f>L5-L9</f>
        <v/>
      </c>
      <c r="M10" s="96">
        <f>M5-M9</f>
        <v/>
      </c>
      <c r="N10" s="96">
        <f>SUM(B10:M10)</f>
        <v/>
      </c>
      <c r="O10" s="96">
        <f>IF($B$3=0,0,N10/$B$3)</f>
        <v/>
      </c>
    </row>
    <row r="11">
      <c r="A11" s="101" t="inlineStr">
        <is>
          <t xml:space="preserve">      Margem de Contribuição (%)</t>
        </is>
      </c>
      <c r="B11" s="102">
        <f>IF(B5=0,"",B10/B5)</f>
        <v/>
      </c>
      <c r="C11" s="102">
        <f>IF(C5=0,"",C10/C5)</f>
        <v/>
      </c>
      <c r="D11" s="102">
        <f>IF(D5=0,"",D10/D5)</f>
        <v/>
      </c>
      <c r="E11" s="102">
        <f>IF(E5=0,"",E10/E5)</f>
        <v/>
      </c>
      <c r="F11" s="102">
        <f>IF(F5=0,"",F10/F5)</f>
        <v/>
      </c>
      <c r="G11" s="102">
        <f>IF(G5=0,"",G10/G5)</f>
        <v/>
      </c>
      <c r="H11" s="102">
        <f>IF(H5=0,"",H10/H5)</f>
        <v/>
      </c>
      <c r="I11" s="102">
        <f>IF(I5=0,"",I10/I5)</f>
        <v/>
      </c>
      <c r="J11" s="102">
        <f>IF(J5=0,"",J10/J5)</f>
        <v/>
      </c>
      <c r="K11" s="102">
        <f>IF(K5=0,"",K10/K5)</f>
        <v/>
      </c>
      <c r="L11" s="102">
        <f>IF(L5=0,"",L10/L5)</f>
        <v/>
      </c>
      <c r="M11" s="102">
        <f>IF(M5=0,"",M10/M5)</f>
        <v/>
      </c>
      <c r="N11" s="102">
        <f>IF(N5=0,"",N10/N5)</f>
        <v/>
      </c>
      <c r="O11" s="102">
        <f>IF(N5=0,"",N10/N5)</f>
        <v/>
      </c>
    </row>
    <row r="12">
      <c r="A12" s="97" t="inlineStr">
        <is>
          <t xml:space="preserve">   (−) Aluguel</t>
        </is>
      </c>
      <c r="B12" s="98">
        <f>'Jan 2026'!J6</f>
        <v/>
      </c>
      <c r="C12" s="98">
        <f>'Fev 2026'!J6</f>
        <v/>
      </c>
      <c r="D12" s="98">
        <f>'Mar 2026'!J6</f>
        <v/>
      </c>
      <c r="E12" s="98">
        <f>'Abr 2026'!J6</f>
        <v/>
      </c>
      <c r="F12" s="98">
        <f>'Mai 2026'!J6</f>
        <v/>
      </c>
      <c r="G12" s="98">
        <f>'Jun 2026'!J6</f>
        <v/>
      </c>
      <c r="H12" s="98">
        <f>'Jul 2026'!J6</f>
        <v/>
      </c>
      <c r="I12" s="98">
        <f>'Ago 2026'!L6</f>
        <v/>
      </c>
      <c r="J12" s="98">
        <f>'Set 2026'!L6</f>
        <v/>
      </c>
      <c r="K12" s="98">
        <f>'Out 2026'!L6</f>
        <v/>
      </c>
      <c r="L12" s="98">
        <f>'Nov 2026'!L6</f>
        <v/>
      </c>
      <c r="M12" s="98">
        <f>'Dez 2026'!L6</f>
        <v/>
      </c>
      <c r="N12" s="98">
        <f>SUM(B12:M12)</f>
        <v/>
      </c>
      <c r="O12" s="98">
        <f>IF($B$3=0,0,N12/$B$3)</f>
        <v/>
      </c>
    </row>
    <row r="13">
      <c r="A13" s="97" t="inlineStr">
        <is>
          <t xml:space="preserve">   (−) Água, Energia e Internet</t>
        </is>
      </c>
      <c r="B13" s="98">
        <f>'Jan 2026'!J7</f>
        <v/>
      </c>
      <c r="C13" s="98">
        <f>'Fev 2026'!J7</f>
        <v/>
      </c>
      <c r="D13" s="98">
        <f>'Mar 2026'!J7</f>
        <v/>
      </c>
      <c r="E13" s="98">
        <f>'Abr 2026'!J7</f>
        <v/>
      </c>
      <c r="F13" s="98">
        <f>'Mai 2026'!J7</f>
        <v/>
      </c>
      <c r="G13" s="98">
        <f>'Jun 2026'!J7</f>
        <v/>
      </c>
      <c r="H13" s="98">
        <f>'Jul 2026'!J7</f>
        <v/>
      </c>
      <c r="I13" s="98">
        <f>'Ago 2026'!L7</f>
        <v/>
      </c>
      <c r="J13" s="98">
        <f>'Set 2026'!L7</f>
        <v/>
      </c>
      <c r="K13" s="98">
        <f>'Out 2026'!L7</f>
        <v/>
      </c>
      <c r="L13" s="98">
        <f>'Nov 2026'!L7</f>
        <v/>
      </c>
      <c r="M13" s="98">
        <f>'Dez 2026'!L7</f>
        <v/>
      </c>
      <c r="N13" s="98">
        <f>SUM(B13:M13)</f>
        <v/>
      </c>
      <c r="O13" s="98">
        <f>IF($B$3=0,0,N13/$B$3)</f>
        <v/>
      </c>
    </row>
    <row r="14">
      <c r="A14" s="97" t="inlineStr">
        <is>
          <t xml:space="preserve">   (−) Tarifas Bancárias e Cartão</t>
        </is>
      </c>
      <c r="B14" s="98">
        <f>'Jan 2026'!J9</f>
        <v/>
      </c>
      <c r="C14" s="98">
        <f>'Fev 2026'!J9</f>
        <v/>
      </c>
      <c r="D14" s="98">
        <f>'Mar 2026'!J9</f>
        <v/>
      </c>
      <c r="E14" s="98">
        <f>'Abr 2026'!J9</f>
        <v/>
      </c>
      <c r="F14" s="98">
        <f>'Mai 2026'!J9</f>
        <v/>
      </c>
      <c r="G14" s="98">
        <f>'Jun 2026'!J9</f>
        <v/>
      </c>
      <c r="H14" s="98">
        <f>'Jul 2026'!J9</f>
        <v/>
      </c>
      <c r="I14" s="98">
        <f>'Ago 2026'!L9</f>
        <v/>
      </c>
      <c r="J14" s="98">
        <f>'Set 2026'!L9</f>
        <v/>
      </c>
      <c r="K14" s="98">
        <f>'Out 2026'!L9</f>
        <v/>
      </c>
      <c r="L14" s="98">
        <f>'Nov 2026'!L9</f>
        <v/>
      </c>
      <c r="M14" s="98">
        <f>'Dez 2026'!L9</f>
        <v/>
      </c>
      <c r="N14" s="98">
        <f>SUM(B14:M14)</f>
        <v/>
      </c>
      <c r="O14" s="98">
        <f>IF($B$3=0,0,N14/$B$3)</f>
        <v/>
      </c>
    </row>
    <row r="15">
      <c r="A15" s="97" t="inlineStr">
        <is>
          <t xml:space="preserve">   (−) Salários, Comissões e Encargos</t>
        </is>
      </c>
      <c r="B15" s="98">
        <f>'Jan 2026'!J11</f>
        <v/>
      </c>
      <c r="C15" s="98">
        <f>'Fev 2026'!J11</f>
        <v/>
      </c>
      <c r="D15" s="98">
        <f>'Mar 2026'!J11</f>
        <v/>
      </c>
      <c r="E15" s="98">
        <f>'Abr 2026'!J11</f>
        <v/>
      </c>
      <c r="F15" s="98">
        <f>'Mai 2026'!J11</f>
        <v/>
      </c>
      <c r="G15" s="98">
        <f>'Jun 2026'!J11</f>
        <v/>
      </c>
      <c r="H15" s="98">
        <f>'Jul 2026'!J11</f>
        <v/>
      </c>
      <c r="I15" s="98">
        <f>'Ago 2026'!L11</f>
        <v/>
      </c>
      <c r="J15" s="98">
        <f>'Set 2026'!L11</f>
        <v/>
      </c>
      <c r="K15" s="98">
        <f>'Out 2026'!L11</f>
        <v/>
      </c>
      <c r="L15" s="98">
        <f>'Nov 2026'!L11</f>
        <v/>
      </c>
      <c r="M15" s="98">
        <f>'Dez 2026'!L11</f>
        <v/>
      </c>
      <c r="N15" s="98">
        <f>SUM(B15:M15)</f>
        <v/>
      </c>
      <c r="O15" s="98">
        <f>IF($B$3=0,0,N15/$B$3)</f>
        <v/>
      </c>
    </row>
    <row r="16">
      <c r="A16" s="97" t="inlineStr">
        <is>
          <t xml:space="preserve">   (−) Contabilidade</t>
        </is>
      </c>
      <c r="B16" s="98">
        <f>'Jan 2026'!J12</f>
        <v/>
      </c>
      <c r="C16" s="98">
        <f>'Fev 2026'!J12</f>
        <v/>
      </c>
      <c r="D16" s="98">
        <f>'Mar 2026'!J12</f>
        <v/>
      </c>
      <c r="E16" s="98">
        <f>'Abr 2026'!J12</f>
        <v/>
      </c>
      <c r="F16" s="98">
        <f>'Mai 2026'!J12</f>
        <v/>
      </c>
      <c r="G16" s="98">
        <f>'Jun 2026'!J12</f>
        <v/>
      </c>
      <c r="H16" s="98">
        <f>'Jul 2026'!J12</f>
        <v/>
      </c>
      <c r="I16" s="98">
        <f>'Ago 2026'!L12</f>
        <v/>
      </c>
      <c r="J16" s="98">
        <f>'Set 2026'!L12</f>
        <v/>
      </c>
      <c r="K16" s="98">
        <f>'Out 2026'!L12</f>
        <v/>
      </c>
      <c r="L16" s="98">
        <f>'Nov 2026'!L12</f>
        <v/>
      </c>
      <c r="M16" s="98">
        <f>'Dez 2026'!L12</f>
        <v/>
      </c>
      <c r="N16" s="98">
        <f>SUM(B16:M16)</f>
        <v/>
      </c>
      <c r="O16" s="98">
        <f>IF($B$3=0,0,N16/$B$3)</f>
        <v/>
      </c>
    </row>
    <row r="17">
      <c r="A17" s="97" t="inlineStr">
        <is>
          <t xml:space="preserve">   (−) Manutenção e Reparos</t>
        </is>
      </c>
      <c r="B17" s="98">
        <f>'Jan 2026'!J13</f>
        <v/>
      </c>
      <c r="C17" s="98">
        <f>'Fev 2026'!J13</f>
        <v/>
      </c>
      <c r="D17" s="98">
        <f>'Mar 2026'!J13</f>
        <v/>
      </c>
      <c r="E17" s="98">
        <f>'Abr 2026'!J13</f>
        <v/>
      </c>
      <c r="F17" s="98">
        <f>'Mai 2026'!J13</f>
        <v/>
      </c>
      <c r="G17" s="98">
        <f>'Jun 2026'!J13</f>
        <v/>
      </c>
      <c r="H17" s="98">
        <f>'Jul 2026'!J13</f>
        <v/>
      </c>
      <c r="I17" s="98">
        <f>'Ago 2026'!L13</f>
        <v/>
      </c>
      <c r="J17" s="98">
        <f>'Set 2026'!L13</f>
        <v/>
      </c>
      <c r="K17" s="98">
        <f>'Out 2026'!L13</f>
        <v/>
      </c>
      <c r="L17" s="98">
        <f>'Nov 2026'!L13</f>
        <v/>
      </c>
      <c r="M17" s="98">
        <f>'Dez 2026'!L13</f>
        <v/>
      </c>
      <c r="N17" s="98">
        <f>SUM(B17:M17)</f>
        <v/>
      </c>
      <c r="O17" s="98">
        <f>IF($B$3=0,0,N17/$B$3)</f>
        <v/>
      </c>
    </row>
    <row r="18">
      <c r="A18" s="97" t="inlineStr">
        <is>
          <t xml:space="preserve">   (−) Material de Limpeza e Escritório</t>
        </is>
      </c>
      <c r="B18" s="98">
        <f>'Jan 2026'!J14</f>
        <v/>
      </c>
      <c r="C18" s="98">
        <f>'Fev 2026'!J14</f>
        <v/>
      </c>
      <c r="D18" s="98">
        <f>'Mar 2026'!J14</f>
        <v/>
      </c>
      <c r="E18" s="98">
        <f>'Abr 2026'!J14</f>
        <v/>
      </c>
      <c r="F18" s="98">
        <f>'Mai 2026'!J14</f>
        <v/>
      </c>
      <c r="G18" s="98">
        <f>'Jun 2026'!J14</f>
        <v/>
      </c>
      <c r="H18" s="98">
        <f>'Jul 2026'!J14</f>
        <v/>
      </c>
      <c r="I18" s="98">
        <f>'Ago 2026'!L14</f>
        <v/>
      </c>
      <c r="J18" s="98">
        <f>'Set 2026'!L14</f>
        <v/>
      </c>
      <c r="K18" s="98">
        <f>'Out 2026'!L14</f>
        <v/>
      </c>
      <c r="L18" s="98">
        <f>'Nov 2026'!L14</f>
        <v/>
      </c>
      <c r="M18" s="98">
        <f>'Dez 2026'!L14</f>
        <v/>
      </c>
      <c r="N18" s="98">
        <f>SUM(B18:M18)</f>
        <v/>
      </c>
      <c r="O18" s="98">
        <f>IF($B$3=0,0,N18/$B$3)</f>
        <v/>
      </c>
    </row>
    <row r="19">
      <c r="A19" s="97" t="inlineStr">
        <is>
          <t xml:space="preserve">   (−) Estornos de Vendas (Cancelamentos)</t>
        </is>
      </c>
      <c r="B19" s="98">
        <f>'Jan 2026'!J15</f>
        <v/>
      </c>
      <c r="C19" s="98">
        <f>'Fev 2026'!J15</f>
        <v/>
      </c>
      <c r="D19" s="98">
        <f>'Mar 2026'!J15</f>
        <v/>
      </c>
      <c r="E19" s="98">
        <f>'Abr 2026'!J15</f>
        <v/>
      </c>
      <c r="F19" s="98">
        <f>'Mai 2026'!J15</f>
        <v/>
      </c>
      <c r="G19" s="98">
        <f>'Jun 2026'!J15</f>
        <v/>
      </c>
      <c r="H19" s="98">
        <f>'Jul 2026'!J15</f>
        <v/>
      </c>
      <c r="I19" s="98">
        <f>'Ago 2026'!L15</f>
        <v/>
      </c>
      <c r="J19" s="98">
        <f>'Set 2026'!L15</f>
        <v/>
      </c>
      <c r="K19" s="98">
        <f>'Out 2026'!L15</f>
        <v/>
      </c>
      <c r="L19" s="98">
        <f>'Nov 2026'!L15</f>
        <v/>
      </c>
      <c r="M19" s="98">
        <f>'Dez 2026'!L15</f>
        <v/>
      </c>
      <c r="N19" s="98">
        <f>SUM(B19:M19)</f>
        <v/>
      </c>
      <c r="O19" s="98">
        <f>IF($B$3=0,0,N19/$B$3)</f>
        <v/>
      </c>
    </row>
    <row r="20">
      <c r="A20" s="97" t="inlineStr">
        <is>
          <t xml:space="preserve">   (−) Estacionamento (dentro de Transporte e Entregas)</t>
        </is>
      </c>
      <c r="B20" s="98">
        <f>SUMIF('Jan 2026'!B5:B500,"Estacionamento*",'Jan 2026'!E5:E500)</f>
        <v/>
      </c>
      <c r="C20" s="98">
        <f>SUMIF('Fev 2026'!B5:B500,"Estacionamento*",'Fev 2026'!E5:E500)</f>
        <v/>
      </c>
      <c r="D20" s="98">
        <f>SUMIF('Mar 2026'!B5:B500,"Estacionamento*",'Mar 2026'!E5:E500)</f>
        <v/>
      </c>
      <c r="E20" s="98">
        <f>SUMIF('Abr 2026'!B5:B500,"Estacionamento*",'Abr 2026'!E5:E500)</f>
        <v/>
      </c>
      <c r="F20" s="98">
        <f>SUMIF('Mai 2026'!B5:B500,"Estacionamento*",'Mai 2026'!E5:E500)</f>
        <v/>
      </c>
      <c r="G20" s="98">
        <f>SUMIF('Jun 2026'!B5:B500,"Estacionamento*",'Jun 2026'!E5:E500)</f>
        <v/>
      </c>
      <c r="H20" s="98">
        <f>SUMIF('Jul 2026'!B5:B500,"Estacionamento*",'Jul 2026'!E5:E500)</f>
        <v/>
      </c>
      <c r="I20" s="98">
        <f>SUMIF('Ago 2026'!B5:B500,"Estacionamento*",'Ago 2026'!G5:G500)</f>
        <v/>
      </c>
      <c r="J20" s="98">
        <f>SUMIF('Set 2026'!B5:B500,"Estacionamento*",'Set 2026'!G5:G500)</f>
        <v/>
      </c>
      <c r="K20" s="98">
        <f>SUMIF('Out 2026'!B5:B500,"Estacionamento*",'Out 2026'!G5:G500)</f>
        <v/>
      </c>
      <c r="L20" s="98">
        <f>SUMIF('Nov 2026'!B5:B500,"Estacionamento*",'Nov 2026'!G5:G500)</f>
        <v/>
      </c>
      <c r="M20" s="98">
        <f>SUMIF('Dez 2026'!B5:B500,"Estacionamento*",'Dez 2026'!G5:G500)</f>
        <v/>
      </c>
      <c r="N20" s="98">
        <f>SUM(B20:M20)</f>
        <v/>
      </c>
      <c r="O20" s="98">
        <f>IF($B$3=0,0,N20/$B$3)</f>
        <v/>
      </c>
    </row>
    <row r="21">
      <c r="A21" s="97" t="inlineStr">
        <is>
          <t xml:space="preserve">   (−) Outras Despesas</t>
        </is>
      </c>
      <c r="B21" s="98">
        <f>'Jan 2026'!J16</f>
        <v/>
      </c>
      <c r="C21" s="98">
        <f>'Fev 2026'!J16</f>
        <v/>
      </c>
      <c r="D21" s="98">
        <f>'Mar 2026'!J16</f>
        <v/>
      </c>
      <c r="E21" s="98">
        <f>'Abr 2026'!J16</f>
        <v/>
      </c>
      <c r="F21" s="98">
        <f>'Mai 2026'!J16</f>
        <v/>
      </c>
      <c r="G21" s="98">
        <f>'Jun 2026'!J16</f>
        <v/>
      </c>
      <c r="H21" s="98">
        <f>'Jul 2026'!J16</f>
        <v/>
      </c>
      <c r="I21" s="98">
        <f>'Ago 2026'!L16</f>
        <v/>
      </c>
      <c r="J21" s="98">
        <f>'Set 2026'!L16</f>
        <v/>
      </c>
      <c r="K21" s="98">
        <f>'Out 2026'!L16</f>
        <v/>
      </c>
      <c r="L21" s="98">
        <f>'Nov 2026'!L16</f>
        <v/>
      </c>
      <c r="M21" s="98">
        <f>'Dez 2026'!L16</f>
        <v/>
      </c>
      <c r="N21" s="98">
        <f>SUM(B21:M21)</f>
        <v/>
      </c>
      <c r="O21" s="98">
        <f>IF($B$3=0,0,N21/$B$3)</f>
        <v/>
      </c>
    </row>
    <row r="22">
      <c r="A22" s="99" t="inlineStr">
        <is>
          <t>(=) CUSTOS FIXOS</t>
        </is>
      </c>
      <c r="B22" s="100">
        <f>SUM(B12:B21)</f>
        <v/>
      </c>
      <c r="C22" s="100">
        <f>SUM(C12:C21)</f>
        <v/>
      </c>
      <c r="D22" s="100">
        <f>SUM(D12:D21)</f>
        <v/>
      </c>
      <c r="E22" s="100">
        <f>SUM(E12:E21)</f>
        <v/>
      </c>
      <c r="F22" s="100">
        <f>SUM(F12:F21)</f>
        <v/>
      </c>
      <c r="G22" s="100">
        <f>SUM(G12:G21)</f>
        <v/>
      </c>
      <c r="H22" s="100">
        <f>SUM(H12:H21)</f>
        <v/>
      </c>
      <c r="I22" s="100">
        <f>SUM(I12:I21)</f>
        <v/>
      </c>
      <c r="J22" s="100">
        <f>SUM(J12:J21)</f>
        <v/>
      </c>
      <c r="K22" s="100">
        <f>SUM(K12:K21)</f>
        <v/>
      </c>
      <c r="L22" s="100">
        <f>SUM(L12:L21)</f>
        <v/>
      </c>
      <c r="M22" s="100">
        <f>SUM(M12:M21)</f>
        <v/>
      </c>
      <c r="N22" s="100">
        <f>SUM(B22:M22)</f>
        <v/>
      </c>
      <c r="O22" s="100">
        <f>IF($B$3=0,0,N22/$B$3)</f>
        <v/>
      </c>
    </row>
    <row r="23" ht="15.75" customHeight="1" s="158">
      <c r="A23" s="103" t="inlineStr">
        <is>
          <t>(=) RESULTADO DO MÊS</t>
        </is>
      </c>
      <c r="B23" s="104">
        <f>B10-B22</f>
        <v/>
      </c>
      <c r="C23" s="104">
        <f>C10-C22</f>
        <v/>
      </c>
      <c r="D23" s="104">
        <f>D10-D22</f>
        <v/>
      </c>
      <c r="E23" s="104">
        <f>E10-E22</f>
        <v/>
      </c>
      <c r="F23" s="104">
        <f>F10-F22</f>
        <v/>
      </c>
      <c r="G23" s="104">
        <f>G10-G22</f>
        <v/>
      </c>
      <c r="H23" s="104">
        <f>H10-H22</f>
        <v/>
      </c>
      <c r="I23" s="104">
        <f>I10-I22</f>
        <v/>
      </c>
      <c r="J23" s="104">
        <f>J10-J22</f>
        <v/>
      </c>
      <c r="K23" s="104">
        <f>K10-K22</f>
        <v/>
      </c>
      <c r="L23" s="104">
        <f>L10-L22</f>
        <v/>
      </c>
      <c r="M23" s="104">
        <f>M10-M22</f>
        <v/>
      </c>
      <c r="N23" s="104">
        <f>SUM(B23:M23)</f>
        <v/>
      </c>
      <c r="O23" s="104">
        <f>IF($B$3=0,0,N23/$B$3)</f>
        <v/>
      </c>
    </row>
    <row r="24">
      <c r="A24" s="101" t="inlineStr">
        <is>
          <t xml:space="preserve">      Margem Líquida (%)</t>
        </is>
      </c>
      <c r="B24" s="102">
        <f>IF(B5=0,"",B23/B5)</f>
        <v/>
      </c>
      <c r="C24" s="102">
        <f>IF(C5=0,"",C23/C5)</f>
        <v/>
      </c>
      <c r="D24" s="102">
        <f>IF(D5=0,"",D23/D5)</f>
        <v/>
      </c>
      <c r="E24" s="102">
        <f>IF(E5=0,"",E23/E5)</f>
        <v/>
      </c>
      <c r="F24" s="102">
        <f>IF(F5=0,"",F23/F5)</f>
        <v/>
      </c>
      <c r="G24" s="102">
        <f>IF(G5=0,"",G23/G5)</f>
        <v/>
      </c>
      <c r="H24" s="102">
        <f>IF(H5=0,"",H23/H5)</f>
        <v/>
      </c>
      <c r="I24" s="102">
        <f>IF(I5=0,"",I23/I5)</f>
        <v/>
      </c>
      <c r="J24" s="102">
        <f>IF(J5=0,"",J23/J5)</f>
        <v/>
      </c>
      <c r="K24" s="102">
        <f>IF(K5=0,"",K23/K5)</f>
        <v/>
      </c>
      <c r="L24" s="102">
        <f>IF(L5=0,"",L23/L5)</f>
        <v/>
      </c>
      <c r="M24" s="102">
        <f>IF(M5=0,"",M23/M5)</f>
        <v/>
      </c>
      <c r="N24" s="102">
        <f>IF(N5=0,"",N23/N5)</f>
        <v/>
      </c>
      <c r="O24" s="102">
        <f>IF(N5=0,"",N23/N5)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8">
      <c r="A30" s="183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3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3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7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26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8" t="inlineStr">
        <is>
          <t>CONTAS A PAGAR E A RECEBER</t>
        </is>
      </c>
    </row>
    <row r="2" s="158">
      <c r="A2" s="196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 s="158">
      <c r="A3" s="129" t="inlineStr">
        <is>
          <t>← Início</t>
        </is>
      </c>
    </row>
    <row r="4" s="158">
      <c r="A4" s="199" t="inlineStr">
        <is>
          <t>TOTAL A PAGAR (EM ABERTO)</t>
        </is>
      </c>
      <c r="C4" s="207" t="inlineStr">
        <is>
          <t>TOTAL A RECEBER (AUTOMÁTICO)</t>
        </is>
      </c>
      <c r="E4" s="200" t="inlineStr">
        <is>
          <t>SALDO (RECEBER − PAGAR)</t>
        </is>
      </c>
    </row>
    <row r="5" s="158">
      <c r="A5" s="190">
        <f>D77</f>
        <v/>
      </c>
      <c r="C5" s="203">
        <f>'Ago 2026'!T5+'Set 2026'!T5+'Out 2026'!T5+'Nov 2026'!T5+'Dez 2026'!T5</f>
        <v/>
      </c>
      <c r="E5" s="204">
        <f>C5-A5</f>
        <v/>
      </c>
    </row>
    <row r="6" s="158"/>
    <row r="7" s="158"/>
    <row r="8" s="158"/>
    <row r="9" ht="21.95" customHeight="1" s="158">
      <c r="A9" s="201" t="inlineStr">
        <is>
          <t>CONTAS A PAGAR  —  o que a loja ainda deve</t>
        </is>
      </c>
    </row>
    <row r="10" ht="26.1" customHeight="1" s="158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 s="158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 s="158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 s="158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 s="158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 s="158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 s="158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 s="158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 s="15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 s="158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 s="158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 s="158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 s="158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 s="158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 s="158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 s="158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 s="158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 s="158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 s="15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 s="158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 s="158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 s="158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 s="158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 s="158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 s="158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 s="158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 s="158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 s="158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 s="15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8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Pendente</t>
        </is>
      </c>
      <c r="F39" s="112">
        <f>IF(OR($E39="Pago",$C39=""),"",MAX(0,TODAY()-$C39))</f>
        <v/>
      </c>
      <c r="G39" s="78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 s="158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 s="158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 s="158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 s="158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 s="158">
      <c r="A45" s="149" t="inlineStr">
        <is>
          <t>Eversoft Ind e Com de Plasticos Ltda</t>
        </is>
      </c>
      <c r="B45" s="149" t="inlineStr">
        <is>
          <t>Mercadoria — doc. 74454 (emissão 17/07/2026) · parcela 4/5</t>
        </is>
      </c>
      <c r="C45" s="150" t="n">
        <v>46340</v>
      </c>
      <c r="D45" s="151" t="n">
        <v>980.83</v>
      </c>
      <c r="E45" s="152" t="inlineStr">
        <is>
          <t>Previsto</t>
        </is>
      </c>
      <c r="F45" s="153">
        <f>IF(OR($E45="Pago",$C45=""),"",MAX(0,TODAY()-$C45))</f>
        <v/>
      </c>
      <c r="G45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 s="158">
      <c r="A46" s="149" t="inlineStr">
        <is>
          <t>Everest Refrigeracao e Industria</t>
        </is>
      </c>
      <c r="B46" s="149" t="inlineStr">
        <is>
          <t>Mercadoria — doc. 381554 (emissão 17/07/2026) · parcela 4/5</t>
        </is>
      </c>
      <c r="C46" s="150" t="n">
        <v>46340</v>
      </c>
      <c r="D46" s="151" t="n">
        <v>892.3</v>
      </c>
      <c r="E46" s="152" t="inlineStr">
        <is>
          <t>Previsto</t>
        </is>
      </c>
      <c r="F46" s="153">
        <f>IF(OR($E46="Pago",$C46=""),"",MAX(0,TODAY()-$C46))</f>
        <v/>
      </c>
      <c r="G46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 s="158">
      <c r="A47" s="149" t="inlineStr">
        <is>
          <t>Everest Refrigeracao e Industria</t>
        </is>
      </c>
      <c r="B47" s="149" t="inlineStr">
        <is>
          <t>Mercadoria — doc. 379826 (emissão 22/06/2026) · parcela 5/5 (última)</t>
        </is>
      </c>
      <c r="C47" s="150" t="n">
        <v>46345</v>
      </c>
      <c r="D47" s="151" t="n">
        <v>874.6799999999999</v>
      </c>
      <c r="E47" s="152" t="inlineStr">
        <is>
          <t>Previsto</t>
        </is>
      </c>
      <c r="F47" s="153">
        <f>IF(OR($E47="Pago",$C47=""),"",MAX(0,TODAY()-$C47))</f>
        <v/>
      </c>
      <c r="G47" s="14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 s="158">
      <c r="A48" s="149" t="inlineStr">
        <is>
          <t>Eversoft Ind e Com de Plasticos Ltda</t>
        </is>
      </c>
      <c r="B48" s="149" t="inlineStr">
        <is>
          <t>Mercadoria — doc. 75472 (emissão 26/08/2026) · parcela 3/5</t>
        </is>
      </c>
      <c r="C48" s="150" t="n">
        <v>46350</v>
      </c>
      <c r="D48" s="151" t="n">
        <v>940.0599999999999</v>
      </c>
      <c r="E48" s="152" t="inlineStr">
        <is>
          <t>Previsto</t>
        </is>
      </c>
      <c r="F48" s="153">
        <f>IF(OR($E48="Pago",$C48=""),"",MAX(0,TODAY()-$C48))</f>
        <v/>
      </c>
      <c r="G48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 s="158">
      <c r="A49" s="149" t="inlineStr">
        <is>
          <t>Everest Refrigeracao e Industria</t>
        </is>
      </c>
      <c r="B49" s="149" t="inlineStr">
        <is>
          <t>Mercadoria — doc. 381554 (emissão 17/07/2026) · parcela 5/5 (última)</t>
        </is>
      </c>
      <c r="C49" s="150" t="n">
        <v>46370</v>
      </c>
      <c r="D49" s="151" t="n">
        <v>892.29</v>
      </c>
      <c r="E49" s="152" t="inlineStr">
        <is>
          <t>Previsto</t>
        </is>
      </c>
      <c r="F49" s="153">
        <f>IF(OR($E49="Pago",$C49=""),"",MAX(0,TODAY()-$C49))</f>
        <v/>
      </c>
      <c r="G49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 s="158">
      <c r="A50" s="149" t="inlineStr">
        <is>
          <t>Eversoft Ind e Com de Plasticos Ltda</t>
        </is>
      </c>
      <c r="B50" s="149" t="inlineStr">
        <is>
          <t>Mercadoria — doc. 74454 (emissão 17/07/2026) · parcela 5/5 (última)</t>
        </is>
      </c>
      <c r="C50" s="150" t="n">
        <v>46370</v>
      </c>
      <c r="D50" s="151" t="n">
        <v>980.8099999999999</v>
      </c>
      <c r="E50" s="152" t="inlineStr">
        <is>
          <t>Previsto</t>
        </is>
      </c>
      <c r="F50" s="153">
        <f>IF(OR($E50="Pago",$C50=""),"",MAX(0,TODAY()-$C50))</f>
        <v/>
      </c>
      <c r="G50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 s="158">
      <c r="A51" s="149" t="inlineStr">
        <is>
          <t>Eversoft Ind e Com de Plasticos Ltda</t>
        </is>
      </c>
      <c r="B51" s="149" t="inlineStr">
        <is>
          <t>Mercadoria — doc. 75472 (emissão 26/08/2026) · parcela 4/5</t>
        </is>
      </c>
      <c r="C51" s="150" t="n">
        <v>46380</v>
      </c>
      <c r="D51" s="151" t="n">
        <v>940.0599999999999</v>
      </c>
      <c r="E51" s="152" t="inlineStr">
        <is>
          <t>Previsto</t>
        </is>
      </c>
      <c r="F51" s="153">
        <f>IF(OR($E51="Pago",$C51=""),"",MAX(0,TODAY()-$C51))</f>
        <v/>
      </c>
      <c r="G51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 s="158">
      <c r="A52" s="149" t="inlineStr">
        <is>
          <t>Eversoft Ind e Com de Plasticos Ltda</t>
        </is>
      </c>
      <c r="B52" s="149" t="inlineStr">
        <is>
          <t>Mercadoria — doc. 75472 (emissão 26/08/2026) · parcela 5/5 (última)</t>
        </is>
      </c>
      <c r="C52" s="150" t="n">
        <v>46410</v>
      </c>
      <c r="D52" s="151" t="n">
        <v>940.08</v>
      </c>
      <c r="E52" s="152" t="inlineStr">
        <is>
          <t>Previsto</t>
        </is>
      </c>
      <c r="F52" s="153">
        <f>IF(OR($E52="Pago",$C52=""),"",MAX(0,TODAY()-$C52))</f>
        <v/>
      </c>
      <c r="G52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 s="158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 s="158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 s="158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 s="158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Pendente</t>
        </is>
      </c>
      <c r="F56" s="113">
        <f>IF(OR($E56="Pago",$C56=""),"",MAX(0,TODAY()-$C56))</f>
        <v/>
      </c>
      <c r="G56" s="82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 s="158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 s="1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 s="158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 s="158">
      <c r="A60" s="149" t="inlineStr">
        <is>
          <t>Wiliam Pinto Bispo</t>
        </is>
      </c>
      <c r="B60" s="149" t="inlineStr">
        <is>
          <t>Salário mensal — competência setembro/2026</t>
        </is>
      </c>
      <c r="C60" s="150" t="n">
        <v>46296</v>
      </c>
      <c r="D60" s="151" t="n">
        <v>1571.32</v>
      </c>
      <c r="E60" s="152" t="inlineStr">
        <is>
          <t>Previsto</t>
        </is>
      </c>
      <c r="F60" s="153">
        <f>IF(OR($E60="Pago",$C60=""),"",MAX(0,TODAY()-$C60))</f>
        <v/>
      </c>
      <c r="G60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 s="158">
      <c r="A61" s="149" t="inlineStr">
        <is>
          <t>Wiliam Pinto Bispo</t>
        </is>
      </c>
      <c r="B61" s="149" t="inlineStr">
        <is>
          <t>Salário mensal — competência outubro/2026</t>
        </is>
      </c>
      <c r="C61" s="150" t="n">
        <v>46327</v>
      </c>
      <c r="D61" s="151" t="n">
        <v>1571.32</v>
      </c>
      <c r="E61" s="152" t="inlineStr">
        <is>
          <t>Previsto</t>
        </is>
      </c>
      <c r="F61" s="153">
        <f>IF(OR($E61="Pago",$C61=""),"",MAX(0,TODAY()-$C61))</f>
        <v/>
      </c>
      <c r="G61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 s="158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 s="158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 s="158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 s="158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 s="158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 s="158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Pendente</t>
        </is>
      </c>
      <c r="F67" s="113">
        <f>IF(OR($E67="Pago",$C67=""),"",MAX(0,TODAY()-$C67))</f>
        <v/>
      </c>
      <c r="G67" s="82" t="inlineStr">
        <is>
          <t>Categoria quando pagar: Impostos e Taxas. Planeta Agua Ltda, CNPJ 07.341.784/0001-60. Detalhe: IRPJ R$ 187,69 · CSLL R$ 88,53 · COFINS R$ 249,45 · PIS R$ 54,04 · INSS R$ 822,37 · ICMS (BA) R$ 655,94. Linha digitável 85860000019 5 58020328262 0 64072026260 4 60170580750 5.</t>
        </is>
      </c>
    </row>
    <row r="68" s="15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Pendente</t>
        </is>
      </c>
      <c r="F68" s="113">
        <f>IF(OR($E68="Pago",$C68=""),"",MAX(0,TODAY()-$C68))</f>
        <v/>
      </c>
      <c r="G68" s="82" t="inlineStr">
        <is>
          <t>Categoria quando pagar: Impostos e Taxas. Inscrição Estadual 066.200.856. Linha digitável 85890000017 4 12700005202 5 60925196505 0 60882175193 3.</t>
        </is>
      </c>
    </row>
    <row r="69" s="158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Pendente</t>
        </is>
      </c>
      <c r="F69" s="113">
        <f>IF(OR($E69="Pago",$C69=""),"",MAX(0,TODAY()-$C69))</f>
        <v/>
      </c>
      <c r="G69" s="82" t="inlineStr">
        <is>
          <t>Categoria quando pagar: Impostos e Taxas. Inscrição Estadual 066.200.856. Linha digitável 85870000000 6 74050005202 0 60925196505 0 61070133812 7.</t>
        </is>
      </c>
    </row>
    <row r="70" s="158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Pendente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 quando pagar: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</t>
        </is>
      </c>
    </row>
    <row r="71" s="158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 s="158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 s="158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8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8">
      <c r="A75" s="86" t="inlineStr">
        <is>
          <t>TOTAL A PAGAR — COM BOLETO EM MÃOS</t>
        </is>
      </c>
      <c r="B75" s="86" t="n"/>
      <c r="C75" s="114" t="n"/>
      <c r="D75" s="115">
        <f>SUMIF(E11:E74,"Pendente",D11:D74)</f>
        <v/>
      </c>
      <c r="E75" s="116" t="n"/>
      <c r="F75" s="116" t="n"/>
      <c r="G75" s="86" t="n"/>
    </row>
    <row r="76" s="158">
      <c r="A76" s="154" t="inlineStr">
        <is>
          <t>PREVISTO — compromisso certo que ainda não está documentado</t>
        </is>
      </c>
      <c r="B76" s="154" t="n"/>
      <c r="C76" s="155" t="n"/>
      <c r="D76" s="156">
        <f>SUMIF(E11:E74,"Previsto",D11:D74)</f>
        <v/>
      </c>
      <c r="E76" s="152" t="n"/>
      <c r="F76" s="152" t="n"/>
      <c r="G76" s="154" t="n"/>
    </row>
    <row r="77" s="158">
      <c r="A77" s="86" t="inlineStr">
        <is>
          <t>TOTAL GERAL A PAGAR (boletos + previsão)</t>
        </is>
      </c>
      <c r="B77" s="86" t="n"/>
      <c r="C77" s="114" t="n"/>
      <c r="D77" s="115">
        <f>D75+D76</f>
        <v/>
      </c>
      <c r="E77" s="116" t="n"/>
      <c r="F77" s="116" t="n"/>
      <c r="G77" s="86" t="n"/>
    </row>
    <row r="78" s="158"/>
    <row r="79" ht="15.75" customHeight="1" s="158"/>
    <row r="80" s="158">
      <c r="A80" s="206" t="inlineStr">
        <is>
          <t>CONTAS A RECEBER  —  vendas feitas e ainda não pagas</t>
        </is>
      </c>
    </row>
    <row r="81" s="158">
      <c r="A81" s="195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82" s="158">
      <c r="A82" s="111" t="inlineStr">
        <is>
          <t>Cliente</t>
        </is>
      </c>
      <c r="B82" s="111" t="inlineStr">
        <is>
          <t>Produto / Referência</t>
        </is>
      </c>
      <c r="C82" s="111" t="inlineStr">
        <is>
          <t>Data da Venda</t>
        </is>
      </c>
      <c r="D82" s="111" t="inlineStr">
        <is>
          <t>Valor (R$)</t>
        </is>
      </c>
      <c r="E82" s="111" t="inlineStr">
        <is>
          <t>Status</t>
        </is>
      </c>
      <c r="F82" s="111" t="inlineStr">
        <is>
          <t>Dias em Atraso</t>
        </is>
      </c>
      <c r="G82" s="111" t="inlineStr">
        <is>
          <t>Observações</t>
        </is>
      </c>
    </row>
    <row r="83" s="158">
      <c r="A83" s="78" t="inlineStr">
        <is>
          <t>Centro de Especialidades Odontomédicas</t>
        </is>
      </c>
      <c r="B83" s="78" t="inlineStr">
        <is>
          <t>Refil Everest</t>
        </is>
      </c>
      <c r="C83" s="77" t="n">
        <v>46239</v>
      </c>
      <c r="D83" s="79" t="n">
        <v>140</v>
      </c>
      <c r="E83" s="112" t="inlineStr">
        <is>
          <t>Pendente</t>
        </is>
      </c>
      <c r="F83" s="112">
        <f>IF(OR($E83="Recebido",$C83=""),"",MAX(0,TODAY()-$C83))</f>
        <v/>
      </c>
      <c r="G83" s="78" t="n"/>
    </row>
    <row r="84" s="158">
      <c r="A84" s="82" t="inlineStr">
        <is>
          <t>Supermercado Brasil</t>
        </is>
      </c>
      <c r="B84" s="82" t="inlineStr">
        <is>
          <t>2x Refil Pro Life</t>
        </is>
      </c>
      <c r="C84" s="81" t="n">
        <v>46239</v>
      </c>
      <c r="D84" s="83" t="n">
        <v>280</v>
      </c>
      <c r="E84" s="113" t="inlineStr">
        <is>
          <t>Pendente</t>
        </is>
      </c>
      <c r="F84" s="113">
        <f>IF(OR($E84="Recebido",$C84=""),"",MAX(0,TODAY()-$C84))</f>
        <v/>
      </c>
      <c r="G84" s="82" t="n"/>
    </row>
    <row r="85" s="158">
      <c r="A85" s="78" t="inlineStr">
        <is>
          <t>Tropical Motos LTDA</t>
        </is>
      </c>
      <c r="B85" s="78" t="inlineStr">
        <is>
          <t>3x Refil Everest + Refil Pro Life + 3x Pré Filtro + Válvula Reguladora de Pressão</t>
        </is>
      </c>
      <c r="C85" s="77" t="n">
        <v>46245</v>
      </c>
      <c r="D85" s="79" t="n">
        <v>820</v>
      </c>
      <c r="E85" s="112" t="inlineStr">
        <is>
          <t>Recebido</t>
        </is>
      </c>
      <c r="F85" s="112">
        <f>IF(OR($E85="Recebido",$C85=""),"",MAX(0,TODAY()-$C85))</f>
        <v/>
      </c>
      <c r="G85" s="78" t="inlineStr">
        <is>
          <t>Recebido via TED em 25/08/2026. NF conferida: valor correto é R$820 (faltava a válvula no lançamento original de R$740).</t>
        </is>
      </c>
    </row>
    <row r="86" s="158">
      <c r="A86" s="82" t="inlineStr">
        <is>
          <t>Free Way</t>
        </is>
      </c>
      <c r="B86" s="82" t="inlineStr">
        <is>
          <t>5x Refil Everest</t>
        </is>
      </c>
      <c r="C86" s="81" t="n">
        <v>46251</v>
      </c>
      <c r="D86" s="83" t="n">
        <v>700</v>
      </c>
      <c r="E86" s="113" t="inlineStr">
        <is>
          <t>Recebido</t>
        </is>
      </c>
      <c r="F86" s="113">
        <f>IF(OR($E86="Recebido",$C86=""),"",MAX(0,TODAY()-$C86))</f>
        <v/>
      </c>
      <c r="G86" s="82" t="inlineStr">
        <is>
          <t>Recebido via TED em 02/09/2026.</t>
        </is>
      </c>
    </row>
    <row r="87" s="158">
      <c r="A87" s="78" t="inlineStr">
        <is>
          <t>Neli Sena Rego</t>
        </is>
      </c>
      <c r="B87" s="78" t="inlineStr">
        <is>
          <t>Refil Pro Life</t>
        </is>
      </c>
      <c r="C87" s="77" t="n">
        <v>46254</v>
      </c>
      <c r="D87" s="79" t="n">
        <v>140</v>
      </c>
      <c r="E87" s="112" t="inlineStr">
        <is>
          <t>Recebido</t>
        </is>
      </c>
      <c r="F87" s="112">
        <f>IF(OR($E87="Recebido",$C87=""),"",MAX(0,TODAY()-$C87))</f>
        <v/>
      </c>
      <c r="G87" s="78" t="inlineStr">
        <is>
          <t>Recebido em dinheiro em 01/09/2026 (R$ 170,00 pelas duas vendas)</t>
        </is>
      </c>
    </row>
    <row r="88" s="158">
      <c r="A88" s="82" t="inlineStr">
        <is>
          <t>Neli Sena Rego</t>
        </is>
      </c>
      <c r="B88" s="82" t="inlineStr">
        <is>
          <t>Conexão + Mangueira</t>
        </is>
      </c>
      <c r="C88" s="81" t="n">
        <v>46255</v>
      </c>
      <c r="D88" s="83" t="n">
        <v>40</v>
      </c>
      <c r="E88" s="113" t="inlineStr">
        <is>
          <t>Recebido</t>
        </is>
      </c>
      <c r="F88" s="113">
        <f>IF(OR($E88="Recebido",$C88=""),"",MAX(0,TODAY()-$C88))</f>
        <v/>
      </c>
      <c r="G88" s="82" t="inlineStr">
        <is>
          <t>Recebido em dinheiro em 01/09/2026 (R$ 170,00 pelas duas vendas)</t>
        </is>
      </c>
    </row>
    <row r="89" s="158">
      <c r="A89" s="78" t="inlineStr">
        <is>
          <t>Lapec</t>
        </is>
      </c>
      <c r="B89" s="78" t="inlineStr">
        <is>
          <t>4x Refil Everest</t>
        </is>
      </c>
      <c r="C89" s="77" t="n">
        <v>46258</v>
      </c>
      <c r="D89" s="79" t="n">
        <v>480</v>
      </c>
      <c r="E89" s="112" t="inlineStr">
        <is>
          <t>Recebido</t>
        </is>
      </c>
      <c r="F89" s="112">
        <f>IF(OR($E89="Recebido",$C89=""),"",MAX(0,TODAY()-$C89))</f>
        <v/>
      </c>
      <c r="G89" s="78" t="inlineStr">
        <is>
          <t>Recebido em dinheiro em 08/09/2026 — lançado em "Set 2026".</t>
        </is>
      </c>
    </row>
    <row r="90" s="158">
      <c r="A90" s="82" t="inlineStr">
        <is>
          <t>Cícero Lima</t>
        </is>
      </c>
      <c r="B90" s="82" t="inlineStr">
        <is>
          <t>Refil Everest</t>
        </is>
      </c>
      <c r="C90" s="81" t="n">
        <v>46261</v>
      </c>
      <c r="D90" s="83" t="n">
        <v>140</v>
      </c>
      <c r="E90" s="113" t="inlineStr">
        <is>
          <t>Recebido</t>
        </is>
      </c>
      <c r="F90" s="113">
        <f>IF(OR($E90="Recebido",$C90=""),"",MAX(0,TODAY()-$C90))</f>
        <v/>
      </c>
      <c r="G90" s="82" t="inlineStr">
        <is>
          <t>Recebido via Pix em 27/08/2026</t>
        </is>
      </c>
    </row>
    <row r="91" s="158">
      <c r="A91" s="78" t="inlineStr">
        <is>
          <t>Promotoria Regional de Jacobina</t>
        </is>
      </c>
      <c r="B91" s="78" t="inlineStr">
        <is>
          <t>2x Carcaça 9" + 2x Refil Plissado 9" + Conexão Reta Rosca</t>
        </is>
      </c>
      <c r="C91" s="77" t="n">
        <v>46261</v>
      </c>
      <c r="D91" s="79" t="n">
        <v>470</v>
      </c>
      <c r="E91" s="112" t="inlineStr">
        <is>
          <t>Recebido</t>
        </is>
      </c>
      <c r="F91" s="112">
        <f>IF(OR($E91="Recebido",$C91=""),"",MAX(0,TODAY()-$C91))</f>
        <v/>
      </c>
      <c r="G91" s="78" t="inlineStr">
        <is>
          <t>Pago em 28/08/2026 em duas formas: R$ 270,00 Pix + R$ 200,00 crédito 2x</t>
        </is>
      </c>
    </row>
    <row r="92" s="158">
      <c r="A92" s="82" t="inlineStr">
        <is>
          <t>Lucas Souza</t>
        </is>
      </c>
      <c r="B92" s="82" t="inlineStr">
        <is>
          <t>Refil Everest + Pré Filtro</t>
        </is>
      </c>
      <c r="C92" s="81" t="n">
        <v>46261</v>
      </c>
      <c r="D92" s="83" t="n">
        <v>200</v>
      </c>
      <c r="E92" s="113" t="inlineStr">
        <is>
          <t>Recebido</t>
        </is>
      </c>
      <c r="F92" s="113">
        <f>IF(OR($E92="Recebido",$C92=""),"",MAX(0,TODAY()-$C92))</f>
        <v/>
      </c>
      <c r="G92" s="82" t="inlineStr">
        <is>
          <t>Recebido em dinheiro em 03/09/2026 — lançado em "Set 2026".</t>
        </is>
      </c>
    </row>
    <row r="93" s="158">
      <c r="A93" s="78" t="inlineStr">
        <is>
          <t>FG Boa Vista (Recife/PE)</t>
        </is>
      </c>
      <c r="B93" s="78" t="inlineStr">
        <is>
          <t>Refis — troca de julho/2026</t>
        </is>
      </c>
      <c r="C93" s="77" t="n">
        <v>46261</v>
      </c>
      <c r="D93" s="79" t="n">
        <v>1008.8</v>
      </c>
      <c r="E93" s="112" t="inlineStr">
        <is>
          <t>Recebido</t>
        </is>
      </c>
      <c r="F93" s="112">
        <f>IF(OR($E93="Recebido",$C93=""),"",MAX(0,TODAY()-$C93))</f>
        <v/>
      </c>
      <c r="G93" s="78" t="inlineStr">
        <is>
          <t>Grupo Ânima — NF 000.004.280 · recebido em 30/08/2026 (Nota Paga no portal V360)</t>
        </is>
      </c>
    </row>
    <row r="94" s="158">
      <c r="A94" s="82" t="inlineStr">
        <is>
          <t>UNIFG Guanambi (Guanambi/BA)</t>
        </is>
      </c>
      <c r="B94" s="82" t="inlineStr">
        <is>
          <t>Refis — troca de julho/2026</t>
        </is>
      </c>
      <c r="C94" s="81" t="n">
        <v>46261</v>
      </c>
      <c r="D94" s="83" t="n">
        <v>4534.75</v>
      </c>
      <c r="E94" s="113" t="inlineStr">
        <is>
          <t>Recebido</t>
        </is>
      </c>
      <c r="F94" s="113">
        <f>IF(OR($E94="Recebido",$C94=""),"",MAX(0,TODAY()-$C94))</f>
        <v/>
      </c>
      <c r="G94" s="82" t="inlineStr">
        <is>
          <t>Grupo Ânima — NF 000.004.281 · recebido em 30/08/2026 (Nota Paga no portal V360)</t>
        </is>
      </c>
    </row>
    <row r="95" s="158">
      <c r="A95" s="78" t="inlineStr">
        <is>
          <t>UNP Zona Norte (Natal/RN)</t>
        </is>
      </c>
      <c r="B95" s="78" t="inlineStr">
        <is>
          <t>Refis — troca de julho/2026</t>
        </is>
      </c>
      <c r="C95" s="77" t="n">
        <v>46261</v>
      </c>
      <c r="D95" s="79" t="n">
        <v>870</v>
      </c>
      <c r="E95" s="112" t="inlineStr">
        <is>
          <t>Recebido</t>
        </is>
      </c>
      <c r="F95" s="112">
        <f>IF(OR($E95="Recebido",$C95=""),"",MAX(0,TODAY()-$C95))</f>
        <v/>
      </c>
      <c r="G95" s="78" t="inlineStr">
        <is>
          <t>Grupo Ânima — NF 000.004.282 · recebido em 30/08/2026 (Nota Paga no portal V360)</t>
        </is>
      </c>
    </row>
    <row r="96" s="158">
      <c r="A96" s="82" t="inlineStr">
        <is>
          <t>UNP Caicó (Caicó/RN)</t>
        </is>
      </c>
      <c r="B96" s="82" t="inlineStr">
        <is>
          <t>Refis — troca de julho/2026</t>
        </is>
      </c>
      <c r="C96" s="81" t="n">
        <v>46261</v>
      </c>
      <c r="D96" s="83" t="n">
        <v>440</v>
      </c>
      <c r="E96" s="113" t="inlineStr">
        <is>
          <t>Recebido</t>
        </is>
      </c>
      <c r="F96" s="113">
        <f>IF(OR($E96="Recebido",$C96=""),"",MAX(0,TODAY()-$C96))</f>
        <v/>
      </c>
      <c r="G96" s="82" t="inlineStr">
        <is>
          <t>Grupo Ânima — NF 000.004.283 · recebido via Pix em 27/08/2026</t>
        </is>
      </c>
    </row>
    <row r="97" s="158">
      <c r="A97" s="78" t="inlineStr">
        <is>
          <t>AGES Irecê (Irecê/BA)</t>
        </is>
      </c>
      <c r="B97" s="78" t="inlineStr">
        <is>
          <t>Refis — troca de julho/2026</t>
        </is>
      </c>
      <c r="C97" s="77" t="n">
        <v>46269</v>
      </c>
      <c r="D97" s="79" t="n">
        <v>1338.6</v>
      </c>
      <c r="E97" s="112" t="inlineStr">
        <is>
          <t>Recebido</t>
        </is>
      </c>
      <c r="F97" s="112">
        <f>IF(OR($E97="Recebido",$C97=""),"",MAX(0,TODAY()-$C97))</f>
        <v/>
      </c>
      <c r="G97" s="78" t="inlineStr">
        <is>
          <t>Grupo Ânima — NF 000.004.294 · recebido via Pix em 04/09/2026.</t>
        </is>
      </c>
    </row>
    <row r="98" s="158">
      <c r="A98" s="82" t="inlineStr">
        <is>
          <t>CIS Irecê (Irecê/BA)</t>
        </is>
      </c>
      <c r="B98" s="82" t="inlineStr">
        <is>
          <t>Refis — troca de julho/2026</t>
        </is>
      </c>
      <c r="C98" s="81" t="n">
        <v>46269</v>
      </c>
      <c r="D98" s="83" t="n">
        <v>1358</v>
      </c>
      <c r="E98" s="113" t="inlineStr">
        <is>
          <t>Recebido</t>
        </is>
      </c>
      <c r="F98" s="113">
        <f>IF(OR($E98="Recebido",$C98=""),"",MAX(0,TODAY()-$C98))</f>
        <v/>
      </c>
      <c r="G98" s="82" t="inlineStr">
        <is>
          <t>Grupo Ânima — NF 000.004.295 · recebido via Pix em 04/09/2026.</t>
        </is>
      </c>
    </row>
    <row r="99" s="158">
      <c r="A99" s="78" t="inlineStr">
        <is>
          <t>AGES Senhor do Bonfim (S. do Bonfim/BA)</t>
        </is>
      </c>
      <c r="B99" s="78" t="inlineStr">
        <is>
          <t>Refis — troca de julho/2026</t>
        </is>
      </c>
      <c r="C99" s="77" t="n">
        <v>46270</v>
      </c>
      <c r="D99" s="79" t="n">
        <v>649.9</v>
      </c>
      <c r="E99" s="112" t="inlineStr">
        <is>
          <t>Recebido</t>
        </is>
      </c>
      <c r="F99" s="112">
        <f>IF(OR($E99="Recebido",$C99=""),"",MAX(0,TODAY()-$C99))</f>
        <v/>
      </c>
      <c r="G99" s="78" t="inlineStr">
        <is>
          <t>Grupo Ânima — NF 000.004.298 · recebido via Pix em 08/09/2026.</t>
        </is>
      </c>
    </row>
    <row r="100" s="158">
      <c r="A100" s="82" t="inlineStr">
        <is>
          <t>CIS Senhor do Bonfim (S. do Bonfim/BA)</t>
        </is>
      </c>
      <c r="B100" s="82" t="inlineStr">
        <is>
          <t>Refis — troca de julho/2026</t>
        </is>
      </c>
      <c r="C100" s="81" t="n">
        <v>46270</v>
      </c>
      <c r="D100" s="83" t="n">
        <v>562.6</v>
      </c>
      <c r="E100" s="113" t="inlineStr">
        <is>
          <t>Recebido</t>
        </is>
      </c>
      <c r="F100" s="113">
        <f>IF(OR($E100="Recebido",$C100=""),"",MAX(0,TODAY()-$C100))</f>
        <v/>
      </c>
      <c r="G100" s="82" t="inlineStr">
        <is>
          <t>Grupo Ânima — NF 000.004.299 · recebido via Pix em 08/09/2026.</t>
        </is>
      </c>
    </row>
    <row r="101" s="158">
      <c r="A101" s="78" t="inlineStr">
        <is>
          <t>AGES Paripiranga (Paripiranga/BA)</t>
        </is>
      </c>
      <c r="B101" s="78" t="inlineStr">
        <is>
          <t>Refis — troca de julho/2026</t>
        </is>
      </c>
      <c r="C101" s="77" t="n">
        <v>46270</v>
      </c>
      <c r="D101" s="79" t="n">
        <v>1086.4</v>
      </c>
      <c r="E101" s="112" t="inlineStr">
        <is>
          <t>Recebido</t>
        </is>
      </c>
      <c r="F101" s="112">
        <f>IF(OR($E101="Recebido",$C101=""),"",MAX(0,TODAY()-$C101))</f>
        <v/>
      </c>
      <c r="G101" s="78" t="inlineStr">
        <is>
          <t>Grupo Ânima — NF 000.004.300 · recebido via Pix em 08/09/2026.</t>
        </is>
      </c>
    </row>
    <row r="102" s="158">
      <c r="A102" s="82" t="inlineStr">
        <is>
          <t>Clínica Veterinária Paripiranga (Paripiranga/BA)</t>
        </is>
      </c>
      <c r="B102" s="82" t="inlineStr">
        <is>
          <t>Refis — troca de julho/2026</t>
        </is>
      </c>
      <c r="C102" s="81" t="n">
        <v>46270</v>
      </c>
      <c r="D102" s="83" t="n">
        <v>1265.85</v>
      </c>
      <c r="E102" s="113" t="inlineStr">
        <is>
          <t>Recebido</t>
        </is>
      </c>
      <c r="F102" s="113">
        <f>IF(OR($E102="Recebido",$C102=""),"",MAX(0,TODAY()-$C102))</f>
        <v/>
      </c>
      <c r="G102" s="82" t="inlineStr">
        <is>
          <t>Grupo Ânima — NF 000.004.301 · recebido via Pix em 08/09/2026.</t>
        </is>
      </c>
    </row>
    <row r="103" s="158">
      <c r="A103" s="78" t="inlineStr">
        <is>
          <t>UNP Mossoró (Mossoró/RN)</t>
        </is>
      </c>
      <c r="B103" s="78" t="inlineStr">
        <is>
          <t>Refis — troca de julho/2026</t>
        </is>
      </c>
      <c r="C103" s="77" t="n">
        <v>46270</v>
      </c>
      <c r="D103" s="79" t="n">
        <v>1867.25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Grupo Ânima — NF 000.004.302 · recebido via Pix em 08/09/2026.</t>
        </is>
      </c>
    </row>
    <row r="104" s="158">
      <c r="A104" s="82" t="inlineStr">
        <is>
          <t>CIS Jacobina (Jacobina/BA)</t>
        </is>
      </c>
      <c r="B104" s="82" t="inlineStr">
        <is>
          <t>Refis — troca de julho/2026</t>
        </is>
      </c>
      <c r="C104" s="81" t="n">
        <v>46290</v>
      </c>
      <c r="D104" s="83" t="n">
        <v>2095.2</v>
      </c>
      <c r="E104" s="113" t="inlineStr">
        <is>
          <t>Pendente</t>
        </is>
      </c>
      <c r="F104" s="113">
        <f>IF(OR($E104="Recebido",$C104=""),"",MAX(0,TODAY()-$C104))</f>
        <v/>
      </c>
      <c r="G104" s="82" t="inlineStr">
        <is>
          <t>Grupo Ânima — NF 000.004.333 de 26/08/2026 · OC AEMPPO00004452 · 30 dias</t>
        </is>
      </c>
    </row>
    <row r="105" s="158">
      <c r="A105" s="78" t="inlineStr">
        <is>
          <t>AGES Jacobina (Jacobina/BA)</t>
        </is>
      </c>
      <c r="B105" s="78" t="inlineStr">
        <is>
          <t>Refis — troca de julho/2026</t>
        </is>
      </c>
      <c r="C105" s="77" t="n">
        <v>46305</v>
      </c>
      <c r="D105" s="79" t="n">
        <v>1188.25</v>
      </c>
      <c r="E105" s="112" t="inlineStr">
        <is>
          <t>Pendente</t>
        </is>
      </c>
      <c r="F105" s="112">
        <f>IF(OR($E105="Recebido",$C105=""),"",MAX(0,TODAY()-$C105))</f>
        <v/>
      </c>
      <c r="G105" s="78" t="inlineStr">
        <is>
          <t>Grupo Ânima — NF 000.004.332 de 26/08/2026 · OC AEMPPO00004453 · 45 dias</t>
        </is>
      </c>
    </row>
    <row r="106" s="158">
      <c r="A106" s="82" t="inlineStr">
        <is>
          <t>Instituto Paulo Leão</t>
        </is>
      </c>
      <c r="B106" s="82" t="inlineStr">
        <is>
          <t>Refil E3 + Pré Filtro</t>
        </is>
      </c>
      <c r="C106" s="81" t="n">
        <v>46265</v>
      </c>
      <c r="D106" s="83" t="n">
        <v>160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via Pix em 08/09/2026 — lançado em "Set 2026".</t>
        </is>
      </c>
    </row>
    <row r="107" s="158">
      <c r="A107" s="78" t="inlineStr">
        <is>
          <t>Eletronic Segurança Eletronica</t>
        </is>
      </c>
      <c r="B107" s="78" t="inlineStr">
        <is>
          <t>Pré Filtro</t>
        </is>
      </c>
      <c r="C107" s="77" t="n">
        <v>46265</v>
      </c>
      <c r="D107" s="79" t="n">
        <v>60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via Pix em 03/09/2026.</t>
        </is>
      </c>
    </row>
    <row r="108" s="158">
      <c r="A108" s="82" t="inlineStr">
        <is>
          <t>Clube dos Mineiros</t>
        </is>
      </c>
      <c r="B108" s="82" t="inlineStr">
        <is>
          <t>Refil Pro Life</t>
        </is>
      </c>
      <c r="C108" s="81" t="n">
        <v>46265</v>
      </c>
      <c r="D108" s="83" t="n">
        <v>150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01/09/2026 (pagador: Sindicato dos Mineiros de Jacobina).</t>
        </is>
      </c>
    </row>
    <row r="109" s="158">
      <c r="A109" s="78" t="inlineStr">
        <is>
          <t>Armazem Cecilio Mota</t>
        </is>
      </c>
      <c r="B109" s="78" t="inlineStr">
        <is>
          <t>Refil Everest + Refil Carbon 9"</t>
        </is>
      </c>
      <c r="C109" s="77" t="n">
        <v>46266</v>
      </c>
      <c r="D109" s="79" t="n">
        <v>225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Pix em 10/09/2026 — lançado em "Set 2026".</t>
        </is>
      </c>
    </row>
    <row r="110" s="158">
      <c r="A110" s="82" t="inlineStr">
        <is>
          <t>Clebson Dantas Da Silva</t>
        </is>
      </c>
      <c r="B110" s="82" t="inlineStr">
        <is>
          <t>Refil Everest</t>
        </is>
      </c>
      <c r="C110" s="81" t="n">
        <v>46266</v>
      </c>
      <c r="D110" s="83" t="n">
        <v>140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via Pix em 02/09/2026</t>
        </is>
      </c>
    </row>
    <row r="111" s="158">
      <c r="A111" s="82" t="inlineStr">
        <is>
          <t>Tesla Imagem Medicina Diagnostica Ltda</t>
        </is>
      </c>
      <c r="B111" s="82" t="inlineStr">
        <is>
          <t>3x Refil Everest + 2x Pré Filtro</t>
        </is>
      </c>
      <c r="C111" s="81" t="n">
        <v>46267</v>
      </c>
      <c r="D111" s="83" t="n">
        <v>540</v>
      </c>
      <c r="E111" s="113" t="inlineStr">
        <is>
          <t>Pendente</t>
        </is>
      </c>
      <c r="F111" s="113">
        <f>IF(OR($E111="Recebido",$C111=""),"",MAX(0,TODAY()-$C111))</f>
        <v/>
      </c>
      <c r="G111" s="82" t="inlineStr">
        <is>
          <t>Troca do dia 02/09/2026 — 1º Andar, Térreo e Copa</t>
        </is>
      </c>
    </row>
    <row r="112" s="158">
      <c r="A112" s="78" t="inlineStr">
        <is>
          <t>Cecilio Mota Junior</t>
        </is>
      </c>
      <c r="B112" s="78" t="inlineStr">
        <is>
          <t>Refil Everest</t>
        </is>
      </c>
      <c r="C112" s="77" t="n">
        <v>46267</v>
      </c>
      <c r="D112" s="79" t="n">
        <v>140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Recebido via Pix em 10/09/2026 — lançado em "Set 2026".</t>
        </is>
      </c>
    </row>
    <row r="113" s="158">
      <c r="A113" s="78" t="inlineStr">
        <is>
          <t>Tereza Cristina Aquino Martins - Luiz Augusto</t>
        </is>
      </c>
      <c r="B113" s="78" t="inlineStr">
        <is>
          <t>Refil Everest + Pré Filtro</t>
        </is>
      </c>
      <c r="C113" s="77" t="n">
        <v>46268</v>
      </c>
      <c r="D113" s="79" t="n">
        <v>200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Recebido via Pix em 04/09/2026.</t>
        </is>
      </c>
    </row>
    <row r="114" s="158">
      <c r="A114" s="78" t="inlineStr">
        <is>
          <t>Samille Fiscina Lima Lordello - Tiago (Cartório)</t>
        </is>
      </c>
      <c r="B114" s="78" t="inlineStr">
        <is>
          <t>Refil Pro Life</t>
        </is>
      </c>
      <c r="C114" s="77" t="n">
        <v>46269</v>
      </c>
      <c r="D114" s="79" t="n">
        <v>140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Recebido via Pix em 10/09/2026 — lançado em "Set 2026".</t>
        </is>
      </c>
    </row>
    <row r="115" s="158">
      <c r="A115" s="78" t="inlineStr">
        <is>
          <t>Bomboniere Doce Mania - Veronildo Basilio</t>
        </is>
      </c>
      <c r="B115" s="78" t="inlineStr">
        <is>
          <t>Refil Plissado + Refil BAG</t>
        </is>
      </c>
      <c r="C115" s="77" t="n">
        <v>46274</v>
      </c>
      <c r="D115" s="79" t="n">
        <v>150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Recebido em dinheiro em 16/09/2026 — lançado em "Set 2026".</t>
        </is>
      </c>
    </row>
    <row r="116" s="158">
      <c r="A116" s="78" t="inlineStr">
        <is>
          <t>Adriadne (Hotel Jovem Jota)</t>
        </is>
      </c>
      <c r="B116" s="78" t="inlineStr">
        <is>
          <t>Refil Everest</t>
        </is>
      </c>
      <c r="C116" s="77" t="n">
        <v>46275</v>
      </c>
      <c r="D116" s="79" t="n">
        <v>140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Pix em 11/09/2026 — lançado em "Set 2026".</t>
        </is>
      </c>
    </row>
    <row r="117" s="158">
      <c r="A117" s="78" t="inlineStr">
        <is>
          <t>Pousada Triunfo Ltda (Hotel Triunfo)</t>
        </is>
      </c>
      <c r="B117" s="78" t="inlineStr">
        <is>
          <t>Refil Everest + Pré Filtro</t>
        </is>
      </c>
      <c r="C117" s="77" t="n">
        <v>46275</v>
      </c>
      <c r="D117" s="79" t="n">
        <v>200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Recebido via Pix em 11/09/2026 — lançado em "Set 2026".</t>
        </is>
      </c>
    </row>
    <row r="118" s="158">
      <c r="A118" s="78" t="inlineStr">
        <is>
          <t>Topvel Tropical Veiculos e Pecas</t>
        </is>
      </c>
      <c r="B118" s="78" t="inlineStr">
        <is>
          <t>2x Refil Everest + 2x Pré Filtro</t>
        </is>
      </c>
      <c r="C118" s="77" t="n">
        <v>46276</v>
      </c>
      <c r="D118" s="79" t="n">
        <v>370</v>
      </c>
      <c r="E118" s="112" t="inlineStr">
        <is>
          <t>Pendente</t>
        </is>
      </c>
      <c r="F118" s="112">
        <f>IF(OR($E118="Recebido",$C118=""),"",MAX(0,TODAY()-$C118))</f>
        <v/>
      </c>
      <c r="G118" s="78" t="inlineStr">
        <is>
          <t>Troca do dia 11/09/2026 — dois purificadores.</t>
        </is>
      </c>
    </row>
    <row r="119" s="158">
      <c r="A119" s="78" t="inlineStr">
        <is>
          <t>J Diesel Motores e Reparos - Gilmara</t>
        </is>
      </c>
      <c r="B119" s="78" t="inlineStr">
        <is>
          <t>Refil Everest</t>
        </is>
      </c>
      <c r="C119" s="77" t="n">
        <v>46276</v>
      </c>
      <c r="D119" s="79" t="n">
        <v>140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Troca do dia 11/09/2026.</t>
        </is>
      </c>
    </row>
    <row r="120" s="158">
      <c r="A120" s="78" t="inlineStr">
        <is>
          <t>IOB</t>
        </is>
      </c>
      <c r="B120" s="78" t="inlineStr">
        <is>
          <t>Refil Everest + Pré Filtro</t>
        </is>
      </c>
      <c r="C120" s="77" t="n">
        <v>46279</v>
      </c>
      <c r="D120" s="79" t="n">
        <v>200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Troca do dia 14/09/2026.</t>
        </is>
      </c>
    </row>
    <row r="121" s="158">
      <c r="A121" s="78" t="inlineStr">
        <is>
          <t>Clínica Santa Cecília</t>
        </is>
      </c>
      <c r="B121" s="78" t="inlineStr">
        <is>
          <t>Refil Everest + Termostato</t>
        </is>
      </c>
      <c r="C121" s="77" t="n">
        <v>46281</v>
      </c>
      <c r="D121" s="79" t="n">
        <v>310</v>
      </c>
      <c r="E121" s="112" t="inlineStr">
        <is>
          <t>Pendente</t>
        </is>
      </c>
      <c r="F121" s="112">
        <f>IF(OR($E121="Recebido",$C121=""),"",MAX(0,TODAY()-$C121))</f>
        <v/>
      </c>
      <c r="G121" s="78" t="inlineStr">
        <is>
          <t>Troca do dia 16/09/2026 — refil + troca de termostato.</t>
        </is>
      </c>
    </row>
    <row r="122" s="158">
      <c r="A122" s="78" t="inlineStr">
        <is>
          <t>Marilda Macedo / José Luciano Costa</t>
        </is>
      </c>
      <c r="B122" s="78" t="inlineStr">
        <is>
          <t>Refil Everest + Pré Filtro</t>
        </is>
      </c>
      <c r="C122" s="77" t="n">
        <v>46283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19/09/2026 — lançado em "Set 2026".</t>
        </is>
      </c>
    </row>
    <row r="123" s="158">
      <c r="A123" s="86" t="inlineStr">
        <is>
          <t>TOTAL EM ABERTO A RECEBER (detalhe)</t>
        </is>
      </c>
      <c r="D123" s="115">
        <f>SUMIF(E83:E122,"Pendente",D83:D122)</f>
        <v/>
      </c>
    </row>
    <row r="124" s="158">
      <c r="A124" s="205" t="inlineStr">
        <is>
          <t>CONFERÊNCIA COM AS ABAS DOS MESES</t>
        </is>
      </c>
      <c r="B124" s="160" t="n"/>
      <c r="C124" s="160" t="n"/>
      <c r="D124" s="160" t="n"/>
      <c r="E124" s="160" t="n"/>
      <c r="F124" s="160" t="n"/>
      <c r="G124" s="161" t="n"/>
    </row>
    <row r="125" s="158">
      <c r="A125" s="202">
        <f>IF(ROUND(D123-C5,2)=0,"OK — o detalhe acima bate com as vendas marcadas como Aguardando Pagamento nas abas dos meses.","ATENÇÃO: diferença de R$ "&amp;TEXT(ABS(D123-C5),"#,##0.00")&amp;" entre este detalhe e as abas dos meses — alguma venda mudou de status em um lado só.")</f>
        <v/>
      </c>
    </row>
    <row r="126" s="158">
      <c r="A126" s="202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27" s="158"/>
    <row r="128" s="158"/>
    <row r="129" s="158"/>
    <row r="130" s="158"/>
    <row r="131" s="158"/>
    <row r="132" s="158"/>
    <row r="133" s="158"/>
    <row r="134" s="158"/>
    <row r="135" s="158"/>
    <row r="136" s="158"/>
    <row r="137" s="158"/>
    <row r="138" s="158"/>
    <row r="139" s="158"/>
  </sheetData>
  <mergeCells count="13">
    <mergeCell ref="A4:B4"/>
    <mergeCell ref="E4:F4"/>
    <mergeCell ref="A1:G1"/>
    <mergeCell ref="A80:G80"/>
    <mergeCell ref="A9:G9"/>
    <mergeCell ref="A124:G124"/>
    <mergeCell ref="C5:D6"/>
    <mergeCell ref="A5:B6"/>
    <mergeCell ref="A2:G2"/>
    <mergeCell ref="E5:F6"/>
    <mergeCell ref="A125:G125"/>
    <mergeCell ref="A81:G81"/>
    <mergeCell ref="C4:D4"/>
  </mergeCells>
  <dataValidations count="2">
    <dataValidation sqref="E11:E74" showDropDown="0" showInputMessage="0" showErrorMessage="0" allowBlank="1" type="list">
      <formula1>"Pendente,Pago,Previsto"</formula1>
    </dataValidation>
    <dataValidation sqref="E83:E122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10" t="inlineStr">
        <is>
          <t>CAPITAL DE GIRO — BANCO DO BRASIL (Empréstimo de Reserva)</t>
        </is>
      </c>
    </row>
    <row r="2">
      <c r="A2" s="215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9" t="inlineStr">
        <is>
          <t>← Início</t>
        </is>
      </c>
    </row>
    <row r="4">
      <c r="A4" s="208" t="inlineStr">
        <is>
          <t>SALDO DEVEDOR (A DEVOLVER)</t>
        </is>
      </c>
      <c r="C4" s="218" t="n"/>
      <c r="E4" s="209" t="inlineStr">
        <is>
          <t>TOTAL JÁ RETIRADO (HISTÓRICO)</t>
        </is>
      </c>
    </row>
    <row r="5">
      <c r="A5" s="214" t="n"/>
      <c r="C5" s="213">
        <f>SUMIF(E9:E200,"A Devolver",D9:D200)</f>
        <v/>
      </c>
      <c r="E5" s="216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7" t="n"/>
    </row>
    <row r="17">
      <c r="A17" s="211" t="inlineStr">
        <is>
          <t>Como registrar uma devolução:</t>
        </is>
      </c>
    </row>
    <row r="18">
      <c r="A18" s="212" t="inlineStr">
        <is>
          <t>1. Trocar "Status" da linha para "Devolvido" e preencher a "Data da Devolução".</t>
        </is>
      </c>
    </row>
    <row r="19">
      <c r="A19" s="131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10" t="inlineStr">
        <is>
          <t>PONTO DE EQUILÍBRIO</t>
        </is>
      </c>
    </row>
    <row r="2">
      <c r="A2" s="220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9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Simplificado'!O9</f>
        <v/>
      </c>
    </row>
    <row r="7">
      <c r="A7" s="52" t="inlineStr">
        <is>
          <t>Margem de contribuição média (R$)</t>
        </is>
      </c>
      <c r="B7" s="55">
        <f>'DRE Simplificado'!O10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Simplificado'!O22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Simplificado'!O23</f>
        <v/>
      </c>
    </row>
    <row r="13">
      <c r="A13" s="132" t="inlineStr">
        <is>
          <t>Ticket médio da loja (preencha)</t>
        </is>
      </c>
      <c r="B13" s="65" t="n">
        <v>140</v>
      </c>
      <c r="C13" s="133" t="inlineStr">
        <is>
          <t>← valor médio de uma venda. Serve para converter R$ em nº de vendas.</t>
        </is>
      </c>
    </row>
    <row r="15" ht="15.75" customHeight="1" s="158">
      <c r="A15" s="66" t="inlineStr">
        <is>
          <t>QUANTO PRECISO VENDER PARA...</t>
        </is>
      </c>
    </row>
    <row r="16" ht="30" customHeight="1" s="158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9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10" t="inlineStr">
        <is>
          <t>FLUXO DE CAIXA PROJETADO</t>
        </is>
      </c>
    </row>
    <row r="2">
      <c r="A2" s="220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9" t="inlineStr">
        <is>
          <t>← Início</t>
        </is>
      </c>
    </row>
    <row r="4">
      <c r="A4" s="132" t="inlineStr">
        <is>
          <t>Saldo de caixa hoje (preencha)</t>
        </is>
      </c>
      <c r="B4" s="109" t="n">
        <v>0</v>
      </c>
      <c r="C4" s="133" t="inlineStr">
        <is>
          <t>← quanto existe de dinheiro em caixa + banco nesta data</t>
        </is>
      </c>
    </row>
    <row r="6" ht="30" customHeight="1" s="158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Simplificado'!O9+'DRE Simplificado'!O22)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Simplificado'!O9+'DRE Simplificado'!O22)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Simplificado'!O9+'DRE Simplificado'!O22)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Simplificado'!O9+'DRE Simplificado'!O22)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9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1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10" t="inlineStr">
        <is>
          <t>RESERVA DE EMERGÊNCIA E IMPOSTOS</t>
        </is>
      </c>
    </row>
    <row r="2">
      <c r="A2" s="220" t="inlineStr">
        <is>
          <t>Quanto a loja precisa ter guardado para aguentar meses ruins, e quanto sai de imposto por mês.</t>
        </is>
      </c>
    </row>
    <row r="3">
      <c r="A3" s="129" t="inlineStr">
        <is>
          <t>← Início</t>
        </is>
      </c>
    </row>
    <row r="4" ht="15.75" customHeight="1" s="158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Simplificado'!O22</f>
        <v/>
      </c>
    </row>
    <row r="7">
      <c r="A7" s="52" t="inlineStr">
        <is>
          <t>Meses de cobertura desejados</t>
        </is>
      </c>
      <c r="B7" s="110" t="n">
        <v>3</v>
      </c>
      <c r="C7" s="133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3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8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21" t="inlineStr">
        <is>
          <t>Regime e alíquota são um chute inicial — confirme com seu contador. O imposto já pago aparece nas abas mensais na categoria 'Impostos e Taxas'.</t>
        </is>
      </c>
    </row>
    <row r="24">
      <c r="A24" s="221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10" t="inlineStr">
        <is>
          <t>ORÇADO vs REALIZADO — AGOSTO/2026</t>
        </is>
      </c>
    </row>
    <row r="2">
      <c r="A2" s="220" t="inlineStr">
        <is>
          <t>Defina a meta (amarelo) e compare com o que realmente aconteceu. O realizado é puxado automaticamente da aba do mês.</t>
        </is>
      </c>
    </row>
    <row r="3">
      <c r="A3" s="129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8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21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10" t="inlineStr">
        <is>
          <t>PRECIFICAÇÃO E MARGEM POR PRODUTO</t>
        </is>
      </c>
    </row>
    <row r="2">
      <c r="A2" s="220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9" t="inlineStr">
        <is>
          <t>← Início</t>
        </is>
      </c>
    </row>
    <row r="4">
      <c r="A4" s="132" t="inlineStr">
        <is>
          <t>Taxa média de cartão</t>
        </is>
      </c>
      <c r="B4" s="69" t="n">
        <v>0.07000000000000001</v>
      </c>
      <c r="C4" s="132" t="inlineStr">
        <is>
          <t>Alíquota de imposto</t>
        </is>
      </c>
      <c r="D4" s="69" t="n">
        <v>0.06</v>
      </c>
      <c r="E4" s="133" t="inlineStr">
        <is>
          <t>← taxa dos itens de balcão. Purificadores usam 13,99% (crédito 10x) direto na fórmula; Baby usa 11% (6x).</t>
        </is>
      </c>
    </row>
    <row r="5">
      <c r="A5" s="222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4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4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4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4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4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4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4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4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4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4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4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4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4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4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4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4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4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4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4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4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4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4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48" t="n">
        <v>0.11</v>
      </c>
    </row>
    <row r="31">
      <c r="A31" s="221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21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7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217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10" t="inlineStr">
        <is>
          <t>CONCILIAÇÃO BANCÁRIA</t>
        </is>
      </c>
    </row>
    <row r="2">
      <c r="A2" s="220" t="inlineStr">
        <is>
          <t>Compare o que está lançado na planilha com o que aparece no extrato do banco. Qualquer diferença aparece sozinha na coluna Status.</t>
        </is>
      </c>
    </row>
    <row r="3">
      <c r="A3" s="129" t="inlineStr">
        <is>
          <t>← Início</t>
        </is>
      </c>
    </row>
    <row r="4" ht="30" customHeight="1" s="158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10" t="inlineStr">
        <is>
          <t>CADASTRO DE CLIENTES E FORNECEDORES</t>
        </is>
      </c>
    </row>
    <row r="2">
      <c r="A2" s="220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9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21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JANEIRO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1">
        <f>D133</f>
        <v/>
      </c>
      <c r="N5" s="233">
        <f>J18</f>
        <v/>
      </c>
      <c r="P5" s="232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9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8" t="inlineStr">
        <is>
          <t>SALDO DO MÊS (Entradas − Despesas da loja)</t>
        </is>
      </c>
      <c r="D134" s="227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FEVEREIRO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1">
        <f>D146</f>
        <v/>
      </c>
      <c r="N5" s="233">
        <f>J18</f>
        <v/>
      </c>
      <c r="P5" s="232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9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8" t="inlineStr">
        <is>
          <t>SALDO DO MÊS (Entradas − Despesas da loja)</t>
        </is>
      </c>
      <c r="D147" s="227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MARÇO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1">
        <f>D122</f>
        <v/>
      </c>
      <c r="N5" s="233">
        <f>J18</f>
        <v/>
      </c>
      <c r="P5" s="232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9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8" t="inlineStr">
        <is>
          <t>SALDO DO MÊS (Entradas − Despesas da loja)</t>
        </is>
      </c>
      <c r="D123" s="227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ABRIL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1">
        <f>D124</f>
        <v/>
      </c>
      <c r="N5" s="233">
        <f>J18</f>
        <v/>
      </c>
      <c r="P5" s="232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9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8" t="inlineStr">
        <is>
          <t>SALDO DO MÊS (Entradas − Despesas da loja)</t>
        </is>
      </c>
      <c r="D125" s="227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MAIO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1">
        <f>D123</f>
        <v/>
      </c>
      <c r="N5" s="233">
        <f>J18</f>
        <v/>
      </c>
      <c r="P5" s="232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9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8" t="inlineStr">
        <is>
          <t>SALDO DO MÊS (Entradas − Despesas da loja)</t>
        </is>
      </c>
      <c r="D124" s="227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JUNHO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31">
        <f>D116</f>
        <v/>
      </c>
      <c r="N5" s="233">
        <f>J18</f>
        <v/>
      </c>
      <c r="P5" s="232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9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8" t="inlineStr">
        <is>
          <t>SALDO DO MÊS (Entradas − Despesas da loja)</t>
        </is>
      </c>
      <c r="D117" s="227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JULHO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31">
        <f>D111</f>
        <v/>
      </c>
      <c r="N5" s="233">
        <f>J18</f>
        <v/>
      </c>
      <c r="P5" s="232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9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8" t="inlineStr">
        <is>
          <t>SALDO DO MÊS (Entradas − Despesas da loja)</t>
        </is>
      </c>
      <c r="D112" s="227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3"/>
    <col width="3" customWidth="1" style="158" min="13" max="13"/>
    <col width="13" customWidth="1" style="158" min="14" max="14"/>
    <col width="13" customWidth="1" style="158" min="15" max="17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5.5" customHeight="1" s="158">
      <c r="A1" s="225" t="inlineStr">
        <is>
          <t>RELATÓRIO FINANCEIRO — AGOSTO / 2026</t>
        </is>
      </c>
    </row>
    <row r="2">
      <c r="A2" s="230" t="inlineStr">
        <is>
          <t>Fluxo de caixa da loja — entradas e saídas detalhadas por lançamento (lançado manualmente)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5" t="inlineStr">
        <is>
          <t>Saídas por Categoria</t>
        </is>
      </c>
      <c r="L4" s="161" t="n"/>
      <c r="N4" s="226" t="inlineStr">
        <is>
          <t>FATURAMENTO</t>
        </is>
      </c>
      <c r="P4" s="234" t="inlineStr">
        <is>
          <t>DESPESAS</t>
        </is>
      </c>
      <c r="R4" s="223" t="inlineStr">
        <is>
          <t>SALDO</t>
        </is>
      </c>
      <c r="T4" s="208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SUMIF(H5:H182,K5,G5:G182)</f>
        <v/>
      </c>
      <c r="N5" s="231">
        <f>D183-F183-T5</f>
        <v/>
      </c>
      <c r="P5" s="233">
        <f>L18-L19</f>
        <v/>
      </c>
      <c r="R5" s="232">
        <f>D184</f>
        <v/>
      </c>
      <c r="T5" s="213">
        <f>SUMIF(E5:E182,"Aguardando Pagamento",D5:D182)</f>
        <v/>
      </c>
    </row>
    <row r="6" ht="14.1" customHeight="1" s="158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SUMIF(H5:H182,K17,G5:G182)</f>
        <v/>
      </c>
    </row>
    <row r="18" ht="15.75" customHeight="1" s="158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8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8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6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8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 ht="15.75" customHeight="1" s="158">
      <c r="A184" s="30" t="n"/>
      <c r="B184" s="135" t="inlineStr">
        <is>
          <t>SALDO DO MÊS (Entradas líquidas − Despesas da loja)</t>
        </is>
      </c>
      <c r="D184" s="134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164"/>
  <sheetViews>
    <sheetView showGridLines="0" tabSelected="1" zoomScale="85" zoomScaleNormal="85" workbookViewId="0">
      <pane ySplit="4" topLeftCell="A5" activePane="bottomLeft" state="frozen"/>
      <selection pane="bottomLeft" activeCell="C12" sqref="C12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SETEMBRO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SUMIF(H5:H162,K5,G5:G162)</f>
        <v/>
      </c>
      <c r="N5" s="238">
        <f>D163-F163-T5</f>
        <v/>
      </c>
      <c r="P5" s="190">
        <f>L18-L19</f>
        <v/>
      </c>
      <c r="R5" s="204">
        <f>D164</f>
        <v/>
      </c>
      <c r="T5" s="203">
        <f>SUMIF(E5:E162,"Aguardando Pagamento",D5:D162)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SUMIF(H5:H162,K6,G5:G162)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SUMIF(H5:H162,K7,G5:G162)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SUMIF(H5:H162,K8,G5:G162)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SUMIF(H5:H162,K9,G5:G162)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SUMIF(H5:H162,K10,G5:G162)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SUMIF(H5:H162,K11,G5:G162)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SUMIF(H5:H162,K12,G5:G162)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SUMIF(H5:H162,K13,G5:G162)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SUMIF(H5:H162,K14,G5:G162)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SUMIF(H5:H162,K15,G5:G162)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SUMIF(H5:H162,K16,G5:G162)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SUMIF(H5:H162,K17,G5:G162)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n"/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8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46275</v>
      </c>
      <c r="B149" s="78" t="inlineStr">
        <is>
          <t>Humberto Fernandes Costa</t>
        </is>
      </c>
      <c r="C149" s="78" t="n"/>
      <c r="D149" s="79" t="n"/>
      <c r="E149" s="78" t="n"/>
      <c r="F149" s="79" t="n"/>
      <c r="G149" s="79" t="n">
        <v>964</v>
      </c>
      <c r="H149" s="78" t="inlineStr">
        <is>
          <t>Pro Labore Edilânia</t>
        </is>
      </c>
      <c r="I149" s="78" t="inlineStr">
        <is>
          <t>Extrato Stone — saída de 10/09/2026.</t>
        </is>
      </c>
      <c r="J149" s="78" t="n"/>
    </row>
    <row r="150">
      <c r="A150" s="81" t="n">
        <v>46279</v>
      </c>
      <c r="B150" s="82" t="inlineStr">
        <is>
          <t>Sinesio Moura da Silva</t>
        </is>
      </c>
      <c r="C150" s="82" t="n"/>
      <c r="D150" s="83" t="n"/>
      <c r="E150" s="82" t="n"/>
      <c r="F150" s="83" t="n"/>
      <c r="G150" s="83" t="n">
        <v>100</v>
      </c>
      <c r="H150" s="82" t="inlineStr">
        <is>
          <t>Pro Labore Edilânia</t>
        </is>
      </c>
      <c r="I150" s="82" t="inlineStr">
        <is>
          <t>Extrato Stone — saída de 14/09/2026.</t>
        </is>
      </c>
    </row>
    <row r="151">
      <c r="A151" s="77" t="n">
        <v>46280</v>
      </c>
      <c r="B151" s="78" t="inlineStr">
        <is>
          <t>Eziquiel Soares da Cruz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Lojão JB Mega 25</t>
        </is>
      </c>
      <c r="C152" s="82" t="n"/>
      <c r="D152" s="83" t="n"/>
      <c r="E152" s="82" t="n"/>
      <c r="F152" s="83" t="n"/>
      <c r="G152" s="83" t="n">
        <v>50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Rivael Sousa Santos</t>
        </is>
      </c>
      <c r="C153" s="78" t="n"/>
      <c r="D153" s="79" t="n"/>
      <c r="E153" s="78" t="n"/>
      <c r="F153" s="79" t="n"/>
      <c r="G153" s="79" t="n">
        <v>48.8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Thiago de Jesus Nascimento</t>
        </is>
      </c>
      <c r="C154" s="82" t="n"/>
      <c r="D154" s="83" t="n"/>
      <c r="E154" s="82" t="n"/>
      <c r="F154" s="83" t="n"/>
      <c r="G154" s="83" t="n">
        <v>28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46280</v>
      </c>
      <c r="B155" s="78" t="inlineStr">
        <is>
          <t>Luciana Cruz Freire Santos</t>
        </is>
      </c>
      <c r="C155" s="78" t="n"/>
      <c r="D155" s="79" t="n"/>
      <c r="E155" s="78" t="n"/>
      <c r="F155" s="79" t="n"/>
      <c r="G155" s="79" t="n">
        <v>140</v>
      </c>
      <c r="H155" s="78" t="inlineStr">
        <is>
          <t>Pro Labore Edilânia</t>
        </is>
      </c>
      <c r="I155" s="78" t="inlineStr">
        <is>
          <t>Extrato Stone — saída de 15/09/2026.</t>
        </is>
      </c>
      <c r="J155" s="78" t="n"/>
    </row>
    <row r="156">
      <c r="A156" s="81" t="n">
        <v>46281</v>
      </c>
      <c r="B156" s="82" t="inlineStr">
        <is>
          <t>Comercial de Estivas e Cereais Rio do Ouro</t>
        </is>
      </c>
      <c r="C156" s="82" t="n"/>
      <c r="D156" s="83" t="n"/>
      <c r="E156" s="82" t="n"/>
      <c r="F156" s="83" t="n"/>
      <c r="G156" s="83" t="n">
        <v>44.98</v>
      </c>
      <c r="H156" s="82" t="inlineStr">
        <is>
          <t>Pro Labore Edilânia</t>
        </is>
      </c>
      <c r="I156" s="82" t="inlineStr">
        <is>
          <t>Extrato Stone — saída de 16/09/2026.</t>
        </is>
      </c>
    </row>
    <row r="157">
      <c r="A157" s="77" t="n">
        <v>46283</v>
      </c>
      <c r="B157" s="78" t="inlineStr">
        <is>
          <t>Japedido Software</t>
        </is>
      </c>
      <c r="C157" s="78" t="n"/>
      <c r="D157" s="79" t="n"/>
      <c r="E157" s="78" t="n"/>
      <c r="F157" s="79" t="n"/>
      <c r="G157" s="79" t="n">
        <v>62.19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Jose Barbosa Leal Filho Ltda</t>
        </is>
      </c>
      <c r="C158" s="82" t="n"/>
      <c r="D158" s="83" t="n"/>
      <c r="E158" s="82" t="n"/>
      <c r="F158" s="83" t="n"/>
      <c r="G158" s="83" t="n">
        <v>130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46283</v>
      </c>
      <c r="B159" s="78" t="inlineStr">
        <is>
          <t>L K Abade Ltda</t>
        </is>
      </c>
      <c r="C159" s="78" t="n"/>
      <c r="D159" s="79" t="n"/>
      <c r="E159" s="78" t="n"/>
      <c r="F159" s="79" t="n"/>
      <c r="G159" s="79" t="n">
        <v>40</v>
      </c>
      <c r="H159" s="78" t="inlineStr">
        <is>
          <t>Pro Labore Edilânia</t>
        </is>
      </c>
      <c r="I159" s="78" t="inlineStr">
        <is>
          <t>Extrato Stone — saída de 18/09/2026.</t>
        </is>
      </c>
      <c r="J159" s="78" t="n"/>
    </row>
    <row r="160">
      <c r="A160" s="81" t="n">
        <v>46273</v>
      </c>
      <c r="B160" s="82" t="inlineStr">
        <is>
          <t>Multidisplay Comercio e Servicos Tecnologicos</t>
        </is>
      </c>
      <c r="C160" s="82" t="n"/>
      <c r="D160" s="83" t="n"/>
      <c r="E160" s="82" t="n"/>
      <c r="F160" s="83" t="n"/>
      <c r="G160" s="83" t="n">
        <v>25</v>
      </c>
      <c r="H160" s="82" t="inlineStr">
        <is>
          <t>Pro Labore Edilânia</t>
        </is>
      </c>
      <c r="I160" s="82" t="inlineStr">
        <is>
          <t>Extrato Stone — saída de 08/09/2026.</t>
        </is>
      </c>
    </row>
    <row r="161">
      <c r="A161" s="77" t="n">
        <v>46281</v>
      </c>
      <c r="B161" s="78" t="inlineStr">
        <is>
          <t>FGTS Digital (GFD)</t>
        </is>
      </c>
      <c r="C161" s="78" t="n"/>
      <c r="D161" s="79" t="n"/>
      <c r="E161" s="78" t="n"/>
      <c r="F161" s="79" t="n"/>
      <c r="G161" s="79" t="n">
        <v>136</v>
      </c>
      <c r="H161" s="78" t="inlineStr">
        <is>
          <t>Impostos e Taxas</t>
        </is>
      </c>
      <c r="I161" s="78" t="inlineStr">
        <is>
          <t>FGTS mensal — competência 08/2026. Venc. 18/09/2026, pago em 16/09/2026.</t>
        </is>
      </c>
      <c r="J161" s="78" t="n"/>
    </row>
    <row r="162">
      <c r="A162" s="81" t="n">
        <v>46281</v>
      </c>
      <c r="B162" s="82" t="inlineStr">
        <is>
          <t>Receita Federal — DARF / INSS</t>
        </is>
      </c>
      <c r="C162" s="82" t="n"/>
      <c r="D162" s="83" t="n"/>
      <c r="E162" s="82" t="n"/>
      <c r="F162" s="83" t="n"/>
      <c r="G162" s="83" t="n">
        <v>306.99</v>
      </c>
      <c r="H162" s="82" t="inlineStr">
        <is>
          <t>Impostos e Taxas</t>
        </is>
      </c>
      <c r="I162" s="82" t="inlineStr">
        <is>
          <t>DARF / INSS — período de apuração agosto/2026. Venc. 18/09/2026, pago em 16/09/2026.</t>
        </is>
      </c>
    </row>
    <row r="163">
      <c r="A163" s="29" t="n"/>
      <c r="B163" s="43" t="inlineStr">
        <is>
          <t>TOTAL DO MÊS</t>
        </is>
      </c>
      <c r="C163" s="161" t="n"/>
      <c r="D163" s="8">
        <f>SUM(D5:D162)</f>
        <v/>
      </c>
      <c r="E163" s="8" t="n"/>
      <c r="F163" s="29">
        <f>SUM(F5:F162)</f>
        <v/>
      </c>
      <c r="G163" s="8">
        <f>SUM(G5:G162)</f>
        <v/>
      </c>
      <c r="H163" s="29" t="n"/>
      <c r="I163" s="29" t="n"/>
    </row>
    <row r="164">
      <c r="A164" s="30" t="n"/>
      <c r="B164" s="135" t="inlineStr">
        <is>
          <t>SALDO DO MÊS (Entradas líquidas − Despesas da loja)</t>
        </is>
      </c>
      <c r="D164" s="134">
        <f>(D163-F163-T5)-(L18-L19)</f>
        <v/>
      </c>
      <c r="F164" s="30" t="n"/>
      <c r="H164" s="30" t="n"/>
      <c r="I164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62" showDropDown="0" showInputMessage="0" showErrorMessage="0" allowBlank="1" type="list">
      <formula1>"Dinheiro,Pix,Débito,Crédito à Vista,Crédito Parcelado,Aguardando Pagamento"</formula1>
    </dataValidation>
    <dataValidation sqref="H5:H16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OUTUBRO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NOVEMBRO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DEZEMBRO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2026-09-21T11:54:35Z</dcterms:modified>
  <cp:lastModifiedBy>Planeta</cp:lastModifiedBy>
  <cp:revision>1</cp:revision>
</cp:coreProperties>
</file>